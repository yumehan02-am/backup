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上杉　水着\"/>
    </mc:Choice>
  </mc:AlternateContent>
  <xr:revisionPtr revIDLastSave="0" documentId="13_ncr:1_{FFDB08BC-22F8-4DAA-93B7-9603FB4F6B9E}" xr6:coauthVersionLast="47" xr6:coauthVersionMax="47" xr10:uidLastSave="{00000000-0000-0000-0000-000000000000}"/>
  <bookViews>
    <workbookView xWindow="12540" yWindow="960" windowWidth="16065" windowHeight="12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311" i="1" l="1"/>
  <c r="AN2311" i="1"/>
  <c r="BA2311" i="1" s="1"/>
  <c r="AT2311" i="1"/>
  <c r="AZ2311" i="1"/>
  <c r="AH2312" i="1"/>
  <c r="AN2312" i="1"/>
  <c r="AT2312" i="1"/>
  <c r="AZ2312" i="1"/>
  <c r="BA2312" i="1"/>
  <c r="AH2313" i="1"/>
  <c r="AN2313" i="1"/>
  <c r="BA2313" i="1" s="1"/>
  <c r="AT2313" i="1"/>
  <c r="AZ2313" i="1"/>
  <c r="AH2314" i="1"/>
  <c r="AN2314" i="1"/>
  <c r="AT2314" i="1"/>
  <c r="AZ2314" i="1"/>
  <c r="BA2314" i="1"/>
  <c r="AH2315" i="1"/>
  <c r="AN2315" i="1"/>
  <c r="BA2315" i="1" s="1"/>
  <c r="AT2315" i="1"/>
  <c r="AZ2315" i="1"/>
  <c r="AH2316" i="1"/>
  <c r="AN2316" i="1"/>
  <c r="AT2316" i="1"/>
  <c r="AZ2316" i="1"/>
  <c r="BA2316" i="1"/>
  <c r="AH2317" i="1"/>
  <c r="AN2317" i="1"/>
  <c r="BA2317" i="1" s="1"/>
  <c r="AT2317" i="1"/>
  <c r="AZ2317" i="1"/>
  <c r="AY2337" i="1"/>
  <c r="AX2337" i="1"/>
  <c r="AW2337" i="1"/>
  <c r="AV2337" i="1"/>
  <c r="AU2337" i="1"/>
  <c r="AS2337" i="1"/>
  <c r="AR2337" i="1"/>
  <c r="AQ2337" i="1"/>
  <c r="AP2337" i="1"/>
  <c r="AT2337" i="1" s="1"/>
  <c r="AO2337" i="1"/>
  <c r="AM2337" i="1"/>
  <c r="AL2337" i="1"/>
  <c r="AK2337" i="1"/>
  <c r="AJ2337" i="1"/>
  <c r="AI2337" i="1"/>
  <c r="AG2337" i="1"/>
  <c r="AF2337" i="1"/>
  <c r="AE2337" i="1"/>
  <c r="AD2337" i="1"/>
  <c r="AH2337" i="1" s="1"/>
  <c r="AC2337" i="1"/>
  <c r="X2337" i="1"/>
  <c r="W2337" i="1"/>
  <c r="V2337" i="1"/>
  <c r="U2337" i="1"/>
  <c r="T2337" i="1"/>
  <c r="R2337" i="1"/>
  <c r="Q2337" i="1"/>
  <c r="P2337" i="1"/>
  <c r="O2337" i="1"/>
  <c r="N2337" i="1"/>
  <c r="L2337" i="1"/>
  <c r="K2337" i="1"/>
  <c r="J2337" i="1"/>
  <c r="I2337" i="1"/>
  <c r="H2337" i="1"/>
  <c r="F2337" i="1"/>
  <c r="E2337" i="1"/>
  <c r="D2337" i="1"/>
  <c r="C2337" i="1"/>
  <c r="B2337" i="1"/>
  <c r="G2337" i="1" s="1"/>
  <c r="AZ2336" i="1"/>
  <c r="AT2336" i="1"/>
  <c r="AN2336" i="1"/>
  <c r="AH2336" i="1"/>
  <c r="BA2336" i="1" s="1"/>
  <c r="Y2336" i="1"/>
  <c r="S2336" i="1"/>
  <c r="M2336" i="1"/>
  <c r="G2336" i="1"/>
  <c r="Z2336" i="1" s="1"/>
  <c r="AZ2335" i="1"/>
  <c r="AT2335" i="1"/>
  <c r="AN2335" i="1"/>
  <c r="AH2335" i="1"/>
  <c r="Y2335" i="1"/>
  <c r="S2335" i="1"/>
  <c r="M2335" i="1"/>
  <c r="G2335" i="1"/>
  <c r="Z2335" i="1" s="1"/>
  <c r="AZ2334" i="1"/>
  <c r="AT2334" i="1"/>
  <c r="AN2334" i="1"/>
  <c r="AH2334" i="1"/>
  <c r="BA2334" i="1" s="1"/>
  <c r="Y2334" i="1"/>
  <c r="S2334" i="1"/>
  <c r="M2334" i="1"/>
  <c r="G2334" i="1"/>
  <c r="Z2334" i="1" s="1"/>
  <c r="AZ2333" i="1"/>
  <c r="AT2333" i="1"/>
  <c r="AN2333" i="1"/>
  <c r="AH2333" i="1"/>
  <c r="Y2333" i="1"/>
  <c r="S2333" i="1"/>
  <c r="M2333" i="1"/>
  <c r="G2333" i="1"/>
  <c r="Z2333" i="1" s="1"/>
  <c r="AZ2332" i="1"/>
  <c r="AT2332" i="1"/>
  <c r="AN2332" i="1"/>
  <c r="AH2332" i="1"/>
  <c r="BA2332" i="1" s="1"/>
  <c r="Y2332" i="1"/>
  <c r="S2332" i="1"/>
  <c r="M2332" i="1"/>
  <c r="G2332" i="1"/>
  <c r="Z2332" i="1" s="1"/>
  <c r="AZ2331" i="1"/>
  <c r="AT2331" i="1"/>
  <c r="AN2331" i="1"/>
  <c r="AH2331" i="1"/>
  <c r="Y2331" i="1"/>
  <c r="S2331" i="1"/>
  <c r="M2331" i="1"/>
  <c r="G2331" i="1"/>
  <c r="Z2331" i="1" s="1"/>
  <c r="AZ2330" i="1"/>
  <c r="AT2330" i="1"/>
  <c r="AN2330" i="1"/>
  <c r="AH2330" i="1"/>
  <c r="BA2330" i="1" s="1"/>
  <c r="Y2330" i="1"/>
  <c r="S2330" i="1"/>
  <c r="M2330" i="1"/>
  <c r="G2330" i="1"/>
  <c r="Z2330" i="1" s="1"/>
  <c r="AZ2329" i="1"/>
  <c r="AT2329" i="1"/>
  <c r="AN2329" i="1"/>
  <c r="AH2329" i="1"/>
  <c r="Y2329" i="1"/>
  <c r="S2329" i="1"/>
  <c r="M2329" i="1"/>
  <c r="G2329" i="1"/>
  <c r="Z2329" i="1" s="1"/>
  <c r="AZ2328" i="1"/>
  <c r="AT2328" i="1"/>
  <c r="AN2328" i="1"/>
  <c r="AH2328" i="1"/>
  <c r="BA2328" i="1" s="1"/>
  <c r="Y2328" i="1"/>
  <c r="S2328" i="1"/>
  <c r="M2328" i="1"/>
  <c r="G2328" i="1"/>
  <c r="Z2328" i="1" s="1"/>
  <c r="AZ2327" i="1"/>
  <c r="AT2327" i="1"/>
  <c r="AN2327" i="1"/>
  <c r="AH2327" i="1"/>
  <c r="Y2327" i="1"/>
  <c r="S2327" i="1"/>
  <c r="M2327" i="1"/>
  <c r="G2327" i="1"/>
  <c r="Z2327" i="1" s="1"/>
  <c r="AZ2326" i="1"/>
  <c r="AT2326" i="1"/>
  <c r="AN2326" i="1"/>
  <c r="AH2326" i="1"/>
  <c r="BA2326" i="1" s="1"/>
  <c r="Y2326" i="1"/>
  <c r="S2326" i="1"/>
  <c r="M2326" i="1"/>
  <c r="G2326" i="1"/>
  <c r="Z2326" i="1" s="1"/>
  <c r="AZ2325" i="1"/>
  <c r="AT2325" i="1"/>
  <c r="AN2325" i="1"/>
  <c r="AH2325" i="1"/>
  <c r="Y2325" i="1"/>
  <c r="S2325" i="1"/>
  <c r="M2325" i="1"/>
  <c r="G2325" i="1"/>
  <c r="Z2325" i="1" s="1"/>
  <c r="AZ2324" i="1"/>
  <c r="AT2324" i="1"/>
  <c r="AN2324" i="1"/>
  <c r="AH2324" i="1"/>
  <c r="BA2324" i="1" s="1"/>
  <c r="Y2324" i="1"/>
  <c r="S2324" i="1"/>
  <c r="M2324" i="1"/>
  <c r="G2324" i="1"/>
  <c r="Z2324" i="1" s="1"/>
  <c r="AZ2323" i="1"/>
  <c r="AT2323" i="1"/>
  <c r="AN2323" i="1"/>
  <c r="AH2323" i="1"/>
  <c r="Y2323" i="1"/>
  <c r="S2323" i="1"/>
  <c r="M2323" i="1"/>
  <c r="G2323" i="1"/>
  <c r="Z2323" i="1" s="1"/>
  <c r="AZ2322" i="1"/>
  <c r="AT2322" i="1"/>
  <c r="AN2322" i="1"/>
  <c r="AH2322" i="1"/>
  <c r="BA2322" i="1" s="1"/>
  <c r="Y2322" i="1"/>
  <c r="S2322" i="1"/>
  <c r="M2322" i="1"/>
  <c r="G2322" i="1"/>
  <c r="Z2322" i="1" s="1"/>
  <c r="AZ2321" i="1"/>
  <c r="AT2321" i="1"/>
  <c r="AN2321" i="1"/>
  <c r="AH2321" i="1"/>
  <c r="Y2321" i="1"/>
  <c r="S2321" i="1"/>
  <c r="M2321" i="1"/>
  <c r="G2321" i="1"/>
  <c r="AZ2320" i="1"/>
  <c r="AT2320" i="1"/>
  <c r="AN2320" i="1"/>
  <c r="AH2320" i="1"/>
  <c r="BA2320" i="1" s="1"/>
  <c r="Y2320" i="1"/>
  <c r="S2320" i="1"/>
  <c r="M2320" i="1"/>
  <c r="G2320" i="1"/>
  <c r="AZ2319" i="1"/>
  <c r="AT2319" i="1"/>
  <c r="AN2319" i="1"/>
  <c r="AH2319" i="1"/>
  <c r="Y2319" i="1"/>
  <c r="S2319" i="1"/>
  <c r="M2319" i="1"/>
  <c r="G2319" i="1"/>
  <c r="AZ2318" i="1"/>
  <c r="AT2318" i="1"/>
  <c r="AN2318" i="1"/>
  <c r="AH2318" i="1"/>
  <c r="BA2318" i="1" s="1"/>
  <c r="Y2318" i="1"/>
  <c r="S2318" i="1"/>
  <c r="M2318" i="1"/>
  <c r="G2318" i="1"/>
  <c r="Y2317" i="1"/>
  <c r="S2317" i="1"/>
  <c r="M2317" i="1"/>
  <c r="G2317" i="1"/>
  <c r="Z2317" i="1" s="1"/>
  <c r="Y2316" i="1"/>
  <c r="S2316" i="1"/>
  <c r="M2316" i="1"/>
  <c r="G2316" i="1"/>
  <c r="Y2315" i="1"/>
  <c r="S2315" i="1"/>
  <c r="M2315" i="1"/>
  <c r="G2315" i="1"/>
  <c r="Y2314" i="1"/>
  <c r="S2314" i="1"/>
  <c r="M2314" i="1"/>
  <c r="G2314" i="1"/>
  <c r="Y2313" i="1"/>
  <c r="S2313" i="1"/>
  <c r="M2313" i="1"/>
  <c r="G2313" i="1"/>
  <c r="Z2313" i="1" s="1"/>
  <c r="Y2312" i="1"/>
  <c r="S2312" i="1"/>
  <c r="M2312" i="1"/>
  <c r="G2312" i="1"/>
  <c r="Z2312" i="1" s="1"/>
  <c r="Y2311" i="1"/>
  <c r="S2311" i="1"/>
  <c r="M2311" i="1"/>
  <c r="G2311" i="1"/>
  <c r="Z2311" i="1" s="1"/>
  <c r="AX2310" i="1"/>
  <c r="AX2338" i="1" s="1"/>
  <c r="AP2310" i="1"/>
  <c r="AL2310" i="1"/>
  <c r="AL2338" i="1" s="1"/>
  <c r="AD2310" i="1"/>
  <c r="X2310" i="1"/>
  <c r="T2310" i="1"/>
  <c r="L2310" i="1"/>
  <c r="L2338" i="1" s="1"/>
  <c r="H2310" i="1"/>
  <c r="H2338" i="1" s="1"/>
  <c r="D2310" i="1"/>
  <c r="D2338" i="1" s="1"/>
  <c r="AZ2309" i="1"/>
  <c r="AT2309" i="1"/>
  <c r="AN2309" i="1"/>
  <c r="AH2309" i="1"/>
  <c r="Y2309" i="1"/>
  <c r="S2309" i="1"/>
  <c r="M2309" i="1"/>
  <c r="G2309" i="1"/>
  <c r="Z2309" i="1" s="1"/>
  <c r="AZ2308" i="1"/>
  <c r="AT2308" i="1"/>
  <c r="AN2308" i="1"/>
  <c r="AH2308" i="1"/>
  <c r="BA2308" i="1" s="1"/>
  <c r="Y2308" i="1"/>
  <c r="S2308" i="1"/>
  <c r="M2308" i="1"/>
  <c r="G2308" i="1"/>
  <c r="Z2308" i="1" s="1"/>
  <c r="AZ2307" i="1"/>
  <c r="AT2307" i="1"/>
  <c r="AN2307" i="1"/>
  <c r="AH2307" i="1"/>
  <c r="Y2307" i="1"/>
  <c r="S2307" i="1"/>
  <c r="M2307" i="1"/>
  <c r="G2307" i="1"/>
  <c r="Z2307" i="1" s="1"/>
  <c r="AZ2306" i="1"/>
  <c r="AT2306" i="1"/>
  <c r="AN2306" i="1"/>
  <c r="AH2306" i="1"/>
  <c r="BA2306" i="1" s="1"/>
  <c r="Y2306" i="1"/>
  <c r="S2306" i="1"/>
  <c r="M2306" i="1"/>
  <c r="G2306" i="1"/>
  <c r="Z2306" i="1" s="1"/>
  <c r="AX2305" i="1"/>
  <c r="AW2305" i="1"/>
  <c r="AW2310" i="1" s="1"/>
  <c r="AW2338" i="1" s="1"/>
  <c r="AV2305" i="1"/>
  <c r="AV2310" i="1" s="1"/>
  <c r="AV2338" i="1" s="1"/>
  <c r="AU2305" i="1"/>
  <c r="AU2310" i="1" s="1"/>
  <c r="AU2338" i="1" s="1"/>
  <c r="AS2305" i="1"/>
  <c r="AS2310" i="1" s="1"/>
  <c r="AS2338" i="1" s="1"/>
  <c r="AR2305" i="1"/>
  <c r="AR2310" i="1" s="1"/>
  <c r="AR2338" i="1" s="1"/>
  <c r="AQ2305" i="1"/>
  <c r="AQ2310" i="1" s="1"/>
  <c r="AQ2338" i="1" s="1"/>
  <c r="AP2305" i="1"/>
  <c r="AO2305" i="1"/>
  <c r="AO2310" i="1" s="1"/>
  <c r="AO2338" i="1" s="1"/>
  <c r="AM2305" i="1"/>
  <c r="AM2310" i="1" s="1"/>
  <c r="AM2338" i="1" s="1"/>
  <c r="AL2305" i="1"/>
  <c r="AK2305" i="1"/>
  <c r="AK2310" i="1" s="1"/>
  <c r="AK2338" i="1" s="1"/>
  <c r="AJ2305" i="1"/>
  <c r="AJ2310" i="1" s="1"/>
  <c r="AJ2338" i="1" s="1"/>
  <c r="AI2305" i="1"/>
  <c r="AI2310" i="1" s="1"/>
  <c r="AI2338" i="1" s="1"/>
  <c r="AG2305" i="1"/>
  <c r="AG2310" i="1" s="1"/>
  <c r="AG2338" i="1" s="1"/>
  <c r="AF2305" i="1"/>
  <c r="AF2310" i="1" s="1"/>
  <c r="AF2338" i="1" s="1"/>
  <c r="AE2305" i="1"/>
  <c r="AE2310" i="1" s="1"/>
  <c r="AE2338" i="1" s="1"/>
  <c r="AD2305" i="1"/>
  <c r="AC2305" i="1"/>
  <c r="AC2310" i="1" s="1"/>
  <c r="AC2338" i="1" s="1"/>
  <c r="X2305" i="1"/>
  <c r="W2305" i="1"/>
  <c r="W2310" i="1" s="1"/>
  <c r="W2338" i="1" s="1"/>
  <c r="V2305" i="1"/>
  <c r="V2310" i="1" s="1"/>
  <c r="V2338" i="1" s="1"/>
  <c r="U2305" i="1"/>
  <c r="U2310" i="1" s="1"/>
  <c r="T2305" i="1"/>
  <c r="R2305" i="1"/>
  <c r="R2310" i="1" s="1"/>
  <c r="R2338" i="1" s="1"/>
  <c r="Q2305" i="1"/>
  <c r="Q2310" i="1" s="1"/>
  <c r="O2305" i="1"/>
  <c r="O2310" i="1" s="1"/>
  <c r="O2338" i="1" s="1"/>
  <c r="N2305" i="1"/>
  <c r="N2310" i="1" s="1"/>
  <c r="L2305" i="1"/>
  <c r="K2305" i="1"/>
  <c r="K2310" i="1" s="1"/>
  <c r="K2338" i="1" s="1"/>
  <c r="J2305" i="1"/>
  <c r="J2310" i="1" s="1"/>
  <c r="J2338" i="1" s="1"/>
  <c r="I2305" i="1"/>
  <c r="I2310" i="1" s="1"/>
  <c r="I2338" i="1" s="1"/>
  <c r="H2305" i="1"/>
  <c r="F2305" i="1"/>
  <c r="F2310" i="1" s="1"/>
  <c r="F2338" i="1" s="1"/>
  <c r="E2305" i="1"/>
  <c r="E2310" i="1" s="1"/>
  <c r="E2338" i="1" s="1"/>
  <c r="D2305" i="1"/>
  <c r="C2305" i="1"/>
  <c r="C2310" i="1" s="1"/>
  <c r="C2338" i="1" s="1"/>
  <c r="B2305" i="1"/>
  <c r="B2310" i="1" s="1"/>
  <c r="AH2258" i="1"/>
  <c r="AN2258" i="1"/>
  <c r="AT2258" i="1"/>
  <c r="BA2258" i="1" s="1"/>
  <c r="AZ2258" i="1"/>
  <c r="AH2297" i="1"/>
  <c r="AN2297" i="1"/>
  <c r="AT2297" i="1"/>
  <c r="AZ2297" i="1"/>
  <c r="BA2297" i="1" s="1"/>
  <c r="AH2272" i="1"/>
  <c r="AN2272" i="1"/>
  <c r="AT2272" i="1"/>
  <c r="AZ2272" i="1"/>
  <c r="AH2273" i="1"/>
  <c r="AN2273" i="1"/>
  <c r="BA2273" i="1" s="1"/>
  <c r="AT2273" i="1"/>
  <c r="AZ2273" i="1"/>
  <c r="AH2274" i="1"/>
  <c r="AN2274" i="1"/>
  <c r="BA2274" i="1" s="1"/>
  <c r="AT2274" i="1"/>
  <c r="AZ2274" i="1"/>
  <c r="AH2275" i="1"/>
  <c r="AN2275" i="1"/>
  <c r="AT2275" i="1"/>
  <c r="AZ2275" i="1"/>
  <c r="AY2298" i="1"/>
  <c r="AX2298" i="1"/>
  <c r="AW2298" i="1"/>
  <c r="AV2298" i="1"/>
  <c r="AU2298" i="1"/>
  <c r="AS2298" i="1"/>
  <c r="AR2298" i="1"/>
  <c r="AQ2298" i="1"/>
  <c r="AP2298" i="1"/>
  <c r="AO2298" i="1"/>
  <c r="AM2298" i="1"/>
  <c r="AL2298" i="1"/>
  <c r="AK2298" i="1"/>
  <c r="AJ2298" i="1"/>
  <c r="AI2298" i="1"/>
  <c r="AG2298" i="1"/>
  <c r="AF2298" i="1"/>
  <c r="AE2298" i="1"/>
  <c r="AD2298" i="1"/>
  <c r="AC2298" i="1"/>
  <c r="X2298" i="1"/>
  <c r="W2298" i="1"/>
  <c r="V2298" i="1"/>
  <c r="U2298" i="1"/>
  <c r="T2298" i="1"/>
  <c r="R2298" i="1"/>
  <c r="Q2298" i="1"/>
  <c r="P2298" i="1"/>
  <c r="O2298" i="1"/>
  <c r="N2298" i="1"/>
  <c r="L2298" i="1"/>
  <c r="K2298" i="1"/>
  <c r="J2298" i="1"/>
  <c r="I2298" i="1"/>
  <c r="H2298" i="1"/>
  <c r="F2298" i="1"/>
  <c r="E2298" i="1"/>
  <c r="D2298" i="1"/>
  <c r="C2298" i="1"/>
  <c r="B2298" i="1"/>
  <c r="Y2297" i="1"/>
  <c r="S2297" i="1"/>
  <c r="M2297" i="1"/>
  <c r="G2297" i="1"/>
  <c r="Z2297" i="1" s="1"/>
  <c r="AZ2296" i="1"/>
  <c r="AT2296" i="1"/>
  <c r="AN2296" i="1"/>
  <c r="AH2296" i="1"/>
  <c r="Y2296" i="1"/>
  <c r="S2296" i="1"/>
  <c r="M2296" i="1"/>
  <c r="G2296" i="1"/>
  <c r="Z2296" i="1" s="1"/>
  <c r="AZ2295" i="1"/>
  <c r="AT2295" i="1"/>
  <c r="AN2295" i="1"/>
  <c r="AH2295" i="1"/>
  <c r="BA2295" i="1" s="1"/>
  <c r="Y2295" i="1"/>
  <c r="S2295" i="1"/>
  <c r="M2295" i="1"/>
  <c r="G2295" i="1"/>
  <c r="Z2295" i="1" s="1"/>
  <c r="AZ2294" i="1"/>
  <c r="AT2294" i="1"/>
  <c r="AN2294" i="1"/>
  <c r="AH2294" i="1"/>
  <c r="Y2294" i="1"/>
  <c r="S2294" i="1"/>
  <c r="M2294" i="1"/>
  <c r="G2294" i="1"/>
  <c r="Z2294" i="1" s="1"/>
  <c r="AZ2293" i="1"/>
  <c r="AT2293" i="1"/>
  <c r="AN2293" i="1"/>
  <c r="AH2293" i="1"/>
  <c r="BA2293" i="1" s="1"/>
  <c r="Y2293" i="1"/>
  <c r="S2293" i="1"/>
  <c r="M2293" i="1"/>
  <c r="G2293" i="1"/>
  <c r="Z2293" i="1" s="1"/>
  <c r="AZ2292" i="1"/>
  <c r="AT2292" i="1"/>
  <c r="AN2292" i="1"/>
  <c r="AH2292" i="1"/>
  <c r="Y2292" i="1"/>
  <c r="S2292" i="1"/>
  <c r="M2292" i="1"/>
  <c r="G2292" i="1"/>
  <c r="Z2292" i="1" s="1"/>
  <c r="AZ2291" i="1"/>
  <c r="AT2291" i="1"/>
  <c r="AN2291" i="1"/>
  <c r="AH2291" i="1"/>
  <c r="BA2291" i="1" s="1"/>
  <c r="Y2291" i="1"/>
  <c r="S2291" i="1"/>
  <c r="M2291" i="1"/>
  <c r="G2291" i="1"/>
  <c r="Z2291" i="1" s="1"/>
  <c r="AZ2290" i="1"/>
  <c r="AT2290" i="1"/>
  <c r="AN2290" i="1"/>
  <c r="AH2290" i="1"/>
  <c r="Y2290" i="1"/>
  <c r="S2290" i="1"/>
  <c r="M2290" i="1"/>
  <c r="G2290" i="1"/>
  <c r="Z2290" i="1" s="1"/>
  <c r="AZ2289" i="1"/>
  <c r="AT2289" i="1"/>
  <c r="AN2289" i="1"/>
  <c r="AH2289" i="1"/>
  <c r="BA2289" i="1" s="1"/>
  <c r="Y2289" i="1"/>
  <c r="S2289" i="1"/>
  <c r="M2289" i="1"/>
  <c r="G2289" i="1"/>
  <c r="Z2289" i="1" s="1"/>
  <c r="AZ2288" i="1"/>
  <c r="AT2288" i="1"/>
  <c r="AN2288" i="1"/>
  <c r="AH2288" i="1"/>
  <c r="Y2288" i="1"/>
  <c r="S2288" i="1"/>
  <c r="M2288" i="1"/>
  <c r="G2288" i="1"/>
  <c r="Z2288" i="1" s="1"/>
  <c r="AZ2287" i="1"/>
  <c r="AT2287" i="1"/>
  <c r="AN2287" i="1"/>
  <c r="AH2287" i="1"/>
  <c r="BA2287" i="1" s="1"/>
  <c r="Y2287" i="1"/>
  <c r="S2287" i="1"/>
  <c r="M2287" i="1"/>
  <c r="G2287" i="1"/>
  <c r="Z2287" i="1" s="1"/>
  <c r="AZ2286" i="1"/>
  <c r="AT2286" i="1"/>
  <c r="AN2286" i="1"/>
  <c r="AH2286" i="1"/>
  <c r="Y2286" i="1"/>
  <c r="S2286" i="1"/>
  <c r="M2286" i="1"/>
  <c r="G2286" i="1"/>
  <c r="Z2286" i="1" s="1"/>
  <c r="AZ2285" i="1"/>
  <c r="AT2285" i="1"/>
  <c r="AN2285" i="1"/>
  <c r="AH2285" i="1"/>
  <c r="BA2285" i="1" s="1"/>
  <c r="Y2285" i="1"/>
  <c r="S2285" i="1"/>
  <c r="M2285" i="1"/>
  <c r="G2285" i="1"/>
  <c r="Z2285" i="1" s="1"/>
  <c r="AZ2284" i="1"/>
  <c r="AT2284" i="1"/>
  <c r="AN2284" i="1"/>
  <c r="AH2284" i="1"/>
  <c r="Y2284" i="1"/>
  <c r="S2284" i="1"/>
  <c r="M2284" i="1"/>
  <c r="G2284" i="1"/>
  <c r="Z2284" i="1" s="1"/>
  <c r="AZ2283" i="1"/>
  <c r="AT2283" i="1"/>
  <c r="AN2283" i="1"/>
  <c r="AH2283" i="1"/>
  <c r="BA2283" i="1" s="1"/>
  <c r="Y2283" i="1"/>
  <c r="S2283" i="1"/>
  <c r="M2283" i="1"/>
  <c r="G2283" i="1"/>
  <c r="Z2283" i="1" s="1"/>
  <c r="AZ2282" i="1"/>
  <c r="AT2282" i="1"/>
  <c r="AN2282" i="1"/>
  <c r="AH2282" i="1"/>
  <c r="Y2282" i="1"/>
  <c r="S2282" i="1"/>
  <c r="M2282" i="1"/>
  <c r="G2282" i="1"/>
  <c r="Z2282" i="1" s="1"/>
  <c r="AZ2281" i="1"/>
  <c r="AT2281" i="1"/>
  <c r="AN2281" i="1"/>
  <c r="AH2281" i="1"/>
  <c r="BA2281" i="1" s="1"/>
  <c r="Y2281" i="1"/>
  <c r="S2281" i="1"/>
  <c r="M2281" i="1"/>
  <c r="G2281" i="1"/>
  <c r="Z2281" i="1" s="1"/>
  <c r="AZ2280" i="1"/>
  <c r="AT2280" i="1"/>
  <c r="AN2280" i="1"/>
  <c r="AH2280" i="1"/>
  <c r="Y2280" i="1"/>
  <c r="S2280" i="1"/>
  <c r="M2280" i="1"/>
  <c r="G2280" i="1"/>
  <c r="Z2280" i="1" s="1"/>
  <c r="AZ2279" i="1"/>
  <c r="AT2279" i="1"/>
  <c r="AN2279" i="1"/>
  <c r="AH2279" i="1"/>
  <c r="Y2279" i="1"/>
  <c r="S2279" i="1"/>
  <c r="M2279" i="1"/>
  <c r="G2279" i="1"/>
  <c r="AZ2278" i="1"/>
  <c r="AT2278" i="1"/>
  <c r="AN2278" i="1"/>
  <c r="AH2278" i="1"/>
  <c r="Y2278" i="1"/>
  <c r="S2278" i="1"/>
  <c r="M2278" i="1"/>
  <c r="G2278" i="1"/>
  <c r="AZ2277" i="1"/>
  <c r="AT2277" i="1"/>
  <c r="AN2277" i="1"/>
  <c r="AH2277" i="1"/>
  <c r="BA2277" i="1" s="1"/>
  <c r="Y2277" i="1"/>
  <c r="S2277" i="1"/>
  <c r="M2277" i="1"/>
  <c r="G2277" i="1"/>
  <c r="AZ2276" i="1"/>
  <c r="AT2276" i="1"/>
  <c r="AN2276" i="1"/>
  <c r="AH2276" i="1"/>
  <c r="Y2276" i="1"/>
  <c r="S2276" i="1"/>
  <c r="M2276" i="1"/>
  <c r="G2276" i="1"/>
  <c r="Y2275" i="1"/>
  <c r="S2275" i="1"/>
  <c r="M2275" i="1"/>
  <c r="G2275" i="1"/>
  <c r="Z2275" i="1" s="1"/>
  <c r="Y2274" i="1"/>
  <c r="S2274" i="1"/>
  <c r="M2274" i="1"/>
  <c r="G2274" i="1"/>
  <c r="Y2273" i="1"/>
  <c r="S2273" i="1"/>
  <c r="M2273" i="1"/>
  <c r="G2273" i="1"/>
  <c r="Y2272" i="1"/>
  <c r="S2272" i="1"/>
  <c r="M2272" i="1"/>
  <c r="G2272" i="1"/>
  <c r="T2271" i="1"/>
  <c r="P2271" i="1"/>
  <c r="H2271" i="1"/>
  <c r="D2271" i="1"/>
  <c r="D2299" i="1" s="1"/>
  <c r="AZ2270" i="1"/>
  <c r="AT2270" i="1"/>
  <c r="AN2270" i="1"/>
  <c r="AH2270" i="1"/>
  <c r="Y2270" i="1"/>
  <c r="S2270" i="1"/>
  <c r="M2270" i="1"/>
  <c r="G2270" i="1"/>
  <c r="Z2270" i="1" s="1"/>
  <c r="AZ2269" i="1"/>
  <c r="AT2269" i="1"/>
  <c r="AN2269" i="1"/>
  <c r="AH2269" i="1"/>
  <c r="BA2269" i="1" s="1"/>
  <c r="Y2269" i="1"/>
  <c r="S2269" i="1"/>
  <c r="M2269" i="1"/>
  <c r="G2269" i="1"/>
  <c r="AZ2268" i="1"/>
  <c r="AT2268" i="1"/>
  <c r="AN2268" i="1"/>
  <c r="AH2268" i="1"/>
  <c r="Y2268" i="1"/>
  <c r="S2268" i="1"/>
  <c r="M2268" i="1"/>
  <c r="G2268" i="1"/>
  <c r="AZ2267" i="1"/>
  <c r="AT2267" i="1"/>
  <c r="AN2267" i="1"/>
  <c r="AH2267" i="1"/>
  <c r="BA2267" i="1" s="1"/>
  <c r="Y2267" i="1"/>
  <c r="S2267" i="1"/>
  <c r="M2267" i="1"/>
  <c r="G2267" i="1"/>
  <c r="W2266" i="1"/>
  <c r="W2271" i="1" s="1"/>
  <c r="W2299" i="1" s="1"/>
  <c r="V2266" i="1"/>
  <c r="V2271" i="1" s="1"/>
  <c r="T2266" i="1"/>
  <c r="R2266" i="1"/>
  <c r="R2271" i="1" s="1"/>
  <c r="Q2266" i="1"/>
  <c r="Q2271" i="1" s="1"/>
  <c r="P2266" i="1"/>
  <c r="N2266" i="1"/>
  <c r="N2271" i="1" s="1"/>
  <c r="K2266" i="1"/>
  <c r="K2271" i="1" s="1"/>
  <c r="K2299" i="1" s="1"/>
  <c r="I2266" i="1"/>
  <c r="I2271" i="1" s="1"/>
  <c r="H2266" i="1"/>
  <c r="F2266" i="1"/>
  <c r="F2271" i="1" s="1"/>
  <c r="F2299" i="1" s="1"/>
  <c r="E2266" i="1"/>
  <c r="E2271" i="1" s="1"/>
  <c r="E2299" i="1" s="1"/>
  <c r="D2266" i="1"/>
  <c r="B2266" i="1"/>
  <c r="B2271" i="1" s="1"/>
  <c r="AY2259" i="1"/>
  <c r="AX2259" i="1"/>
  <c r="AW2259" i="1"/>
  <c r="AV2259" i="1"/>
  <c r="AU2259" i="1"/>
  <c r="AS2259" i="1"/>
  <c r="AR2259" i="1"/>
  <c r="AQ2259" i="1"/>
  <c r="AP2259" i="1"/>
  <c r="AO2259" i="1"/>
  <c r="AM2259" i="1"/>
  <c r="AL2259" i="1"/>
  <c r="AK2259" i="1"/>
  <c r="AJ2259" i="1"/>
  <c r="AI2259" i="1"/>
  <c r="AG2259" i="1"/>
  <c r="AF2259" i="1"/>
  <c r="AE2259" i="1"/>
  <c r="AD2259" i="1"/>
  <c r="AC2259" i="1"/>
  <c r="AH2259" i="1" s="1"/>
  <c r="AZ2257" i="1"/>
  <c r="AT2257" i="1"/>
  <c r="AN2257" i="1"/>
  <c r="AH2257" i="1"/>
  <c r="BA2257" i="1" s="1"/>
  <c r="AZ2256" i="1"/>
  <c r="AT2256" i="1"/>
  <c r="AN2256" i="1"/>
  <c r="AH2256" i="1"/>
  <c r="BA2256" i="1" s="1"/>
  <c r="AZ2255" i="1"/>
  <c r="AT2255" i="1"/>
  <c r="AN2255" i="1"/>
  <c r="AH2255" i="1"/>
  <c r="BA2255" i="1" s="1"/>
  <c r="AZ2254" i="1"/>
  <c r="AT2254" i="1"/>
  <c r="AN2254" i="1"/>
  <c r="AH2254" i="1"/>
  <c r="BA2254" i="1" s="1"/>
  <c r="AZ2253" i="1"/>
  <c r="AT2253" i="1"/>
  <c r="AN2253" i="1"/>
  <c r="AH2253" i="1"/>
  <c r="BA2253" i="1" s="1"/>
  <c r="AZ2252" i="1"/>
  <c r="AT2252" i="1"/>
  <c r="AN2252" i="1"/>
  <c r="AH2252" i="1"/>
  <c r="BA2252" i="1" s="1"/>
  <c r="AZ2251" i="1"/>
  <c r="AT2251" i="1"/>
  <c r="AN2251" i="1"/>
  <c r="AH2251" i="1"/>
  <c r="BA2251" i="1" s="1"/>
  <c r="AZ2250" i="1"/>
  <c r="AT2250" i="1"/>
  <c r="AN2250" i="1"/>
  <c r="AH2250" i="1"/>
  <c r="BA2250" i="1" s="1"/>
  <c r="AZ2249" i="1"/>
  <c r="AT2249" i="1"/>
  <c r="AN2249" i="1"/>
  <c r="AH2249" i="1"/>
  <c r="BA2249" i="1" s="1"/>
  <c r="AZ2248" i="1"/>
  <c r="AT2248" i="1"/>
  <c r="AN2248" i="1"/>
  <c r="AH2248" i="1"/>
  <c r="BA2248" i="1" s="1"/>
  <c r="AZ2247" i="1"/>
  <c r="AT2247" i="1"/>
  <c r="AN2247" i="1"/>
  <c r="AH2247" i="1"/>
  <c r="BA2247" i="1" s="1"/>
  <c r="AZ2246" i="1"/>
  <c r="AT2246" i="1"/>
  <c r="AN2246" i="1"/>
  <c r="AH2246" i="1"/>
  <c r="BA2246" i="1" s="1"/>
  <c r="AZ2245" i="1"/>
  <c r="AT2245" i="1"/>
  <c r="AN2245" i="1"/>
  <c r="AH2245" i="1"/>
  <c r="BA2245" i="1" s="1"/>
  <c r="AZ2244" i="1"/>
  <c r="AT2244" i="1"/>
  <c r="AN2244" i="1"/>
  <c r="AH2244" i="1"/>
  <c r="BA2244" i="1" s="1"/>
  <c r="AZ2243" i="1"/>
  <c r="AT2243" i="1"/>
  <c r="AN2243" i="1"/>
  <c r="AH2243" i="1"/>
  <c r="BA2243" i="1" s="1"/>
  <c r="AZ2242" i="1"/>
  <c r="AT2242" i="1"/>
  <c r="AN2242" i="1"/>
  <c r="AH2242" i="1"/>
  <c r="BA2242" i="1" s="1"/>
  <c r="AZ2241" i="1"/>
  <c r="AT2241" i="1"/>
  <c r="AN2241" i="1"/>
  <c r="AH2241" i="1"/>
  <c r="BA2241" i="1" s="1"/>
  <c r="AZ2240" i="1"/>
  <c r="AT2240" i="1"/>
  <c r="AN2240" i="1"/>
  <c r="AH2240" i="1"/>
  <c r="BA2240" i="1" s="1"/>
  <c r="AZ2239" i="1"/>
  <c r="AT2239" i="1"/>
  <c r="AN2239" i="1"/>
  <c r="AH2239" i="1"/>
  <c r="BA2239" i="1" s="1"/>
  <c r="AZ2238" i="1"/>
  <c r="AT2238" i="1"/>
  <c r="AN2238" i="1"/>
  <c r="AH2238" i="1"/>
  <c r="BA2238" i="1" s="1"/>
  <c r="AZ2237" i="1"/>
  <c r="AT2237" i="1"/>
  <c r="AN2237" i="1"/>
  <c r="AH2237" i="1"/>
  <c r="BA2237" i="1" s="1"/>
  <c r="AZ2236" i="1"/>
  <c r="AT2236" i="1"/>
  <c r="AN2236" i="1"/>
  <c r="AH2236" i="1"/>
  <c r="AZ2235" i="1"/>
  <c r="AT2235" i="1"/>
  <c r="AN2235" i="1"/>
  <c r="AH2235" i="1"/>
  <c r="BA2235" i="1" s="1"/>
  <c r="AZ2234" i="1"/>
  <c r="AT2234" i="1"/>
  <c r="AN2234" i="1"/>
  <c r="AH2234" i="1"/>
  <c r="BA2234" i="1" s="1"/>
  <c r="AZ2233" i="1"/>
  <c r="AT2233" i="1"/>
  <c r="AN2233" i="1"/>
  <c r="AH2233" i="1"/>
  <c r="AZ2231" i="1"/>
  <c r="AT2231" i="1"/>
  <c r="AN2231" i="1"/>
  <c r="AH2231" i="1"/>
  <c r="BA2231" i="1" s="1"/>
  <c r="AZ2230" i="1"/>
  <c r="AT2230" i="1"/>
  <c r="AN2230" i="1"/>
  <c r="AH2230" i="1"/>
  <c r="BA2230" i="1" s="1"/>
  <c r="AZ2229" i="1"/>
  <c r="AT2229" i="1"/>
  <c r="AN2229" i="1"/>
  <c r="AH2229" i="1"/>
  <c r="BA2229" i="1" s="1"/>
  <c r="AZ2228" i="1"/>
  <c r="AT2228" i="1"/>
  <c r="AN2228" i="1"/>
  <c r="AH2228" i="1"/>
  <c r="BA2228" i="1" s="1"/>
  <c r="X2259" i="1"/>
  <c r="W2259" i="1"/>
  <c r="V2259" i="1"/>
  <c r="U2259" i="1"/>
  <c r="T2259" i="1"/>
  <c r="R2259" i="1"/>
  <c r="Q2259" i="1"/>
  <c r="P2259" i="1"/>
  <c r="O2259" i="1"/>
  <c r="N2259" i="1"/>
  <c r="L2259" i="1"/>
  <c r="K2259" i="1"/>
  <c r="J2259" i="1"/>
  <c r="I2259" i="1"/>
  <c r="H2259" i="1"/>
  <c r="F2259" i="1"/>
  <c r="E2259" i="1"/>
  <c r="D2259" i="1"/>
  <c r="C2259" i="1"/>
  <c r="B2259" i="1"/>
  <c r="Y2258" i="1"/>
  <c r="S2258" i="1"/>
  <c r="M2258" i="1"/>
  <c r="G2258" i="1"/>
  <c r="Y2257" i="1"/>
  <c r="S2257" i="1"/>
  <c r="M2257" i="1"/>
  <c r="G2257" i="1"/>
  <c r="Y2256" i="1"/>
  <c r="S2256" i="1"/>
  <c r="M2256" i="1"/>
  <c r="G2256" i="1"/>
  <c r="Y2255" i="1"/>
  <c r="S2255" i="1"/>
  <c r="M2255" i="1"/>
  <c r="G2255" i="1"/>
  <c r="Y2254" i="1"/>
  <c r="S2254" i="1"/>
  <c r="M2254" i="1"/>
  <c r="G2254" i="1"/>
  <c r="Y2253" i="1"/>
  <c r="S2253" i="1"/>
  <c r="M2253" i="1"/>
  <c r="G2253" i="1"/>
  <c r="Y2252" i="1"/>
  <c r="S2252" i="1"/>
  <c r="M2252" i="1"/>
  <c r="G2252" i="1"/>
  <c r="Y2251" i="1"/>
  <c r="S2251" i="1"/>
  <c r="M2251" i="1"/>
  <c r="G2251" i="1"/>
  <c r="Y2250" i="1"/>
  <c r="S2250" i="1"/>
  <c r="M2250" i="1"/>
  <c r="G2250" i="1"/>
  <c r="Y2249" i="1"/>
  <c r="S2249" i="1"/>
  <c r="M2249" i="1"/>
  <c r="G2249" i="1"/>
  <c r="Y2248" i="1"/>
  <c r="S2248" i="1"/>
  <c r="M2248" i="1"/>
  <c r="G2248" i="1"/>
  <c r="Y2247" i="1"/>
  <c r="S2247" i="1"/>
  <c r="M2247" i="1"/>
  <c r="G2247" i="1"/>
  <c r="Y2246" i="1"/>
  <c r="S2246" i="1"/>
  <c r="M2246" i="1"/>
  <c r="G2246" i="1"/>
  <c r="Y2245" i="1"/>
  <c r="S2245" i="1"/>
  <c r="M2245" i="1"/>
  <c r="G2245" i="1"/>
  <c r="Y2244" i="1"/>
  <c r="S2244" i="1"/>
  <c r="M2244" i="1"/>
  <c r="G2244" i="1"/>
  <c r="Y2243" i="1"/>
  <c r="S2243" i="1"/>
  <c r="M2243" i="1"/>
  <c r="G2243" i="1"/>
  <c r="Y2242" i="1"/>
  <c r="S2242" i="1"/>
  <c r="M2242" i="1"/>
  <c r="G2242" i="1"/>
  <c r="Y2241" i="1"/>
  <c r="S2241" i="1"/>
  <c r="M2241" i="1"/>
  <c r="G2241" i="1"/>
  <c r="Y2240" i="1"/>
  <c r="S2240" i="1"/>
  <c r="M2240" i="1"/>
  <c r="G2240" i="1"/>
  <c r="Y2239" i="1"/>
  <c r="S2239" i="1"/>
  <c r="M2239" i="1"/>
  <c r="G2239" i="1"/>
  <c r="Y2238" i="1"/>
  <c r="S2238" i="1"/>
  <c r="M2238" i="1"/>
  <c r="G2238" i="1"/>
  <c r="Y2237" i="1"/>
  <c r="S2237" i="1"/>
  <c r="M2237" i="1"/>
  <c r="G2237" i="1"/>
  <c r="Y2236" i="1"/>
  <c r="S2236" i="1"/>
  <c r="M2236" i="1"/>
  <c r="G2236" i="1"/>
  <c r="Y2235" i="1"/>
  <c r="S2235" i="1"/>
  <c r="M2235" i="1"/>
  <c r="G2235" i="1"/>
  <c r="Y2234" i="1"/>
  <c r="S2234" i="1"/>
  <c r="M2234" i="1"/>
  <c r="G2234" i="1"/>
  <c r="Y2233" i="1"/>
  <c r="S2233" i="1"/>
  <c r="M2233" i="1"/>
  <c r="G2233" i="1"/>
  <c r="Y2231" i="1"/>
  <c r="S2231" i="1"/>
  <c r="M2231" i="1"/>
  <c r="G2231" i="1"/>
  <c r="Y2230" i="1"/>
  <c r="S2230" i="1"/>
  <c r="M2230" i="1"/>
  <c r="G2230" i="1"/>
  <c r="Y2229" i="1"/>
  <c r="S2229" i="1"/>
  <c r="M2229" i="1"/>
  <c r="G2229" i="1"/>
  <c r="Y2228" i="1"/>
  <c r="S2228" i="1"/>
  <c r="M2228" i="1"/>
  <c r="G2228" i="1"/>
  <c r="AH2218" i="1"/>
  <c r="AN2218" i="1"/>
  <c r="AT2218" i="1"/>
  <c r="AZ2218" i="1"/>
  <c r="AH2219" i="1"/>
  <c r="AN2219" i="1"/>
  <c r="AT2219" i="1"/>
  <c r="AZ2219" i="1"/>
  <c r="AY2220" i="1"/>
  <c r="AX2220" i="1"/>
  <c r="AW2220" i="1"/>
  <c r="AV2220" i="1"/>
  <c r="AU2220" i="1"/>
  <c r="AS2220" i="1"/>
  <c r="AR2220" i="1"/>
  <c r="AQ2220" i="1"/>
  <c r="AP2220" i="1"/>
  <c r="AO2220" i="1"/>
  <c r="AM2220" i="1"/>
  <c r="AL2220" i="1"/>
  <c r="AK2220" i="1"/>
  <c r="AJ2220" i="1"/>
  <c r="AI2220" i="1"/>
  <c r="AG2220" i="1"/>
  <c r="AF2220" i="1"/>
  <c r="AE2220" i="1"/>
  <c r="AD2220" i="1"/>
  <c r="AC2220" i="1"/>
  <c r="AZ2217" i="1"/>
  <c r="AT2217" i="1"/>
  <c r="AN2217" i="1"/>
  <c r="AH2217" i="1"/>
  <c r="AZ2216" i="1"/>
  <c r="AT2216" i="1"/>
  <c r="AN2216" i="1"/>
  <c r="AH2216" i="1"/>
  <c r="AZ2215" i="1"/>
  <c r="AT2215" i="1"/>
  <c r="AN2215" i="1"/>
  <c r="AH2215" i="1"/>
  <c r="AZ2214" i="1"/>
  <c r="AT2214" i="1"/>
  <c r="AN2214" i="1"/>
  <c r="AH2214" i="1"/>
  <c r="AZ2213" i="1"/>
  <c r="AT2213" i="1"/>
  <c r="AN2213" i="1"/>
  <c r="AH2213" i="1"/>
  <c r="AZ2212" i="1"/>
  <c r="AT2212" i="1"/>
  <c r="AN2212" i="1"/>
  <c r="AH2212" i="1"/>
  <c r="AZ2211" i="1"/>
  <c r="AT2211" i="1"/>
  <c r="AN2211" i="1"/>
  <c r="AH2211" i="1"/>
  <c r="AZ2210" i="1"/>
  <c r="AT2210" i="1"/>
  <c r="AN2210" i="1"/>
  <c r="AH2210" i="1"/>
  <c r="AZ2209" i="1"/>
  <c r="AT2209" i="1"/>
  <c r="AN2209" i="1"/>
  <c r="AH2209" i="1"/>
  <c r="AZ2208" i="1"/>
  <c r="AT2208" i="1"/>
  <c r="AN2208" i="1"/>
  <c r="AH2208" i="1"/>
  <c r="AZ2207" i="1"/>
  <c r="AT2207" i="1"/>
  <c r="AN2207" i="1"/>
  <c r="AH2207" i="1"/>
  <c r="AZ2206" i="1"/>
  <c r="AT2206" i="1"/>
  <c r="AN2206" i="1"/>
  <c r="AH2206" i="1"/>
  <c r="AZ2205" i="1"/>
  <c r="AT2205" i="1"/>
  <c r="AN2205" i="1"/>
  <c r="AH2205" i="1"/>
  <c r="AZ2204" i="1"/>
  <c r="AT2204" i="1"/>
  <c r="AN2204" i="1"/>
  <c r="AH2204" i="1"/>
  <c r="AZ2203" i="1"/>
  <c r="AT2203" i="1"/>
  <c r="AN2203" i="1"/>
  <c r="AH2203" i="1"/>
  <c r="AZ2202" i="1"/>
  <c r="AT2202" i="1"/>
  <c r="AN2202" i="1"/>
  <c r="AH2202" i="1"/>
  <c r="AZ2201" i="1"/>
  <c r="AT2201" i="1"/>
  <c r="AN2201" i="1"/>
  <c r="AH2201" i="1"/>
  <c r="AZ2200" i="1"/>
  <c r="AT2200" i="1"/>
  <c r="AN2200" i="1"/>
  <c r="AH2200" i="1"/>
  <c r="AZ2199" i="1"/>
  <c r="AT2199" i="1"/>
  <c r="AN2199" i="1"/>
  <c r="AH2199" i="1"/>
  <c r="AZ2198" i="1"/>
  <c r="AT2198" i="1"/>
  <c r="AN2198" i="1"/>
  <c r="AH2198" i="1"/>
  <c r="AZ2197" i="1"/>
  <c r="AT2197" i="1"/>
  <c r="AN2197" i="1"/>
  <c r="AH2197" i="1"/>
  <c r="AZ2196" i="1"/>
  <c r="AT2196" i="1"/>
  <c r="AN2196" i="1"/>
  <c r="AH2196" i="1"/>
  <c r="AZ2195" i="1"/>
  <c r="AT2195" i="1"/>
  <c r="AN2195" i="1"/>
  <c r="AH2195" i="1"/>
  <c r="AZ2194" i="1"/>
  <c r="AT2194" i="1"/>
  <c r="AN2194" i="1"/>
  <c r="AH2194" i="1"/>
  <c r="AZ2192" i="1"/>
  <c r="AT2192" i="1"/>
  <c r="AN2192" i="1"/>
  <c r="AH2192" i="1"/>
  <c r="BA2192" i="1" s="1"/>
  <c r="AZ2191" i="1"/>
  <c r="AT2191" i="1"/>
  <c r="AN2191" i="1"/>
  <c r="AH2191" i="1"/>
  <c r="BA2191" i="1" s="1"/>
  <c r="AZ2190" i="1"/>
  <c r="AT2190" i="1"/>
  <c r="AN2190" i="1"/>
  <c r="AH2190" i="1"/>
  <c r="BA2190" i="1" s="1"/>
  <c r="AZ2189" i="1"/>
  <c r="AT2189" i="1"/>
  <c r="AN2189" i="1"/>
  <c r="AH2189" i="1"/>
  <c r="BA2189" i="1" s="1"/>
  <c r="G2189" i="1"/>
  <c r="M2189" i="1"/>
  <c r="S2189" i="1"/>
  <c r="Y2189" i="1"/>
  <c r="G2190" i="1"/>
  <c r="M2190" i="1"/>
  <c r="S2190" i="1"/>
  <c r="Y2190" i="1"/>
  <c r="G2191" i="1"/>
  <c r="M2191" i="1"/>
  <c r="S2191" i="1"/>
  <c r="Y2191" i="1"/>
  <c r="X2220" i="1"/>
  <c r="W2220" i="1"/>
  <c r="V2220" i="1"/>
  <c r="U2220" i="1"/>
  <c r="T2220" i="1"/>
  <c r="R2220" i="1"/>
  <c r="Q2220" i="1"/>
  <c r="P2220" i="1"/>
  <c r="O2220" i="1"/>
  <c r="N2220" i="1"/>
  <c r="L2220" i="1"/>
  <c r="K2220" i="1"/>
  <c r="J2220" i="1"/>
  <c r="I2220" i="1"/>
  <c r="H2220" i="1"/>
  <c r="F2220" i="1"/>
  <c r="E2220" i="1"/>
  <c r="D2220" i="1"/>
  <c r="C2220" i="1"/>
  <c r="B2220" i="1"/>
  <c r="Y2219" i="1"/>
  <c r="S2219" i="1"/>
  <c r="M2219" i="1"/>
  <c r="G2219" i="1"/>
  <c r="Z2219" i="1" s="1"/>
  <c r="Y2218" i="1"/>
  <c r="S2218" i="1"/>
  <c r="M2218" i="1"/>
  <c r="G2218" i="1"/>
  <c r="Y2217" i="1"/>
  <c r="S2217" i="1"/>
  <c r="M2217" i="1"/>
  <c r="G2217" i="1"/>
  <c r="Y2216" i="1"/>
  <c r="S2216" i="1"/>
  <c r="M2216" i="1"/>
  <c r="G2216" i="1"/>
  <c r="Y2215" i="1"/>
  <c r="S2215" i="1"/>
  <c r="M2215" i="1"/>
  <c r="G2215" i="1"/>
  <c r="Y2214" i="1"/>
  <c r="S2214" i="1"/>
  <c r="M2214" i="1"/>
  <c r="G2214" i="1"/>
  <c r="Z2214" i="1" s="1"/>
  <c r="Y2213" i="1"/>
  <c r="S2213" i="1"/>
  <c r="M2213" i="1"/>
  <c r="G2213" i="1"/>
  <c r="Y2212" i="1"/>
  <c r="S2212" i="1"/>
  <c r="M2212" i="1"/>
  <c r="G2212" i="1"/>
  <c r="Y2211" i="1"/>
  <c r="S2211" i="1"/>
  <c r="M2211" i="1"/>
  <c r="G2211" i="1"/>
  <c r="Y2210" i="1"/>
  <c r="S2210" i="1"/>
  <c r="M2210" i="1"/>
  <c r="G2210" i="1"/>
  <c r="Y2209" i="1"/>
  <c r="S2209" i="1"/>
  <c r="M2209" i="1"/>
  <c r="G2209" i="1"/>
  <c r="Y2208" i="1"/>
  <c r="S2208" i="1"/>
  <c r="M2208" i="1"/>
  <c r="G2208" i="1"/>
  <c r="Y2207" i="1"/>
  <c r="S2207" i="1"/>
  <c r="M2207" i="1"/>
  <c r="G2207" i="1"/>
  <c r="Y2206" i="1"/>
  <c r="S2206" i="1"/>
  <c r="M2206" i="1"/>
  <c r="G2206" i="1"/>
  <c r="Y2205" i="1"/>
  <c r="S2205" i="1"/>
  <c r="M2205" i="1"/>
  <c r="G2205" i="1"/>
  <c r="Y2204" i="1"/>
  <c r="S2204" i="1"/>
  <c r="M2204" i="1"/>
  <c r="G2204" i="1"/>
  <c r="Y2203" i="1"/>
  <c r="S2203" i="1"/>
  <c r="M2203" i="1"/>
  <c r="G2203" i="1"/>
  <c r="Y2202" i="1"/>
  <c r="S2202" i="1"/>
  <c r="M2202" i="1"/>
  <c r="G2202" i="1"/>
  <c r="Z2202" i="1" s="1"/>
  <c r="Y2201" i="1"/>
  <c r="S2201" i="1"/>
  <c r="M2201" i="1"/>
  <c r="G2201" i="1"/>
  <c r="Y2200" i="1"/>
  <c r="S2200" i="1"/>
  <c r="M2200" i="1"/>
  <c r="G2200" i="1"/>
  <c r="Y2199" i="1"/>
  <c r="S2199" i="1"/>
  <c r="M2199" i="1"/>
  <c r="G2199" i="1"/>
  <c r="Z2199" i="1" s="1"/>
  <c r="Y2198" i="1"/>
  <c r="S2198" i="1"/>
  <c r="M2198" i="1"/>
  <c r="G2198" i="1"/>
  <c r="Z2198" i="1" s="1"/>
  <c r="Y2197" i="1"/>
  <c r="S2197" i="1"/>
  <c r="M2197" i="1"/>
  <c r="G2197" i="1"/>
  <c r="Z2197" i="1" s="1"/>
  <c r="Y2196" i="1"/>
  <c r="S2196" i="1"/>
  <c r="M2196" i="1"/>
  <c r="G2196" i="1"/>
  <c r="Y2195" i="1"/>
  <c r="S2195" i="1"/>
  <c r="M2195" i="1"/>
  <c r="G2195" i="1"/>
  <c r="Z2195" i="1" s="1"/>
  <c r="Y2194" i="1"/>
  <c r="S2194" i="1"/>
  <c r="M2194" i="1"/>
  <c r="G2194" i="1"/>
  <c r="Z2194" i="1" s="1"/>
  <c r="Y2192" i="1"/>
  <c r="S2192" i="1"/>
  <c r="M2192" i="1"/>
  <c r="G2192" i="1"/>
  <c r="AH2180" i="1"/>
  <c r="AN2180" i="1"/>
  <c r="AT2180" i="1"/>
  <c r="AZ2180" i="1"/>
  <c r="AH2155" i="1"/>
  <c r="AN2155" i="1"/>
  <c r="AT2155" i="1"/>
  <c r="AZ2155" i="1"/>
  <c r="AH2156" i="1"/>
  <c r="AN2156" i="1"/>
  <c r="AT2156" i="1"/>
  <c r="AZ2156" i="1"/>
  <c r="AH2157" i="1"/>
  <c r="AN2157" i="1"/>
  <c r="AT2157" i="1"/>
  <c r="AZ2157" i="1"/>
  <c r="AH2158" i="1"/>
  <c r="AN2158" i="1"/>
  <c r="AT2158" i="1"/>
  <c r="AZ2158" i="1"/>
  <c r="G2155" i="1"/>
  <c r="M2155" i="1"/>
  <c r="S2155" i="1"/>
  <c r="Y2155" i="1"/>
  <c r="G2156" i="1"/>
  <c r="M2156" i="1"/>
  <c r="S2156" i="1"/>
  <c r="Y2156" i="1"/>
  <c r="G2157" i="1"/>
  <c r="M2157" i="1"/>
  <c r="S2157" i="1"/>
  <c r="Y2157" i="1"/>
  <c r="G2158" i="1"/>
  <c r="M2158" i="1"/>
  <c r="S2158" i="1"/>
  <c r="Y2158" i="1"/>
  <c r="G2159" i="1"/>
  <c r="M2159" i="1"/>
  <c r="S2159" i="1"/>
  <c r="Y2159" i="1"/>
  <c r="G2160" i="1"/>
  <c r="M2160" i="1"/>
  <c r="S2160" i="1"/>
  <c r="Y2160" i="1"/>
  <c r="G2161" i="1"/>
  <c r="M2161" i="1"/>
  <c r="S2161" i="1"/>
  <c r="Y2161" i="1"/>
  <c r="G2162" i="1"/>
  <c r="M2162" i="1"/>
  <c r="S2162" i="1"/>
  <c r="Y2162" i="1"/>
  <c r="G2163" i="1"/>
  <c r="M2163" i="1"/>
  <c r="S2163" i="1"/>
  <c r="Y2163" i="1"/>
  <c r="G2164" i="1"/>
  <c r="M2164" i="1"/>
  <c r="S2164" i="1"/>
  <c r="Y2164" i="1"/>
  <c r="G2165" i="1"/>
  <c r="M2165" i="1"/>
  <c r="S2165" i="1"/>
  <c r="Y2165" i="1"/>
  <c r="G2166" i="1"/>
  <c r="M2166" i="1"/>
  <c r="S2166" i="1"/>
  <c r="Y2166" i="1"/>
  <c r="G2167" i="1"/>
  <c r="M2167" i="1"/>
  <c r="S2167" i="1"/>
  <c r="Y2167" i="1"/>
  <c r="G2168" i="1"/>
  <c r="M2168" i="1"/>
  <c r="S2168" i="1"/>
  <c r="Y2168" i="1"/>
  <c r="G2169" i="1"/>
  <c r="M2169" i="1"/>
  <c r="S2169" i="1"/>
  <c r="Y2169" i="1"/>
  <c r="G2170" i="1"/>
  <c r="M2170" i="1"/>
  <c r="S2170" i="1"/>
  <c r="Y2170" i="1"/>
  <c r="G2171" i="1"/>
  <c r="M2171" i="1"/>
  <c r="S2171" i="1"/>
  <c r="Y2171" i="1"/>
  <c r="G2172" i="1"/>
  <c r="M2172" i="1"/>
  <c r="S2172" i="1"/>
  <c r="Y2172" i="1"/>
  <c r="G2173" i="1"/>
  <c r="M2173" i="1"/>
  <c r="S2173" i="1"/>
  <c r="Y2173" i="1"/>
  <c r="G2174" i="1"/>
  <c r="M2174" i="1"/>
  <c r="S2174" i="1"/>
  <c r="Y2174" i="1"/>
  <c r="G2175" i="1"/>
  <c r="M2175" i="1"/>
  <c r="S2175" i="1"/>
  <c r="Y2175" i="1"/>
  <c r="G2176" i="1"/>
  <c r="M2176" i="1"/>
  <c r="S2176" i="1"/>
  <c r="Y2176" i="1"/>
  <c r="G2177" i="1"/>
  <c r="M2177" i="1"/>
  <c r="S2177" i="1"/>
  <c r="Y2177" i="1"/>
  <c r="G2178" i="1"/>
  <c r="M2178" i="1"/>
  <c r="S2178" i="1"/>
  <c r="Y2178" i="1"/>
  <c r="AY2181" i="1"/>
  <c r="AX2181" i="1"/>
  <c r="AW2181" i="1"/>
  <c r="AV2181" i="1"/>
  <c r="AU2181" i="1"/>
  <c r="AS2181" i="1"/>
  <c r="AR2181" i="1"/>
  <c r="AQ2181" i="1"/>
  <c r="AP2181" i="1"/>
  <c r="AO2181" i="1"/>
  <c r="AM2181" i="1"/>
  <c r="AL2181" i="1"/>
  <c r="AK2181" i="1"/>
  <c r="AJ2181" i="1"/>
  <c r="AI2181" i="1"/>
  <c r="AG2181" i="1"/>
  <c r="AF2181" i="1"/>
  <c r="AE2181" i="1"/>
  <c r="AD2181" i="1"/>
  <c r="AC2181" i="1"/>
  <c r="X2181" i="1"/>
  <c r="W2181" i="1"/>
  <c r="V2181" i="1"/>
  <c r="U2181" i="1"/>
  <c r="T2181" i="1"/>
  <c r="R2181" i="1"/>
  <c r="Q2181" i="1"/>
  <c r="P2181" i="1"/>
  <c r="O2181" i="1"/>
  <c r="N2181" i="1"/>
  <c r="L2181" i="1"/>
  <c r="K2181" i="1"/>
  <c r="J2181" i="1"/>
  <c r="I2181" i="1"/>
  <c r="H2181" i="1"/>
  <c r="F2181" i="1"/>
  <c r="E2181" i="1"/>
  <c r="D2181" i="1"/>
  <c r="C2181" i="1"/>
  <c r="B2181" i="1"/>
  <c r="Y2180" i="1"/>
  <c r="S2180" i="1"/>
  <c r="M2180" i="1"/>
  <c r="G2180" i="1"/>
  <c r="AZ2179" i="1"/>
  <c r="AT2179" i="1"/>
  <c r="AN2179" i="1"/>
  <c r="AH2179" i="1"/>
  <c r="Y2179" i="1"/>
  <c r="S2179" i="1"/>
  <c r="M2179" i="1"/>
  <c r="G2179" i="1"/>
  <c r="AZ2178" i="1"/>
  <c r="AT2178" i="1"/>
  <c r="AN2178" i="1"/>
  <c r="AH2178" i="1"/>
  <c r="AZ2177" i="1"/>
  <c r="AT2177" i="1"/>
  <c r="AN2177" i="1"/>
  <c r="AH2177" i="1"/>
  <c r="AZ2176" i="1"/>
  <c r="AT2176" i="1"/>
  <c r="AN2176" i="1"/>
  <c r="AH2176" i="1"/>
  <c r="AZ2175" i="1"/>
  <c r="AT2175" i="1"/>
  <c r="AN2175" i="1"/>
  <c r="AH2175" i="1"/>
  <c r="AZ2174" i="1"/>
  <c r="AT2174" i="1"/>
  <c r="AN2174" i="1"/>
  <c r="AH2174" i="1"/>
  <c r="AZ2173" i="1"/>
  <c r="AT2173" i="1"/>
  <c r="AN2173" i="1"/>
  <c r="AH2173" i="1"/>
  <c r="AZ2172" i="1"/>
  <c r="AT2172" i="1"/>
  <c r="AN2172" i="1"/>
  <c r="AH2172" i="1"/>
  <c r="AZ2171" i="1"/>
  <c r="AT2171" i="1"/>
  <c r="AN2171" i="1"/>
  <c r="AH2171" i="1"/>
  <c r="AZ2170" i="1"/>
  <c r="AT2170" i="1"/>
  <c r="AN2170" i="1"/>
  <c r="AH2170" i="1"/>
  <c r="AZ2169" i="1"/>
  <c r="AT2169" i="1"/>
  <c r="AN2169" i="1"/>
  <c r="AH2169" i="1"/>
  <c r="AZ2168" i="1"/>
  <c r="AT2168" i="1"/>
  <c r="AN2168" i="1"/>
  <c r="AH2168" i="1"/>
  <c r="AZ2167" i="1"/>
  <c r="AT2167" i="1"/>
  <c r="AN2167" i="1"/>
  <c r="AH2167" i="1"/>
  <c r="AZ2166" i="1"/>
  <c r="AT2166" i="1"/>
  <c r="AN2166" i="1"/>
  <c r="AH2166" i="1"/>
  <c r="AZ2165" i="1"/>
  <c r="AT2165" i="1"/>
  <c r="AN2165" i="1"/>
  <c r="AH2165" i="1"/>
  <c r="AZ2164" i="1"/>
  <c r="AT2164" i="1"/>
  <c r="AN2164" i="1"/>
  <c r="AH2164" i="1"/>
  <c r="AZ2163" i="1"/>
  <c r="AT2163" i="1"/>
  <c r="AN2163" i="1"/>
  <c r="AH2163" i="1"/>
  <c r="AZ2162" i="1"/>
  <c r="AT2162" i="1"/>
  <c r="AN2162" i="1"/>
  <c r="AH2162" i="1"/>
  <c r="AZ2161" i="1"/>
  <c r="AT2161" i="1"/>
  <c r="AN2161" i="1"/>
  <c r="AH2161" i="1"/>
  <c r="AZ2160" i="1"/>
  <c r="AT2160" i="1"/>
  <c r="AN2160" i="1"/>
  <c r="AH2160" i="1"/>
  <c r="AZ2159" i="1"/>
  <c r="AT2159" i="1"/>
  <c r="AN2159" i="1"/>
  <c r="AH2159" i="1"/>
  <c r="AZ2153" i="1"/>
  <c r="AT2153" i="1"/>
  <c r="AN2153" i="1"/>
  <c r="AH2153" i="1"/>
  <c r="Y2153" i="1"/>
  <c r="S2153" i="1"/>
  <c r="M2153" i="1"/>
  <c r="G2153" i="1"/>
  <c r="AZ2152" i="1"/>
  <c r="AT2152" i="1"/>
  <c r="AN2152" i="1"/>
  <c r="AH2152" i="1"/>
  <c r="Y2152" i="1"/>
  <c r="S2152" i="1"/>
  <c r="M2152" i="1"/>
  <c r="G2152" i="1"/>
  <c r="AZ2151" i="1"/>
  <c r="AT2151" i="1"/>
  <c r="AN2151" i="1"/>
  <c r="AH2151" i="1"/>
  <c r="Y2151" i="1"/>
  <c r="S2151" i="1"/>
  <c r="M2151" i="1"/>
  <c r="G2151" i="1"/>
  <c r="AZ2150" i="1"/>
  <c r="AT2150" i="1"/>
  <c r="AN2150" i="1"/>
  <c r="AH2150" i="1"/>
  <c r="Y2150" i="1"/>
  <c r="S2150" i="1"/>
  <c r="M2150" i="1"/>
  <c r="G2150" i="1"/>
  <c r="G2141" i="1"/>
  <c r="M2141" i="1"/>
  <c r="S2141" i="1"/>
  <c r="Y2141" i="1"/>
  <c r="AH2102" i="1"/>
  <c r="AN2102" i="1"/>
  <c r="AT2102" i="1"/>
  <c r="AZ2102" i="1"/>
  <c r="AZ2141" i="1"/>
  <c r="AT2141" i="1"/>
  <c r="AN2141" i="1"/>
  <c r="AH2141" i="1"/>
  <c r="AH2116" i="1"/>
  <c r="AN2116" i="1"/>
  <c r="AT2116" i="1"/>
  <c r="AZ2116" i="1"/>
  <c r="AH2117" i="1"/>
  <c r="AN2117" i="1"/>
  <c r="AT2117" i="1"/>
  <c r="BA2117" i="1" s="1"/>
  <c r="AZ2117" i="1"/>
  <c r="AH2118" i="1"/>
  <c r="AN2118" i="1"/>
  <c r="AT2118" i="1"/>
  <c r="AZ2118" i="1"/>
  <c r="AH2119" i="1"/>
  <c r="AN2119" i="1"/>
  <c r="AT2119" i="1"/>
  <c r="AZ2119" i="1"/>
  <c r="AH2120" i="1"/>
  <c r="AN2120" i="1"/>
  <c r="AT2120" i="1"/>
  <c r="AZ2120" i="1"/>
  <c r="AH2121" i="1"/>
  <c r="AN2121" i="1"/>
  <c r="AT2121" i="1"/>
  <c r="AZ2121" i="1"/>
  <c r="AY2142" i="1"/>
  <c r="AX2142" i="1"/>
  <c r="AW2142" i="1"/>
  <c r="AV2142" i="1"/>
  <c r="AU2142" i="1"/>
  <c r="AS2142" i="1"/>
  <c r="AR2142" i="1"/>
  <c r="AQ2142" i="1"/>
  <c r="AP2142" i="1"/>
  <c r="AO2142" i="1"/>
  <c r="AM2142" i="1"/>
  <c r="AL2142" i="1"/>
  <c r="AK2142" i="1"/>
  <c r="AJ2142" i="1"/>
  <c r="AI2142" i="1"/>
  <c r="AG2142" i="1"/>
  <c r="AF2142" i="1"/>
  <c r="AE2142" i="1"/>
  <c r="AD2142" i="1"/>
  <c r="AC2142" i="1"/>
  <c r="X2142" i="1"/>
  <c r="W2142" i="1"/>
  <c r="V2142" i="1"/>
  <c r="U2142" i="1"/>
  <c r="T2142" i="1"/>
  <c r="R2142" i="1"/>
  <c r="Q2142" i="1"/>
  <c r="P2142" i="1"/>
  <c r="O2142" i="1"/>
  <c r="N2142" i="1"/>
  <c r="L2142" i="1"/>
  <c r="K2142" i="1"/>
  <c r="J2142" i="1"/>
  <c r="I2142" i="1"/>
  <c r="H2142" i="1"/>
  <c r="F2142" i="1"/>
  <c r="E2142" i="1"/>
  <c r="D2142" i="1"/>
  <c r="C2142" i="1"/>
  <c r="B2142" i="1"/>
  <c r="AZ2140" i="1"/>
  <c r="AT2140" i="1"/>
  <c r="AN2140" i="1"/>
  <c r="AH2140" i="1"/>
  <c r="Y2140" i="1"/>
  <c r="S2140" i="1"/>
  <c r="M2140" i="1"/>
  <c r="G2140" i="1"/>
  <c r="AZ2139" i="1"/>
  <c r="AT2139" i="1"/>
  <c r="AN2139" i="1"/>
  <c r="AH2139" i="1"/>
  <c r="Y2139" i="1"/>
  <c r="S2139" i="1"/>
  <c r="M2139" i="1"/>
  <c r="G2139" i="1"/>
  <c r="AZ2138" i="1"/>
  <c r="AT2138" i="1"/>
  <c r="AN2138" i="1"/>
  <c r="AH2138" i="1"/>
  <c r="Y2138" i="1"/>
  <c r="S2138" i="1"/>
  <c r="M2138" i="1"/>
  <c r="G2138" i="1"/>
  <c r="AZ2137" i="1"/>
  <c r="AT2137" i="1"/>
  <c r="AN2137" i="1"/>
  <c r="AH2137" i="1"/>
  <c r="Y2137" i="1"/>
  <c r="S2137" i="1"/>
  <c r="M2137" i="1"/>
  <c r="G2137" i="1"/>
  <c r="AZ2136" i="1"/>
  <c r="AT2136" i="1"/>
  <c r="AN2136" i="1"/>
  <c r="AH2136" i="1"/>
  <c r="Y2136" i="1"/>
  <c r="S2136" i="1"/>
  <c r="M2136" i="1"/>
  <c r="G2136" i="1"/>
  <c r="AZ2135" i="1"/>
  <c r="AT2135" i="1"/>
  <c r="AN2135" i="1"/>
  <c r="AH2135" i="1"/>
  <c r="Y2135" i="1"/>
  <c r="S2135" i="1"/>
  <c r="M2135" i="1"/>
  <c r="G2135" i="1"/>
  <c r="AZ2134" i="1"/>
  <c r="AT2134" i="1"/>
  <c r="AN2134" i="1"/>
  <c r="AH2134" i="1"/>
  <c r="Y2134" i="1"/>
  <c r="S2134" i="1"/>
  <c r="M2134" i="1"/>
  <c r="G2134" i="1"/>
  <c r="AZ2133" i="1"/>
  <c r="AT2133" i="1"/>
  <c r="AN2133" i="1"/>
  <c r="AH2133" i="1"/>
  <c r="Y2133" i="1"/>
  <c r="S2133" i="1"/>
  <c r="M2133" i="1"/>
  <c r="G2133" i="1"/>
  <c r="AZ2132" i="1"/>
  <c r="AT2132" i="1"/>
  <c r="AN2132" i="1"/>
  <c r="AH2132" i="1"/>
  <c r="Y2132" i="1"/>
  <c r="S2132" i="1"/>
  <c r="M2132" i="1"/>
  <c r="G2132" i="1"/>
  <c r="AZ2131" i="1"/>
  <c r="AT2131" i="1"/>
  <c r="AN2131" i="1"/>
  <c r="AH2131" i="1"/>
  <c r="Y2131" i="1"/>
  <c r="S2131" i="1"/>
  <c r="M2131" i="1"/>
  <c r="G2131" i="1"/>
  <c r="AZ2130" i="1"/>
  <c r="AT2130" i="1"/>
  <c r="AN2130" i="1"/>
  <c r="AH2130" i="1"/>
  <c r="Y2130" i="1"/>
  <c r="S2130" i="1"/>
  <c r="M2130" i="1"/>
  <c r="G2130" i="1"/>
  <c r="AZ2129" i="1"/>
  <c r="AT2129" i="1"/>
  <c r="AN2129" i="1"/>
  <c r="AH2129" i="1"/>
  <c r="Y2129" i="1"/>
  <c r="S2129" i="1"/>
  <c r="M2129" i="1"/>
  <c r="G2129" i="1"/>
  <c r="AZ2128" i="1"/>
  <c r="AT2128" i="1"/>
  <c r="AN2128" i="1"/>
  <c r="AH2128" i="1"/>
  <c r="Y2128" i="1"/>
  <c r="S2128" i="1"/>
  <c r="M2128" i="1"/>
  <c r="G2128" i="1"/>
  <c r="AZ2127" i="1"/>
  <c r="AT2127" i="1"/>
  <c r="AN2127" i="1"/>
  <c r="AH2127" i="1"/>
  <c r="Y2127" i="1"/>
  <c r="S2127" i="1"/>
  <c r="M2127" i="1"/>
  <c r="G2127" i="1"/>
  <c r="AZ2126" i="1"/>
  <c r="AT2126" i="1"/>
  <c r="AN2126" i="1"/>
  <c r="AH2126" i="1"/>
  <c r="Y2126" i="1"/>
  <c r="S2126" i="1"/>
  <c r="M2126" i="1"/>
  <c r="G2126" i="1"/>
  <c r="AZ2125" i="1"/>
  <c r="AT2125" i="1"/>
  <c r="AN2125" i="1"/>
  <c r="AH2125" i="1"/>
  <c r="Y2125" i="1"/>
  <c r="S2125" i="1"/>
  <c r="M2125" i="1"/>
  <c r="G2125" i="1"/>
  <c r="AZ2124" i="1"/>
  <c r="AT2124" i="1"/>
  <c r="AN2124" i="1"/>
  <c r="AH2124" i="1"/>
  <c r="Y2124" i="1"/>
  <c r="S2124" i="1"/>
  <c r="M2124" i="1"/>
  <c r="G2124" i="1"/>
  <c r="AZ2123" i="1"/>
  <c r="AT2123" i="1"/>
  <c r="AN2123" i="1"/>
  <c r="AH2123" i="1"/>
  <c r="Y2123" i="1"/>
  <c r="S2123" i="1"/>
  <c r="M2123" i="1"/>
  <c r="G2123" i="1"/>
  <c r="AZ2122" i="1"/>
  <c r="AT2122" i="1"/>
  <c r="AN2122" i="1"/>
  <c r="AH2122" i="1"/>
  <c r="Y2122" i="1"/>
  <c r="S2122" i="1"/>
  <c r="M2122" i="1"/>
  <c r="G2122" i="1"/>
  <c r="Y2121" i="1"/>
  <c r="S2121" i="1"/>
  <c r="M2121" i="1"/>
  <c r="G2121" i="1"/>
  <c r="Y2120" i="1"/>
  <c r="S2120" i="1"/>
  <c r="M2120" i="1"/>
  <c r="G2120" i="1"/>
  <c r="Y2119" i="1"/>
  <c r="S2119" i="1"/>
  <c r="M2119" i="1"/>
  <c r="G2119" i="1"/>
  <c r="Y2118" i="1"/>
  <c r="S2118" i="1"/>
  <c r="M2118" i="1"/>
  <c r="G2118" i="1"/>
  <c r="Y2117" i="1"/>
  <c r="S2117" i="1"/>
  <c r="M2117" i="1"/>
  <c r="G2117" i="1"/>
  <c r="Y2116" i="1"/>
  <c r="S2116" i="1"/>
  <c r="M2116" i="1"/>
  <c r="G2116" i="1"/>
  <c r="AZ2114" i="1"/>
  <c r="AT2114" i="1"/>
  <c r="AN2114" i="1"/>
  <c r="AH2114" i="1"/>
  <c r="Y2114" i="1"/>
  <c r="S2114" i="1"/>
  <c r="M2114" i="1"/>
  <c r="G2114" i="1"/>
  <c r="AZ2113" i="1"/>
  <c r="AT2113" i="1"/>
  <c r="AN2113" i="1"/>
  <c r="AH2113" i="1"/>
  <c r="Y2113" i="1"/>
  <c r="S2113" i="1"/>
  <c r="M2113" i="1"/>
  <c r="G2113" i="1"/>
  <c r="AZ2112" i="1"/>
  <c r="AT2112" i="1"/>
  <c r="AN2112" i="1"/>
  <c r="AH2112" i="1"/>
  <c r="Y2112" i="1"/>
  <c r="S2112" i="1"/>
  <c r="M2112" i="1"/>
  <c r="G2112" i="1"/>
  <c r="AZ2111" i="1"/>
  <c r="AT2111" i="1"/>
  <c r="AN2111" i="1"/>
  <c r="AH2111" i="1"/>
  <c r="Y2111" i="1"/>
  <c r="S2111" i="1"/>
  <c r="M2111" i="1"/>
  <c r="G2111" i="1"/>
  <c r="AH2081" i="1"/>
  <c r="AN2081" i="1"/>
  <c r="AT2081" i="1"/>
  <c r="AZ2081" i="1"/>
  <c r="AH2082" i="1"/>
  <c r="AN2082" i="1"/>
  <c r="AT2082" i="1"/>
  <c r="BA2082" i="1" s="1"/>
  <c r="AZ2082" i="1"/>
  <c r="Y2072" i="1"/>
  <c r="S2072" i="1"/>
  <c r="M2072" i="1"/>
  <c r="G2072" i="1"/>
  <c r="Y2036" i="1"/>
  <c r="S2036" i="1"/>
  <c r="M2036" i="1"/>
  <c r="G2036" i="1"/>
  <c r="AZ2040" i="1"/>
  <c r="AT2040" i="1"/>
  <c r="AN2040" i="1"/>
  <c r="AH2040" i="1"/>
  <c r="AH2063" i="1"/>
  <c r="AN2063" i="1"/>
  <c r="AT2063" i="1"/>
  <c r="AZ2063" i="1"/>
  <c r="G2063" i="1"/>
  <c r="M2063" i="1"/>
  <c r="S2063" i="1"/>
  <c r="Y2063" i="1"/>
  <c r="AH2061" i="1"/>
  <c r="AN2061" i="1"/>
  <c r="AT2061" i="1"/>
  <c r="AZ2061" i="1"/>
  <c r="AH2062" i="1"/>
  <c r="AN2062" i="1"/>
  <c r="AT2062" i="1"/>
  <c r="AZ2062" i="1"/>
  <c r="Y2075" i="1"/>
  <c r="S2075" i="1"/>
  <c r="M2075" i="1"/>
  <c r="G2075" i="1"/>
  <c r="Y2074" i="1"/>
  <c r="S2074" i="1"/>
  <c r="M2074" i="1"/>
  <c r="G2074" i="1"/>
  <c r="Y2073" i="1"/>
  <c r="S2073" i="1"/>
  <c r="M2073" i="1"/>
  <c r="G2073" i="1"/>
  <c r="AH2077" i="1"/>
  <c r="AN2077" i="1"/>
  <c r="AT2077" i="1"/>
  <c r="AZ2077" i="1"/>
  <c r="AH2078" i="1"/>
  <c r="AN2078" i="1"/>
  <c r="AT2078" i="1"/>
  <c r="AZ2078" i="1"/>
  <c r="G2100" i="1"/>
  <c r="M2100" i="1"/>
  <c r="S2100" i="1"/>
  <c r="Y2100" i="1"/>
  <c r="G2101" i="1"/>
  <c r="M2101" i="1"/>
  <c r="S2101" i="1"/>
  <c r="Y2101" i="1"/>
  <c r="G2102" i="1"/>
  <c r="M2102" i="1"/>
  <c r="S2102" i="1"/>
  <c r="Y2102" i="1"/>
  <c r="G2077" i="1"/>
  <c r="M2077" i="1"/>
  <c r="S2077" i="1"/>
  <c r="Y2077" i="1"/>
  <c r="G2078" i="1"/>
  <c r="M2078" i="1"/>
  <c r="S2078" i="1"/>
  <c r="Y2078" i="1"/>
  <c r="G2079" i="1"/>
  <c r="M2079" i="1"/>
  <c r="S2079" i="1"/>
  <c r="Y2079" i="1"/>
  <c r="G2080" i="1"/>
  <c r="M2080" i="1"/>
  <c r="S2080" i="1"/>
  <c r="Y2080" i="1"/>
  <c r="G2081" i="1"/>
  <c r="M2081" i="1"/>
  <c r="S2081" i="1"/>
  <c r="Y2081" i="1"/>
  <c r="G2082" i="1"/>
  <c r="M2082" i="1"/>
  <c r="S2082" i="1"/>
  <c r="Y2082" i="1"/>
  <c r="G2083" i="1"/>
  <c r="M2083" i="1"/>
  <c r="S2083" i="1"/>
  <c r="Y2083" i="1"/>
  <c r="G2084" i="1"/>
  <c r="M2084" i="1"/>
  <c r="S2084" i="1"/>
  <c r="Y2084" i="1"/>
  <c r="G2085" i="1"/>
  <c r="M2085" i="1"/>
  <c r="S2085" i="1"/>
  <c r="Y2085" i="1"/>
  <c r="G2086" i="1"/>
  <c r="M2086" i="1"/>
  <c r="S2086" i="1"/>
  <c r="Y2086" i="1"/>
  <c r="G2087" i="1"/>
  <c r="M2087" i="1"/>
  <c r="S2087" i="1"/>
  <c r="Y2087" i="1"/>
  <c r="G2088" i="1"/>
  <c r="M2088" i="1"/>
  <c r="S2088" i="1"/>
  <c r="Y2088" i="1"/>
  <c r="G2089" i="1"/>
  <c r="M2089" i="1"/>
  <c r="S2089" i="1"/>
  <c r="Y2089" i="1"/>
  <c r="G2090" i="1"/>
  <c r="M2090" i="1"/>
  <c r="S2090" i="1"/>
  <c r="Y2090" i="1"/>
  <c r="G2091" i="1"/>
  <c r="M2091" i="1"/>
  <c r="S2091" i="1"/>
  <c r="Y2091" i="1"/>
  <c r="AY2103" i="1"/>
  <c r="AX2103" i="1"/>
  <c r="AW2103" i="1"/>
  <c r="AV2103" i="1"/>
  <c r="AU2103" i="1"/>
  <c r="AS2103" i="1"/>
  <c r="AR2103" i="1"/>
  <c r="AQ2103" i="1"/>
  <c r="AP2103" i="1"/>
  <c r="AO2103" i="1"/>
  <c r="AM2103" i="1"/>
  <c r="AL2103" i="1"/>
  <c r="AK2103" i="1"/>
  <c r="AJ2103" i="1"/>
  <c r="AI2103" i="1"/>
  <c r="AG2103" i="1"/>
  <c r="AF2103" i="1"/>
  <c r="AE2103" i="1"/>
  <c r="AD2103" i="1"/>
  <c r="AC2103" i="1"/>
  <c r="X2103" i="1"/>
  <c r="W2103" i="1"/>
  <c r="V2103" i="1"/>
  <c r="U2103" i="1"/>
  <c r="T2103" i="1"/>
  <c r="R2103" i="1"/>
  <c r="Q2103" i="1"/>
  <c r="P2103" i="1"/>
  <c r="O2103" i="1"/>
  <c r="N2103" i="1"/>
  <c r="L2103" i="1"/>
  <c r="K2103" i="1"/>
  <c r="J2103" i="1"/>
  <c r="I2103" i="1"/>
  <c r="H2103" i="1"/>
  <c r="F2103" i="1"/>
  <c r="D2103" i="1"/>
  <c r="C2103" i="1"/>
  <c r="B2103" i="1"/>
  <c r="AZ2101" i="1"/>
  <c r="AT2101" i="1"/>
  <c r="AN2101" i="1"/>
  <c r="AH2101" i="1"/>
  <c r="AZ2100" i="1"/>
  <c r="AT2100" i="1"/>
  <c r="AN2100" i="1"/>
  <c r="AH2100" i="1"/>
  <c r="AZ2099" i="1"/>
  <c r="AT2099" i="1"/>
  <c r="AN2099" i="1"/>
  <c r="AH2099" i="1"/>
  <c r="Y2099" i="1"/>
  <c r="S2099" i="1"/>
  <c r="M2099" i="1"/>
  <c r="G2099" i="1"/>
  <c r="AZ2098" i="1"/>
  <c r="AT2098" i="1"/>
  <c r="AN2098" i="1"/>
  <c r="AH2098" i="1"/>
  <c r="Y2098" i="1"/>
  <c r="S2098" i="1"/>
  <c r="M2098" i="1"/>
  <c r="G2098" i="1"/>
  <c r="AZ2097" i="1"/>
  <c r="AT2097" i="1"/>
  <c r="AN2097" i="1"/>
  <c r="AH2097" i="1"/>
  <c r="Y2097" i="1"/>
  <c r="S2097" i="1"/>
  <c r="M2097" i="1"/>
  <c r="G2097" i="1"/>
  <c r="AZ2096" i="1"/>
  <c r="AT2096" i="1"/>
  <c r="AN2096" i="1"/>
  <c r="AH2096" i="1"/>
  <c r="Y2096" i="1"/>
  <c r="S2096" i="1"/>
  <c r="M2096" i="1"/>
  <c r="G2096" i="1"/>
  <c r="AZ2095" i="1"/>
  <c r="AT2095" i="1"/>
  <c r="AN2095" i="1"/>
  <c r="AH2095" i="1"/>
  <c r="Y2095" i="1"/>
  <c r="S2095" i="1"/>
  <c r="M2095" i="1"/>
  <c r="G2095" i="1"/>
  <c r="AZ2094" i="1"/>
  <c r="AT2094" i="1"/>
  <c r="AN2094" i="1"/>
  <c r="AH2094" i="1"/>
  <c r="Y2094" i="1"/>
  <c r="S2094" i="1"/>
  <c r="M2094" i="1"/>
  <c r="G2094" i="1"/>
  <c r="AZ2093" i="1"/>
  <c r="AT2093" i="1"/>
  <c r="AN2093" i="1"/>
  <c r="AH2093" i="1"/>
  <c r="Y2093" i="1"/>
  <c r="S2093" i="1"/>
  <c r="M2093" i="1"/>
  <c r="G2093" i="1"/>
  <c r="AZ2092" i="1"/>
  <c r="AT2092" i="1"/>
  <c r="AN2092" i="1"/>
  <c r="AH2092" i="1"/>
  <c r="Y2092" i="1"/>
  <c r="S2092" i="1"/>
  <c r="M2092" i="1"/>
  <c r="G2092" i="1"/>
  <c r="AZ2091" i="1"/>
  <c r="AT2091" i="1"/>
  <c r="AN2091" i="1"/>
  <c r="AH2091" i="1"/>
  <c r="AZ2090" i="1"/>
  <c r="AT2090" i="1"/>
  <c r="AN2090" i="1"/>
  <c r="AH2090" i="1"/>
  <c r="AZ2089" i="1"/>
  <c r="AT2089" i="1"/>
  <c r="AN2089" i="1"/>
  <c r="AH2089" i="1"/>
  <c r="AZ2088" i="1"/>
  <c r="AT2088" i="1"/>
  <c r="AN2088" i="1"/>
  <c r="AH2088" i="1"/>
  <c r="AZ2087" i="1"/>
  <c r="AT2087" i="1"/>
  <c r="AN2087" i="1"/>
  <c r="AH2087" i="1"/>
  <c r="AZ2086" i="1"/>
  <c r="AT2086" i="1"/>
  <c r="AN2086" i="1"/>
  <c r="AH2086" i="1"/>
  <c r="AZ2085" i="1"/>
  <c r="AT2085" i="1"/>
  <c r="AN2085" i="1"/>
  <c r="AH2085" i="1"/>
  <c r="AZ2084" i="1"/>
  <c r="AT2084" i="1"/>
  <c r="AN2084" i="1"/>
  <c r="AH2084" i="1"/>
  <c r="AZ2083" i="1"/>
  <c r="AT2083" i="1"/>
  <c r="AN2083" i="1"/>
  <c r="AH2083" i="1"/>
  <c r="AZ2080" i="1"/>
  <c r="AT2080" i="1"/>
  <c r="AN2080" i="1"/>
  <c r="AH2080" i="1"/>
  <c r="E2103" i="1"/>
  <c r="AZ2079" i="1"/>
  <c r="AT2079" i="1"/>
  <c r="AN2079" i="1"/>
  <c r="AH2079" i="1"/>
  <c r="AZ2075" i="1"/>
  <c r="AT2075" i="1"/>
  <c r="AN2075" i="1"/>
  <c r="AH2075" i="1"/>
  <c r="AZ2074" i="1"/>
  <c r="AT2074" i="1"/>
  <c r="AN2074" i="1"/>
  <c r="AH2074" i="1"/>
  <c r="AZ2073" i="1"/>
  <c r="AT2073" i="1"/>
  <c r="AN2073" i="1"/>
  <c r="AH2073" i="1"/>
  <c r="AZ2072" i="1"/>
  <c r="AT2072" i="1"/>
  <c r="AN2072" i="1"/>
  <c r="AH2072" i="1"/>
  <c r="Y2035" i="1"/>
  <c r="S2035" i="1"/>
  <c r="M2035" i="1"/>
  <c r="G2035" i="1"/>
  <c r="AY1713" i="1"/>
  <c r="AX1713" i="1"/>
  <c r="AW1713" i="1"/>
  <c r="AV1713" i="1"/>
  <c r="AU1713" i="1"/>
  <c r="AS1713" i="1"/>
  <c r="AR1713" i="1"/>
  <c r="AQ1713" i="1"/>
  <c r="AP1713" i="1"/>
  <c r="AO1713" i="1"/>
  <c r="AM1713" i="1"/>
  <c r="AL1713" i="1"/>
  <c r="AK1713" i="1"/>
  <c r="AJ1713" i="1"/>
  <c r="AI1713" i="1"/>
  <c r="AG1713" i="1"/>
  <c r="AF1713" i="1"/>
  <c r="AE1713" i="1"/>
  <c r="AD1713" i="1"/>
  <c r="AC1713" i="1"/>
  <c r="AY1752" i="1"/>
  <c r="AX1752" i="1"/>
  <c r="AW1752" i="1"/>
  <c r="AV1752" i="1"/>
  <c r="AU1752" i="1"/>
  <c r="AS1752" i="1"/>
  <c r="AR1752" i="1"/>
  <c r="AQ1752" i="1"/>
  <c r="AP1752" i="1"/>
  <c r="AO1752" i="1"/>
  <c r="AM1752" i="1"/>
  <c r="AL1752" i="1"/>
  <c r="AK1752" i="1"/>
  <c r="AJ1752" i="1"/>
  <c r="AI1752" i="1"/>
  <c r="AG1752" i="1"/>
  <c r="AF1752" i="1"/>
  <c r="AE1752" i="1"/>
  <c r="AD1752" i="1"/>
  <c r="AC1752" i="1"/>
  <c r="AY1791" i="1"/>
  <c r="AX1791" i="1"/>
  <c r="AW1791" i="1"/>
  <c r="AV1791" i="1"/>
  <c r="AU1791" i="1"/>
  <c r="AS1791" i="1"/>
  <c r="AR1791" i="1"/>
  <c r="AQ1791" i="1"/>
  <c r="AP1791" i="1"/>
  <c r="AO1791" i="1"/>
  <c r="AM1791" i="1"/>
  <c r="AL1791" i="1"/>
  <c r="AK1791" i="1"/>
  <c r="AJ1791" i="1"/>
  <c r="AI1791" i="1"/>
  <c r="AG1791" i="1"/>
  <c r="AF1791" i="1"/>
  <c r="AE1791" i="1"/>
  <c r="AD1791" i="1"/>
  <c r="AC1791" i="1"/>
  <c r="AY1830" i="1"/>
  <c r="AX1830" i="1"/>
  <c r="AW1830" i="1"/>
  <c r="AV1830" i="1"/>
  <c r="AU1830" i="1"/>
  <c r="AS1830" i="1"/>
  <c r="AR1830" i="1"/>
  <c r="AQ1830" i="1"/>
  <c r="AP1830" i="1"/>
  <c r="AO1830" i="1"/>
  <c r="AM1830" i="1"/>
  <c r="AL1830" i="1"/>
  <c r="AK1830" i="1"/>
  <c r="AJ1830" i="1"/>
  <c r="AI1830" i="1"/>
  <c r="AG1830" i="1"/>
  <c r="AF1830" i="1"/>
  <c r="AE1830" i="1"/>
  <c r="AD1830" i="1"/>
  <c r="AC1830" i="1"/>
  <c r="AY1869" i="1"/>
  <c r="AX1869" i="1"/>
  <c r="AW1869" i="1"/>
  <c r="AV1869" i="1"/>
  <c r="AU1869" i="1"/>
  <c r="AS1869" i="1"/>
  <c r="AR1869" i="1"/>
  <c r="AQ1869" i="1"/>
  <c r="AP1869" i="1"/>
  <c r="AO1869" i="1"/>
  <c r="AM1869" i="1"/>
  <c r="AL1869" i="1"/>
  <c r="AK1869" i="1"/>
  <c r="AJ1869" i="1"/>
  <c r="AI1869" i="1"/>
  <c r="AG1869" i="1"/>
  <c r="AF1869" i="1"/>
  <c r="AE1869" i="1"/>
  <c r="AD1869" i="1"/>
  <c r="AC1869" i="1"/>
  <c r="AY1908" i="1"/>
  <c r="AX1908" i="1"/>
  <c r="AW1908" i="1"/>
  <c r="AV1908" i="1"/>
  <c r="AU1908" i="1"/>
  <c r="AS1908" i="1"/>
  <c r="AR1908" i="1"/>
  <c r="AQ1908" i="1"/>
  <c r="AP1908" i="1"/>
  <c r="AO1908" i="1"/>
  <c r="AM1908" i="1"/>
  <c r="AL1908" i="1"/>
  <c r="AK1908" i="1"/>
  <c r="AJ1908" i="1"/>
  <c r="AI1908" i="1"/>
  <c r="AG1908" i="1"/>
  <c r="AF1908" i="1"/>
  <c r="AE1908" i="1"/>
  <c r="AD1908" i="1"/>
  <c r="AC1908" i="1"/>
  <c r="AY1947" i="1"/>
  <c r="AX1947" i="1"/>
  <c r="AW1947" i="1"/>
  <c r="AV1947" i="1"/>
  <c r="AU1947" i="1"/>
  <c r="AS1947" i="1"/>
  <c r="AR1947" i="1"/>
  <c r="AQ1947" i="1"/>
  <c r="AP1947" i="1"/>
  <c r="AO1947" i="1"/>
  <c r="AM1947" i="1"/>
  <c r="AL1947" i="1"/>
  <c r="AK1947" i="1"/>
  <c r="AJ1947" i="1"/>
  <c r="AI1947" i="1"/>
  <c r="AG1947" i="1"/>
  <c r="AF1947" i="1"/>
  <c r="AE1947" i="1"/>
  <c r="AD1947" i="1"/>
  <c r="AC1947" i="1"/>
  <c r="AY1986" i="1"/>
  <c r="AX1986" i="1"/>
  <c r="AW1986" i="1"/>
  <c r="AV1986" i="1"/>
  <c r="AU1986" i="1"/>
  <c r="AS1986" i="1"/>
  <c r="AR1986" i="1"/>
  <c r="AQ1986" i="1"/>
  <c r="AP1986" i="1"/>
  <c r="AO1986" i="1"/>
  <c r="AM1986" i="1"/>
  <c r="AL1986" i="1"/>
  <c r="AK1986" i="1"/>
  <c r="AJ1986" i="1"/>
  <c r="AI1986" i="1"/>
  <c r="AG1986" i="1"/>
  <c r="AF1986" i="1"/>
  <c r="AE1986" i="1"/>
  <c r="AD1986" i="1"/>
  <c r="AC1986" i="1"/>
  <c r="AY2025" i="1"/>
  <c r="AX2025" i="1"/>
  <c r="AW2025" i="1"/>
  <c r="AV2025" i="1"/>
  <c r="AU2025" i="1"/>
  <c r="AS2025" i="1"/>
  <c r="AR2025" i="1"/>
  <c r="AQ2025" i="1"/>
  <c r="AP2025" i="1"/>
  <c r="AO2025" i="1"/>
  <c r="AM2025" i="1"/>
  <c r="AL2025" i="1"/>
  <c r="AK2025" i="1"/>
  <c r="AJ2025" i="1"/>
  <c r="AI2025" i="1"/>
  <c r="AG2025" i="1"/>
  <c r="AF2025" i="1"/>
  <c r="AE2025" i="1"/>
  <c r="AD2025" i="1"/>
  <c r="AC2025" i="1"/>
  <c r="AY2064" i="1"/>
  <c r="AX2064" i="1"/>
  <c r="AW2064" i="1"/>
  <c r="AV2064" i="1"/>
  <c r="AU2064" i="1"/>
  <c r="AS2064" i="1"/>
  <c r="AR2064" i="1"/>
  <c r="AQ2064" i="1"/>
  <c r="AP2064" i="1"/>
  <c r="AO2064" i="1"/>
  <c r="AM2064" i="1"/>
  <c r="AL2064" i="1"/>
  <c r="AK2064" i="1"/>
  <c r="AJ2064" i="1"/>
  <c r="AI2064" i="1"/>
  <c r="AD2064" i="1"/>
  <c r="AE2064" i="1"/>
  <c r="AF2064" i="1"/>
  <c r="AG2064" i="1"/>
  <c r="AC2064" i="1"/>
  <c r="AZ2038" i="1"/>
  <c r="AT2038" i="1"/>
  <c r="AN2038" i="1"/>
  <c r="AH2038" i="1"/>
  <c r="AH2022" i="1"/>
  <c r="AN2022" i="1"/>
  <c r="AT2022" i="1"/>
  <c r="AZ2022" i="1"/>
  <c r="AH2023" i="1"/>
  <c r="AN2023" i="1"/>
  <c r="AT2023" i="1"/>
  <c r="AZ2023" i="1"/>
  <c r="AH2024" i="1"/>
  <c r="AN2024" i="1"/>
  <c r="AT2024" i="1"/>
  <c r="AZ2024" i="1"/>
  <c r="E2041" i="1"/>
  <c r="Y2034" i="1"/>
  <c r="S2034" i="1"/>
  <c r="M2034" i="1"/>
  <c r="G2034" i="1"/>
  <c r="Y2033" i="1"/>
  <c r="S2033" i="1"/>
  <c r="M2033" i="1"/>
  <c r="G2033" i="1"/>
  <c r="Y2062" i="1"/>
  <c r="S2062" i="1"/>
  <c r="M2062" i="1"/>
  <c r="G2062" i="1"/>
  <c r="Y2061" i="1"/>
  <c r="S2061" i="1"/>
  <c r="M2061" i="1"/>
  <c r="G2061" i="1"/>
  <c r="Y2060" i="1"/>
  <c r="S2060" i="1"/>
  <c r="M2060" i="1"/>
  <c r="G2060" i="1"/>
  <c r="Y2059" i="1"/>
  <c r="S2059" i="1"/>
  <c r="M2059" i="1"/>
  <c r="G2059" i="1"/>
  <c r="Y2058" i="1"/>
  <c r="S2058" i="1"/>
  <c r="M2058" i="1"/>
  <c r="G2058" i="1"/>
  <c r="Y2057" i="1"/>
  <c r="S2057" i="1"/>
  <c r="M2057" i="1"/>
  <c r="G2057" i="1"/>
  <c r="Y2056" i="1"/>
  <c r="S2056" i="1"/>
  <c r="M2056" i="1"/>
  <c r="G2056" i="1"/>
  <c r="Y2055" i="1"/>
  <c r="S2055" i="1"/>
  <c r="M2055" i="1"/>
  <c r="G2055" i="1"/>
  <c r="Y2054" i="1"/>
  <c r="S2054" i="1"/>
  <c r="M2054" i="1"/>
  <c r="G2054" i="1"/>
  <c r="Y2053" i="1"/>
  <c r="S2053" i="1"/>
  <c r="M2053" i="1"/>
  <c r="G2053" i="1"/>
  <c r="Y2052" i="1"/>
  <c r="S2052" i="1"/>
  <c r="M2052" i="1"/>
  <c r="G2052" i="1"/>
  <c r="Y2051" i="1"/>
  <c r="S2051" i="1"/>
  <c r="M2051" i="1"/>
  <c r="G2051" i="1"/>
  <c r="Y2050" i="1"/>
  <c r="S2050" i="1"/>
  <c r="M2050" i="1"/>
  <c r="G2050" i="1"/>
  <c r="Y2049" i="1"/>
  <c r="S2049" i="1"/>
  <c r="M2049" i="1"/>
  <c r="G2049" i="1"/>
  <c r="Y2048" i="1"/>
  <c r="S2048" i="1"/>
  <c r="M2048" i="1"/>
  <c r="G2048" i="1"/>
  <c r="Y2047" i="1"/>
  <c r="S2047" i="1"/>
  <c r="M2047" i="1"/>
  <c r="G2047" i="1"/>
  <c r="Y2046" i="1"/>
  <c r="S2046" i="1"/>
  <c r="M2046" i="1"/>
  <c r="G2046" i="1"/>
  <c r="Y2045" i="1"/>
  <c r="S2045" i="1"/>
  <c r="M2045" i="1"/>
  <c r="G2045" i="1"/>
  <c r="Y2044" i="1"/>
  <c r="S2044" i="1"/>
  <c r="M2044" i="1"/>
  <c r="G2044" i="1"/>
  <c r="Y2043" i="1"/>
  <c r="S2043" i="1"/>
  <c r="M2043" i="1"/>
  <c r="G2043" i="1"/>
  <c r="Y2042" i="1"/>
  <c r="S2042" i="1"/>
  <c r="M2042" i="1"/>
  <c r="G2042" i="1"/>
  <c r="Y2041" i="1"/>
  <c r="S2041" i="1"/>
  <c r="M2041" i="1"/>
  <c r="G2041" i="1"/>
  <c r="Y2040" i="1"/>
  <c r="S2040" i="1"/>
  <c r="M2040" i="1"/>
  <c r="G2040" i="1"/>
  <c r="Y2039" i="1"/>
  <c r="S2039" i="1"/>
  <c r="M2039" i="1"/>
  <c r="G2039" i="1"/>
  <c r="Y2038" i="1"/>
  <c r="S2038" i="1"/>
  <c r="M2038" i="1"/>
  <c r="G2038" i="1"/>
  <c r="AH2039" i="1"/>
  <c r="AN2039" i="1"/>
  <c r="AT2039" i="1"/>
  <c r="AZ2039" i="1"/>
  <c r="AH2041" i="1"/>
  <c r="AN2041" i="1"/>
  <c r="AT2041" i="1"/>
  <c r="AZ2041" i="1"/>
  <c r="AH2059" i="1"/>
  <c r="AN2059" i="1"/>
  <c r="AT2059" i="1"/>
  <c r="AZ2059" i="1"/>
  <c r="AH2060" i="1"/>
  <c r="AN2060" i="1"/>
  <c r="AT2060" i="1"/>
  <c r="AZ2060" i="1"/>
  <c r="X2064" i="1"/>
  <c r="W2064" i="1"/>
  <c r="V2064" i="1"/>
  <c r="U2064" i="1"/>
  <c r="T2064" i="1"/>
  <c r="R2064" i="1"/>
  <c r="Q2064" i="1"/>
  <c r="P2064" i="1"/>
  <c r="O2064" i="1"/>
  <c r="N2064" i="1"/>
  <c r="L2064" i="1"/>
  <c r="K2064" i="1"/>
  <c r="J2064" i="1"/>
  <c r="I2064" i="1"/>
  <c r="H2064" i="1"/>
  <c r="F2064" i="1"/>
  <c r="E2064" i="1"/>
  <c r="D2064" i="1"/>
  <c r="C2064" i="1"/>
  <c r="B2064" i="1"/>
  <c r="AZ2058" i="1"/>
  <c r="AT2058" i="1"/>
  <c r="AN2058" i="1"/>
  <c r="AH2058" i="1"/>
  <c r="AZ2057" i="1"/>
  <c r="AT2057" i="1"/>
  <c r="AN2057" i="1"/>
  <c r="AH2057" i="1"/>
  <c r="AZ2056" i="1"/>
  <c r="AT2056" i="1"/>
  <c r="AN2056" i="1"/>
  <c r="AH2056" i="1"/>
  <c r="AZ2055" i="1"/>
  <c r="AT2055" i="1"/>
  <c r="AN2055" i="1"/>
  <c r="AH2055" i="1"/>
  <c r="AZ2054" i="1"/>
  <c r="AT2054" i="1"/>
  <c r="AN2054" i="1"/>
  <c r="AH2054" i="1"/>
  <c r="AZ2053" i="1"/>
  <c r="AT2053" i="1"/>
  <c r="AN2053" i="1"/>
  <c r="AH2053" i="1"/>
  <c r="AZ2052" i="1"/>
  <c r="AT2052" i="1"/>
  <c r="AN2052" i="1"/>
  <c r="AH2052" i="1"/>
  <c r="AZ2051" i="1"/>
  <c r="AT2051" i="1"/>
  <c r="AN2051" i="1"/>
  <c r="AH2051" i="1"/>
  <c r="AZ2050" i="1"/>
  <c r="AT2050" i="1"/>
  <c r="AN2050" i="1"/>
  <c r="AH2050" i="1"/>
  <c r="AZ2049" i="1"/>
  <c r="AT2049" i="1"/>
  <c r="AN2049" i="1"/>
  <c r="AH2049" i="1"/>
  <c r="AZ2048" i="1"/>
  <c r="AT2048" i="1"/>
  <c r="AN2048" i="1"/>
  <c r="AH2048" i="1"/>
  <c r="AZ2047" i="1"/>
  <c r="AT2047" i="1"/>
  <c r="AN2047" i="1"/>
  <c r="AH2047" i="1"/>
  <c r="AZ2046" i="1"/>
  <c r="AT2046" i="1"/>
  <c r="AN2046" i="1"/>
  <c r="AH2046" i="1"/>
  <c r="AZ2045" i="1"/>
  <c r="AT2045" i="1"/>
  <c r="AN2045" i="1"/>
  <c r="AH2045" i="1"/>
  <c r="AZ2044" i="1"/>
  <c r="AT2044" i="1"/>
  <c r="AN2044" i="1"/>
  <c r="AH2044" i="1"/>
  <c r="AZ2043" i="1"/>
  <c r="AT2043" i="1"/>
  <c r="AN2043" i="1"/>
  <c r="AH2043" i="1"/>
  <c r="AZ2042" i="1"/>
  <c r="AT2042" i="1"/>
  <c r="AN2042" i="1"/>
  <c r="AH2042" i="1"/>
  <c r="AZ2036" i="1"/>
  <c r="AT2036" i="1"/>
  <c r="AN2036" i="1"/>
  <c r="AH2036" i="1"/>
  <c r="AZ2035" i="1"/>
  <c r="AT2035" i="1"/>
  <c r="AN2035" i="1"/>
  <c r="AH2035" i="1"/>
  <c r="AZ2034" i="1"/>
  <c r="AT2034" i="1"/>
  <c r="AN2034" i="1"/>
  <c r="AH2034" i="1"/>
  <c r="AZ2033" i="1"/>
  <c r="AT2033" i="1"/>
  <c r="AN2033" i="1"/>
  <c r="AH2033" i="1"/>
  <c r="G2015" i="1"/>
  <c r="M2015" i="1"/>
  <c r="S2015" i="1"/>
  <c r="Y2015" i="1"/>
  <c r="AZ2001" i="1"/>
  <c r="AT2001" i="1"/>
  <c r="AN2001" i="1"/>
  <c r="AH2001" i="1"/>
  <c r="Y1996" i="1"/>
  <c r="S1996" i="1"/>
  <c r="M1996" i="1"/>
  <c r="G1996" i="1"/>
  <c r="G1997" i="1"/>
  <c r="Z1997" i="1" s="1"/>
  <c r="M1997" i="1"/>
  <c r="S1997" i="1"/>
  <c r="Y1997" i="1"/>
  <c r="Y1958" i="1"/>
  <c r="S1958" i="1"/>
  <c r="M1958" i="1"/>
  <c r="G1958" i="1"/>
  <c r="AH1984" i="1"/>
  <c r="AN1984" i="1"/>
  <c r="AT1984" i="1"/>
  <c r="AZ1984" i="1"/>
  <c r="AZ1985" i="1"/>
  <c r="AT1985" i="1"/>
  <c r="AN1985" i="1"/>
  <c r="AH1985" i="1"/>
  <c r="AZ2000" i="1"/>
  <c r="AT2000" i="1"/>
  <c r="AN2000" i="1"/>
  <c r="AH2000" i="1"/>
  <c r="AZ1999" i="1"/>
  <c r="AT1999" i="1"/>
  <c r="AN1999" i="1"/>
  <c r="AH1999" i="1"/>
  <c r="G1994" i="1"/>
  <c r="M1994" i="1"/>
  <c r="S1994" i="1"/>
  <c r="Y1994" i="1"/>
  <c r="G1995" i="1"/>
  <c r="M1995" i="1"/>
  <c r="S1995" i="1"/>
  <c r="Y1995" i="1"/>
  <c r="Y2024" i="1"/>
  <c r="S2024" i="1"/>
  <c r="M2024" i="1"/>
  <c r="G2024" i="1"/>
  <c r="Y2023" i="1"/>
  <c r="S2023" i="1"/>
  <c r="M2023" i="1"/>
  <c r="G2023" i="1"/>
  <c r="Y2022" i="1"/>
  <c r="S2022" i="1"/>
  <c r="M2022" i="1"/>
  <c r="G2022" i="1"/>
  <c r="Y2021" i="1"/>
  <c r="S2021" i="1"/>
  <c r="M2021" i="1"/>
  <c r="G2021" i="1"/>
  <c r="Y2020" i="1"/>
  <c r="S2020" i="1"/>
  <c r="M2020" i="1"/>
  <c r="G2020" i="1"/>
  <c r="Y2019" i="1"/>
  <c r="S2019" i="1"/>
  <c r="M2019" i="1"/>
  <c r="G2019" i="1"/>
  <c r="Y2018" i="1"/>
  <c r="S2018" i="1"/>
  <c r="M2018" i="1"/>
  <c r="G2018" i="1"/>
  <c r="Y2017" i="1"/>
  <c r="S2017" i="1"/>
  <c r="M2017" i="1"/>
  <c r="G2017" i="1"/>
  <c r="Y2016" i="1"/>
  <c r="S2016" i="1"/>
  <c r="M2016" i="1"/>
  <c r="G2016" i="1"/>
  <c r="Y2014" i="1"/>
  <c r="S2014" i="1"/>
  <c r="M2014" i="1"/>
  <c r="G2014" i="1"/>
  <c r="Y2013" i="1"/>
  <c r="S2013" i="1"/>
  <c r="M2013" i="1"/>
  <c r="G2013" i="1"/>
  <c r="Y2012" i="1"/>
  <c r="S2012" i="1"/>
  <c r="M2012" i="1"/>
  <c r="G2012" i="1"/>
  <c r="Y2011" i="1"/>
  <c r="S2011" i="1"/>
  <c r="M2011" i="1"/>
  <c r="G2011" i="1"/>
  <c r="Y2010" i="1"/>
  <c r="Z2010" i="1" s="1"/>
  <c r="S2010" i="1"/>
  <c r="M2010" i="1"/>
  <c r="G2010" i="1"/>
  <c r="Y2009" i="1"/>
  <c r="S2009" i="1"/>
  <c r="M2009" i="1"/>
  <c r="G2009" i="1"/>
  <c r="Y2008" i="1"/>
  <c r="S2008" i="1"/>
  <c r="M2008" i="1"/>
  <c r="G2008" i="1"/>
  <c r="Y2007" i="1"/>
  <c r="S2007" i="1"/>
  <c r="M2007" i="1"/>
  <c r="G2007" i="1"/>
  <c r="Y2006" i="1"/>
  <c r="S2006" i="1"/>
  <c r="M2006" i="1"/>
  <c r="G2006" i="1"/>
  <c r="Y2005" i="1"/>
  <c r="S2005" i="1"/>
  <c r="M2005" i="1"/>
  <c r="G2005" i="1"/>
  <c r="Y2004" i="1"/>
  <c r="Z2004" i="1" s="1"/>
  <c r="S2004" i="1"/>
  <c r="M2004" i="1"/>
  <c r="G2004" i="1"/>
  <c r="Y2003" i="1"/>
  <c r="S2003" i="1"/>
  <c r="M2003" i="1"/>
  <c r="G2003" i="1"/>
  <c r="Y2002" i="1"/>
  <c r="S2002" i="1"/>
  <c r="M2002" i="1"/>
  <c r="G2002" i="1"/>
  <c r="Y2001" i="1"/>
  <c r="S2001" i="1"/>
  <c r="M2001" i="1"/>
  <c r="G2001" i="1"/>
  <c r="Y2000" i="1"/>
  <c r="S2000" i="1"/>
  <c r="M2000" i="1"/>
  <c r="G2000" i="1"/>
  <c r="Y1999" i="1"/>
  <c r="S1999" i="1"/>
  <c r="M1999" i="1"/>
  <c r="G1999" i="1"/>
  <c r="AH2017" i="1"/>
  <c r="AN2017" i="1"/>
  <c r="AT2017" i="1"/>
  <c r="AZ2017" i="1"/>
  <c r="AH2018" i="1"/>
  <c r="AN2018" i="1"/>
  <c r="AT2018" i="1"/>
  <c r="AZ2018" i="1"/>
  <c r="AH2019" i="1"/>
  <c r="AN2019" i="1"/>
  <c r="AT2019" i="1"/>
  <c r="AZ2019" i="1"/>
  <c r="AH2020" i="1"/>
  <c r="AN2020" i="1"/>
  <c r="AT2020" i="1"/>
  <c r="AZ2020" i="1"/>
  <c r="AH2021" i="1"/>
  <c r="AN2021" i="1"/>
  <c r="AT2021" i="1"/>
  <c r="AZ2021" i="1"/>
  <c r="X2025" i="1"/>
  <c r="W2025" i="1"/>
  <c r="V2025" i="1"/>
  <c r="U2025" i="1"/>
  <c r="T2025" i="1"/>
  <c r="R2025" i="1"/>
  <c r="Q2025" i="1"/>
  <c r="P2025" i="1"/>
  <c r="O2025" i="1"/>
  <c r="N2025" i="1"/>
  <c r="L2025" i="1"/>
  <c r="K2025" i="1"/>
  <c r="J2025" i="1"/>
  <c r="I2025" i="1"/>
  <c r="H2025" i="1"/>
  <c r="F2025" i="1"/>
  <c r="E2025" i="1"/>
  <c r="D2025" i="1"/>
  <c r="C2025" i="1"/>
  <c r="B2025" i="1"/>
  <c r="AZ2016" i="1"/>
  <c r="AT2016" i="1"/>
  <c r="AN2016" i="1"/>
  <c r="AH2016" i="1"/>
  <c r="AZ2015" i="1"/>
  <c r="AT2015" i="1"/>
  <c r="AN2015" i="1"/>
  <c r="AH2015" i="1"/>
  <c r="AZ2014" i="1"/>
  <c r="AT2014" i="1"/>
  <c r="AN2014" i="1"/>
  <c r="AH2014" i="1"/>
  <c r="AZ2013" i="1"/>
  <c r="AT2013" i="1"/>
  <c r="AN2013" i="1"/>
  <c r="AH2013" i="1"/>
  <c r="AZ2012" i="1"/>
  <c r="AT2012" i="1"/>
  <c r="AN2012" i="1"/>
  <c r="AH2012" i="1"/>
  <c r="AZ2011" i="1"/>
  <c r="AT2011" i="1"/>
  <c r="AN2011" i="1"/>
  <c r="AH2011" i="1"/>
  <c r="AZ2010" i="1"/>
  <c r="AT2010" i="1"/>
  <c r="AN2010" i="1"/>
  <c r="AH2010" i="1"/>
  <c r="AZ2009" i="1"/>
  <c r="AT2009" i="1"/>
  <c r="AN2009" i="1"/>
  <c r="AH2009" i="1"/>
  <c r="AZ2008" i="1"/>
  <c r="AT2008" i="1"/>
  <c r="AN2008" i="1"/>
  <c r="AH2008" i="1"/>
  <c r="AZ2007" i="1"/>
  <c r="AT2007" i="1"/>
  <c r="AN2007" i="1"/>
  <c r="AH2007" i="1"/>
  <c r="AZ2006" i="1"/>
  <c r="AT2006" i="1"/>
  <c r="AN2006" i="1"/>
  <c r="AH2006" i="1"/>
  <c r="AZ2005" i="1"/>
  <c r="AT2005" i="1"/>
  <c r="AN2005" i="1"/>
  <c r="AH2005" i="1"/>
  <c r="AZ2004" i="1"/>
  <c r="AT2004" i="1"/>
  <c r="AN2004" i="1"/>
  <c r="AH2004" i="1"/>
  <c r="AZ2003" i="1"/>
  <c r="AT2003" i="1"/>
  <c r="AN2003" i="1"/>
  <c r="AH2003" i="1"/>
  <c r="AZ2002" i="1"/>
  <c r="AT2002" i="1"/>
  <c r="AN2002" i="1"/>
  <c r="AH2002" i="1"/>
  <c r="AZ1997" i="1"/>
  <c r="AT1997" i="1"/>
  <c r="AN1997" i="1"/>
  <c r="AH1997" i="1"/>
  <c r="AZ1996" i="1"/>
  <c r="AT1996" i="1"/>
  <c r="AN1996" i="1"/>
  <c r="AH1996" i="1"/>
  <c r="AZ1995" i="1"/>
  <c r="AT1995" i="1"/>
  <c r="AN1995" i="1"/>
  <c r="AH1995" i="1"/>
  <c r="AZ1994" i="1"/>
  <c r="AT1994" i="1"/>
  <c r="AN1994" i="1"/>
  <c r="AH1994" i="1"/>
  <c r="AH1919" i="1"/>
  <c r="AN1919" i="1"/>
  <c r="AT1919" i="1"/>
  <c r="AZ1919" i="1"/>
  <c r="G1985" i="1"/>
  <c r="M1985" i="1"/>
  <c r="S1985" i="1"/>
  <c r="Y1985" i="1"/>
  <c r="AH1946" i="1"/>
  <c r="AN1946" i="1"/>
  <c r="AT1946" i="1"/>
  <c r="AZ1946" i="1"/>
  <c r="AZ1960" i="1"/>
  <c r="AT1960" i="1"/>
  <c r="AN1960" i="1"/>
  <c r="AH1960" i="1"/>
  <c r="AZ1925" i="1"/>
  <c r="AT1925" i="1"/>
  <c r="AN1925" i="1"/>
  <c r="AH1925" i="1"/>
  <c r="M1955" i="1"/>
  <c r="G1946" i="1"/>
  <c r="M1946" i="1"/>
  <c r="S1946" i="1"/>
  <c r="Y1946" i="1"/>
  <c r="AZ1924" i="1"/>
  <c r="AT1924" i="1"/>
  <c r="AN1924" i="1"/>
  <c r="AH1924" i="1"/>
  <c r="BA1924" i="1" s="1"/>
  <c r="Y1918" i="1"/>
  <c r="S1918" i="1"/>
  <c r="M1918" i="1"/>
  <c r="G1918" i="1"/>
  <c r="Z1918" i="1" s="1"/>
  <c r="G1955" i="1"/>
  <c r="S1955" i="1"/>
  <c r="Y1955" i="1"/>
  <c r="G1956" i="1"/>
  <c r="M1956" i="1"/>
  <c r="S1956" i="1"/>
  <c r="Y1956" i="1"/>
  <c r="G1957" i="1"/>
  <c r="M1957" i="1"/>
  <c r="S1957" i="1"/>
  <c r="Y1957" i="1"/>
  <c r="G1960" i="1"/>
  <c r="M1960" i="1"/>
  <c r="S1960" i="1"/>
  <c r="Y1960" i="1"/>
  <c r="G1961" i="1"/>
  <c r="M1961" i="1"/>
  <c r="S1961" i="1"/>
  <c r="Y1961" i="1"/>
  <c r="G1962" i="1"/>
  <c r="M1962" i="1"/>
  <c r="S1962" i="1"/>
  <c r="Y1962" i="1"/>
  <c r="G1963" i="1"/>
  <c r="M1963" i="1"/>
  <c r="S1963" i="1"/>
  <c r="Y1963" i="1"/>
  <c r="G1964" i="1"/>
  <c r="M1964" i="1"/>
  <c r="S1964" i="1"/>
  <c r="Y1964" i="1"/>
  <c r="G1965" i="1"/>
  <c r="M1965" i="1"/>
  <c r="S1965" i="1"/>
  <c r="Y1965" i="1"/>
  <c r="G1966" i="1"/>
  <c r="M1966" i="1"/>
  <c r="S1966" i="1"/>
  <c r="Y1966" i="1"/>
  <c r="G1967" i="1"/>
  <c r="M1967" i="1"/>
  <c r="S1967" i="1"/>
  <c r="Y1967" i="1"/>
  <c r="Z1967" i="1"/>
  <c r="G1968" i="1"/>
  <c r="M1968" i="1"/>
  <c r="S1968" i="1"/>
  <c r="Y1968" i="1"/>
  <c r="G1969" i="1"/>
  <c r="M1969" i="1"/>
  <c r="S1969" i="1"/>
  <c r="Y1969" i="1"/>
  <c r="G1970" i="1"/>
  <c r="M1970" i="1"/>
  <c r="S1970" i="1"/>
  <c r="Y1970" i="1"/>
  <c r="X1986" i="1"/>
  <c r="W1986" i="1"/>
  <c r="V1986" i="1"/>
  <c r="U1986" i="1"/>
  <c r="T1986" i="1"/>
  <c r="R1986" i="1"/>
  <c r="Q1986" i="1"/>
  <c r="P1986" i="1"/>
  <c r="O1986" i="1"/>
  <c r="N1986" i="1"/>
  <c r="L1986" i="1"/>
  <c r="K1986" i="1"/>
  <c r="J1986" i="1"/>
  <c r="I1986" i="1"/>
  <c r="H1986" i="1"/>
  <c r="F1986" i="1"/>
  <c r="E1986" i="1"/>
  <c r="D1986" i="1"/>
  <c r="C1986" i="1"/>
  <c r="B1986" i="1"/>
  <c r="Y1984" i="1"/>
  <c r="S1984" i="1"/>
  <c r="M1984" i="1"/>
  <c r="G1984" i="1"/>
  <c r="Y1983" i="1"/>
  <c r="S1983" i="1"/>
  <c r="M1983" i="1"/>
  <c r="G1983" i="1"/>
  <c r="Z1983" i="1" s="1"/>
  <c r="Y1982" i="1"/>
  <c r="S1982" i="1"/>
  <c r="M1982" i="1"/>
  <c r="G1982" i="1"/>
  <c r="Y1981" i="1"/>
  <c r="S1981" i="1"/>
  <c r="M1981" i="1"/>
  <c r="G1981" i="1"/>
  <c r="Y1980" i="1"/>
  <c r="S1980" i="1"/>
  <c r="M1980" i="1"/>
  <c r="G1980" i="1"/>
  <c r="Y1979" i="1"/>
  <c r="S1979" i="1"/>
  <c r="M1979" i="1"/>
  <c r="G1979" i="1"/>
  <c r="Y1978" i="1"/>
  <c r="S1978" i="1"/>
  <c r="M1978" i="1"/>
  <c r="G1978" i="1"/>
  <c r="Y1977" i="1"/>
  <c r="S1977" i="1"/>
  <c r="M1977" i="1"/>
  <c r="G1977" i="1"/>
  <c r="Z1977" i="1" s="1"/>
  <c r="Y1976" i="1"/>
  <c r="S1976" i="1"/>
  <c r="M1976" i="1"/>
  <c r="G1976" i="1"/>
  <c r="Y1975" i="1"/>
  <c r="S1975" i="1"/>
  <c r="M1975" i="1"/>
  <c r="G1975" i="1"/>
  <c r="Y1974" i="1"/>
  <c r="S1974" i="1"/>
  <c r="M1974" i="1"/>
  <c r="G1974" i="1"/>
  <c r="Y1973" i="1"/>
  <c r="S1973" i="1"/>
  <c r="M1973" i="1"/>
  <c r="G1973" i="1"/>
  <c r="Y1972" i="1"/>
  <c r="S1972" i="1"/>
  <c r="M1972" i="1"/>
  <c r="G1972" i="1"/>
  <c r="Z1972" i="1" s="1"/>
  <c r="Y1971" i="1"/>
  <c r="S1971" i="1"/>
  <c r="M1971" i="1"/>
  <c r="G1971" i="1"/>
  <c r="AH1961" i="1"/>
  <c r="AN1961" i="1"/>
  <c r="AT1961" i="1"/>
  <c r="AZ1961" i="1"/>
  <c r="AH1958" i="1"/>
  <c r="AN1958" i="1"/>
  <c r="AT1958" i="1"/>
  <c r="AZ1958" i="1"/>
  <c r="BA1958" i="1" s="1"/>
  <c r="AZ1983" i="1"/>
  <c r="AT1983" i="1"/>
  <c r="AN1983" i="1"/>
  <c r="AH1983" i="1"/>
  <c r="BA1983" i="1" s="1"/>
  <c r="AZ1982" i="1"/>
  <c r="AT1982" i="1"/>
  <c r="AN1982" i="1"/>
  <c r="AH1982" i="1"/>
  <c r="AZ1981" i="1"/>
  <c r="AT1981" i="1"/>
  <c r="AN1981" i="1"/>
  <c r="AH1981" i="1"/>
  <c r="BA1981" i="1" s="1"/>
  <c r="AZ1980" i="1"/>
  <c r="AT1980" i="1"/>
  <c r="AN1980" i="1"/>
  <c r="AH1980" i="1"/>
  <c r="BA1980" i="1" s="1"/>
  <c r="AZ1979" i="1"/>
  <c r="AT1979" i="1"/>
  <c r="AN1979" i="1"/>
  <c r="AH1979" i="1"/>
  <c r="AZ1978" i="1"/>
  <c r="AT1978" i="1"/>
  <c r="AN1978" i="1"/>
  <c r="AH1978" i="1"/>
  <c r="BA1978" i="1" s="1"/>
  <c r="AZ1977" i="1"/>
  <c r="AT1977" i="1"/>
  <c r="AN1977" i="1"/>
  <c r="AH1977" i="1"/>
  <c r="BA1977" i="1" s="1"/>
  <c r="AZ1976" i="1"/>
  <c r="AT1976" i="1"/>
  <c r="AN1976" i="1"/>
  <c r="AH1976" i="1"/>
  <c r="AZ1975" i="1"/>
  <c r="AT1975" i="1"/>
  <c r="AN1975" i="1"/>
  <c r="AH1975" i="1"/>
  <c r="BA1975" i="1" s="1"/>
  <c r="AZ1974" i="1"/>
  <c r="AT1974" i="1"/>
  <c r="AN1974" i="1"/>
  <c r="AH1974" i="1"/>
  <c r="BA1974" i="1" s="1"/>
  <c r="AZ1973" i="1"/>
  <c r="AT1973" i="1"/>
  <c r="AN1973" i="1"/>
  <c r="AH1973" i="1"/>
  <c r="AZ1972" i="1"/>
  <c r="AT1972" i="1"/>
  <c r="AN1972" i="1"/>
  <c r="AH1972" i="1"/>
  <c r="BA1972" i="1" s="1"/>
  <c r="AZ1971" i="1"/>
  <c r="AT1971" i="1"/>
  <c r="AN1971" i="1"/>
  <c r="AH1971" i="1"/>
  <c r="BA1971" i="1" s="1"/>
  <c r="AZ1970" i="1"/>
  <c r="AT1970" i="1"/>
  <c r="AN1970" i="1"/>
  <c r="AH1970" i="1"/>
  <c r="AZ1969" i="1"/>
  <c r="AT1969" i="1"/>
  <c r="AN1969" i="1"/>
  <c r="AH1969" i="1"/>
  <c r="BA1969" i="1" s="1"/>
  <c r="AZ1968" i="1"/>
  <c r="AT1968" i="1"/>
  <c r="AN1968" i="1"/>
  <c r="AH1968" i="1"/>
  <c r="BA1968" i="1" s="1"/>
  <c r="AZ1967" i="1"/>
  <c r="AT1967" i="1"/>
  <c r="AN1967" i="1"/>
  <c r="AH1967" i="1"/>
  <c r="AZ1966" i="1"/>
  <c r="AT1966" i="1"/>
  <c r="AN1966" i="1"/>
  <c r="AH1966" i="1"/>
  <c r="BA1966" i="1" s="1"/>
  <c r="AZ1965" i="1"/>
  <c r="AT1965" i="1"/>
  <c r="AN1965" i="1"/>
  <c r="AH1965" i="1"/>
  <c r="BA1965" i="1" s="1"/>
  <c r="AZ1964" i="1"/>
  <c r="AT1964" i="1"/>
  <c r="AN1964" i="1"/>
  <c r="AH1964" i="1"/>
  <c r="AZ1963" i="1"/>
  <c r="AT1963" i="1"/>
  <c r="AN1963" i="1"/>
  <c r="AH1963" i="1"/>
  <c r="BA1963" i="1" s="1"/>
  <c r="AZ1962" i="1"/>
  <c r="AT1962" i="1"/>
  <c r="AN1962" i="1"/>
  <c r="AH1962" i="1"/>
  <c r="BA1962" i="1" s="1"/>
  <c r="AZ1957" i="1"/>
  <c r="AT1957" i="1"/>
  <c r="AN1957" i="1"/>
  <c r="AH1957" i="1"/>
  <c r="AZ1956" i="1"/>
  <c r="AT1956" i="1"/>
  <c r="AN1956" i="1"/>
  <c r="AH1956" i="1"/>
  <c r="BA1956" i="1" s="1"/>
  <c r="AZ1955" i="1"/>
  <c r="AT1955" i="1"/>
  <c r="AN1955" i="1"/>
  <c r="AH1955" i="1"/>
  <c r="BA1955" i="1" s="1"/>
  <c r="AZ1922" i="1"/>
  <c r="AT1922" i="1"/>
  <c r="AN1922" i="1"/>
  <c r="AH1922" i="1"/>
  <c r="AZ1921" i="1"/>
  <c r="AT1921" i="1"/>
  <c r="AN1921" i="1"/>
  <c r="AH1921" i="1"/>
  <c r="AZ1885" i="1"/>
  <c r="AT1885" i="1"/>
  <c r="AN1885" i="1"/>
  <c r="AH1885" i="1"/>
  <c r="Y1880" i="1"/>
  <c r="S1880" i="1"/>
  <c r="M1880" i="1"/>
  <c r="G1880" i="1"/>
  <c r="Y1879" i="1"/>
  <c r="S1879" i="1"/>
  <c r="M1879" i="1"/>
  <c r="G1879" i="1"/>
  <c r="G1906" i="1"/>
  <c r="M1906" i="1"/>
  <c r="S1906" i="1"/>
  <c r="Y1906" i="1"/>
  <c r="G1907" i="1"/>
  <c r="M1907" i="1"/>
  <c r="S1907" i="1"/>
  <c r="Y1907" i="1"/>
  <c r="AH1880" i="1"/>
  <c r="AN1880" i="1"/>
  <c r="AT1880" i="1"/>
  <c r="AZ1880" i="1"/>
  <c r="AZ1877" i="1"/>
  <c r="AT1877" i="1"/>
  <c r="AN1877" i="1"/>
  <c r="AH1877" i="1"/>
  <c r="AZ1884" i="1"/>
  <c r="AT1884" i="1"/>
  <c r="AN1884" i="1"/>
  <c r="AH1884" i="1"/>
  <c r="AZ1883" i="1"/>
  <c r="AT1883" i="1"/>
  <c r="AN1883" i="1"/>
  <c r="AH1883" i="1"/>
  <c r="AH1916" i="1"/>
  <c r="AN1916" i="1"/>
  <c r="AT1916" i="1"/>
  <c r="AZ1916" i="1"/>
  <c r="AH1903" i="1"/>
  <c r="AN1903" i="1"/>
  <c r="AT1903" i="1"/>
  <c r="AZ1903" i="1"/>
  <c r="AH1904" i="1"/>
  <c r="AN1904" i="1"/>
  <c r="AT1904" i="1"/>
  <c r="AZ1904" i="1"/>
  <c r="AH1905" i="1"/>
  <c r="AN1905" i="1"/>
  <c r="AT1905" i="1"/>
  <c r="AZ1905" i="1"/>
  <c r="AZ1882" i="1"/>
  <c r="AT1882" i="1"/>
  <c r="AN1882" i="1"/>
  <c r="AH1882" i="1"/>
  <c r="AH1844" i="1"/>
  <c r="AN1844" i="1"/>
  <c r="AT1844" i="1"/>
  <c r="AZ1844" i="1"/>
  <c r="Y1868" i="1"/>
  <c r="S1868" i="1"/>
  <c r="M1868" i="1"/>
  <c r="G1868" i="1"/>
  <c r="AH1840" i="1"/>
  <c r="AN1840" i="1"/>
  <c r="AT1840" i="1"/>
  <c r="AZ1840" i="1"/>
  <c r="AH1841" i="1"/>
  <c r="AN1841" i="1"/>
  <c r="AT1841" i="1"/>
  <c r="AZ1841" i="1"/>
  <c r="AH1878" i="1"/>
  <c r="AN1878" i="1"/>
  <c r="AT1878" i="1"/>
  <c r="AZ1878" i="1"/>
  <c r="AH1865" i="1"/>
  <c r="AN1865" i="1"/>
  <c r="AT1865" i="1"/>
  <c r="AZ1865" i="1"/>
  <c r="AH1866" i="1"/>
  <c r="AN1866" i="1"/>
  <c r="AT1866" i="1"/>
  <c r="AZ1866" i="1"/>
  <c r="AH1867" i="1"/>
  <c r="AN1867" i="1"/>
  <c r="AT1867" i="1"/>
  <c r="AZ1867" i="1"/>
  <c r="AH1868" i="1"/>
  <c r="AN1868" i="1"/>
  <c r="AT1868" i="1"/>
  <c r="AZ1868" i="1"/>
  <c r="AH1861" i="1"/>
  <c r="AN1861" i="1"/>
  <c r="AT1861" i="1"/>
  <c r="AZ1861" i="1"/>
  <c r="AH1862" i="1"/>
  <c r="AN1862" i="1"/>
  <c r="AT1862" i="1"/>
  <c r="AZ1862" i="1"/>
  <c r="AH1863" i="1"/>
  <c r="AN1863" i="1"/>
  <c r="AT1863" i="1"/>
  <c r="AZ1863" i="1"/>
  <c r="AH1864" i="1"/>
  <c r="AN1864" i="1"/>
  <c r="AT1864" i="1"/>
  <c r="AZ1864" i="1"/>
  <c r="AZ1907" i="1"/>
  <c r="AT1907" i="1"/>
  <c r="AN1907" i="1"/>
  <c r="AH1907" i="1"/>
  <c r="AZ1906" i="1"/>
  <c r="AT1906" i="1"/>
  <c r="AN1906" i="1"/>
  <c r="AH1906" i="1"/>
  <c r="AH1917" i="1"/>
  <c r="AN1917" i="1"/>
  <c r="AT1917" i="1"/>
  <c r="AZ1917" i="1"/>
  <c r="AH1918" i="1"/>
  <c r="AN1918" i="1"/>
  <c r="AT1918" i="1"/>
  <c r="AZ1918" i="1"/>
  <c r="X1947" i="1"/>
  <c r="W1947" i="1"/>
  <c r="V1947" i="1"/>
  <c r="U1947" i="1"/>
  <c r="T1947" i="1"/>
  <c r="R1947" i="1"/>
  <c r="Q1947" i="1"/>
  <c r="P1947" i="1"/>
  <c r="O1947" i="1"/>
  <c r="N1947" i="1"/>
  <c r="L1947" i="1"/>
  <c r="K1947" i="1"/>
  <c r="J1947" i="1"/>
  <c r="I1947" i="1"/>
  <c r="H1947" i="1"/>
  <c r="F1947" i="1"/>
  <c r="E1947" i="1"/>
  <c r="D1947" i="1"/>
  <c r="C1947" i="1"/>
  <c r="B1947" i="1"/>
  <c r="AZ1945" i="1"/>
  <c r="AT1945" i="1"/>
  <c r="AN1945" i="1"/>
  <c r="AH1945" i="1"/>
  <c r="Y1945" i="1"/>
  <c r="S1945" i="1"/>
  <c r="M1945" i="1"/>
  <c r="G1945" i="1"/>
  <c r="AZ1944" i="1"/>
  <c r="AT1944" i="1"/>
  <c r="AN1944" i="1"/>
  <c r="AH1944" i="1"/>
  <c r="Y1944" i="1"/>
  <c r="S1944" i="1"/>
  <c r="M1944" i="1"/>
  <c r="G1944" i="1"/>
  <c r="Z1944" i="1" s="1"/>
  <c r="AZ1943" i="1"/>
  <c r="AT1943" i="1"/>
  <c r="AN1943" i="1"/>
  <c r="AH1943" i="1"/>
  <c r="Y1943" i="1"/>
  <c r="S1943" i="1"/>
  <c r="M1943" i="1"/>
  <c r="G1943" i="1"/>
  <c r="AZ1942" i="1"/>
  <c r="AT1942" i="1"/>
  <c r="AN1942" i="1"/>
  <c r="AH1942" i="1"/>
  <c r="BA1942" i="1" s="1"/>
  <c r="Y1942" i="1"/>
  <c r="S1942" i="1"/>
  <c r="M1942" i="1"/>
  <c r="G1942" i="1"/>
  <c r="AZ1941" i="1"/>
  <c r="AT1941" i="1"/>
  <c r="AN1941" i="1"/>
  <c r="AH1941" i="1"/>
  <c r="Y1941" i="1"/>
  <c r="S1941" i="1"/>
  <c r="M1941" i="1"/>
  <c r="G1941" i="1"/>
  <c r="AZ1940" i="1"/>
  <c r="AT1940" i="1"/>
  <c r="AN1940" i="1"/>
  <c r="AH1940" i="1"/>
  <c r="Y1940" i="1"/>
  <c r="S1940" i="1"/>
  <c r="M1940" i="1"/>
  <c r="G1940" i="1"/>
  <c r="AZ1939" i="1"/>
  <c r="AT1939" i="1"/>
  <c r="AN1939" i="1"/>
  <c r="AH1939" i="1"/>
  <c r="BA1939" i="1" s="1"/>
  <c r="Y1939" i="1"/>
  <c r="S1939" i="1"/>
  <c r="M1939" i="1"/>
  <c r="G1939" i="1"/>
  <c r="AZ1938" i="1"/>
  <c r="AT1938" i="1"/>
  <c r="AN1938" i="1"/>
  <c r="AH1938" i="1"/>
  <c r="Y1938" i="1"/>
  <c r="S1938" i="1"/>
  <c r="M1938" i="1"/>
  <c r="G1938" i="1"/>
  <c r="Z1938" i="1" s="1"/>
  <c r="AZ1937" i="1"/>
  <c r="AT1937" i="1"/>
  <c r="AN1937" i="1"/>
  <c r="AH1937" i="1"/>
  <c r="Y1937" i="1"/>
  <c r="S1937" i="1"/>
  <c r="M1937" i="1"/>
  <c r="G1937" i="1"/>
  <c r="AZ1936" i="1"/>
  <c r="AT1936" i="1"/>
  <c r="AN1936" i="1"/>
  <c r="AH1936" i="1"/>
  <c r="BA1936" i="1" s="1"/>
  <c r="Y1936" i="1"/>
  <c r="S1936" i="1"/>
  <c r="M1936" i="1"/>
  <c r="G1936" i="1"/>
  <c r="AZ1935" i="1"/>
  <c r="AT1935" i="1"/>
  <c r="AN1935" i="1"/>
  <c r="AH1935" i="1"/>
  <c r="Y1935" i="1"/>
  <c r="S1935" i="1"/>
  <c r="M1935" i="1"/>
  <c r="G1935" i="1"/>
  <c r="Z1935" i="1" s="1"/>
  <c r="AZ1934" i="1"/>
  <c r="AT1934" i="1"/>
  <c r="AN1934" i="1"/>
  <c r="AH1934" i="1"/>
  <c r="Y1934" i="1"/>
  <c r="S1934" i="1"/>
  <c r="M1934" i="1"/>
  <c r="G1934" i="1"/>
  <c r="AZ1933" i="1"/>
  <c r="AT1933" i="1"/>
  <c r="AN1933" i="1"/>
  <c r="AH1933" i="1"/>
  <c r="BA1933" i="1" s="1"/>
  <c r="Y1933" i="1"/>
  <c r="S1933" i="1"/>
  <c r="M1933" i="1"/>
  <c r="G1933" i="1"/>
  <c r="AZ1932" i="1"/>
  <c r="AT1932" i="1"/>
  <c r="AN1932" i="1"/>
  <c r="AH1932" i="1"/>
  <c r="Y1932" i="1"/>
  <c r="S1932" i="1"/>
  <c r="M1932" i="1"/>
  <c r="G1932" i="1"/>
  <c r="Z1932" i="1" s="1"/>
  <c r="AZ1931" i="1"/>
  <c r="AT1931" i="1"/>
  <c r="AN1931" i="1"/>
  <c r="AH1931" i="1"/>
  <c r="Y1931" i="1"/>
  <c r="S1931" i="1"/>
  <c r="M1931" i="1"/>
  <c r="G1931" i="1"/>
  <c r="AZ1930" i="1"/>
  <c r="AT1930" i="1"/>
  <c r="AN1930" i="1"/>
  <c r="AH1930" i="1"/>
  <c r="BA1930" i="1" s="1"/>
  <c r="Y1930" i="1"/>
  <c r="S1930" i="1"/>
  <c r="M1930" i="1"/>
  <c r="G1930" i="1"/>
  <c r="Z1930" i="1" s="1"/>
  <c r="AZ1929" i="1"/>
  <c r="AT1929" i="1"/>
  <c r="AN1929" i="1"/>
  <c r="AH1929" i="1"/>
  <c r="Y1929" i="1"/>
  <c r="S1929" i="1"/>
  <c r="M1929" i="1"/>
  <c r="G1929" i="1"/>
  <c r="Z1929" i="1" s="1"/>
  <c r="AZ1928" i="1"/>
  <c r="AT1928" i="1"/>
  <c r="AN1928" i="1"/>
  <c r="AH1928" i="1"/>
  <c r="Y1928" i="1"/>
  <c r="S1928" i="1"/>
  <c r="M1928" i="1"/>
  <c r="G1928" i="1"/>
  <c r="AZ1927" i="1"/>
  <c r="AT1927" i="1"/>
  <c r="AN1927" i="1"/>
  <c r="AH1927" i="1"/>
  <c r="Y1927" i="1"/>
  <c r="S1927" i="1"/>
  <c r="M1927" i="1"/>
  <c r="G1927" i="1"/>
  <c r="AZ1926" i="1"/>
  <c r="AT1926" i="1"/>
  <c r="AN1926" i="1"/>
  <c r="AH1926" i="1"/>
  <c r="Y1926" i="1"/>
  <c r="S1926" i="1"/>
  <c r="M1926" i="1"/>
  <c r="G1926" i="1"/>
  <c r="Y1925" i="1"/>
  <c r="S1925" i="1"/>
  <c r="M1925" i="1"/>
  <c r="G1925" i="1"/>
  <c r="Y1924" i="1"/>
  <c r="S1924" i="1"/>
  <c r="M1924" i="1"/>
  <c r="G1924" i="1"/>
  <c r="AZ1923" i="1"/>
  <c r="AT1923" i="1"/>
  <c r="AN1923" i="1"/>
  <c r="AH1923" i="1"/>
  <c r="Y1923" i="1"/>
  <c r="S1923" i="1"/>
  <c r="M1923" i="1"/>
  <c r="G1923" i="1"/>
  <c r="Y1922" i="1"/>
  <c r="S1922" i="1"/>
  <c r="M1922" i="1"/>
  <c r="G1922" i="1"/>
  <c r="Y1921" i="1"/>
  <c r="S1921" i="1"/>
  <c r="M1921" i="1"/>
  <c r="G1921" i="1"/>
  <c r="Y1919" i="1"/>
  <c r="S1919" i="1"/>
  <c r="M1919" i="1"/>
  <c r="G1919" i="1"/>
  <c r="Y1917" i="1"/>
  <c r="S1917" i="1"/>
  <c r="M1917" i="1"/>
  <c r="G1917" i="1"/>
  <c r="Y1916" i="1"/>
  <c r="S1916" i="1"/>
  <c r="M1916" i="1"/>
  <c r="G1916" i="1"/>
  <c r="AZ1843" i="1"/>
  <c r="AT1843" i="1"/>
  <c r="AN1843" i="1"/>
  <c r="AH1843" i="1"/>
  <c r="AH1828" i="1"/>
  <c r="AN1828" i="1"/>
  <c r="AT1828" i="1"/>
  <c r="AZ1828" i="1"/>
  <c r="AZ1829" i="1"/>
  <c r="AT1829" i="1"/>
  <c r="AN1829" i="1"/>
  <c r="AH1829" i="1"/>
  <c r="AH1826" i="1"/>
  <c r="AN1826" i="1"/>
  <c r="AT1826" i="1"/>
  <c r="AZ1826" i="1"/>
  <c r="AH1827" i="1"/>
  <c r="AN1827" i="1"/>
  <c r="AT1827" i="1"/>
  <c r="AZ1827" i="1"/>
  <c r="AH1802" i="1"/>
  <c r="AN1802" i="1"/>
  <c r="AT1802" i="1"/>
  <c r="AZ1802" i="1"/>
  <c r="G1882" i="1"/>
  <c r="M1882" i="1"/>
  <c r="S1882" i="1"/>
  <c r="Y1882" i="1"/>
  <c r="G1883" i="1"/>
  <c r="M1883" i="1"/>
  <c r="S1883" i="1"/>
  <c r="Y1883" i="1"/>
  <c r="G1884" i="1"/>
  <c r="M1884" i="1"/>
  <c r="S1884" i="1"/>
  <c r="Y1884" i="1"/>
  <c r="G1885" i="1"/>
  <c r="M1885" i="1"/>
  <c r="S1885" i="1"/>
  <c r="Y1885" i="1"/>
  <c r="G1886" i="1"/>
  <c r="M1886" i="1"/>
  <c r="S1886" i="1"/>
  <c r="Y1886" i="1"/>
  <c r="G1887" i="1"/>
  <c r="M1887" i="1"/>
  <c r="S1887" i="1"/>
  <c r="Y1887" i="1"/>
  <c r="G1888" i="1"/>
  <c r="M1888" i="1"/>
  <c r="S1888" i="1"/>
  <c r="Y1888" i="1"/>
  <c r="G1889" i="1"/>
  <c r="M1889" i="1"/>
  <c r="S1889" i="1"/>
  <c r="Y1889" i="1"/>
  <c r="G1890" i="1"/>
  <c r="M1890" i="1"/>
  <c r="S1890" i="1"/>
  <c r="Y1890" i="1"/>
  <c r="G1891" i="1"/>
  <c r="M1891" i="1"/>
  <c r="S1891" i="1"/>
  <c r="Y1891" i="1"/>
  <c r="G1892" i="1"/>
  <c r="M1892" i="1"/>
  <c r="S1892" i="1"/>
  <c r="Y1892" i="1"/>
  <c r="G1893" i="1"/>
  <c r="M1893" i="1"/>
  <c r="S1893" i="1"/>
  <c r="Y1893" i="1"/>
  <c r="G1894" i="1"/>
  <c r="M1894" i="1"/>
  <c r="S1894" i="1"/>
  <c r="Y1894" i="1"/>
  <c r="G1895" i="1"/>
  <c r="M1895" i="1"/>
  <c r="S1895" i="1"/>
  <c r="Y1895" i="1"/>
  <c r="G1896" i="1"/>
  <c r="M1896" i="1"/>
  <c r="S1896" i="1"/>
  <c r="Y1896" i="1"/>
  <c r="G1897" i="1"/>
  <c r="M1897" i="1"/>
  <c r="S1897" i="1"/>
  <c r="Y1897" i="1"/>
  <c r="G1898" i="1"/>
  <c r="M1898" i="1"/>
  <c r="S1898" i="1"/>
  <c r="Y1898" i="1"/>
  <c r="G1899" i="1"/>
  <c r="M1899" i="1"/>
  <c r="S1899" i="1"/>
  <c r="Y1899" i="1"/>
  <c r="G1900" i="1"/>
  <c r="M1900" i="1"/>
  <c r="S1900" i="1"/>
  <c r="Y1900" i="1"/>
  <c r="G1901" i="1"/>
  <c r="M1901" i="1"/>
  <c r="S1901" i="1"/>
  <c r="Y1901" i="1"/>
  <c r="X1908" i="1"/>
  <c r="W1908" i="1"/>
  <c r="V1908" i="1"/>
  <c r="U1908" i="1"/>
  <c r="T1908" i="1"/>
  <c r="R1908" i="1"/>
  <c r="Q1908" i="1"/>
  <c r="P1908" i="1"/>
  <c r="O1908" i="1"/>
  <c r="N1908" i="1"/>
  <c r="L1908" i="1"/>
  <c r="K1908" i="1"/>
  <c r="J1908" i="1"/>
  <c r="I1908" i="1"/>
  <c r="H1908" i="1"/>
  <c r="F1908" i="1"/>
  <c r="E1908" i="1"/>
  <c r="D1908" i="1"/>
  <c r="C1908" i="1"/>
  <c r="B1908" i="1"/>
  <c r="Y1905" i="1"/>
  <c r="S1905" i="1"/>
  <c r="M1905" i="1"/>
  <c r="G1905" i="1"/>
  <c r="Y1904" i="1"/>
  <c r="S1904" i="1"/>
  <c r="M1904" i="1"/>
  <c r="G1904" i="1"/>
  <c r="Y1903" i="1"/>
  <c r="S1903" i="1"/>
  <c r="M1903" i="1"/>
  <c r="G1903" i="1"/>
  <c r="AZ1902" i="1"/>
  <c r="AT1902" i="1"/>
  <c r="AN1902" i="1"/>
  <c r="AH1902" i="1"/>
  <c r="Y1902" i="1"/>
  <c r="S1902" i="1"/>
  <c r="M1902" i="1"/>
  <c r="G1902" i="1"/>
  <c r="AZ1901" i="1"/>
  <c r="AT1901" i="1"/>
  <c r="AN1901" i="1"/>
  <c r="AH1901" i="1"/>
  <c r="AZ1900" i="1"/>
  <c r="AT1900" i="1"/>
  <c r="AN1900" i="1"/>
  <c r="AH1900" i="1"/>
  <c r="AZ1899" i="1"/>
  <c r="AT1899" i="1"/>
  <c r="AN1899" i="1"/>
  <c r="AH1899" i="1"/>
  <c r="AZ1898" i="1"/>
  <c r="AT1898" i="1"/>
  <c r="AN1898" i="1"/>
  <c r="AH1898" i="1"/>
  <c r="AZ1897" i="1"/>
  <c r="AT1897" i="1"/>
  <c r="AN1897" i="1"/>
  <c r="AH1897" i="1"/>
  <c r="AZ1896" i="1"/>
  <c r="AT1896" i="1"/>
  <c r="AN1896" i="1"/>
  <c r="AH1896" i="1"/>
  <c r="AZ1895" i="1"/>
  <c r="AT1895" i="1"/>
  <c r="AN1895" i="1"/>
  <c r="AH1895" i="1"/>
  <c r="AZ1894" i="1"/>
  <c r="AT1894" i="1"/>
  <c r="AN1894" i="1"/>
  <c r="AH1894" i="1"/>
  <c r="AZ1893" i="1"/>
  <c r="AT1893" i="1"/>
  <c r="AN1893" i="1"/>
  <c r="AH1893" i="1"/>
  <c r="AZ1892" i="1"/>
  <c r="AT1892" i="1"/>
  <c r="AN1892" i="1"/>
  <c r="AH1892" i="1"/>
  <c r="AZ1891" i="1"/>
  <c r="AT1891" i="1"/>
  <c r="AN1891" i="1"/>
  <c r="AH1891" i="1"/>
  <c r="AZ1890" i="1"/>
  <c r="AT1890" i="1"/>
  <c r="AN1890" i="1"/>
  <c r="AH1890" i="1"/>
  <c r="AZ1889" i="1"/>
  <c r="AT1889" i="1"/>
  <c r="AN1889" i="1"/>
  <c r="AH1889" i="1"/>
  <c r="AZ1888" i="1"/>
  <c r="AT1888" i="1"/>
  <c r="AN1888" i="1"/>
  <c r="AH1888" i="1"/>
  <c r="AZ1887" i="1"/>
  <c r="AT1887" i="1"/>
  <c r="AN1887" i="1"/>
  <c r="AH1887" i="1"/>
  <c r="AZ1886" i="1"/>
  <c r="AT1886" i="1"/>
  <c r="AN1886" i="1"/>
  <c r="AH1886" i="1"/>
  <c r="AZ1879" i="1"/>
  <c r="AT1879" i="1"/>
  <c r="AN1879" i="1"/>
  <c r="AH1879" i="1"/>
  <c r="Y1878" i="1"/>
  <c r="S1878" i="1"/>
  <c r="M1878" i="1"/>
  <c r="G1878" i="1"/>
  <c r="Y1877" i="1"/>
  <c r="S1877" i="1"/>
  <c r="M1877" i="1"/>
  <c r="G1877" i="1"/>
  <c r="AZ1812" i="1"/>
  <c r="AT1812" i="1"/>
  <c r="AN1812" i="1"/>
  <c r="AH1812" i="1"/>
  <c r="AZ1811" i="1"/>
  <c r="AT1811" i="1"/>
  <c r="AN1811" i="1"/>
  <c r="AH1811" i="1"/>
  <c r="G1852" i="1"/>
  <c r="M1852" i="1"/>
  <c r="S1852" i="1"/>
  <c r="Y1852" i="1"/>
  <c r="AZ1810" i="1"/>
  <c r="AT1810" i="1"/>
  <c r="AN1810" i="1"/>
  <c r="AH1810" i="1"/>
  <c r="G1847" i="1"/>
  <c r="M1847" i="1"/>
  <c r="S1847" i="1"/>
  <c r="Y1847" i="1"/>
  <c r="AZ1809" i="1"/>
  <c r="AT1809" i="1"/>
  <c r="AN1809" i="1"/>
  <c r="AH1809" i="1"/>
  <c r="AZ1808" i="1"/>
  <c r="AT1808" i="1"/>
  <c r="AN1808" i="1"/>
  <c r="AH1808" i="1"/>
  <c r="Y1841" i="1"/>
  <c r="S1841" i="1"/>
  <c r="M1841" i="1"/>
  <c r="G1841" i="1"/>
  <c r="Y1840" i="1"/>
  <c r="S1840" i="1"/>
  <c r="M1840" i="1"/>
  <c r="G1840" i="1"/>
  <c r="Y1839" i="1"/>
  <c r="S1839" i="1"/>
  <c r="M1839" i="1"/>
  <c r="G1839" i="1"/>
  <c r="Y1838" i="1"/>
  <c r="S1838" i="1"/>
  <c r="M1838" i="1"/>
  <c r="G1838" i="1"/>
  <c r="AH1845" i="1"/>
  <c r="AN1845" i="1"/>
  <c r="AT1845" i="1"/>
  <c r="AZ1845" i="1"/>
  <c r="AH1846" i="1"/>
  <c r="AN1846" i="1"/>
  <c r="AT1846" i="1"/>
  <c r="AZ1846" i="1"/>
  <c r="AH1847" i="1"/>
  <c r="AN1847" i="1"/>
  <c r="AT1847" i="1"/>
  <c r="AZ1847" i="1"/>
  <c r="AH1848" i="1"/>
  <c r="AN1848" i="1"/>
  <c r="AT1848" i="1"/>
  <c r="AZ1848" i="1"/>
  <c r="AH1849" i="1"/>
  <c r="AN1849" i="1"/>
  <c r="AT1849" i="1"/>
  <c r="AZ1849" i="1"/>
  <c r="AH1850" i="1"/>
  <c r="AN1850" i="1"/>
  <c r="AT1850" i="1"/>
  <c r="AZ1850" i="1"/>
  <c r="AH1851" i="1"/>
  <c r="AN1851" i="1"/>
  <c r="AT1851" i="1"/>
  <c r="AZ1851" i="1"/>
  <c r="AH1852" i="1"/>
  <c r="AN1852" i="1"/>
  <c r="AT1852" i="1"/>
  <c r="AZ1852" i="1"/>
  <c r="AH1853" i="1"/>
  <c r="AN1853" i="1"/>
  <c r="AT1853" i="1"/>
  <c r="AZ1853" i="1"/>
  <c r="AH1854" i="1"/>
  <c r="AN1854" i="1"/>
  <c r="AT1854" i="1"/>
  <c r="AZ1854" i="1"/>
  <c r="AH1855" i="1"/>
  <c r="AN1855" i="1"/>
  <c r="AT1855" i="1"/>
  <c r="AZ1855" i="1"/>
  <c r="AH1857" i="1"/>
  <c r="AN1857" i="1"/>
  <c r="AT1857" i="1"/>
  <c r="AZ1857" i="1"/>
  <c r="AH1858" i="1"/>
  <c r="AN1858" i="1"/>
  <c r="AT1858" i="1"/>
  <c r="AZ1858" i="1"/>
  <c r="AH1859" i="1"/>
  <c r="AN1859" i="1"/>
  <c r="AT1859" i="1"/>
  <c r="AZ1859" i="1"/>
  <c r="AH1860" i="1"/>
  <c r="AN1860" i="1"/>
  <c r="AT1860" i="1"/>
  <c r="AZ1860" i="1"/>
  <c r="G1843" i="1"/>
  <c r="M1843" i="1"/>
  <c r="S1843" i="1"/>
  <c r="Y1843" i="1"/>
  <c r="G1844" i="1"/>
  <c r="M1844" i="1"/>
  <c r="S1844" i="1"/>
  <c r="Y1844" i="1"/>
  <c r="G1845" i="1"/>
  <c r="M1845" i="1"/>
  <c r="S1845" i="1"/>
  <c r="Y1845" i="1"/>
  <c r="G1846" i="1"/>
  <c r="M1846" i="1"/>
  <c r="S1846" i="1"/>
  <c r="Y1846" i="1"/>
  <c r="G1848" i="1"/>
  <c r="M1848" i="1"/>
  <c r="S1848" i="1"/>
  <c r="Y1848" i="1"/>
  <c r="G1849" i="1"/>
  <c r="M1849" i="1"/>
  <c r="S1849" i="1"/>
  <c r="Y1849" i="1"/>
  <c r="G1850" i="1"/>
  <c r="M1850" i="1"/>
  <c r="S1850" i="1"/>
  <c r="Y1850" i="1"/>
  <c r="G1851" i="1"/>
  <c r="M1851" i="1"/>
  <c r="S1851" i="1"/>
  <c r="Y1851" i="1"/>
  <c r="G1853" i="1"/>
  <c r="M1853" i="1"/>
  <c r="S1853" i="1"/>
  <c r="Y1853" i="1"/>
  <c r="G1854" i="1"/>
  <c r="M1854" i="1"/>
  <c r="S1854" i="1"/>
  <c r="Y1854" i="1"/>
  <c r="G1855" i="1"/>
  <c r="M1855" i="1"/>
  <c r="S1855" i="1"/>
  <c r="Y1855" i="1"/>
  <c r="G1856" i="1"/>
  <c r="M1856" i="1"/>
  <c r="S1856" i="1"/>
  <c r="Y1856" i="1"/>
  <c r="G1857" i="1"/>
  <c r="M1857" i="1"/>
  <c r="S1857" i="1"/>
  <c r="Y1857" i="1"/>
  <c r="G1858" i="1"/>
  <c r="M1858" i="1"/>
  <c r="S1858" i="1"/>
  <c r="Y1858" i="1"/>
  <c r="G1859" i="1"/>
  <c r="M1859" i="1"/>
  <c r="S1859" i="1"/>
  <c r="Y1859" i="1"/>
  <c r="G1860" i="1"/>
  <c r="M1860" i="1"/>
  <c r="S1860" i="1"/>
  <c r="Y1860" i="1"/>
  <c r="G1861" i="1"/>
  <c r="M1861" i="1"/>
  <c r="S1861" i="1"/>
  <c r="Y1861" i="1"/>
  <c r="G1862" i="1"/>
  <c r="M1862" i="1"/>
  <c r="S1862" i="1"/>
  <c r="Y1862" i="1"/>
  <c r="G1863" i="1"/>
  <c r="M1863" i="1"/>
  <c r="S1863" i="1"/>
  <c r="Y1863" i="1"/>
  <c r="G1864" i="1"/>
  <c r="M1864" i="1"/>
  <c r="S1864" i="1"/>
  <c r="Y1864" i="1"/>
  <c r="G1865" i="1"/>
  <c r="M1865" i="1"/>
  <c r="S1865" i="1"/>
  <c r="Y1865" i="1"/>
  <c r="G1866" i="1"/>
  <c r="M1866" i="1"/>
  <c r="S1866" i="1"/>
  <c r="Y1866" i="1"/>
  <c r="X1869" i="1"/>
  <c r="W1869" i="1"/>
  <c r="V1869" i="1"/>
  <c r="U1869" i="1"/>
  <c r="T1869" i="1"/>
  <c r="R1869" i="1"/>
  <c r="Q1869" i="1"/>
  <c r="P1869" i="1"/>
  <c r="O1869" i="1"/>
  <c r="N1869" i="1"/>
  <c r="L1869" i="1"/>
  <c r="K1869" i="1"/>
  <c r="J1869" i="1"/>
  <c r="I1869" i="1"/>
  <c r="H1869" i="1"/>
  <c r="F1869" i="1"/>
  <c r="E1869" i="1"/>
  <c r="D1869" i="1"/>
  <c r="C1869" i="1"/>
  <c r="B1869" i="1"/>
  <c r="Y1867" i="1"/>
  <c r="S1867" i="1"/>
  <c r="M1867" i="1"/>
  <c r="G1867" i="1"/>
  <c r="AZ1856" i="1"/>
  <c r="AT1856" i="1"/>
  <c r="AN1856" i="1"/>
  <c r="AH1856" i="1"/>
  <c r="AZ1839" i="1"/>
  <c r="AT1839" i="1"/>
  <c r="AN1839" i="1"/>
  <c r="AH1839" i="1"/>
  <c r="AZ1838" i="1"/>
  <c r="AT1838" i="1"/>
  <c r="AN1838" i="1"/>
  <c r="AH1838" i="1"/>
  <c r="AZ1807" i="1"/>
  <c r="AT1807" i="1"/>
  <c r="AN1807" i="1"/>
  <c r="AH1807" i="1"/>
  <c r="AZ1805" i="1"/>
  <c r="AT1805" i="1"/>
  <c r="AN1805" i="1"/>
  <c r="AH1805" i="1"/>
  <c r="AH1763" i="1"/>
  <c r="AN1763" i="1"/>
  <c r="AT1763" i="1"/>
  <c r="AZ1763" i="1"/>
  <c r="AH1787" i="1"/>
  <c r="AN1787" i="1"/>
  <c r="AT1787" i="1"/>
  <c r="AZ1787" i="1"/>
  <c r="AH1788" i="1"/>
  <c r="AN1788" i="1"/>
  <c r="AT1788" i="1"/>
  <c r="AZ1788" i="1"/>
  <c r="AH1789" i="1"/>
  <c r="AN1789" i="1"/>
  <c r="AT1789" i="1"/>
  <c r="AZ1789" i="1"/>
  <c r="AH1790" i="1"/>
  <c r="AN1790" i="1"/>
  <c r="AT1790" i="1"/>
  <c r="AZ1790" i="1"/>
  <c r="Y1829" i="1"/>
  <c r="S1829" i="1"/>
  <c r="M1829" i="1"/>
  <c r="G1829" i="1"/>
  <c r="Y1763" i="1"/>
  <c r="S1763" i="1"/>
  <c r="M1763" i="1"/>
  <c r="G1763" i="1"/>
  <c r="Y1802" i="1"/>
  <c r="S1802" i="1"/>
  <c r="M1802" i="1"/>
  <c r="G1802" i="1"/>
  <c r="Y1801" i="1"/>
  <c r="S1801" i="1"/>
  <c r="M1801" i="1"/>
  <c r="G1801" i="1"/>
  <c r="Y1800" i="1"/>
  <c r="S1800" i="1"/>
  <c r="M1800" i="1"/>
  <c r="G1800" i="1"/>
  <c r="Y1799" i="1"/>
  <c r="S1799" i="1"/>
  <c r="M1799" i="1"/>
  <c r="G1799" i="1"/>
  <c r="AH1801" i="1"/>
  <c r="AN1801" i="1"/>
  <c r="AT1801" i="1"/>
  <c r="AZ1801" i="1"/>
  <c r="AZ1825" i="1"/>
  <c r="AT1825" i="1"/>
  <c r="AN1825" i="1"/>
  <c r="AH1825" i="1"/>
  <c r="AZ1824" i="1"/>
  <c r="AT1824" i="1"/>
  <c r="AN1824" i="1"/>
  <c r="AH1824" i="1"/>
  <c r="AZ1823" i="1"/>
  <c r="AT1823" i="1"/>
  <c r="AN1823" i="1"/>
  <c r="AH1823" i="1"/>
  <c r="AZ1822" i="1"/>
  <c r="AT1822" i="1"/>
  <c r="AN1822" i="1"/>
  <c r="AH1822" i="1"/>
  <c r="AZ1821" i="1"/>
  <c r="AT1821" i="1"/>
  <c r="AN1821" i="1"/>
  <c r="AH1821" i="1"/>
  <c r="AZ1820" i="1"/>
  <c r="AT1820" i="1"/>
  <c r="AN1820" i="1"/>
  <c r="AH1820" i="1"/>
  <c r="AZ1819" i="1"/>
  <c r="AT1819" i="1"/>
  <c r="AN1819" i="1"/>
  <c r="AH1819" i="1"/>
  <c r="AZ1818" i="1"/>
  <c r="AT1818" i="1"/>
  <c r="AN1818" i="1"/>
  <c r="AH1818" i="1"/>
  <c r="AZ1817" i="1"/>
  <c r="AT1817" i="1"/>
  <c r="AN1817" i="1"/>
  <c r="AH1817" i="1"/>
  <c r="AZ1816" i="1"/>
  <c r="AT1816" i="1"/>
  <c r="AN1816" i="1"/>
  <c r="AH1816" i="1"/>
  <c r="AZ1815" i="1"/>
  <c r="AT1815" i="1"/>
  <c r="AN1815" i="1"/>
  <c r="AH1815" i="1"/>
  <c r="AZ1814" i="1"/>
  <c r="AT1814" i="1"/>
  <c r="AN1814" i="1"/>
  <c r="AH1814" i="1"/>
  <c r="AZ1813" i="1"/>
  <c r="AT1813" i="1"/>
  <c r="AN1813" i="1"/>
  <c r="AH1813" i="1"/>
  <c r="AZ1806" i="1"/>
  <c r="AT1806" i="1"/>
  <c r="AN1806" i="1"/>
  <c r="AH1806" i="1"/>
  <c r="AZ1804" i="1"/>
  <c r="AT1804" i="1"/>
  <c r="AN1804" i="1"/>
  <c r="AH1804" i="1"/>
  <c r="G1804" i="1"/>
  <c r="M1804" i="1"/>
  <c r="S1804" i="1"/>
  <c r="Y1804" i="1"/>
  <c r="G1805" i="1"/>
  <c r="M1805" i="1"/>
  <c r="S1805" i="1"/>
  <c r="Y1805" i="1"/>
  <c r="G1806" i="1"/>
  <c r="M1806" i="1"/>
  <c r="S1806" i="1"/>
  <c r="Y1806" i="1"/>
  <c r="G1807" i="1"/>
  <c r="M1807" i="1"/>
  <c r="S1807" i="1"/>
  <c r="Y1807" i="1"/>
  <c r="G1808" i="1"/>
  <c r="M1808" i="1"/>
  <c r="S1808" i="1"/>
  <c r="Y1808" i="1"/>
  <c r="G1809" i="1"/>
  <c r="M1809" i="1"/>
  <c r="S1809" i="1"/>
  <c r="Y1809" i="1"/>
  <c r="G1810" i="1"/>
  <c r="M1810" i="1"/>
  <c r="S1810" i="1"/>
  <c r="Y1810" i="1"/>
  <c r="G1811" i="1"/>
  <c r="M1811" i="1"/>
  <c r="S1811" i="1"/>
  <c r="Y1811" i="1"/>
  <c r="G1812" i="1"/>
  <c r="M1812" i="1"/>
  <c r="S1812" i="1"/>
  <c r="Y1812" i="1"/>
  <c r="G1813" i="1"/>
  <c r="M1813" i="1"/>
  <c r="S1813" i="1"/>
  <c r="Y1813" i="1"/>
  <c r="G1814" i="1"/>
  <c r="M1814" i="1"/>
  <c r="S1814" i="1"/>
  <c r="Y1814" i="1"/>
  <c r="G1815" i="1"/>
  <c r="M1815" i="1"/>
  <c r="S1815" i="1"/>
  <c r="Y1815" i="1"/>
  <c r="G1816" i="1"/>
  <c r="M1816" i="1"/>
  <c r="S1816" i="1"/>
  <c r="Y1816" i="1"/>
  <c r="G1817" i="1"/>
  <c r="M1817" i="1"/>
  <c r="S1817" i="1"/>
  <c r="Y1817" i="1"/>
  <c r="G1818" i="1"/>
  <c r="M1818" i="1"/>
  <c r="S1818" i="1"/>
  <c r="Y1818" i="1"/>
  <c r="G1819" i="1"/>
  <c r="M1819" i="1"/>
  <c r="S1819" i="1"/>
  <c r="Y1819" i="1"/>
  <c r="G1820" i="1"/>
  <c r="M1820" i="1"/>
  <c r="S1820" i="1"/>
  <c r="Y1820" i="1"/>
  <c r="G1821" i="1"/>
  <c r="M1821" i="1"/>
  <c r="S1821" i="1"/>
  <c r="Y1821" i="1"/>
  <c r="G1822" i="1"/>
  <c r="M1822" i="1"/>
  <c r="Z1822" i="1" s="1"/>
  <c r="S1822" i="1"/>
  <c r="Y1822" i="1"/>
  <c r="G1823" i="1"/>
  <c r="M1823" i="1"/>
  <c r="S1823" i="1"/>
  <c r="Y1823" i="1"/>
  <c r="G1824" i="1"/>
  <c r="M1824" i="1"/>
  <c r="S1824" i="1"/>
  <c r="Y1824" i="1"/>
  <c r="G1826" i="1"/>
  <c r="M1826" i="1"/>
  <c r="S1826" i="1"/>
  <c r="Y1826" i="1"/>
  <c r="G1827" i="1"/>
  <c r="M1827" i="1"/>
  <c r="S1827" i="1"/>
  <c r="Y1827" i="1"/>
  <c r="G1828" i="1"/>
  <c r="M1828" i="1"/>
  <c r="S1828" i="1"/>
  <c r="Y1828" i="1"/>
  <c r="X1830" i="1"/>
  <c r="W1830" i="1"/>
  <c r="V1830" i="1"/>
  <c r="U1830" i="1"/>
  <c r="T1830" i="1"/>
  <c r="R1830" i="1"/>
  <c r="Q1830" i="1"/>
  <c r="P1830" i="1"/>
  <c r="O1830" i="1"/>
  <c r="N1830" i="1"/>
  <c r="K1830" i="1"/>
  <c r="J1830" i="1"/>
  <c r="I1830" i="1"/>
  <c r="H1830" i="1"/>
  <c r="F1830" i="1"/>
  <c r="E1830" i="1"/>
  <c r="D1830" i="1"/>
  <c r="C1830" i="1"/>
  <c r="B1830" i="1"/>
  <c r="Y1825" i="1"/>
  <c r="S1825" i="1"/>
  <c r="M1825" i="1"/>
  <c r="G1825" i="1"/>
  <c r="AZ1800" i="1"/>
  <c r="AT1800" i="1"/>
  <c r="AN1800" i="1"/>
  <c r="AH1800" i="1"/>
  <c r="AZ1799" i="1"/>
  <c r="AT1799" i="1"/>
  <c r="AN1799" i="1"/>
  <c r="AH1799" i="1"/>
  <c r="AZ1771" i="1"/>
  <c r="AT1771" i="1"/>
  <c r="AN1771" i="1"/>
  <c r="AH1771" i="1"/>
  <c r="L1780" i="1"/>
  <c r="AZ1768" i="1"/>
  <c r="AT1768" i="1"/>
  <c r="AN1768" i="1"/>
  <c r="AH1768" i="1"/>
  <c r="Y1790" i="1"/>
  <c r="S1790" i="1"/>
  <c r="M1790" i="1"/>
  <c r="G1790" i="1"/>
  <c r="AH1724" i="1"/>
  <c r="AN1724" i="1"/>
  <c r="AT1724" i="1"/>
  <c r="AZ1724" i="1"/>
  <c r="AH1748" i="1"/>
  <c r="AN1748" i="1"/>
  <c r="AT1748" i="1"/>
  <c r="AZ1748" i="1"/>
  <c r="AH1765" i="1"/>
  <c r="AN1765" i="1"/>
  <c r="AT1765" i="1"/>
  <c r="AZ1765" i="1"/>
  <c r="AH1766" i="1"/>
  <c r="AN1766" i="1"/>
  <c r="AT1766" i="1"/>
  <c r="AZ1766" i="1"/>
  <c r="AH1767" i="1"/>
  <c r="AN1767" i="1"/>
  <c r="AT1767" i="1"/>
  <c r="AZ1767" i="1"/>
  <c r="AH1769" i="1"/>
  <c r="AN1769" i="1"/>
  <c r="AT1769" i="1"/>
  <c r="AZ1769" i="1"/>
  <c r="AH1770" i="1"/>
  <c r="AN1770" i="1"/>
  <c r="AT1770" i="1"/>
  <c r="AZ1770" i="1"/>
  <c r="AH1772" i="1"/>
  <c r="AN1772" i="1"/>
  <c r="AT1772" i="1"/>
  <c r="AZ1772" i="1"/>
  <c r="G1761" i="1"/>
  <c r="M1761" i="1"/>
  <c r="S1761" i="1"/>
  <c r="Y1761" i="1"/>
  <c r="G1762" i="1"/>
  <c r="M1762" i="1"/>
  <c r="S1762" i="1"/>
  <c r="Y1762" i="1"/>
  <c r="G1765" i="1"/>
  <c r="M1765" i="1"/>
  <c r="S1765" i="1"/>
  <c r="Y1765" i="1"/>
  <c r="G1766" i="1"/>
  <c r="M1766" i="1"/>
  <c r="S1766" i="1"/>
  <c r="Y1766" i="1"/>
  <c r="G1767" i="1"/>
  <c r="M1767" i="1"/>
  <c r="S1767" i="1"/>
  <c r="Y1767" i="1"/>
  <c r="G1768" i="1"/>
  <c r="M1768" i="1"/>
  <c r="S1768" i="1"/>
  <c r="Y1768" i="1"/>
  <c r="G1769" i="1"/>
  <c r="M1769" i="1"/>
  <c r="S1769" i="1"/>
  <c r="Y1769" i="1"/>
  <c r="G1770" i="1"/>
  <c r="M1770" i="1"/>
  <c r="S1770" i="1"/>
  <c r="Y1770" i="1"/>
  <c r="G1771" i="1"/>
  <c r="M1771" i="1"/>
  <c r="S1771" i="1"/>
  <c r="Y1771" i="1"/>
  <c r="G1772" i="1"/>
  <c r="M1772" i="1"/>
  <c r="S1772" i="1"/>
  <c r="Y1772" i="1"/>
  <c r="G1773" i="1"/>
  <c r="M1773" i="1"/>
  <c r="S1773" i="1"/>
  <c r="Y1773" i="1"/>
  <c r="G1774" i="1"/>
  <c r="M1774" i="1"/>
  <c r="S1774" i="1"/>
  <c r="Y1774" i="1"/>
  <c r="G1775" i="1"/>
  <c r="M1775" i="1"/>
  <c r="S1775" i="1"/>
  <c r="Y1775" i="1"/>
  <c r="G1776" i="1"/>
  <c r="M1776" i="1"/>
  <c r="S1776" i="1"/>
  <c r="Y1776" i="1"/>
  <c r="G1777" i="1"/>
  <c r="M1777" i="1"/>
  <c r="S1777" i="1"/>
  <c r="Y1777" i="1"/>
  <c r="G1778" i="1"/>
  <c r="M1778" i="1"/>
  <c r="S1778" i="1"/>
  <c r="Y1778" i="1"/>
  <c r="G1779" i="1"/>
  <c r="M1779" i="1"/>
  <c r="S1779" i="1"/>
  <c r="Y1779" i="1"/>
  <c r="G1780" i="1"/>
  <c r="S1780" i="1"/>
  <c r="Y1780" i="1"/>
  <c r="G1781" i="1"/>
  <c r="M1781" i="1"/>
  <c r="S1781" i="1"/>
  <c r="Y1781" i="1"/>
  <c r="G1782" i="1"/>
  <c r="M1782" i="1"/>
  <c r="S1782" i="1"/>
  <c r="Y1782" i="1"/>
  <c r="G1783" i="1"/>
  <c r="M1783" i="1"/>
  <c r="S1783" i="1"/>
  <c r="Y1783" i="1"/>
  <c r="G1784" i="1"/>
  <c r="M1784" i="1"/>
  <c r="S1784" i="1"/>
  <c r="Y1784" i="1"/>
  <c r="G1785" i="1"/>
  <c r="M1785" i="1"/>
  <c r="S1785" i="1"/>
  <c r="Y1785" i="1"/>
  <c r="G1786" i="1"/>
  <c r="M1786" i="1"/>
  <c r="S1786" i="1"/>
  <c r="Y1786" i="1"/>
  <c r="G1787" i="1"/>
  <c r="M1787" i="1"/>
  <c r="S1787" i="1"/>
  <c r="Y1787" i="1"/>
  <c r="G1788" i="1"/>
  <c r="M1788" i="1"/>
  <c r="S1788" i="1"/>
  <c r="Y1788" i="1"/>
  <c r="X1791" i="1"/>
  <c r="W1791" i="1"/>
  <c r="V1791" i="1"/>
  <c r="U1791" i="1"/>
  <c r="T1791" i="1"/>
  <c r="R1791" i="1"/>
  <c r="Q1791" i="1"/>
  <c r="P1791" i="1"/>
  <c r="O1791" i="1"/>
  <c r="N1791" i="1"/>
  <c r="K1791" i="1"/>
  <c r="J1791" i="1"/>
  <c r="I1791" i="1"/>
  <c r="H1791" i="1"/>
  <c r="F1791" i="1"/>
  <c r="E1791" i="1"/>
  <c r="D1791" i="1"/>
  <c r="C1791" i="1"/>
  <c r="B1791" i="1"/>
  <c r="Y1789" i="1"/>
  <c r="S1789" i="1"/>
  <c r="M1789" i="1"/>
  <c r="G1789" i="1"/>
  <c r="AZ1786" i="1"/>
  <c r="AT1786" i="1"/>
  <c r="AN1786" i="1"/>
  <c r="AH1786" i="1"/>
  <c r="AZ1785" i="1"/>
  <c r="AT1785" i="1"/>
  <c r="AN1785" i="1"/>
  <c r="AH1785" i="1"/>
  <c r="AZ1784" i="1"/>
  <c r="AT1784" i="1"/>
  <c r="AN1784" i="1"/>
  <c r="AH1784" i="1"/>
  <c r="AZ1783" i="1"/>
  <c r="AT1783" i="1"/>
  <c r="AN1783" i="1"/>
  <c r="AH1783" i="1"/>
  <c r="AZ1782" i="1"/>
  <c r="AT1782" i="1"/>
  <c r="AN1782" i="1"/>
  <c r="AH1782" i="1"/>
  <c r="AZ1781" i="1"/>
  <c r="AT1781" i="1"/>
  <c r="AN1781" i="1"/>
  <c r="AH1781" i="1"/>
  <c r="AZ1780" i="1"/>
  <c r="AT1780" i="1"/>
  <c r="AN1780" i="1"/>
  <c r="AH1780" i="1"/>
  <c r="AZ1779" i="1"/>
  <c r="AT1779" i="1"/>
  <c r="AN1779" i="1"/>
  <c r="AH1779" i="1"/>
  <c r="AZ1778" i="1"/>
  <c r="AT1778" i="1"/>
  <c r="AN1778" i="1"/>
  <c r="AH1778" i="1"/>
  <c r="AZ1777" i="1"/>
  <c r="AT1777" i="1"/>
  <c r="AN1777" i="1"/>
  <c r="AH1777" i="1"/>
  <c r="AZ1776" i="1"/>
  <c r="AT1776" i="1"/>
  <c r="AN1776" i="1"/>
  <c r="AH1776" i="1"/>
  <c r="AZ1775" i="1"/>
  <c r="AT1775" i="1"/>
  <c r="AN1775" i="1"/>
  <c r="AH1775" i="1"/>
  <c r="AZ1774" i="1"/>
  <c r="AT1774" i="1"/>
  <c r="AN1774" i="1"/>
  <c r="AH1774" i="1"/>
  <c r="AZ1773" i="1"/>
  <c r="AT1773" i="1"/>
  <c r="AN1773" i="1"/>
  <c r="AH1773" i="1"/>
  <c r="AZ1762" i="1"/>
  <c r="AT1762" i="1"/>
  <c r="AN1762" i="1"/>
  <c r="AH1762" i="1"/>
  <c r="AZ1761" i="1"/>
  <c r="AT1761" i="1"/>
  <c r="AN1761" i="1"/>
  <c r="AH1761" i="1"/>
  <c r="AZ1760" i="1"/>
  <c r="AT1760" i="1"/>
  <c r="AN1760" i="1"/>
  <c r="AH1760" i="1"/>
  <c r="Y1760" i="1"/>
  <c r="S1760" i="1"/>
  <c r="M1760" i="1"/>
  <c r="G1760" i="1"/>
  <c r="AZ1730" i="1"/>
  <c r="AT1730" i="1"/>
  <c r="AN1730" i="1"/>
  <c r="AH1730" i="1"/>
  <c r="AZ1727" i="1"/>
  <c r="AT1727" i="1"/>
  <c r="AN1727" i="1"/>
  <c r="AH1727" i="1"/>
  <c r="G1751" i="1"/>
  <c r="M1751" i="1"/>
  <c r="S1751" i="1"/>
  <c r="Y1751" i="1"/>
  <c r="G1712" i="1"/>
  <c r="M1712" i="1"/>
  <c r="S1712" i="1"/>
  <c r="Y1712" i="1"/>
  <c r="G1726" i="1"/>
  <c r="M1726" i="1"/>
  <c r="S1726" i="1"/>
  <c r="Y1726" i="1"/>
  <c r="G1727" i="1"/>
  <c r="M1727" i="1"/>
  <c r="S1727" i="1"/>
  <c r="Y1727" i="1"/>
  <c r="G1728" i="1"/>
  <c r="M1728" i="1"/>
  <c r="S1728" i="1"/>
  <c r="Y1728" i="1"/>
  <c r="G1729" i="1"/>
  <c r="M1729" i="1"/>
  <c r="S1729" i="1"/>
  <c r="Y1729" i="1"/>
  <c r="G1730" i="1"/>
  <c r="M1730" i="1"/>
  <c r="S1730" i="1"/>
  <c r="Y1730" i="1"/>
  <c r="G1731" i="1"/>
  <c r="M1731" i="1"/>
  <c r="S1731" i="1"/>
  <c r="Y1731" i="1"/>
  <c r="G1732" i="1"/>
  <c r="M1732" i="1"/>
  <c r="S1732" i="1"/>
  <c r="Y1732" i="1"/>
  <c r="G1733" i="1"/>
  <c r="M1733" i="1"/>
  <c r="S1733" i="1"/>
  <c r="Y1733" i="1"/>
  <c r="G1734" i="1"/>
  <c r="M1734" i="1"/>
  <c r="S1734" i="1"/>
  <c r="Y1734" i="1"/>
  <c r="G1735" i="1"/>
  <c r="M1735" i="1"/>
  <c r="S1735" i="1"/>
  <c r="Y1735" i="1"/>
  <c r="G1736" i="1"/>
  <c r="M1736" i="1"/>
  <c r="S1736" i="1"/>
  <c r="Y1736" i="1"/>
  <c r="G1737" i="1"/>
  <c r="M1737" i="1"/>
  <c r="S1737" i="1"/>
  <c r="Y1737" i="1"/>
  <c r="G1738" i="1"/>
  <c r="M1738" i="1"/>
  <c r="S1738" i="1"/>
  <c r="Y1738" i="1"/>
  <c r="G1739" i="1"/>
  <c r="M1739" i="1"/>
  <c r="S1739" i="1"/>
  <c r="Y1739" i="1"/>
  <c r="G1740" i="1"/>
  <c r="M1740" i="1"/>
  <c r="S1740" i="1"/>
  <c r="Y1740" i="1"/>
  <c r="G1741" i="1"/>
  <c r="M1741" i="1"/>
  <c r="S1741" i="1"/>
  <c r="Y1741" i="1"/>
  <c r="G1742" i="1"/>
  <c r="M1742" i="1"/>
  <c r="S1742" i="1"/>
  <c r="Y1742" i="1"/>
  <c r="G1743" i="1"/>
  <c r="M1743" i="1"/>
  <c r="S1743" i="1"/>
  <c r="Y1743" i="1"/>
  <c r="G1744" i="1"/>
  <c r="M1744" i="1"/>
  <c r="S1744" i="1"/>
  <c r="Y1744" i="1"/>
  <c r="G1745" i="1"/>
  <c r="M1745" i="1"/>
  <c r="S1745" i="1"/>
  <c r="Y1745" i="1"/>
  <c r="G1746" i="1"/>
  <c r="M1746" i="1"/>
  <c r="S1746" i="1"/>
  <c r="Y1746" i="1"/>
  <c r="G1747" i="1"/>
  <c r="M1747" i="1"/>
  <c r="S1747" i="1"/>
  <c r="Y1747" i="1"/>
  <c r="G1748" i="1"/>
  <c r="M1748" i="1"/>
  <c r="S1748" i="1"/>
  <c r="Y1748" i="1"/>
  <c r="G1749" i="1"/>
  <c r="M1749" i="1"/>
  <c r="S1749" i="1"/>
  <c r="Y1749" i="1"/>
  <c r="AH1685" i="1"/>
  <c r="AN1685" i="1"/>
  <c r="AT1685" i="1"/>
  <c r="AZ1685" i="1"/>
  <c r="AH1709" i="1"/>
  <c r="AN1709" i="1"/>
  <c r="AT1709" i="1"/>
  <c r="AZ1709" i="1"/>
  <c r="AH1726" i="1"/>
  <c r="AN1726" i="1"/>
  <c r="AT1726" i="1"/>
  <c r="AZ1726" i="1"/>
  <c r="AH1728" i="1"/>
  <c r="AN1728" i="1"/>
  <c r="AT1728" i="1"/>
  <c r="AZ1728" i="1"/>
  <c r="AH1729" i="1"/>
  <c r="AN1729" i="1"/>
  <c r="AT1729" i="1"/>
  <c r="AZ1729" i="1"/>
  <c r="AH1731" i="1"/>
  <c r="AN1731" i="1"/>
  <c r="AT1731" i="1"/>
  <c r="AZ1731" i="1"/>
  <c r="AH1732" i="1"/>
  <c r="AN1732" i="1"/>
  <c r="AT1732" i="1"/>
  <c r="AZ1732" i="1"/>
  <c r="AH1750" i="1"/>
  <c r="AN1750" i="1"/>
  <c r="AT1750" i="1"/>
  <c r="AZ1750" i="1"/>
  <c r="AH1751" i="1"/>
  <c r="AN1751" i="1"/>
  <c r="AT1751" i="1"/>
  <c r="AZ1751" i="1"/>
  <c r="X1752" i="1"/>
  <c r="W1752" i="1"/>
  <c r="V1752" i="1"/>
  <c r="U1752" i="1"/>
  <c r="T1752" i="1"/>
  <c r="R1752" i="1"/>
  <c r="Q1752" i="1"/>
  <c r="P1752" i="1"/>
  <c r="O1752" i="1"/>
  <c r="N1752" i="1"/>
  <c r="L1752" i="1"/>
  <c r="K1752" i="1"/>
  <c r="J1752" i="1"/>
  <c r="I1752" i="1"/>
  <c r="H1752" i="1"/>
  <c r="F1752" i="1"/>
  <c r="E1752" i="1"/>
  <c r="D1752" i="1"/>
  <c r="C1752" i="1"/>
  <c r="B1752" i="1"/>
  <c r="Y1750" i="1"/>
  <c r="S1750" i="1"/>
  <c r="M1750" i="1"/>
  <c r="G1750" i="1"/>
  <c r="AZ1749" i="1"/>
  <c r="AT1749" i="1"/>
  <c r="AN1749" i="1"/>
  <c r="AH1749" i="1"/>
  <c r="AZ1747" i="1"/>
  <c r="AT1747" i="1"/>
  <c r="AN1747" i="1"/>
  <c r="AH1747" i="1"/>
  <c r="AZ1746" i="1"/>
  <c r="AT1746" i="1"/>
  <c r="AN1746" i="1"/>
  <c r="AH1746" i="1"/>
  <c r="AZ1745" i="1"/>
  <c r="AT1745" i="1"/>
  <c r="AN1745" i="1"/>
  <c r="AH1745" i="1"/>
  <c r="AZ1744" i="1"/>
  <c r="AT1744" i="1"/>
  <c r="AN1744" i="1"/>
  <c r="AH1744" i="1"/>
  <c r="AZ1743" i="1"/>
  <c r="AT1743" i="1"/>
  <c r="AN1743" i="1"/>
  <c r="AH1743" i="1"/>
  <c r="AZ1742" i="1"/>
  <c r="AT1742" i="1"/>
  <c r="AN1742" i="1"/>
  <c r="AH1742" i="1"/>
  <c r="AZ1741" i="1"/>
  <c r="AT1741" i="1"/>
  <c r="AN1741" i="1"/>
  <c r="AH1741" i="1"/>
  <c r="AZ1740" i="1"/>
  <c r="AT1740" i="1"/>
  <c r="AN1740" i="1"/>
  <c r="AH1740" i="1"/>
  <c r="AZ1739" i="1"/>
  <c r="AT1739" i="1"/>
  <c r="AN1739" i="1"/>
  <c r="AH1739" i="1"/>
  <c r="AZ1738" i="1"/>
  <c r="AT1738" i="1"/>
  <c r="AN1738" i="1"/>
  <c r="AH1738" i="1"/>
  <c r="AZ1737" i="1"/>
  <c r="AT1737" i="1"/>
  <c r="AN1737" i="1"/>
  <c r="AH1737" i="1"/>
  <c r="AZ1736" i="1"/>
  <c r="AT1736" i="1"/>
  <c r="AN1736" i="1"/>
  <c r="AH1736" i="1"/>
  <c r="AZ1735" i="1"/>
  <c r="AT1735" i="1"/>
  <c r="AN1735" i="1"/>
  <c r="AH1735" i="1"/>
  <c r="AZ1734" i="1"/>
  <c r="AT1734" i="1"/>
  <c r="AN1734" i="1"/>
  <c r="AH1734" i="1"/>
  <c r="AZ1733" i="1"/>
  <c r="AT1733" i="1"/>
  <c r="AN1733" i="1"/>
  <c r="AH1733" i="1"/>
  <c r="Y1724" i="1"/>
  <c r="S1724" i="1"/>
  <c r="M1724" i="1"/>
  <c r="G1724" i="1"/>
  <c r="AZ1723" i="1"/>
  <c r="AT1723" i="1"/>
  <c r="AN1723" i="1"/>
  <c r="AH1723" i="1"/>
  <c r="Y1723" i="1"/>
  <c r="S1723" i="1"/>
  <c r="M1723" i="1"/>
  <c r="G1723" i="1"/>
  <c r="AZ1722" i="1"/>
  <c r="AT1722" i="1"/>
  <c r="AN1722" i="1"/>
  <c r="AH1722" i="1"/>
  <c r="Y1722" i="1"/>
  <c r="S1722" i="1"/>
  <c r="M1722" i="1"/>
  <c r="G1722" i="1"/>
  <c r="AZ1721" i="1"/>
  <c r="AT1721" i="1"/>
  <c r="AN1721" i="1"/>
  <c r="AH1721" i="1"/>
  <c r="Y1721" i="1"/>
  <c r="S1721" i="1"/>
  <c r="M1721" i="1"/>
  <c r="G1721" i="1"/>
  <c r="AZ1693" i="1"/>
  <c r="AT1693" i="1"/>
  <c r="AN1693" i="1"/>
  <c r="AH1693" i="1"/>
  <c r="AZ1691" i="1"/>
  <c r="AT1691" i="1"/>
  <c r="AN1691" i="1"/>
  <c r="AH1691" i="1"/>
  <c r="D1693" i="1"/>
  <c r="D1713" i="1" s="1"/>
  <c r="AZ1688" i="1"/>
  <c r="AT1688" i="1"/>
  <c r="AN1688" i="1"/>
  <c r="AH1688" i="1"/>
  <c r="G1673" i="1"/>
  <c r="M1673" i="1"/>
  <c r="S1673" i="1"/>
  <c r="Y1673" i="1"/>
  <c r="AH1670" i="1"/>
  <c r="AN1670" i="1"/>
  <c r="AT1670" i="1"/>
  <c r="AZ1670" i="1"/>
  <c r="AH1671" i="1"/>
  <c r="AN1671" i="1"/>
  <c r="AT1671" i="1"/>
  <c r="AZ1671" i="1"/>
  <c r="AH1672" i="1"/>
  <c r="AN1672" i="1"/>
  <c r="AT1672" i="1"/>
  <c r="AZ1672" i="1"/>
  <c r="AZ1673" i="1"/>
  <c r="AT1673" i="1"/>
  <c r="AN1673" i="1"/>
  <c r="AH1673" i="1"/>
  <c r="AH1646" i="1"/>
  <c r="AN1646" i="1"/>
  <c r="AT1646" i="1"/>
  <c r="AZ1646" i="1"/>
  <c r="AH1687" i="1"/>
  <c r="AN1687" i="1"/>
  <c r="AT1687" i="1"/>
  <c r="AZ1687" i="1"/>
  <c r="AH1689" i="1"/>
  <c r="AN1689" i="1"/>
  <c r="AT1689" i="1"/>
  <c r="AZ1689" i="1"/>
  <c r="AH1690" i="1"/>
  <c r="AN1690" i="1"/>
  <c r="AT1690" i="1"/>
  <c r="AZ1690" i="1"/>
  <c r="AH1710" i="1"/>
  <c r="AN1710" i="1"/>
  <c r="AT1710" i="1"/>
  <c r="AZ1710" i="1"/>
  <c r="G1687" i="1"/>
  <c r="M1687" i="1"/>
  <c r="S1687" i="1"/>
  <c r="Y1687" i="1"/>
  <c r="G1688" i="1"/>
  <c r="M1688" i="1"/>
  <c r="S1688" i="1"/>
  <c r="Y1688" i="1"/>
  <c r="G1689" i="1"/>
  <c r="M1689" i="1"/>
  <c r="S1689" i="1"/>
  <c r="Y1689" i="1"/>
  <c r="G1690" i="1"/>
  <c r="M1690" i="1"/>
  <c r="Z1690" i="1" s="1"/>
  <c r="S1690" i="1"/>
  <c r="Y1690" i="1"/>
  <c r="G1691" i="1"/>
  <c r="M1691" i="1"/>
  <c r="S1691" i="1"/>
  <c r="Y1691" i="1"/>
  <c r="G1692" i="1"/>
  <c r="M1692" i="1"/>
  <c r="S1692" i="1"/>
  <c r="Y1692" i="1"/>
  <c r="M1693" i="1"/>
  <c r="S1693" i="1"/>
  <c r="Y1693" i="1"/>
  <c r="G1694" i="1"/>
  <c r="M1694" i="1"/>
  <c r="S1694" i="1"/>
  <c r="Y1694" i="1"/>
  <c r="G1695" i="1"/>
  <c r="M1695" i="1"/>
  <c r="S1695" i="1"/>
  <c r="Y1695" i="1"/>
  <c r="G1696" i="1"/>
  <c r="M1696" i="1"/>
  <c r="S1696" i="1"/>
  <c r="Y1696" i="1"/>
  <c r="G1697" i="1"/>
  <c r="M1697" i="1"/>
  <c r="S1697" i="1"/>
  <c r="Y1697" i="1"/>
  <c r="G1698" i="1"/>
  <c r="M1698" i="1"/>
  <c r="S1698" i="1"/>
  <c r="Y1698" i="1"/>
  <c r="G1699" i="1"/>
  <c r="M1699" i="1"/>
  <c r="S1699" i="1"/>
  <c r="Y1699" i="1"/>
  <c r="G1700" i="1"/>
  <c r="M1700" i="1"/>
  <c r="S1700" i="1"/>
  <c r="Y1700" i="1"/>
  <c r="G1701" i="1"/>
  <c r="M1701" i="1"/>
  <c r="S1701" i="1"/>
  <c r="Y1701" i="1"/>
  <c r="G1702" i="1"/>
  <c r="M1702" i="1"/>
  <c r="S1702" i="1"/>
  <c r="Y1702" i="1"/>
  <c r="G1703" i="1"/>
  <c r="M1703" i="1"/>
  <c r="S1703" i="1"/>
  <c r="Y1703" i="1"/>
  <c r="G1704" i="1"/>
  <c r="M1704" i="1"/>
  <c r="S1704" i="1"/>
  <c r="Y1704" i="1"/>
  <c r="G1705" i="1"/>
  <c r="M1705" i="1"/>
  <c r="S1705" i="1"/>
  <c r="Y1705" i="1"/>
  <c r="G1706" i="1"/>
  <c r="M1706" i="1"/>
  <c r="S1706" i="1"/>
  <c r="Y1706" i="1"/>
  <c r="G1707" i="1"/>
  <c r="M1707" i="1"/>
  <c r="S1707" i="1"/>
  <c r="Y1707" i="1"/>
  <c r="G1708" i="1"/>
  <c r="M1708" i="1"/>
  <c r="S1708" i="1"/>
  <c r="Y1708" i="1"/>
  <c r="G1709" i="1"/>
  <c r="M1709" i="1"/>
  <c r="S1709" i="1"/>
  <c r="Y1709" i="1"/>
  <c r="G1710" i="1"/>
  <c r="M1710" i="1"/>
  <c r="S1710" i="1"/>
  <c r="Y1710" i="1"/>
  <c r="X1713" i="1"/>
  <c r="W1713" i="1"/>
  <c r="V1713" i="1"/>
  <c r="U1713" i="1"/>
  <c r="T1713" i="1"/>
  <c r="R1713" i="1"/>
  <c r="Q1713" i="1"/>
  <c r="P1713" i="1"/>
  <c r="O1713" i="1"/>
  <c r="N1713" i="1"/>
  <c r="L1713" i="1"/>
  <c r="K1713" i="1"/>
  <c r="J1713" i="1"/>
  <c r="I1713" i="1"/>
  <c r="H1713" i="1"/>
  <c r="F1713" i="1"/>
  <c r="E1713" i="1"/>
  <c r="C1713" i="1"/>
  <c r="B1713" i="1"/>
  <c r="AZ1712" i="1"/>
  <c r="AT1712" i="1"/>
  <c r="AN1712" i="1"/>
  <c r="AH1712" i="1"/>
  <c r="AZ1711" i="1"/>
  <c r="AT1711" i="1"/>
  <c r="AN1711" i="1"/>
  <c r="AH1711" i="1"/>
  <c r="Y1711" i="1"/>
  <c r="S1711" i="1"/>
  <c r="M1711" i="1"/>
  <c r="G1711" i="1"/>
  <c r="AZ1708" i="1"/>
  <c r="AT1708" i="1"/>
  <c r="AN1708" i="1"/>
  <c r="AH1708" i="1"/>
  <c r="AZ1707" i="1"/>
  <c r="AT1707" i="1"/>
  <c r="AN1707" i="1"/>
  <c r="AH1707" i="1"/>
  <c r="AZ1706" i="1"/>
  <c r="AT1706" i="1"/>
  <c r="AN1706" i="1"/>
  <c r="AH1706" i="1"/>
  <c r="AZ1705" i="1"/>
  <c r="AT1705" i="1"/>
  <c r="AN1705" i="1"/>
  <c r="AH1705" i="1"/>
  <c r="AZ1704" i="1"/>
  <c r="AT1704" i="1"/>
  <c r="AN1704" i="1"/>
  <c r="AH1704" i="1"/>
  <c r="AZ1703" i="1"/>
  <c r="AT1703" i="1"/>
  <c r="AN1703" i="1"/>
  <c r="AH1703" i="1"/>
  <c r="AZ1702" i="1"/>
  <c r="AT1702" i="1"/>
  <c r="AN1702" i="1"/>
  <c r="AH1702" i="1"/>
  <c r="AZ1701" i="1"/>
  <c r="AT1701" i="1"/>
  <c r="AN1701" i="1"/>
  <c r="AH1701" i="1"/>
  <c r="AZ1700" i="1"/>
  <c r="AT1700" i="1"/>
  <c r="AN1700" i="1"/>
  <c r="AH1700" i="1"/>
  <c r="AZ1699" i="1"/>
  <c r="AT1699" i="1"/>
  <c r="AN1699" i="1"/>
  <c r="AH1699" i="1"/>
  <c r="AZ1698" i="1"/>
  <c r="AT1698" i="1"/>
  <c r="AN1698" i="1"/>
  <c r="AH1698" i="1"/>
  <c r="AZ1697" i="1"/>
  <c r="AT1697" i="1"/>
  <c r="AN1697" i="1"/>
  <c r="AH1697" i="1"/>
  <c r="AZ1696" i="1"/>
  <c r="AT1696" i="1"/>
  <c r="AN1696" i="1"/>
  <c r="AH1696" i="1"/>
  <c r="AZ1695" i="1"/>
  <c r="AT1695" i="1"/>
  <c r="AN1695" i="1"/>
  <c r="AH1695" i="1"/>
  <c r="AZ1694" i="1"/>
  <c r="AT1694" i="1"/>
  <c r="AN1694" i="1"/>
  <c r="AH1694" i="1"/>
  <c r="AZ1692" i="1"/>
  <c r="AT1692" i="1"/>
  <c r="AN1692" i="1"/>
  <c r="AH1692" i="1"/>
  <c r="Y1685" i="1"/>
  <c r="S1685" i="1"/>
  <c r="M1685" i="1"/>
  <c r="G1685" i="1"/>
  <c r="AZ1684" i="1"/>
  <c r="AT1684" i="1"/>
  <c r="AN1684" i="1"/>
  <c r="AH1684" i="1"/>
  <c r="Y1684" i="1"/>
  <c r="S1684" i="1"/>
  <c r="M1684" i="1"/>
  <c r="G1684" i="1"/>
  <c r="AZ1683" i="1"/>
  <c r="AT1683" i="1"/>
  <c r="AN1683" i="1"/>
  <c r="AH1683" i="1"/>
  <c r="Y1683" i="1"/>
  <c r="S1683" i="1"/>
  <c r="M1683" i="1"/>
  <c r="G1683" i="1"/>
  <c r="AZ1682" i="1"/>
  <c r="AT1682" i="1"/>
  <c r="AN1682" i="1"/>
  <c r="AH1682" i="1"/>
  <c r="Y1682" i="1"/>
  <c r="S1682" i="1"/>
  <c r="M1682" i="1"/>
  <c r="G1682" i="1"/>
  <c r="AH1660" i="1"/>
  <c r="AN1660" i="1"/>
  <c r="AT1660" i="1"/>
  <c r="AZ1660" i="1"/>
  <c r="AH1661" i="1"/>
  <c r="AN1661" i="1"/>
  <c r="AT1661" i="1"/>
  <c r="AZ1661" i="1"/>
  <c r="AH1662" i="1"/>
  <c r="AN1662" i="1"/>
  <c r="AT1662" i="1"/>
  <c r="AZ1662" i="1"/>
  <c r="AH1663" i="1"/>
  <c r="AN1663" i="1"/>
  <c r="AT1663" i="1"/>
  <c r="AZ1663" i="1"/>
  <c r="AH1664" i="1"/>
  <c r="AN1664" i="1"/>
  <c r="AT1664" i="1"/>
  <c r="AZ1664" i="1"/>
  <c r="AZ1651" i="1"/>
  <c r="AT1651" i="1"/>
  <c r="AN1651" i="1"/>
  <c r="AH1651" i="1"/>
  <c r="AZ1649" i="1"/>
  <c r="AT1649" i="1"/>
  <c r="AN1649" i="1"/>
  <c r="AH1649" i="1"/>
  <c r="AZ1618" i="1"/>
  <c r="AT1618" i="1"/>
  <c r="AN1618" i="1"/>
  <c r="AH1618" i="1"/>
  <c r="AH1607" i="1"/>
  <c r="BA1607" i="1" s="1"/>
  <c r="AN1607" i="1"/>
  <c r="AT1607" i="1"/>
  <c r="AZ1607" i="1"/>
  <c r="AZ1633" i="1"/>
  <c r="AT1633" i="1"/>
  <c r="AN1633" i="1"/>
  <c r="AH1633" i="1"/>
  <c r="AZ1632" i="1"/>
  <c r="AT1632" i="1"/>
  <c r="AN1632" i="1"/>
  <c r="AH1632" i="1"/>
  <c r="AZ1631" i="1"/>
  <c r="AT1631" i="1"/>
  <c r="AN1631" i="1"/>
  <c r="AH1631" i="1"/>
  <c r="AZ1630" i="1"/>
  <c r="AT1630" i="1"/>
  <c r="AN1630" i="1"/>
  <c r="AH1630" i="1"/>
  <c r="AZ1629" i="1"/>
  <c r="AT1629" i="1"/>
  <c r="AN1629" i="1"/>
  <c r="AH1629" i="1"/>
  <c r="AZ1628" i="1"/>
  <c r="AT1628" i="1"/>
  <c r="AN1628" i="1"/>
  <c r="AH1628" i="1"/>
  <c r="AZ1627" i="1"/>
  <c r="AT1627" i="1"/>
  <c r="AN1627" i="1"/>
  <c r="AH1627" i="1"/>
  <c r="AZ1634" i="1"/>
  <c r="AT1634" i="1"/>
  <c r="AN1634" i="1"/>
  <c r="AH1634" i="1"/>
  <c r="AH1645" i="1"/>
  <c r="AN1645" i="1"/>
  <c r="AT1645" i="1"/>
  <c r="AZ1645" i="1"/>
  <c r="AH1648" i="1"/>
  <c r="AN1648" i="1"/>
  <c r="AT1648" i="1"/>
  <c r="AZ1648" i="1"/>
  <c r="AH1650" i="1"/>
  <c r="AN1650" i="1"/>
  <c r="AT1650" i="1"/>
  <c r="AZ1650" i="1"/>
  <c r="AH1652" i="1"/>
  <c r="AN1652" i="1"/>
  <c r="AT1652" i="1"/>
  <c r="AZ1652" i="1"/>
  <c r="AH1653" i="1"/>
  <c r="AN1653" i="1"/>
  <c r="AT1653" i="1"/>
  <c r="AZ1653" i="1"/>
  <c r="AH1654" i="1"/>
  <c r="AN1654" i="1"/>
  <c r="AT1654" i="1"/>
  <c r="AZ1654" i="1"/>
  <c r="AH1655" i="1"/>
  <c r="AN1655" i="1"/>
  <c r="AT1655" i="1"/>
  <c r="AZ1655" i="1"/>
  <c r="AH1656" i="1"/>
  <c r="AN1656" i="1"/>
  <c r="AT1656" i="1"/>
  <c r="AZ1656" i="1"/>
  <c r="AH1657" i="1"/>
  <c r="AN1657" i="1"/>
  <c r="AT1657" i="1"/>
  <c r="AZ1657" i="1"/>
  <c r="AH1658" i="1"/>
  <c r="AN1658" i="1"/>
  <c r="AT1658" i="1"/>
  <c r="AZ1658" i="1"/>
  <c r="AH1659" i="1"/>
  <c r="AN1659" i="1"/>
  <c r="AT1659" i="1"/>
  <c r="AZ1659" i="1"/>
  <c r="AH1665" i="1"/>
  <c r="AN1665" i="1"/>
  <c r="AT1665" i="1"/>
  <c r="AZ1665" i="1"/>
  <c r="AH1666" i="1"/>
  <c r="AN1666" i="1"/>
  <c r="AT1666" i="1"/>
  <c r="AZ1666" i="1"/>
  <c r="AH1667" i="1"/>
  <c r="AN1667" i="1"/>
  <c r="AT1667" i="1"/>
  <c r="AZ1667" i="1"/>
  <c r="AH1668" i="1"/>
  <c r="AN1668" i="1"/>
  <c r="AT1668" i="1"/>
  <c r="AZ1668" i="1"/>
  <c r="AH1669" i="1"/>
  <c r="AN1669" i="1"/>
  <c r="AT1669" i="1"/>
  <c r="AZ1669" i="1"/>
  <c r="G1648" i="1"/>
  <c r="M1648" i="1"/>
  <c r="S1648" i="1"/>
  <c r="Y1648" i="1"/>
  <c r="G1649" i="1"/>
  <c r="M1649" i="1"/>
  <c r="S1649" i="1"/>
  <c r="Y1649" i="1"/>
  <c r="G1650" i="1"/>
  <c r="M1650" i="1"/>
  <c r="S1650" i="1"/>
  <c r="Y1650" i="1"/>
  <c r="G1651" i="1"/>
  <c r="M1651" i="1"/>
  <c r="S1651" i="1"/>
  <c r="Y1651" i="1"/>
  <c r="G1652" i="1"/>
  <c r="M1652" i="1"/>
  <c r="S1652" i="1"/>
  <c r="Y1652" i="1"/>
  <c r="G1653" i="1"/>
  <c r="M1653" i="1"/>
  <c r="S1653" i="1"/>
  <c r="Y1653" i="1"/>
  <c r="G1654" i="1"/>
  <c r="M1654" i="1"/>
  <c r="S1654" i="1"/>
  <c r="Y1654" i="1"/>
  <c r="G1655" i="1"/>
  <c r="M1655" i="1"/>
  <c r="S1655" i="1"/>
  <c r="Y1655" i="1"/>
  <c r="G1656" i="1"/>
  <c r="M1656" i="1"/>
  <c r="S1656" i="1"/>
  <c r="Y1656" i="1"/>
  <c r="G1657" i="1"/>
  <c r="M1657" i="1"/>
  <c r="S1657" i="1"/>
  <c r="Y1657" i="1"/>
  <c r="G1658" i="1"/>
  <c r="M1658" i="1"/>
  <c r="S1658" i="1"/>
  <c r="Y1658" i="1"/>
  <c r="G1659" i="1"/>
  <c r="M1659" i="1"/>
  <c r="S1659" i="1"/>
  <c r="Y1659" i="1"/>
  <c r="G1660" i="1"/>
  <c r="M1660" i="1"/>
  <c r="S1660" i="1"/>
  <c r="Y1660" i="1"/>
  <c r="G1661" i="1"/>
  <c r="M1661" i="1"/>
  <c r="S1661" i="1"/>
  <c r="Y1661" i="1"/>
  <c r="G1662" i="1"/>
  <c r="M1662" i="1"/>
  <c r="S1662" i="1"/>
  <c r="Y1662" i="1"/>
  <c r="G1663" i="1"/>
  <c r="M1663" i="1"/>
  <c r="S1663" i="1"/>
  <c r="Y1663" i="1"/>
  <c r="G1664" i="1"/>
  <c r="M1664" i="1"/>
  <c r="S1664" i="1"/>
  <c r="Y1664" i="1"/>
  <c r="G1665" i="1"/>
  <c r="M1665" i="1"/>
  <c r="S1665" i="1"/>
  <c r="Y1665" i="1"/>
  <c r="G1666" i="1"/>
  <c r="M1666" i="1"/>
  <c r="S1666" i="1"/>
  <c r="Y1666" i="1"/>
  <c r="G1667" i="1"/>
  <c r="M1667" i="1"/>
  <c r="S1667" i="1"/>
  <c r="Y1667" i="1"/>
  <c r="G1668" i="1"/>
  <c r="M1668" i="1"/>
  <c r="S1668" i="1"/>
  <c r="Y1668" i="1"/>
  <c r="G1669" i="1"/>
  <c r="M1669" i="1"/>
  <c r="S1669" i="1"/>
  <c r="Y1669" i="1"/>
  <c r="G1670" i="1"/>
  <c r="M1670" i="1"/>
  <c r="S1670" i="1"/>
  <c r="Y1670" i="1"/>
  <c r="G1671" i="1"/>
  <c r="M1671" i="1"/>
  <c r="S1671" i="1"/>
  <c r="Y1671" i="1"/>
  <c r="AY1674" i="1"/>
  <c r="AX1674" i="1"/>
  <c r="AW1674" i="1"/>
  <c r="AV1674" i="1"/>
  <c r="AU1674" i="1"/>
  <c r="AS1674" i="1"/>
  <c r="AR1674" i="1"/>
  <c r="AQ1674" i="1"/>
  <c r="AP1674" i="1"/>
  <c r="AO1674" i="1"/>
  <c r="AM1674" i="1"/>
  <c r="AL1674" i="1"/>
  <c r="AK1674" i="1"/>
  <c r="AJ1674" i="1"/>
  <c r="AI1674" i="1"/>
  <c r="AG1674" i="1"/>
  <c r="AF1674" i="1"/>
  <c r="AE1674" i="1"/>
  <c r="AD1674" i="1"/>
  <c r="AC1674" i="1"/>
  <c r="X1674" i="1"/>
  <c r="W1674" i="1"/>
  <c r="V1674" i="1"/>
  <c r="U1674" i="1"/>
  <c r="T1674" i="1"/>
  <c r="R1674" i="1"/>
  <c r="Q1674" i="1"/>
  <c r="P1674" i="1"/>
  <c r="O1674" i="1"/>
  <c r="N1674" i="1"/>
  <c r="L1674" i="1"/>
  <c r="K1674" i="1"/>
  <c r="J1674" i="1"/>
  <c r="I1674" i="1"/>
  <c r="H1674" i="1"/>
  <c r="F1674" i="1"/>
  <c r="E1674" i="1"/>
  <c r="D1674" i="1"/>
  <c r="C1674" i="1"/>
  <c r="B1674" i="1"/>
  <c r="Y1672" i="1"/>
  <c r="S1672" i="1"/>
  <c r="M1672" i="1"/>
  <c r="G1672" i="1"/>
  <c r="Y1646" i="1"/>
  <c r="S1646" i="1"/>
  <c r="M1646" i="1"/>
  <c r="G1646" i="1"/>
  <c r="Y1645" i="1"/>
  <c r="S1645" i="1"/>
  <c r="M1645" i="1"/>
  <c r="G1645" i="1"/>
  <c r="AZ1644" i="1"/>
  <c r="AT1644" i="1"/>
  <c r="AN1644" i="1"/>
  <c r="AH1644" i="1"/>
  <c r="Y1644" i="1"/>
  <c r="S1644" i="1"/>
  <c r="M1644" i="1"/>
  <c r="G1644" i="1"/>
  <c r="AZ1643" i="1"/>
  <c r="AT1643" i="1"/>
  <c r="AN1643" i="1"/>
  <c r="AH1643" i="1"/>
  <c r="Y1643" i="1"/>
  <c r="S1643" i="1"/>
  <c r="M1643" i="1"/>
  <c r="G1643" i="1"/>
  <c r="AZ1615" i="1"/>
  <c r="AT1615" i="1"/>
  <c r="AN1615" i="1"/>
  <c r="AH1615" i="1"/>
  <c r="AZ1613" i="1"/>
  <c r="AT1613" i="1"/>
  <c r="AN1613" i="1"/>
  <c r="AH1613" i="1"/>
  <c r="AZ1611" i="1"/>
  <c r="AT1611" i="1"/>
  <c r="AN1611" i="1"/>
  <c r="AH1611" i="1"/>
  <c r="AZ1610" i="1"/>
  <c r="AT1610" i="1"/>
  <c r="AN1610" i="1"/>
  <c r="AH1610" i="1"/>
  <c r="G1595" i="1"/>
  <c r="M1595" i="1"/>
  <c r="S1595" i="1"/>
  <c r="Y1595" i="1"/>
  <c r="AH1591" i="1"/>
  <c r="AN1591" i="1"/>
  <c r="AT1591" i="1"/>
  <c r="AZ1591" i="1"/>
  <c r="AH1592" i="1"/>
  <c r="AN1592" i="1"/>
  <c r="AT1592" i="1"/>
  <c r="AZ1592" i="1"/>
  <c r="AH1593" i="1"/>
  <c r="AN1593" i="1"/>
  <c r="AT1593" i="1"/>
  <c r="AZ1593" i="1"/>
  <c r="AZ1595" i="1"/>
  <c r="AT1595" i="1"/>
  <c r="AN1595" i="1"/>
  <c r="AH1595" i="1"/>
  <c r="AZ1594" i="1"/>
  <c r="AT1594" i="1"/>
  <c r="AN1594" i="1"/>
  <c r="AH1594" i="1"/>
  <c r="AH1572" i="1"/>
  <c r="AN1572" i="1"/>
  <c r="AT1572" i="1"/>
  <c r="AZ1572" i="1"/>
  <c r="AZ1571" i="1"/>
  <c r="AT1571" i="1"/>
  <c r="AN1571" i="1"/>
  <c r="AH1571" i="1"/>
  <c r="AZ1570" i="1"/>
  <c r="AT1570" i="1"/>
  <c r="AN1570" i="1"/>
  <c r="AH1570" i="1"/>
  <c r="AH1568" i="1"/>
  <c r="AN1568" i="1"/>
  <c r="AT1568" i="1"/>
  <c r="AZ1568" i="1"/>
  <c r="AY1635" i="1"/>
  <c r="AX1635" i="1"/>
  <c r="AW1635" i="1"/>
  <c r="AV1635" i="1"/>
  <c r="AU1635" i="1"/>
  <c r="AS1635" i="1"/>
  <c r="AR1635" i="1"/>
  <c r="AQ1635" i="1"/>
  <c r="AP1635" i="1"/>
  <c r="AO1635" i="1"/>
  <c r="AM1635" i="1"/>
  <c r="AL1635" i="1"/>
  <c r="AK1635" i="1"/>
  <c r="AJ1635" i="1"/>
  <c r="AI1635" i="1"/>
  <c r="AG1635" i="1"/>
  <c r="AF1635" i="1"/>
  <c r="AE1635" i="1"/>
  <c r="AD1635" i="1"/>
  <c r="AC1635" i="1"/>
  <c r="X1635" i="1"/>
  <c r="W1635" i="1"/>
  <c r="V1635" i="1"/>
  <c r="U1635" i="1"/>
  <c r="T1635" i="1"/>
  <c r="R1635" i="1"/>
  <c r="Q1635" i="1"/>
  <c r="P1635" i="1"/>
  <c r="O1635" i="1"/>
  <c r="N1635" i="1"/>
  <c r="L1635" i="1"/>
  <c r="K1635" i="1"/>
  <c r="J1635" i="1"/>
  <c r="I1635" i="1"/>
  <c r="H1635" i="1"/>
  <c r="F1635" i="1"/>
  <c r="E1635" i="1"/>
  <c r="D1635" i="1"/>
  <c r="C1635" i="1"/>
  <c r="B1635" i="1"/>
  <c r="Y1634" i="1"/>
  <c r="S1634" i="1"/>
  <c r="M1634" i="1"/>
  <c r="G1634" i="1"/>
  <c r="Y1633" i="1"/>
  <c r="S1633" i="1"/>
  <c r="M1633" i="1"/>
  <c r="G1633" i="1"/>
  <c r="Y1632" i="1"/>
  <c r="S1632" i="1"/>
  <c r="M1632" i="1"/>
  <c r="G1632" i="1"/>
  <c r="Y1631" i="1"/>
  <c r="S1631" i="1"/>
  <c r="M1631" i="1"/>
  <c r="G1631" i="1"/>
  <c r="Y1630" i="1"/>
  <c r="S1630" i="1"/>
  <c r="M1630" i="1"/>
  <c r="G1630" i="1"/>
  <c r="Y1629" i="1"/>
  <c r="S1629" i="1"/>
  <c r="M1629" i="1"/>
  <c r="G1629" i="1"/>
  <c r="Y1628" i="1"/>
  <c r="S1628" i="1"/>
  <c r="M1628" i="1"/>
  <c r="G1628" i="1"/>
  <c r="Y1627" i="1"/>
  <c r="S1627" i="1"/>
  <c r="M1627" i="1"/>
  <c r="G1627" i="1"/>
  <c r="AZ1626" i="1"/>
  <c r="AT1626" i="1"/>
  <c r="AN1626" i="1"/>
  <c r="AH1626" i="1"/>
  <c r="Y1626" i="1"/>
  <c r="S1626" i="1"/>
  <c r="M1626" i="1"/>
  <c r="G1626" i="1"/>
  <c r="AZ1625" i="1"/>
  <c r="AT1625" i="1"/>
  <c r="AN1625" i="1"/>
  <c r="AH1625" i="1"/>
  <c r="Y1625" i="1"/>
  <c r="S1625" i="1"/>
  <c r="M1625" i="1"/>
  <c r="G1625" i="1"/>
  <c r="AZ1624" i="1"/>
  <c r="AT1624" i="1"/>
  <c r="AN1624" i="1"/>
  <c r="AH1624" i="1"/>
  <c r="Y1624" i="1"/>
  <c r="S1624" i="1"/>
  <c r="M1624" i="1"/>
  <c r="G1624" i="1"/>
  <c r="AZ1623" i="1"/>
  <c r="AT1623" i="1"/>
  <c r="AN1623" i="1"/>
  <c r="AH1623" i="1"/>
  <c r="Y1623" i="1"/>
  <c r="S1623" i="1"/>
  <c r="M1623" i="1"/>
  <c r="G1623" i="1"/>
  <c r="AZ1622" i="1"/>
  <c r="AT1622" i="1"/>
  <c r="AN1622" i="1"/>
  <c r="AH1622" i="1"/>
  <c r="Y1622" i="1"/>
  <c r="S1622" i="1"/>
  <c r="M1622" i="1"/>
  <c r="G1622" i="1"/>
  <c r="AZ1621" i="1"/>
  <c r="AT1621" i="1"/>
  <c r="AN1621" i="1"/>
  <c r="AH1621" i="1"/>
  <c r="Y1621" i="1"/>
  <c r="S1621" i="1"/>
  <c r="M1621" i="1"/>
  <c r="G1621" i="1"/>
  <c r="AZ1620" i="1"/>
  <c r="AT1620" i="1"/>
  <c r="AN1620" i="1"/>
  <c r="AH1620" i="1"/>
  <c r="Y1620" i="1"/>
  <c r="S1620" i="1"/>
  <c r="M1620" i="1"/>
  <c r="G1620" i="1"/>
  <c r="AZ1619" i="1"/>
  <c r="AT1619" i="1"/>
  <c r="AN1619" i="1"/>
  <c r="AH1619" i="1"/>
  <c r="Y1619" i="1"/>
  <c r="S1619" i="1"/>
  <c r="M1619" i="1"/>
  <c r="G1619" i="1"/>
  <c r="Y1618" i="1"/>
  <c r="S1618" i="1"/>
  <c r="M1618" i="1"/>
  <c r="G1618" i="1"/>
  <c r="AZ1617" i="1"/>
  <c r="AT1617" i="1"/>
  <c r="AN1617" i="1"/>
  <c r="AH1617" i="1"/>
  <c r="Y1617" i="1"/>
  <c r="S1617" i="1"/>
  <c r="M1617" i="1"/>
  <c r="G1617" i="1"/>
  <c r="AZ1616" i="1"/>
  <c r="AT1616" i="1"/>
  <c r="AN1616" i="1"/>
  <c r="AH1616" i="1"/>
  <c r="Y1616" i="1"/>
  <c r="S1616" i="1"/>
  <c r="M1616" i="1"/>
  <c r="G1616" i="1"/>
  <c r="Y1615" i="1"/>
  <c r="S1615" i="1"/>
  <c r="M1615" i="1"/>
  <c r="G1615" i="1"/>
  <c r="AZ1614" i="1"/>
  <c r="AT1614" i="1"/>
  <c r="AN1614" i="1"/>
  <c r="AH1614" i="1"/>
  <c r="Y1614" i="1"/>
  <c r="S1614" i="1"/>
  <c r="M1614" i="1"/>
  <c r="G1614" i="1"/>
  <c r="Y1613" i="1"/>
  <c r="S1613" i="1"/>
  <c r="M1613" i="1"/>
  <c r="G1613" i="1"/>
  <c r="AZ1612" i="1"/>
  <c r="AT1612" i="1"/>
  <c r="AN1612" i="1"/>
  <c r="AH1612" i="1"/>
  <c r="Y1612" i="1"/>
  <c r="S1612" i="1"/>
  <c r="M1612" i="1"/>
  <c r="G1612" i="1"/>
  <c r="Y1611" i="1"/>
  <c r="S1611" i="1"/>
  <c r="M1611" i="1"/>
  <c r="G1611" i="1"/>
  <c r="Y1610" i="1"/>
  <c r="S1610" i="1"/>
  <c r="M1610" i="1"/>
  <c r="G1610" i="1"/>
  <c r="AZ1609" i="1"/>
  <c r="AT1609" i="1"/>
  <c r="AN1609" i="1"/>
  <c r="AH1609" i="1"/>
  <c r="Y1609" i="1"/>
  <c r="S1609" i="1"/>
  <c r="M1609" i="1"/>
  <c r="G1609" i="1"/>
  <c r="Y1607" i="1"/>
  <c r="S1607" i="1"/>
  <c r="M1607" i="1"/>
  <c r="G1607" i="1"/>
  <c r="AZ1606" i="1"/>
  <c r="AT1606" i="1"/>
  <c r="AN1606" i="1"/>
  <c r="AH1606" i="1"/>
  <c r="Y1606" i="1"/>
  <c r="S1606" i="1"/>
  <c r="M1606" i="1"/>
  <c r="G1606" i="1"/>
  <c r="AZ1605" i="1"/>
  <c r="AT1605" i="1"/>
  <c r="AN1605" i="1"/>
  <c r="AH1605" i="1"/>
  <c r="Y1605" i="1"/>
  <c r="S1605" i="1"/>
  <c r="M1605" i="1"/>
  <c r="G1605" i="1"/>
  <c r="AZ1604" i="1"/>
  <c r="AT1604" i="1"/>
  <c r="AN1604" i="1"/>
  <c r="AH1604" i="1"/>
  <c r="Y1604" i="1"/>
  <c r="S1604" i="1"/>
  <c r="M1604" i="1"/>
  <c r="G1604" i="1"/>
  <c r="Y1529" i="1"/>
  <c r="S1529" i="1"/>
  <c r="M1529" i="1"/>
  <c r="G1529" i="1"/>
  <c r="Y1567" i="1"/>
  <c r="S1567" i="1"/>
  <c r="M1567" i="1"/>
  <c r="G1567" i="1"/>
  <c r="Y1566" i="1"/>
  <c r="S1566" i="1"/>
  <c r="M1566" i="1"/>
  <c r="G1566" i="1"/>
  <c r="AH1580" i="1"/>
  <c r="AT1578" i="1"/>
  <c r="AT1579" i="1"/>
  <c r="AT1580" i="1"/>
  <c r="AT1581" i="1"/>
  <c r="AT1582" i="1"/>
  <c r="AN1578" i="1"/>
  <c r="AN1579" i="1"/>
  <c r="AN1580" i="1"/>
  <c r="AN1581" i="1"/>
  <c r="AN1582" i="1"/>
  <c r="AH1553" i="1"/>
  <c r="AN1553" i="1"/>
  <c r="AT1553" i="1"/>
  <c r="AZ1553" i="1"/>
  <c r="AH1554" i="1"/>
  <c r="AN1554" i="1"/>
  <c r="AT1554" i="1"/>
  <c r="AZ1554" i="1"/>
  <c r="AZ1556" i="1"/>
  <c r="AT1556" i="1"/>
  <c r="AN1556" i="1"/>
  <c r="AH1556" i="1"/>
  <c r="AZ1555" i="1"/>
  <c r="AT1555" i="1"/>
  <c r="AN1555" i="1"/>
  <c r="AH1555" i="1"/>
  <c r="AZ1533" i="1"/>
  <c r="AT1533" i="1"/>
  <c r="AN1533" i="1"/>
  <c r="AH1533" i="1"/>
  <c r="AH1573" i="1"/>
  <c r="AN1573" i="1"/>
  <c r="AT1573" i="1"/>
  <c r="AZ1573" i="1"/>
  <c r="AH1574" i="1"/>
  <c r="AN1574" i="1"/>
  <c r="AT1574" i="1"/>
  <c r="AZ1574" i="1"/>
  <c r="AH1575" i="1"/>
  <c r="AN1575" i="1"/>
  <c r="AT1575" i="1"/>
  <c r="AZ1575" i="1"/>
  <c r="AH1576" i="1"/>
  <c r="AN1576" i="1"/>
  <c r="AT1576" i="1"/>
  <c r="AZ1576" i="1"/>
  <c r="AH1577" i="1"/>
  <c r="AN1577" i="1"/>
  <c r="AT1577" i="1"/>
  <c r="AZ1577" i="1"/>
  <c r="AH1578" i="1"/>
  <c r="AZ1578" i="1"/>
  <c r="AH1579" i="1"/>
  <c r="AZ1579" i="1"/>
  <c r="AH1581" i="1"/>
  <c r="AZ1581" i="1"/>
  <c r="AH1582" i="1"/>
  <c r="AZ1582" i="1"/>
  <c r="AH1583" i="1"/>
  <c r="AN1583" i="1"/>
  <c r="AT1583" i="1"/>
  <c r="AZ1583" i="1"/>
  <c r="AH1584" i="1"/>
  <c r="AN1584" i="1"/>
  <c r="AT1584" i="1"/>
  <c r="AZ1584" i="1"/>
  <c r="AH1585" i="1"/>
  <c r="AN1585" i="1"/>
  <c r="AT1585" i="1"/>
  <c r="AZ1585" i="1"/>
  <c r="AH1586" i="1"/>
  <c r="AN1586" i="1"/>
  <c r="AT1586" i="1"/>
  <c r="AZ1586" i="1"/>
  <c r="AH1587" i="1"/>
  <c r="AN1587" i="1"/>
  <c r="AT1587" i="1"/>
  <c r="AZ1587" i="1"/>
  <c r="AH1588" i="1"/>
  <c r="AN1588" i="1"/>
  <c r="AT1588" i="1"/>
  <c r="AZ1588" i="1"/>
  <c r="AH1589" i="1"/>
  <c r="AN1589" i="1"/>
  <c r="AT1589" i="1"/>
  <c r="AZ1589" i="1"/>
  <c r="AH1590" i="1"/>
  <c r="AN1590" i="1"/>
  <c r="AT1590" i="1"/>
  <c r="AZ1590" i="1"/>
  <c r="G1570" i="1"/>
  <c r="M1570" i="1"/>
  <c r="S1570" i="1"/>
  <c r="Y1570" i="1"/>
  <c r="G1571" i="1"/>
  <c r="M1571" i="1"/>
  <c r="S1571" i="1"/>
  <c r="Y1571" i="1"/>
  <c r="G1572" i="1"/>
  <c r="M1572" i="1"/>
  <c r="S1572" i="1"/>
  <c r="Y1572" i="1"/>
  <c r="G1573" i="1"/>
  <c r="M1573" i="1"/>
  <c r="S1573" i="1"/>
  <c r="Y1573" i="1"/>
  <c r="G1574" i="1"/>
  <c r="M1574" i="1"/>
  <c r="S1574" i="1"/>
  <c r="Y1574" i="1"/>
  <c r="G1575" i="1"/>
  <c r="M1575" i="1"/>
  <c r="S1575" i="1"/>
  <c r="Y1575" i="1"/>
  <c r="G1576" i="1"/>
  <c r="M1576" i="1"/>
  <c r="S1576" i="1"/>
  <c r="Y1576" i="1"/>
  <c r="G1577" i="1"/>
  <c r="M1577" i="1"/>
  <c r="S1577" i="1"/>
  <c r="Y1577" i="1"/>
  <c r="G1578" i="1"/>
  <c r="M1578" i="1"/>
  <c r="S1578" i="1"/>
  <c r="Y1578" i="1"/>
  <c r="G1579" i="1"/>
  <c r="M1579" i="1"/>
  <c r="S1579" i="1"/>
  <c r="Y1579" i="1"/>
  <c r="G1580" i="1"/>
  <c r="M1580" i="1"/>
  <c r="S1580" i="1"/>
  <c r="Y1580" i="1"/>
  <c r="G1581" i="1"/>
  <c r="M1581" i="1"/>
  <c r="S1581" i="1"/>
  <c r="Y1581" i="1"/>
  <c r="G1582" i="1"/>
  <c r="M1582" i="1"/>
  <c r="S1582" i="1"/>
  <c r="Y1582" i="1"/>
  <c r="G1583" i="1"/>
  <c r="M1583" i="1"/>
  <c r="S1583" i="1"/>
  <c r="Y1583" i="1"/>
  <c r="G1584" i="1"/>
  <c r="M1584" i="1"/>
  <c r="S1584" i="1"/>
  <c r="Y1584" i="1"/>
  <c r="G1585" i="1"/>
  <c r="M1585" i="1"/>
  <c r="S1585" i="1"/>
  <c r="Y1585" i="1"/>
  <c r="G1586" i="1"/>
  <c r="M1586" i="1"/>
  <c r="S1586" i="1"/>
  <c r="Y1586" i="1"/>
  <c r="G1587" i="1"/>
  <c r="M1587" i="1"/>
  <c r="S1587" i="1"/>
  <c r="Y1587" i="1"/>
  <c r="G1588" i="1"/>
  <c r="M1588" i="1"/>
  <c r="S1588" i="1"/>
  <c r="Y1588" i="1"/>
  <c r="G1589" i="1"/>
  <c r="M1589" i="1"/>
  <c r="S1589" i="1"/>
  <c r="Y1589" i="1"/>
  <c r="G1590" i="1"/>
  <c r="M1590" i="1"/>
  <c r="S1590" i="1"/>
  <c r="Y1590" i="1"/>
  <c r="G1591" i="1"/>
  <c r="M1591" i="1"/>
  <c r="S1591" i="1"/>
  <c r="Y1591" i="1"/>
  <c r="G1592" i="1"/>
  <c r="M1592" i="1"/>
  <c r="S1592" i="1"/>
  <c r="Y1592" i="1"/>
  <c r="G1593" i="1"/>
  <c r="M1593" i="1"/>
  <c r="S1593" i="1"/>
  <c r="Y1593" i="1"/>
  <c r="G1565" i="1"/>
  <c r="M1565" i="1"/>
  <c r="S1565" i="1"/>
  <c r="Y1565" i="1"/>
  <c r="AY1596" i="1"/>
  <c r="AX1596" i="1"/>
  <c r="AW1596" i="1"/>
  <c r="AV1596" i="1"/>
  <c r="AU1596" i="1"/>
  <c r="AS1596" i="1"/>
  <c r="AR1596" i="1"/>
  <c r="AQ1596" i="1"/>
  <c r="AP1596" i="1"/>
  <c r="AO1596" i="1"/>
  <c r="AM1596" i="1"/>
  <c r="AL1596" i="1"/>
  <c r="AK1596" i="1"/>
  <c r="AJ1596" i="1"/>
  <c r="AI1596" i="1"/>
  <c r="AG1596" i="1"/>
  <c r="AF1596" i="1"/>
  <c r="AE1596" i="1"/>
  <c r="AD1596" i="1"/>
  <c r="AC1596" i="1"/>
  <c r="X1596" i="1"/>
  <c r="W1596" i="1"/>
  <c r="V1596" i="1"/>
  <c r="U1596" i="1"/>
  <c r="T1596" i="1"/>
  <c r="R1596" i="1"/>
  <c r="Q1596" i="1"/>
  <c r="P1596" i="1"/>
  <c r="O1596" i="1"/>
  <c r="N1596" i="1"/>
  <c r="L1596" i="1"/>
  <c r="K1596" i="1"/>
  <c r="J1596" i="1"/>
  <c r="I1596" i="1"/>
  <c r="H1596" i="1"/>
  <c r="F1596" i="1"/>
  <c r="E1596" i="1"/>
  <c r="D1596" i="1"/>
  <c r="C1596" i="1"/>
  <c r="B1596" i="1"/>
  <c r="Y1594" i="1"/>
  <c r="S1594" i="1"/>
  <c r="M1594" i="1"/>
  <c r="G1594" i="1"/>
  <c r="AZ1580" i="1"/>
  <c r="Y1568" i="1"/>
  <c r="S1568" i="1"/>
  <c r="M1568" i="1"/>
  <c r="G1568" i="1"/>
  <c r="AZ1567" i="1"/>
  <c r="AT1567" i="1"/>
  <c r="AN1567" i="1"/>
  <c r="AH1567" i="1"/>
  <c r="AZ1566" i="1"/>
  <c r="AT1566" i="1"/>
  <c r="AN1566" i="1"/>
  <c r="AH1566" i="1"/>
  <c r="AZ1565" i="1"/>
  <c r="AT1565" i="1"/>
  <c r="AN1565" i="1"/>
  <c r="AH1565" i="1"/>
  <c r="AZ1532" i="1"/>
  <c r="AT1532" i="1"/>
  <c r="AN1532" i="1"/>
  <c r="AH1532" i="1"/>
  <c r="AZ1497" i="1"/>
  <c r="AT1497" i="1"/>
  <c r="AN1497" i="1"/>
  <c r="AH1497" i="1"/>
  <c r="AH1515" i="1"/>
  <c r="AN1515" i="1"/>
  <c r="AT1515" i="1"/>
  <c r="AZ1515" i="1"/>
  <c r="AH1516" i="1"/>
  <c r="AN1516" i="1"/>
  <c r="AT1516" i="1"/>
  <c r="AZ1516" i="1"/>
  <c r="AH1517" i="1"/>
  <c r="AN1517" i="1"/>
  <c r="AT1517" i="1"/>
  <c r="AZ1517" i="1"/>
  <c r="AH1531" i="1"/>
  <c r="AN1531" i="1"/>
  <c r="AT1531" i="1"/>
  <c r="AZ1531" i="1"/>
  <c r="AH1534" i="1"/>
  <c r="AN1534" i="1"/>
  <c r="AT1534" i="1"/>
  <c r="AZ1534" i="1"/>
  <c r="AH1535" i="1"/>
  <c r="AN1535" i="1"/>
  <c r="AT1535" i="1"/>
  <c r="AZ1535" i="1"/>
  <c r="AH1536" i="1"/>
  <c r="AN1536" i="1"/>
  <c r="AT1536" i="1"/>
  <c r="AZ1536" i="1"/>
  <c r="AH1537" i="1"/>
  <c r="AN1537" i="1"/>
  <c r="AT1537" i="1"/>
  <c r="AZ1537" i="1"/>
  <c r="AH1538" i="1"/>
  <c r="AN1538" i="1"/>
  <c r="AT1538" i="1"/>
  <c r="AZ1538" i="1"/>
  <c r="AH1539" i="1"/>
  <c r="AN1539" i="1"/>
  <c r="AT1539" i="1"/>
  <c r="AZ1539" i="1"/>
  <c r="AH1540" i="1"/>
  <c r="AN1540" i="1"/>
  <c r="AT1540" i="1"/>
  <c r="AZ1540" i="1"/>
  <c r="Y1527" i="1"/>
  <c r="G1526" i="1"/>
  <c r="M1526" i="1"/>
  <c r="S1526" i="1"/>
  <c r="Y1526" i="1"/>
  <c r="G1527" i="1"/>
  <c r="M1527" i="1"/>
  <c r="S1527" i="1"/>
  <c r="G1528" i="1"/>
  <c r="M1528" i="1"/>
  <c r="S1528" i="1"/>
  <c r="Y1528" i="1"/>
  <c r="G1531" i="1"/>
  <c r="M1531" i="1"/>
  <c r="S1531" i="1"/>
  <c r="Y1531" i="1"/>
  <c r="G1532" i="1"/>
  <c r="M1532" i="1"/>
  <c r="S1532" i="1"/>
  <c r="Y1532" i="1"/>
  <c r="G1533" i="1"/>
  <c r="M1533" i="1"/>
  <c r="S1533" i="1"/>
  <c r="Y1533" i="1"/>
  <c r="G1534" i="1"/>
  <c r="M1534" i="1"/>
  <c r="S1534" i="1"/>
  <c r="Y1534" i="1"/>
  <c r="G1535" i="1"/>
  <c r="M1535" i="1"/>
  <c r="S1535" i="1"/>
  <c r="Y1535" i="1"/>
  <c r="G1536" i="1"/>
  <c r="M1536" i="1"/>
  <c r="S1536" i="1"/>
  <c r="Y1536" i="1"/>
  <c r="G1537" i="1"/>
  <c r="M1537" i="1"/>
  <c r="S1537" i="1"/>
  <c r="Y1537" i="1"/>
  <c r="G1538" i="1"/>
  <c r="M1538" i="1"/>
  <c r="S1538" i="1"/>
  <c r="Y1538" i="1"/>
  <c r="G1539" i="1"/>
  <c r="M1539" i="1"/>
  <c r="S1539" i="1"/>
  <c r="Y1539" i="1"/>
  <c r="G1540" i="1"/>
  <c r="M1540" i="1"/>
  <c r="S1540" i="1"/>
  <c r="Y1540" i="1"/>
  <c r="G1541" i="1"/>
  <c r="M1541" i="1"/>
  <c r="S1541" i="1"/>
  <c r="Y1541" i="1"/>
  <c r="G1542" i="1"/>
  <c r="M1542" i="1"/>
  <c r="S1542" i="1"/>
  <c r="Y1542" i="1"/>
  <c r="G1543" i="1"/>
  <c r="M1543" i="1"/>
  <c r="S1543" i="1"/>
  <c r="Y1543" i="1"/>
  <c r="G1544" i="1"/>
  <c r="M1544" i="1"/>
  <c r="S1544" i="1"/>
  <c r="Y1544" i="1"/>
  <c r="G1545" i="1"/>
  <c r="M1545" i="1"/>
  <c r="S1545" i="1"/>
  <c r="Y1545" i="1"/>
  <c r="G1546" i="1"/>
  <c r="M1546" i="1"/>
  <c r="S1546" i="1"/>
  <c r="Y1546" i="1"/>
  <c r="G1547" i="1"/>
  <c r="M1547" i="1"/>
  <c r="S1547" i="1"/>
  <c r="Y1547" i="1"/>
  <c r="G1548" i="1"/>
  <c r="M1548" i="1"/>
  <c r="S1548" i="1"/>
  <c r="Y1548" i="1"/>
  <c r="G1549" i="1"/>
  <c r="M1549" i="1"/>
  <c r="S1549" i="1"/>
  <c r="Y1549" i="1"/>
  <c r="G1550" i="1"/>
  <c r="M1550" i="1"/>
  <c r="S1550" i="1"/>
  <c r="Y1550" i="1"/>
  <c r="G1551" i="1"/>
  <c r="M1551" i="1"/>
  <c r="S1551" i="1"/>
  <c r="Y1551" i="1"/>
  <c r="G1552" i="1"/>
  <c r="M1552" i="1"/>
  <c r="S1552" i="1"/>
  <c r="Y1552" i="1"/>
  <c r="G1553" i="1"/>
  <c r="M1553" i="1"/>
  <c r="S1553" i="1"/>
  <c r="Y1553" i="1"/>
  <c r="G1554" i="1"/>
  <c r="M1554" i="1"/>
  <c r="S1554" i="1"/>
  <c r="Y1554" i="1"/>
  <c r="AY1557" i="1"/>
  <c r="AX1557" i="1"/>
  <c r="AW1557" i="1"/>
  <c r="AV1557" i="1"/>
  <c r="AU1557" i="1"/>
  <c r="AS1557" i="1"/>
  <c r="AR1557" i="1"/>
  <c r="AQ1557" i="1"/>
  <c r="AP1557" i="1"/>
  <c r="AO1557" i="1"/>
  <c r="AM1557" i="1"/>
  <c r="AL1557" i="1"/>
  <c r="AK1557" i="1"/>
  <c r="AJ1557" i="1"/>
  <c r="AI1557" i="1"/>
  <c r="AG1557" i="1"/>
  <c r="AF1557" i="1"/>
  <c r="AE1557" i="1"/>
  <c r="AD1557" i="1"/>
  <c r="AC1557" i="1"/>
  <c r="X1557" i="1"/>
  <c r="W1557" i="1"/>
  <c r="V1557" i="1"/>
  <c r="U1557" i="1"/>
  <c r="T1557" i="1"/>
  <c r="R1557" i="1"/>
  <c r="Q1557" i="1"/>
  <c r="P1557" i="1"/>
  <c r="O1557" i="1"/>
  <c r="N1557" i="1"/>
  <c r="L1557" i="1"/>
  <c r="K1557" i="1"/>
  <c r="J1557" i="1"/>
  <c r="I1557" i="1"/>
  <c r="H1557" i="1"/>
  <c r="F1557" i="1"/>
  <c r="E1557" i="1"/>
  <c r="D1557" i="1"/>
  <c r="C1557" i="1"/>
  <c r="B1557" i="1"/>
  <c r="Y1556" i="1"/>
  <c r="S1556" i="1"/>
  <c r="M1556" i="1"/>
  <c r="G1556" i="1"/>
  <c r="Y1555" i="1"/>
  <c r="S1555" i="1"/>
  <c r="M1555" i="1"/>
  <c r="G1555" i="1"/>
  <c r="AZ1552" i="1"/>
  <c r="AT1552" i="1"/>
  <c r="AN1552" i="1"/>
  <c r="AH1552" i="1"/>
  <c r="AZ1551" i="1"/>
  <c r="AT1551" i="1"/>
  <c r="AN1551" i="1"/>
  <c r="AH1551" i="1"/>
  <c r="AZ1550" i="1"/>
  <c r="AT1550" i="1"/>
  <c r="AN1550" i="1"/>
  <c r="AH1550" i="1"/>
  <c r="AZ1549" i="1"/>
  <c r="AT1549" i="1"/>
  <c r="AN1549" i="1"/>
  <c r="AH1549" i="1"/>
  <c r="AZ1548" i="1"/>
  <c r="AT1548" i="1"/>
  <c r="AN1548" i="1"/>
  <c r="AH1548" i="1"/>
  <c r="AZ1547" i="1"/>
  <c r="AT1547" i="1"/>
  <c r="AN1547" i="1"/>
  <c r="AH1547" i="1"/>
  <c r="AZ1546" i="1"/>
  <c r="AT1546" i="1"/>
  <c r="AN1546" i="1"/>
  <c r="AH1546" i="1"/>
  <c r="AZ1545" i="1"/>
  <c r="AT1545" i="1"/>
  <c r="AN1545" i="1"/>
  <c r="AH1545" i="1"/>
  <c r="AZ1544" i="1"/>
  <c r="AT1544" i="1"/>
  <c r="AN1544" i="1"/>
  <c r="AH1544" i="1"/>
  <c r="AZ1543" i="1"/>
  <c r="AT1543" i="1"/>
  <c r="AN1543" i="1"/>
  <c r="AH1543" i="1"/>
  <c r="AZ1542" i="1"/>
  <c r="AT1542" i="1"/>
  <c r="AN1542" i="1"/>
  <c r="AH1542" i="1"/>
  <c r="AZ1541" i="1"/>
  <c r="AT1541" i="1"/>
  <c r="AN1541" i="1"/>
  <c r="AH1541" i="1"/>
  <c r="AZ1529" i="1"/>
  <c r="AT1529" i="1"/>
  <c r="AN1529" i="1"/>
  <c r="AH1529" i="1"/>
  <c r="AZ1528" i="1"/>
  <c r="AT1528" i="1"/>
  <c r="AN1528" i="1"/>
  <c r="AH1528" i="1"/>
  <c r="AZ1527" i="1"/>
  <c r="AT1527" i="1"/>
  <c r="AN1527" i="1"/>
  <c r="AH1527" i="1"/>
  <c r="AZ1526" i="1"/>
  <c r="AT1526" i="1"/>
  <c r="AN1526" i="1"/>
  <c r="AH1526" i="1"/>
  <c r="AZ1496" i="1"/>
  <c r="AT1496" i="1"/>
  <c r="AN1496" i="1"/>
  <c r="AH1496" i="1"/>
  <c r="AZ1495" i="1"/>
  <c r="AT1495" i="1"/>
  <c r="AN1495" i="1"/>
  <c r="AH1495" i="1"/>
  <c r="AZ1494" i="1"/>
  <c r="AT1494" i="1"/>
  <c r="AN1494" i="1"/>
  <c r="AH1494" i="1"/>
  <c r="AZ1493" i="1"/>
  <c r="AT1493" i="1"/>
  <c r="AN1493" i="1"/>
  <c r="AH1493" i="1"/>
  <c r="AH1456" i="1"/>
  <c r="AN1456" i="1"/>
  <c r="AT1456" i="1"/>
  <c r="AZ1456" i="1"/>
  <c r="AZ1492" i="1"/>
  <c r="AT1492" i="1"/>
  <c r="AN1492" i="1"/>
  <c r="AH1492" i="1"/>
  <c r="Z2321" i="1" l="1"/>
  <c r="X2338" i="1"/>
  <c r="U2338" i="1"/>
  <c r="Q2338" i="1"/>
  <c r="Z2320" i="1"/>
  <c r="Z2319" i="1"/>
  <c r="Z2318" i="1"/>
  <c r="BA2279" i="1"/>
  <c r="Z2316" i="1"/>
  <c r="Z2315" i="1"/>
  <c r="Z2314" i="1"/>
  <c r="S2337" i="1"/>
  <c r="AD2338" i="1"/>
  <c r="AP2338" i="1"/>
  <c r="AN2337" i="1"/>
  <c r="AZ2337" i="1"/>
  <c r="BA2337" i="1" s="1"/>
  <c r="Y2337" i="1"/>
  <c r="M2337" i="1"/>
  <c r="G2310" i="1"/>
  <c r="B2338" i="1"/>
  <c r="N2338" i="1"/>
  <c r="Y2310" i="1"/>
  <c r="T2338" i="1"/>
  <c r="G2305" i="1"/>
  <c r="M2305" i="1"/>
  <c r="Y2305" i="1"/>
  <c r="M2310" i="1"/>
  <c r="AH2310" i="1"/>
  <c r="AT2310" i="1"/>
  <c r="AT2338" i="1" s="1"/>
  <c r="AH2305" i="1"/>
  <c r="AN2305" i="1"/>
  <c r="AT2305" i="1"/>
  <c r="BA2307" i="1"/>
  <c r="BA2309" i="1"/>
  <c r="AN2310" i="1"/>
  <c r="AN2338" i="1" s="1"/>
  <c r="BA2319" i="1"/>
  <c r="BA2321" i="1"/>
  <c r="BA2323" i="1"/>
  <c r="BA2325" i="1"/>
  <c r="BA2327" i="1"/>
  <c r="BA2329" i="1"/>
  <c r="BA2331" i="1"/>
  <c r="BA2333" i="1"/>
  <c r="BA2335" i="1"/>
  <c r="BA2275" i="1"/>
  <c r="Z2269" i="1"/>
  <c r="Q2299" i="1"/>
  <c r="R2299" i="1"/>
  <c r="Z2279" i="1"/>
  <c r="G2298" i="1"/>
  <c r="Z2268" i="1"/>
  <c r="Z2278" i="1"/>
  <c r="Z2277" i="1"/>
  <c r="BA2272" i="1"/>
  <c r="Z2267" i="1"/>
  <c r="Z2276" i="1"/>
  <c r="S2298" i="1"/>
  <c r="Z2274" i="1"/>
  <c r="V2299" i="1"/>
  <c r="Z2273" i="1"/>
  <c r="I2299" i="1"/>
  <c r="Z2272" i="1"/>
  <c r="AH2298" i="1"/>
  <c r="AT2298" i="1"/>
  <c r="AN2298" i="1"/>
  <c r="AZ2298" i="1"/>
  <c r="Y2298" i="1"/>
  <c r="P2299" i="1"/>
  <c r="P2305" i="1" s="1"/>
  <c r="P2310" i="1" s="1"/>
  <c r="S2310" i="1" s="1"/>
  <c r="M2298" i="1"/>
  <c r="B2299" i="1"/>
  <c r="N2299" i="1"/>
  <c r="H2299" i="1"/>
  <c r="T2299" i="1"/>
  <c r="BA2268" i="1"/>
  <c r="BA2270" i="1"/>
  <c r="BA2276" i="1"/>
  <c r="BA2278" i="1"/>
  <c r="BA2280" i="1"/>
  <c r="BA2282" i="1"/>
  <c r="BA2284" i="1"/>
  <c r="BA2286" i="1"/>
  <c r="BA2288" i="1"/>
  <c r="BA2290" i="1"/>
  <c r="BA2292" i="1"/>
  <c r="BA2294" i="1"/>
  <c r="BA2296" i="1"/>
  <c r="BA2236" i="1"/>
  <c r="BA2233" i="1"/>
  <c r="Z2083" i="1"/>
  <c r="BA2158" i="1"/>
  <c r="Z2082" i="1"/>
  <c r="Z2075" i="1"/>
  <c r="Z2172" i="1"/>
  <c r="Z2170" i="1"/>
  <c r="Z2168" i="1"/>
  <c r="Z2162" i="1"/>
  <c r="BA2194" i="1"/>
  <c r="BA2195" i="1"/>
  <c r="BA2196" i="1"/>
  <c r="BA2197" i="1"/>
  <c r="BA2200" i="1"/>
  <c r="BA2201" i="1"/>
  <c r="BA2202" i="1"/>
  <c r="BA2203" i="1"/>
  <c r="BA2204" i="1"/>
  <c r="BA2205" i="1"/>
  <c r="BA2206" i="1"/>
  <c r="BA2207" i="1"/>
  <c r="BA2208" i="1"/>
  <c r="BA2209" i="1"/>
  <c r="BA2210" i="1"/>
  <c r="BA2211" i="1"/>
  <c r="BA2212" i="1"/>
  <c r="BA2213" i="1"/>
  <c r="BA2214" i="1"/>
  <c r="BA2215" i="1"/>
  <c r="BA2216" i="1"/>
  <c r="BA2217" i="1"/>
  <c r="BA2218" i="1"/>
  <c r="Z2229" i="1"/>
  <c r="Z2230" i="1"/>
  <c r="Z2231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G2259" i="1"/>
  <c r="BA1671" i="1"/>
  <c r="BA1751" i="1"/>
  <c r="BA1729" i="1"/>
  <c r="Z1855" i="1"/>
  <c r="BA1859" i="1"/>
  <c r="BA1848" i="1"/>
  <c r="Z1899" i="1"/>
  <c r="Z1896" i="1"/>
  <c r="Z1893" i="1"/>
  <c r="Z1892" i="1"/>
  <c r="Z1891" i="1"/>
  <c r="BA1827" i="1"/>
  <c r="AH1752" i="1"/>
  <c r="BA2072" i="1"/>
  <c r="Z2174" i="1"/>
  <c r="BA2156" i="1"/>
  <c r="BA2155" i="1"/>
  <c r="BA2180" i="1"/>
  <c r="BA1710" i="1"/>
  <c r="BA1670" i="1"/>
  <c r="BA1568" i="1"/>
  <c r="BA1572" i="1"/>
  <c r="BA1593" i="1"/>
  <c r="BA1644" i="1"/>
  <c r="BA1667" i="1"/>
  <c r="BA1633" i="1"/>
  <c r="Z1708" i="1"/>
  <c r="Z1704" i="1"/>
  <c r="Z1688" i="1"/>
  <c r="Z1733" i="1"/>
  <c r="Z1816" i="1"/>
  <c r="BA1821" i="1"/>
  <c r="Z1866" i="1"/>
  <c r="Z1865" i="1"/>
  <c r="Z1863" i="1"/>
  <c r="Z1862" i="1"/>
  <c r="Z2038" i="1"/>
  <c r="Z2111" i="1"/>
  <c r="BA2111" i="1"/>
  <c r="BA2113" i="1"/>
  <c r="Z2114" i="1"/>
  <c r="BA2199" i="1"/>
  <c r="AZ2259" i="1"/>
  <c r="AT2259" i="1"/>
  <c r="AN2259" i="1"/>
  <c r="Y2259" i="1"/>
  <c r="S2259" i="1"/>
  <c r="M2259" i="1"/>
  <c r="Z2228" i="1"/>
  <c r="Z2218" i="1"/>
  <c r="BA2198" i="1"/>
  <c r="Z2217" i="1"/>
  <c r="Z2216" i="1"/>
  <c r="Z2215" i="1"/>
  <c r="Z2213" i="1"/>
  <c r="Z2212" i="1"/>
  <c r="Z2211" i="1"/>
  <c r="Z2210" i="1"/>
  <c r="Z2209" i="1"/>
  <c r="Z2208" i="1"/>
  <c r="Z2207" i="1"/>
  <c r="Z2206" i="1"/>
  <c r="Z2205" i="1"/>
  <c r="BA2219" i="1"/>
  <c r="Z2204" i="1"/>
  <c r="Z2192" i="1"/>
  <c r="Z2203" i="1"/>
  <c r="Z2201" i="1"/>
  <c r="G2220" i="1"/>
  <c r="Z2200" i="1"/>
  <c r="Z2191" i="1"/>
  <c r="Z2190" i="1"/>
  <c r="Z2189" i="1"/>
  <c r="Z2196" i="1"/>
  <c r="AT2220" i="1"/>
  <c r="AZ2220" i="1"/>
  <c r="AH2220" i="1"/>
  <c r="AN2220" i="1"/>
  <c r="Y2220" i="1"/>
  <c r="S2220" i="1"/>
  <c r="M2220" i="1"/>
  <c r="BA1658" i="1"/>
  <c r="M1780" i="1"/>
  <c r="Z1780" i="1" s="1"/>
  <c r="L1791" i="1"/>
  <c r="M1791" i="1" s="1"/>
  <c r="Z1591" i="1"/>
  <c r="Z1607" i="1"/>
  <c r="Z1610" i="1"/>
  <c r="Z1618" i="1"/>
  <c r="BA1663" i="1"/>
  <c r="BA1659" i="1"/>
  <c r="BA1653" i="1"/>
  <c r="BA1645" i="1"/>
  <c r="BA1628" i="1"/>
  <c r="BA2121" i="1"/>
  <c r="BA1532" i="1"/>
  <c r="Z1592" i="1"/>
  <c r="BA1586" i="1"/>
  <c r="BA1574" i="1"/>
  <c r="BA1614" i="1"/>
  <c r="BA1631" i="1"/>
  <c r="BA1662" i="1"/>
  <c r="BA1634" i="1"/>
  <c r="BA1629" i="1"/>
  <c r="BA1682" i="1"/>
  <c r="BA1692" i="1"/>
  <c r="BA1696" i="1"/>
  <c r="BA1702" i="1"/>
  <c r="BA2034" i="1"/>
  <c r="AZ1791" i="1"/>
  <c r="Z2178" i="1"/>
  <c r="BA1731" i="1"/>
  <c r="Z1737" i="1"/>
  <c r="Z1734" i="1"/>
  <c r="Z1768" i="1"/>
  <c r="BA1806" i="1"/>
  <c r="BA1822" i="1"/>
  <c r="Z1763" i="1"/>
  <c r="Z1861" i="1"/>
  <c r="Z1851" i="1"/>
  <c r="BA1854" i="1"/>
  <c r="BA1851" i="1"/>
  <c r="BA1919" i="1"/>
  <c r="BA1996" i="1"/>
  <c r="BA2003" i="1"/>
  <c r="BA2006" i="1"/>
  <c r="BA2009" i="1"/>
  <c r="BA2012" i="1"/>
  <c r="BA2015" i="1"/>
  <c r="Z2018" i="1"/>
  <c r="BA1999" i="1"/>
  <c r="BA2042" i="1"/>
  <c r="BA2057" i="1"/>
  <c r="BA2024" i="1"/>
  <c r="AH2025" i="1"/>
  <c r="AH1908" i="1"/>
  <c r="AH1791" i="1"/>
  <c r="AN1752" i="1"/>
  <c r="BA2085" i="1"/>
  <c r="BA2088" i="1"/>
  <c r="BA2091" i="1"/>
  <c r="Z2093" i="1"/>
  <c r="Z2094" i="1"/>
  <c r="BA2099" i="1"/>
  <c r="BA2081" i="1"/>
  <c r="BA2120" i="1"/>
  <c r="BA2119" i="1"/>
  <c r="BA2116" i="1"/>
  <c r="Z2167" i="1"/>
  <c r="Z2165" i="1"/>
  <c r="Z2164" i="1"/>
  <c r="Z2163" i="1"/>
  <c r="BA1708" i="1"/>
  <c r="Z1691" i="1"/>
  <c r="BA1688" i="1"/>
  <c r="Z1743" i="1"/>
  <c r="Z1787" i="1"/>
  <c r="Z1772" i="1"/>
  <c r="Z1770" i="1"/>
  <c r="BA1819" i="1"/>
  <c r="BA1788" i="1"/>
  <c r="BA1808" i="1"/>
  <c r="Z1877" i="1"/>
  <c r="BA1889" i="1"/>
  <c r="BA1895" i="1"/>
  <c r="BA1901" i="1"/>
  <c r="Z1889" i="1"/>
  <c r="Z1926" i="1"/>
  <c r="Z1955" i="1"/>
  <c r="BA1994" i="1"/>
  <c r="BA1997" i="1"/>
  <c r="BA2004" i="1"/>
  <c r="BA2035" i="1"/>
  <c r="BA2044" i="1"/>
  <c r="BA2047" i="1"/>
  <c r="BA2051" i="1"/>
  <c r="BA2054" i="1"/>
  <c r="BA2058" i="1"/>
  <c r="Z2048" i="1"/>
  <c r="BA2098" i="1"/>
  <c r="BA2100" i="1"/>
  <c r="Z2036" i="1"/>
  <c r="Z2072" i="1"/>
  <c r="Z2119" i="1"/>
  <c r="Z2120" i="1"/>
  <c r="Z2122" i="1"/>
  <c r="Z2124" i="1"/>
  <c r="Z2125" i="1"/>
  <c r="BA2125" i="1"/>
  <c r="Z2126" i="1"/>
  <c r="Z2127" i="1"/>
  <c r="BA2127" i="1"/>
  <c r="Z2128" i="1"/>
  <c r="BA2129" i="1"/>
  <c r="Z2130" i="1"/>
  <c r="Z2131" i="1"/>
  <c r="BA2131" i="1"/>
  <c r="Z2132" i="1"/>
  <c r="BA2133" i="1"/>
  <c r="Z2134" i="1"/>
  <c r="BA2135" i="1"/>
  <c r="Z2136" i="1"/>
  <c r="Z2137" i="1"/>
  <c r="BA2137" i="1"/>
  <c r="Z2138" i="1"/>
  <c r="Z2139" i="1"/>
  <c r="BA2139" i="1"/>
  <c r="Z2140" i="1"/>
  <c r="Z2177" i="1"/>
  <c r="Z2176" i="1"/>
  <c r="Z2175" i="1"/>
  <c r="Z2159" i="1"/>
  <c r="Z2157" i="1"/>
  <c r="Z2156" i="1"/>
  <c r="Z2155" i="1"/>
  <c r="Z1710" i="1"/>
  <c r="Z1706" i="1"/>
  <c r="Z1705" i="1"/>
  <c r="Z1700" i="1"/>
  <c r="Z1695" i="1"/>
  <c r="Z1687" i="1"/>
  <c r="Z1786" i="1"/>
  <c r="Z1766" i="1"/>
  <c r="Z1821" i="1"/>
  <c r="Z1815" i="1"/>
  <c r="Z1810" i="1"/>
  <c r="Z1809" i="1"/>
  <c r="Z1804" i="1"/>
  <c r="BA1804" i="1"/>
  <c r="Z1860" i="1"/>
  <c r="Z1887" i="1"/>
  <c r="BA1934" i="1"/>
  <c r="BA1937" i="1"/>
  <c r="BA1918" i="1"/>
  <c r="BA1862" i="1"/>
  <c r="BA1878" i="1"/>
  <c r="BA1903" i="1"/>
  <c r="Z2059" i="1"/>
  <c r="AH1986" i="1"/>
  <c r="AT1869" i="1"/>
  <c r="BA2062" i="1"/>
  <c r="BA2141" i="1"/>
  <c r="BA2102" i="1"/>
  <c r="Z2141" i="1"/>
  <c r="BA2150" i="1"/>
  <c r="Z2151" i="1"/>
  <c r="BA2152" i="1"/>
  <c r="Z2153" i="1"/>
  <c r="BA2160" i="1"/>
  <c r="BA2162" i="1"/>
  <c r="BA2164" i="1"/>
  <c r="BA2166" i="1"/>
  <c r="BA2168" i="1"/>
  <c r="BA2170" i="1"/>
  <c r="BA2172" i="1"/>
  <c r="BA2174" i="1"/>
  <c r="BA2176" i="1"/>
  <c r="BA2178" i="1"/>
  <c r="Z2179" i="1"/>
  <c r="Z2180" i="1"/>
  <c r="Z2158" i="1"/>
  <c r="BA2157" i="1"/>
  <c r="Z2173" i="1"/>
  <c r="Z2171" i="1"/>
  <c r="BA2123" i="1"/>
  <c r="Z2169" i="1"/>
  <c r="Z2166" i="1"/>
  <c r="Z2152" i="1"/>
  <c r="Z2161" i="1"/>
  <c r="Z2160" i="1"/>
  <c r="S2181" i="1"/>
  <c r="G2181" i="1"/>
  <c r="Z2150" i="1"/>
  <c r="AN2181" i="1"/>
  <c r="AZ2181" i="1"/>
  <c r="AH2181" i="1"/>
  <c r="AT2181" i="1"/>
  <c r="BA2181" i="1" s="1"/>
  <c r="M2181" i="1"/>
  <c r="Y2181" i="1"/>
  <c r="BA2151" i="1"/>
  <c r="BA2153" i="1"/>
  <c r="BA2159" i="1"/>
  <c r="BA2161" i="1"/>
  <c r="BA2163" i="1"/>
  <c r="BA2165" i="1"/>
  <c r="BA2167" i="1"/>
  <c r="BA2169" i="1"/>
  <c r="BA2171" i="1"/>
  <c r="BA2173" i="1"/>
  <c r="BA2175" i="1"/>
  <c r="BA2177" i="1"/>
  <c r="BA2179" i="1"/>
  <c r="G2142" i="1"/>
  <c r="Z2135" i="1"/>
  <c r="Z2133" i="1"/>
  <c r="Z2129" i="1"/>
  <c r="BA2118" i="1"/>
  <c r="Z2123" i="1"/>
  <c r="Z2121" i="1"/>
  <c r="Z2113" i="1"/>
  <c r="S2142" i="1"/>
  <c r="Z2118" i="1"/>
  <c r="Z2117" i="1"/>
  <c r="Z2112" i="1"/>
  <c r="Z2116" i="1"/>
  <c r="AH2142" i="1"/>
  <c r="AT2142" i="1"/>
  <c r="AN2142" i="1"/>
  <c r="AZ2142" i="1"/>
  <c r="Y2142" i="1"/>
  <c r="M2142" i="1"/>
  <c r="BA2112" i="1"/>
  <c r="BA2114" i="1"/>
  <c r="BA2122" i="1"/>
  <c r="BA2124" i="1"/>
  <c r="BA2126" i="1"/>
  <c r="BA2128" i="1"/>
  <c r="BA2130" i="1"/>
  <c r="BA2132" i="1"/>
  <c r="BA2134" i="1"/>
  <c r="BA2136" i="1"/>
  <c r="BA2138" i="1"/>
  <c r="BA2140" i="1"/>
  <c r="Z2098" i="1"/>
  <c r="Z2091" i="1"/>
  <c r="BA2078" i="1"/>
  <c r="Z2084" i="1"/>
  <c r="Z2080" i="1"/>
  <c r="BA2040" i="1"/>
  <c r="Z2057" i="1"/>
  <c r="BA1554" i="1"/>
  <c r="Z1566" i="1"/>
  <c r="Z1671" i="1"/>
  <c r="Z1653" i="1"/>
  <c r="Z1649" i="1"/>
  <c r="BA1669" i="1"/>
  <c r="BA1668" i="1"/>
  <c r="BA1665" i="1"/>
  <c r="BA1660" i="1"/>
  <c r="Z1692" i="1"/>
  <c r="Z1573" i="1"/>
  <c r="BA1578" i="1"/>
  <c r="BA1575" i="1"/>
  <c r="Z1612" i="1"/>
  <c r="Z1614" i="1"/>
  <c r="Z1621" i="1"/>
  <c r="BA1622" i="1"/>
  <c r="Z1627" i="1"/>
  <c r="Z1630" i="1"/>
  <c r="Z1665" i="1"/>
  <c r="Z1739" i="1"/>
  <c r="Z1585" i="1"/>
  <c r="Z1579" i="1"/>
  <c r="Z1577" i="1"/>
  <c r="BA1576" i="1"/>
  <c r="BA1592" i="1"/>
  <c r="BA1610" i="1"/>
  <c r="Z1659" i="1"/>
  <c r="BA1630" i="1"/>
  <c r="BA1849" i="1"/>
  <c r="Z1584" i="1"/>
  <c r="Z1567" i="1"/>
  <c r="BA1604" i="1"/>
  <c r="Z1619" i="1"/>
  <c r="BA1620" i="1"/>
  <c r="Z1683" i="1"/>
  <c r="BA1684" i="1"/>
  <c r="BA1694" i="1"/>
  <c r="BA1700" i="1"/>
  <c r="BA1706" i="1"/>
  <c r="Z1711" i="1"/>
  <c r="BA1816" i="1"/>
  <c r="BA1571" i="1"/>
  <c r="BA1595" i="1"/>
  <c r="BA1565" i="1"/>
  <c r="BA1553" i="1"/>
  <c r="Z1666" i="1"/>
  <c r="BA1651" i="1"/>
  <c r="Z1698" i="1"/>
  <c r="BA1690" i="1"/>
  <c r="BA1646" i="1"/>
  <c r="BA1722" i="1"/>
  <c r="BA1735" i="1"/>
  <c r="BA1741" i="1"/>
  <c r="BA1747" i="1"/>
  <c r="BA1709" i="1"/>
  <c r="BA1775" i="1"/>
  <c r="BA1781" i="1"/>
  <c r="Z1789" i="1"/>
  <c r="Z1788" i="1"/>
  <c r="Z1784" i="1"/>
  <c r="Z1775" i="1"/>
  <c r="BA1748" i="1"/>
  <c r="BA1800" i="1"/>
  <c r="Z1828" i="1"/>
  <c r="Z1826" i="1"/>
  <c r="Z1824" i="1"/>
  <c r="BA1818" i="1"/>
  <c r="BA1825" i="1"/>
  <c r="BA1801" i="1"/>
  <c r="Z1907" i="1"/>
  <c r="BA1946" i="1"/>
  <c r="Z2077" i="1"/>
  <c r="Z2100" i="1"/>
  <c r="Z2074" i="1"/>
  <c r="BA1664" i="1"/>
  <c r="BA1661" i="1"/>
  <c r="Z1682" i="1"/>
  <c r="Z1685" i="1"/>
  <c r="BA1698" i="1"/>
  <c r="BA1704" i="1"/>
  <c r="Z1699" i="1"/>
  <c r="Z1696" i="1"/>
  <c r="Z1694" i="1"/>
  <c r="Z1729" i="1"/>
  <c r="BA1761" i="1"/>
  <c r="Z1776" i="1"/>
  <c r="BA1814" i="1"/>
  <c r="BA1789" i="1"/>
  <c r="Z1848" i="1"/>
  <c r="Z1844" i="1"/>
  <c r="BA1860" i="1"/>
  <c r="BA1855" i="1"/>
  <c r="BA1904" i="1"/>
  <c r="BA1880" i="1"/>
  <c r="Z1879" i="1"/>
  <c r="BA1960" i="1"/>
  <c r="BA2052" i="1"/>
  <c r="Z2040" i="1"/>
  <c r="Z2046" i="1"/>
  <c r="Z2052" i="1"/>
  <c r="Z2058" i="1"/>
  <c r="Z2062" i="1"/>
  <c r="BA2022" i="1"/>
  <c r="AZ1947" i="1"/>
  <c r="BA1627" i="1"/>
  <c r="BA1649" i="1"/>
  <c r="Z1707" i="1"/>
  <c r="BA1673" i="1"/>
  <c r="BA1672" i="1"/>
  <c r="BA1723" i="1"/>
  <c r="BA1737" i="1"/>
  <c r="BA1743" i="1"/>
  <c r="Z1750" i="1"/>
  <c r="BA1726" i="1"/>
  <c r="Z1749" i="1"/>
  <c r="Z1746" i="1"/>
  <c r="Z1740" i="1"/>
  <c r="Z1730" i="1"/>
  <c r="Z1727" i="1"/>
  <c r="BA1777" i="1"/>
  <c r="BA1783" i="1"/>
  <c r="Z1779" i="1"/>
  <c r="Z1774" i="1"/>
  <c r="Z1761" i="1"/>
  <c r="Z1808" i="1"/>
  <c r="BA1815" i="1"/>
  <c r="BA1817" i="1"/>
  <c r="BA1820" i="1"/>
  <c r="Z1859" i="1"/>
  <c r="Z1856" i="1"/>
  <c r="Z1849" i="1"/>
  <c r="Z1895" i="1"/>
  <c r="Z1885" i="1"/>
  <c r="BA1826" i="1"/>
  <c r="BA1906" i="1"/>
  <c r="BA1867" i="1"/>
  <c r="BA1882" i="1"/>
  <c r="BA1877" i="1"/>
  <c r="BA2055" i="1"/>
  <c r="BA2059" i="1"/>
  <c r="Z2049" i="1"/>
  <c r="Z2055" i="1"/>
  <c r="Z2061" i="1"/>
  <c r="AT1947" i="1"/>
  <c r="Z2088" i="1"/>
  <c r="Z2085" i="1"/>
  <c r="Z2081" i="1"/>
  <c r="Z2078" i="1"/>
  <c r="BA1693" i="1"/>
  <c r="BA1771" i="1"/>
  <c r="BA1799" i="1"/>
  <c r="BA1823" i="1"/>
  <c r="BA1809" i="1"/>
  <c r="BA1938" i="1"/>
  <c r="BA1941" i="1"/>
  <c r="BA1905" i="1"/>
  <c r="BA2045" i="1"/>
  <c r="BA2048" i="1"/>
  <c r="Z2092" i="1"/>
  <c r="BA2093" i="1"/>
  <c r="BA2095" i="1"/>
  <c r="Z2097" i="1"/>
  <c r="BA1632" i="1"/>
  <c r="BA1618" i="1"/>
  <c r="Z1702" i="1"/>
  <c r="Z1701" i="1"/>
  <c r="BA1689" i="1"/>
  <c r="BA1721" i="1"/>
  <c r="BA1733" i="1"/>
  <c r="BA1739" i="1"/>
  <c r="BA1745" i="1"/>
  <c r="BA1749" i="1"/>
  <c r="BA1750" i="1"/>
  <c r="BA1685" i="1"/>
  <c r="Z1747" i="1"/>
  <c r="Z1745" i="1"/>
  <c r="Z1744" i="1"/>
  <c r="Z1741" i="1"/>
  <c r="Z1731" i="1"/>
  <c r="Z1728" i="1"/>
  <c r="Z1712" i="1"/>
  <c r="BA1727" i="1"/>
  <c r="BA1730" i="1"/>
  <c r="BA1779" i="1"/>
  <c r="BA1785" i="1"/>
  <c r="Z1778" i="1"/>
  <c r="Z1777" i="1"/>
  <c r="Z1767" i="1"/>
  <c r="BA1768" i="1"/>
  <c r="Z1825" i="1"/>
  <c r="Z1823" i="1"/>
  <c r="BA1813" i="1"/>
  <c r="BA1790" i="1"/>
  <c r="BA1787" i="1"/>
  <c r="BA1805" i="1"/>
  <c r="BA1847" i="1"/>
  <c r="Z1847" i="1"/>
  <c r="Z1934" i="1"/>
  <c r="Z1937" i="1"/>
  <c r="Z1940" i="1"/>
  <c r="BA1940" i="1"/>
  <c r="BA1943" i="1"/>
  <c r="BA1944" i="1"/>
  <c r="BA1863" i="1"/>
  <c r="BA2007" i="1"/>
  <c r="BA2010" i="1"/>
  <c r="BA2013" i="1"/>
  <c r="BA2016" i="1"/>
  <c r="BA2017" i="1"/>
  <c r="Z2000" i="1"/>
  <c r="Z2006" i="1"/>
  <c r="Z2019" i="1"/>
  <c r="BA2000" i="1"/>
  <c r="Z1958" i="1"/>
  <c r="BA2001" i="1"/>
  <c r="BA2036" i="1"/>
  <c r="BA2073" i="1"/>
  <c r="BA2079" i="1"/>
  <c r="BA2080" i="1"/>
  <c r="BA2083" i="1"/>
  <c r="BA2086" i="1"/>
  <c r="BA2089" i="1"/>
  <c r="Z2095" i="1"/>
  <c r="BA2096" i="1"/>
  <c r="Z2089" i="1"/>
  <c r="BA1824" i="1"/>
  <c r="BA1856" i="1"/>
  <c r="Z1857" i="1"/>
  <c r="Z1854" i="1"/>
  <c r="BA1857" i="1"/>
  <c r="BA1852" i="1"/>
  <c r="BA1845" i="1"/>
  <c r="BA1810" i="1"/>
  <c r="BA1879" i="1"/>
  <c r="BA1891" i="1"/>
  <c r="BA1897" i="1"/>
  <c r="Z1905" i="1"/>
  <c r="Z1897" i="1"/>
  <c r="Z1890" i="1"/>
  <c r="Z1922" i="1"/>
  <c r="Z1923" i="1"/>
  <c r="BA1926" i="1"/>
  <c r="Z1936" i="1"/>
  <c r="BA1945" i="1"/>
  <c r="BA1868" i="1"/>
  <c r="BA1865" i="1"/>
  <c r="BA1840" i="1"/>
  <c r="BA1916" i="1"/>
  <c r="BA1921" i="1"/>
  <c r="BA1925" i="1"/>
  <c r="BA2021" i="1"/>
  <c r="BA2018" i="1"/>
  <c r="Z2016" i="1"/>
  <c r="Z2022" i="1"/>
  <c r="BA2043" i="1"/>
  <c r="BA2050" i="1"/>
  <c r="Z2060" i="1"/>
  <c r="AZ2025" i="1"/>
  <c r="AZ1986" i="1"/>
  <c r="AN1947" i="1"/>
  <c r="AZ1908" i="1"/>
  <c r="AT1713" i="1"/>
  <c r="BA2075" i="1"/>
  <c r="Z2096" i="1"/>
  <c r="Z2086" i="1"/>
  <c r="Z2101" i="1"/>
  <c r="Z2073" i="1"/>
  <c r="BA1838" i="1"/>
  <c r="Z1867" i="1"/>
  <c r="Z1858" i="1"/>
  <c r="Z1846" i="1"/>
  <c r="Z1843" i="1"/>
  <c r="BA1853" i="1"/>
  <c r="Z1841" i="1"/>
  <c r="BA1812" i="1"/>
  <c r="BA1829" i="1"/>
  <c r="BA1828" i="1"/>
  <c r="Z1921" i="1"/>
  <c r="BA1928" i="1"/>
  <c r="BA1929" i="1"/>
  <c r="Z1941" i="1"/>
  <c r="Z1942" i="1"/>
  <c r="BA1917" i="1"/>
  <c r="BA1864" i="1"/>
  <c r="BA1884" i="1"/>
  <c r="Z1880" i="1"/>
  <c r="BA1922" i="1"/>
  <c r="BA1957" i="1"/>
  <c r="BA1964" i="1"/>
  <c r="BA1967" i="1"/>
  <c r="BA1970" i="1"/>
  <c r="BA1973" i="1"/>
  <c r="BA1976" i="1"/>
  <c r="BA1979" i="1"/>
  <c r="BA1982" i="1"/>
  <c r="Z1976" i="1"/>
  <c r="Z1979" i="1"/>
  <c r="Z1982" i="1"/>
  <c r="BA1995" i="1"/>
  <c r="Z1999" i="1"/>
  <c r="Z2001" i="1"/>
  <c r="Z2017" i="1"/>
  <c r="Z2023" i="1"/>
  <c r="BA1985" i="1"/>
  <c r="BA1984" i="1"/>
  <c r="BA2046" i="1"/>
  <c r="BA2053" i="1"/>
  <c r="AT2025" i="1"/>
  <c r="AT1986" i="1"/>
  <c r="AH1947" i="1"/>
  <c r="AT1908" i="1"/>
  <c r="AZ1752" i="1"/>
  <c r="Z2035" i="1"/>
  <c r="BA2084" i="1"/>
  <c r="BA2087" i="1"/>
  <c r="BA2090" i="1"/>
  <c r="BA2094" i="1"/>
  <c r="BA2097" i="1"/>
  <c r="Z2099" i="1"/>
  <c r="Z2090" i="1"/>
  <c r="Z2087" i="1"/>
  <c r="Z2079" i="1"/>
  <c r="BA2077" i="1"/>
  <c r="BA2061" i="1"/>
  <c r="BA1763" i="1"/>
  <c r="BA1807" i="1"/>
  <c r="BA1839" i="1"/>
  <c r="BA1858" i="1"/>
  <c r="BA1850" i="1"/>
  <c r="BA1846" i="1"/>
  <c r="BA1811" i="1"/>
  <c r="BA1887" i="1"/>
  <c r="BA1893" i="1"/>
  <c r="BA1899" i="1"/>
  <c r="Z1902" i="1"/>
  <c r="Z1904" i="1"/>
  <c r="Z1884" i="1"/>
  <c r="BA1802" i="1"/>
  <c r="BA1927" i="1"/>
  <c r="Z1931" i="1"/>
  <c r="BA1931" i="1"/>
  <c r="BA1932" i="1"/>
  <c r="BA1935" i="1"/>
  <c r="BA1907" i="1"/>
  <c r="BA1861" i="1"/>
  <c r="BA1866" i="1"/>
  <c r="BA1841" i="1"/>
  <c r="BA1844" i="1"/>
  <c r="BA1883" i="1"/>
  <c r="Z1906" i="1"/>
  <c r="BA1961" i="1"/>
  <c r="Z1969" i="1"/>
  <c r="Z1963" i="1"/>
  <c r="Z1962" i="1"/>
  <c r="Z1957" i="1"/>
  <c r="Z1985" i="1"/>
  <c r="BA2002" i="1"/>
  <c r="BA2005" i="1"/>
  <c r="BA2008" i="1"/>
  <c r="BA2011" i="1"/>
  <c r="BA2014" i="1"/>
  <c r="BA2020" i="1"/>
  <c r="BA2019" i="1"/>
  <c r="Z2020" i="1"/>
  <c r="BA2033" i="1"/>
  <c r="BA2049" i="1"/>
  <c r="BA2056" i="1"/>
  <c r="BA2060" i="1"/>
  <c r="BA2041" i="1"/>
  <c r="Z2047" i="1"/>
  <c r="Z2053" i="1"/>
  <c r="BA2023" i="1"/>
  <c r="AN2025" i="1"/>
  <c r="AN1986" i="1"/>
  <c r="AN1908" i="1"/>
  <c r="AZ1869" i="1"/>
  <c r="AN1791" i="1"/>
  <c r="AT1752" i="1"/>
  <c r="BA2074" i="1"/>
  <c r="BA2092" i="1"/>
  <c r="Z2102" i="1"/>
  <c r="Z2063" i="1"/>
  <c r="BA2063" i="1"/>
  <c r="Z2056" i="1"/>
  <c r="BA2101" i="1"/>
  <c r="AH2103" i="1"/>
  <c r="AZ2064" i="1"/>
  <c r="Z2054" i="1"/>
  <c r="Z2051" i="1"/>
  <c r="AZ2103" i="1"/>
  <c r="AT2103" i="1"/>
  <c r="AN2103" i="1"/>
  <c r="Y2103" i="1"/>
  <c r="S2103" i="1"/>
  <c r="M2103" i="1"/>
  <c r="G2103" i="1"/>
  <c r="BA2039" i="1"/>
  <c r="Z2050" i="1"/>
  <c r="AN2064" i="1"/>
  <c r="AT2064" i="1"/>
  <c r="AH2064" i="1"/>
  <c r="Z2045" i="1"/>
  <c r="Z2044" i="1"/>
  <c r="Z2043" i="1"/>
  <c r="AH1713" i="1"/>
  <c r="AN1713" i="1"/>
  <c r="AZ1713" i="1"/>
  <c r="AT1791" i="1"/>
  <c r="AH1830" i="1"/>
  <c r="AN1830" i="1"/>
  <c r="AT1830" i="1"/>
  <c r="AZ1830" i="1"/>
  <c r="AH1869" i="1"/>
  <c r="AN1869" i="1"/>
  <c r="BA2038" i="1"/>
  <c r="Z2034" i="1"/>
  <c r="Z2042" i="1"/>
  <c r="Z2041" i="1"/>
  <c r="Z2033" i="1"/>
  <c r="Z2039" i="1"/>
  <c r="S2064" i="1"/>
  <c r="Y2064" i="1"/>
  <c r="M2064" i="1"/>
  <c r="G2064" i="1"/>
  <c r="Z2024" i="1"/>
  <c r="Z2021" i="1"/>
  <c r="Z2014" i="1"/>
  <c r="Z2015" i="1"/>
  <c r="Z1996" i="1"/>
  <c r="Z2013" i="1"/>
  <c r="Z2012" i="1"/>
  <c r="Z2011" i="1"/>
  <c r="Z2009" i="1"/>
  <c r="Z2008" i="1"/>
  <c r="Z2007" i="1"/>
  <c r="Y2025" i="1"/>
  <c r="Z2005" i="1"/>
  <c r="Z1995" i="1"/>
  <c r="Z2003" i="1"/>
  <c r="Z2002" i="1"/>
  <c r="S2025" i="1"/>
  <c r="Z1994" i="1"/>
  <c r="M2025" i="1"/>
  <c r="G2025" i="1"/>
  <c r="Z1984" i="1"/>
  <c r="Z1981" i="1"/>
  <c r="Z1980" i="1"/>
  <c r="Z1978" i="1"/>
  <c r="Z1975" i="1"/>
  <c r="Z1974" i="1"/>
  <c r="Z1956" i="1"/>
  <c r="Z1973" i="1"/>
  <c r="Z1971" i="1"/>
  <c r="Z1970" i="1"/>
  <c r="Z1968" i="1"/>
  <c r="Z1966" i="1"/>
  <c r="Z1965" i="1"/>
  <c r="Z1964" i="1"/>
  <c r="Z1961" i="1"/>
  <c r="Z1960" i="1"/>
  <c r="Z1946" i="1"/>
  <c r="Z1945" i="1"/>
  <c r="Y1986" i="1"/>
  <c r="Z1943" i="1"/>
  <c r="Z1939" i="1"/>
  <c r="Z1919" i="1"/>
  <c r="S1947" i="1"/>
  <c r="Z1933" i="1"/>
  <c r="BA1923" i="1"/>
  <c r="G1986" i="1"/>
  <c r="M1986" i="1"/>
  <c r="S1986" i="1"/>
  <c r="Y1947" i="1"/>
  <c r="Z1928" i="1"/>
  <c r="Z1927" i="1"/>
  <c r="G1947" i="1"/>
  <c r="Z1917" i="1"/>
  <c r="Z1925" i="1"/>
  <c r="Z1924" i="1"/>
  <c r="M1947" i="1"/>
  <c r="Z1916" i="1"/>
  <c r="Z1903" i="1"/>
  <c r="Z1901" i="1"/>
  <c r="BA1885" i="1"/>
  <c r="Z1900" i="1"/>
  <c r="Z1898" i="1"/>
  <c r="Z1894" i="1"/>
  <c r="Z1878" i="1"/>
  <c r="Z1888" i="1"/>
  <c r="Z1886" i="1"/>
  <c r="Z1882" i="1"/>
  <c r="Z1883" i="1"/>
  <c r="Z1868" i="1"/>
  <c r="BA1843" i="1"/>
  <c r="Z1864" i="1"/>
  <c r="G1908" i="1"/>
  <c r="S1908" i="1"/>
  <c r="M1908" i="1"/>
  <c r="Y1908" i="1"/>
  <c r="BA1886" i="1"/>
  <c r="BA1888" i="1"/>
  <c r="BA1890" i="1"/>
  <c r="BA1892" i="1"/>
  <c r="BA1894" i="1"/>
  <c r="BA1896" i="1"/>
  <c r="BA1898" i="1"/>
  <c r="BA1900" i="1"/>
  <c r="BA1902" i="1"/>
  <c r="Z1853" i="1"/>
  <c r="Z1852" i="1"/>
  <c r="Z1850" i="1"/>
  <c r="Z1840" i="1"/>
  <c r="Z1839" i="1"/>
  <c r="Z1838" i="1"/>
  <c r="Z1845" i="1"/>
  <c r="Z1829" i="1"/>
  <c r="G1869" i="1"/>
  <c r="Y1869" i="1"/>
  <c r="S1869" i="1"/>
  <c r="M1869" i="1"/>
  <c r="Z1827" i="1"/>
  <c r="Z1802" i="1"/>
  <c r="Z1820" i="1"/>
  <c r="Z1819" i="1"/>
  <c r="Z1818" i="1"/>
  <c r="Z1817" i="1"/>
  <c r="Z1814" i="1"/>
  <c r="Z1801" i="1"/>
  <c r="Z1813" i="1"/>
  <c r="Z1812" i="1"/>
  <c r="Z1811" i="1"/>
  <c r="Z1800" i="1"/>
  <c r="Z1807" i="1"/>
  <c r="Z1806" i="1"/>
  <c r="Z1799" i="1"/>
  <c r="BA1773" i="1"/>
  <c r="Z1805" i="1"/>
  <c r="BA1772" i="1"/>
  <c r="G1830" i="1"/>
  <c r="Y1830" i="1"/>
  <c r="S1830" i="1"/>
  <c r="L1830" i="1"/>
  <c r="Z1762" i="1"/>
  <c r="BA1770" i="1"/>
  <c r="Z1785" i="1"/>
  <c r="Z1783" i="1"/>
  <c r="BA1769" i="1"/>
  <c r="Z1782" i="1"/>
  <c r="Z1781" i="1"/>
  <c r="Z1760" i="1"/>
  <c r="BA1767" i="1"/>
  <c r="BA1724" i="1"/>
  <c r="Z1790" i="1"/>
  <c r="BA1766" i="1"/>
  <c r="Z1773" i="1"/>
  <c r="Z1771" i="1"/>
  <c r="Z1769" i="1"/>
  <c r="BA1765" i="1"/>
  <c r="G1791" i="1"/>
  <c r="S1791" i="1"/>
  <c r="Z1751" i="1"/>
  <c r="Z1765" i="1"/>
  <c r="Y1791" i="1"/>
  <c r="BA1760" i="1"/>
  <c r="BA1762" i="1"/>
  <c r="BA1774" i="1"/>
  <c r="BA1776" i="1"/>
  <c r="BA1778" i="1"/>
  <c r="BA1780" i="1"/>
  <c r="BA1782" i="1"/>
  <c r="BA1784" i="1"/>
  <c r="BA1786" i="1"/>
  <c r="Z1748" i="1"/>
  <c r="BA1732" i="1"/>
  <c r="Z1742" i="1"/>
  <c r="Z1723" i="1"/>
  <c r="Z1738" i="1"/>
  <c r="Z1736" i="1"/>
  <c r="Z1735" i="1"/>
  <c r="BA1728" i="1"/>
  <c r="Z1721" i="1"/>
  <c r="Z1732" i="1"/>
  <c r="S1752" i="1"/>
  <c r="G1752" i="1"/>
  <c r="Z1726" i="1"/>
  <c r="BA1712" i="1"/>
  <c r="M1752" i="1"/>
  <c r="Y1752" i="1"/>
  <c r="Z1722" i="1"/>
  <c r="Z1724" i="1"/>
  <c r="BA1734" i="1"/>
  <c r="BA1736" i="1"/>
  <c r="BA1738" i="1"/>
  <c r="BA1740" i="1"/>
  <c r="BA1742" i="1"/>
  <c r="BA1744" i="1"/>
  <c r="BA1746" i="1"/>
  <c r="Z1709" i="1"/>
  <c r="BA1691" i="1"/>
  <c r="Z1684" i="1"/>
  <c r="Z1703" i="1"/>
  <c r="Z1697" i="1"/>
  <c r="G1693" i="1"/>
  <c r="Z1693" i="1" s="1"/>
  <c r="G1713" i="1"/>
  <c r="S1713" i="1"/>
  <c r="Z1689" i="1"/>
  <c r="BA1687" i="1"/>
  <c r="Z1673" i="1"/>
  <c r="M1713" i="1"/>
  <c r="Y1713" i="1"/>
  <c r="BA1683" i="1"/>
  <c r="BA1695" i="1"/>
  <c r="BA1697" i="1"/>
  <c r="BA1699" i="1"/>
  <c r="BA1701" i="1"/>
  <c r="BA1703" i="1"/>
  <c r="BA1705" i="1"/>
  <c r="BA1707" i="1"/>
  <c r="BA1711" i="1"/>
  <c r="Z1669" i="1"/>
  <c r="Z1667" i="1"/>
  <c r="Z1663" i="1"/>
  <c r="Z1662" i="1"/>
  <c r="Z1660" i="1"/>
  <c r="Z1656" i="1"/>
  <c r="Z1655" i="1"/>
  <c r="Z1654" i="1"/>
  <c r="Z1648" i="1"/>
  <c r="Z1633" i="1"/>
  <c r="Z1578" i="1"/>
  <c r="Z1571" i="1"/>
  <c r="BA1588" i="1"/>
  <c r="BA1556" i="1"/>
  <c r="BA1611" i="1"/>
  <c r="Z1664" i="1"/>
  <c r="BA1657" i="1"/>
  <c r="BA1654" i="1"/>
  <c r="BA1652" i="1"/>
  <c r="BA1589" i="1"/>
  <c r="BA1585" i="1"/>
  <c r="BA1581" i="1"/>
  <c r="Z1622" i="1"/>
  <c r="BA1626" i="1"/>
  <c r="Z1628" i="1"/>
  <c r="Z1632" i="1"/>
  <c r="BA1570" i="1"/>
  <c r="BA1594" i="1"/>
  <c r="BA1643" i="1"/>
  <c r="Z1672" i="1"/>
  <c r="Z1668" i="1"/>
  <c r="Z1661" i="1"/>
  <c r="Z1657" i="1"/>
  <c r="Z1650" i="1"/>
  <c r="BA1666" i="1"/>
  <c r="BA1648" i="1"/>
  <c r="BA1566" i="1"/>
  <c r="Z1581" i="1"/>
  <c r="BA1590" i="1"/>
  <c r="BA1583" i="1"/>
  <c r="BA1555" i="1"/>
  <c r="BA1591" i="1"/>
  <c r="Z1658" i="1"/>
  <c r="BA1655" i="1"/>
  <c r="BA1587" i="1"/>
  <c r="BA1584" i="1"/>
  <c r="BA1577" i="1"/>
  <c r="BA1573" i="1"/>
  <c r="BA1579" i="1"/>
  <c r="Z1529" i="1"/>
  <c r="BA1606" i="1"/>
  <c r="Z1609" i="1"/>
  <c r="Z1611" i="1"/>
  <c r="Z1613" i="1"/>
  <c r="Z1617" i="1"/>
  <c r="Z1620" i="1"/>
  <c r="Z1623" i="1"/>
  <c r="BA1624" i="1"/>
  <c r="Z1626" i="1"/>
  <c r="Z1651" i="1"/>
  <c r="BA1656" i="1"/>
  <c r="Z1583" i="1"/>
  <c r="Z1582" i="1"/>
  <c r="BA1533" i="1"/>
  <c r="BA1613" i="1"/>
  <c r="M1674" i="1"/>
  <c r="Z1670" i="1"/>
  <c r="Z1652" i="1"/>
  <c r="BA1650" i="1"/>
  <c r="Z1644" i="1"/>
  <c r="Z1646" i="1"/>
  <c r="Z1643" i="1"/>
  <c r="Z1645" i="1"/>
  <c r="AT1674" i="1"/>
  <c r="AN1674" i="1"/>
  <c r="AZ1674" i="1"/>
  <c r="AH1674" i="1"/>
  <c r="S1674" i="1"/>
  <c r="G1674" i="1"/>
  <c r="Y1674" i="1"/>
  <c r="Z1631" i="1"/>
  <c r="Z1629" i="1"/>
  <c r="BA1616" i="1"/>
  <c r="Z1625" i="1"/>
  <c r="BA1615" i="1"/>
  <c r="Z1624" i="1"/>
  <c r="S1635" i="1"/>
  <c r="Z1634" i="1"/>
  <c r="Z1616" i="1"/>
  <c r="Z1615" i="1"/>
  <c r="BA1612" i="1"/>
  <c r="Z1606" i="1"/>
  <c r="Z1605" i="1"/>
  <c r="G1635" i="1"/>
  <c r="Z1604" i="1"/>
  <c r="Z1595" i="1"/>
  <c r="AN1635" i="1"/>
  <c r="AZ1635" i="1"/>
  <c r="AH1635" i="1"/>
  <c r="AT1635" i="1"/>
  <c r="Y1635" i="1"/>
  <c r="M1635" i="1"/>
  <c r="BA1605" i="1"/>
  <c r="BA1609" i="1"/>
  <c r="BA1617" i="1"/>
  <c r="BA1619" i="1"/>
  <c r="BA1621" i="1"/>
  <c r="BA1623" i="1"/>
  <c r="BA1625" i="1"/>
  <c r="Z1593" i="1"/>
  <c r="Z1590" i="1"/>
  <c r="Z1589" i="1"/>
  <c r="Z1588" i="1"/>
  <c r="Z1587" i="1"/>
  <c r="Z1586" i="1"/>
  <c r="Z1568" i="1"/>
  <c r="S1596" i="1"/>
  <c r="Z1580" i="1"/>
  <c r="BA1580" i="1"/>
  <c r="BA1582" i="1"/>
  <c r="Z1576" i="1"/>
  <c r="Z1575" i="1"/>
  <c r="Z1574" i="1"/>
  <c r="Z1572" i="1"/>
  <c r="Z1565" i="1"/>
  <c r="Z1570" i="1"/>
  <c r="AH1596" i="1"/>
  <c r="AZ1596" i="1"/>
  <c r="AT1596" i="1"/>
  <c r="AN1596" i="1"/>
  <c r="G1596" i="1"/>
  <c r="M1596" i="1"/>
  <c r="Z1594" i="1"/>
  <c r="Y1596" i="1"/>
  <c r="BA1567" i="1"/>
  <c r="BA1497" i="1"/>
  <c r="Z1542" i="1"/>
  <c r="Z1547" i="1"/>
  <c r="Z1537" i="1"/>
  <c r="Z1548" i="1"/>
  <c r="Z1555" i="1"/>
  <c r="BA1531" i="1"/>
  <c r="BA1536" i="1"/>
  <c r="Z1543" i="1"/>
  <c r="Z1531" i="1"/>
  <c r="BA1544" i="1"/>
  <c r="BA1550" i="1"/>
  <c r="Z1554" i="1"/>
  <c r="BA1539" i="1"/>
  <c r="BA1526" i="1"/>
  <c r="BA1543" i="1"/>
  <c r="BA1549" i="1"/>
  <c r="Z1527" i="1"/>
  <c r="Z1549" i="1"/>
  <c r="BA1537" i="1"/>
  <c r="BA1528" i="1"/>
  <c r="BA1545" i="1"/>
  <c r="BA1551" i="1"/>
  <c r="S1557" i="1"/>
  <c r="Z1536" i="1"/>
  <c r="Z1545" i="1"/>
  <c r="Z1534" i="1"/>
  <c r="Z1552" i="1"/>
  <c r="Z1550" i="1"/>
  <c r="Z1539" i="1"/>
  <c r="BA1541" i="1"/>
  <c r="Z1546" i="1"/>
  <c r="Z1544" i="1"/>
  <c r="Z1535" i="1"/>
  <c r="Z1533" i="1"/>
  <c r="Z1532" i="1"/>
  <c r="Z1541" i="1"/>
  <c r="BA1547" i="1"/>
  <c r="Z1528" i="1"/>
  <c r="Z1526" i="1"/>
  <c r="BA1534" i="1"/>
  <c r="BA1527" i="1"/>
  <c r="BA1529" i="1"/>
  <c r="BA1542" i="1"/>
  <c r="BA1546" i="1"/>
  <c r="BA1548" i="1"/>
  <c r="BA1552" i="1"/>
  <c r="Z1556" i="1"/>
  <c r="Z1553" i="1"/>
  <c r="Z1551" i="1"/>
  <c r="Z1540" i="1"/>
  <c r="Z1538" i="1"/>
  <c r="BA1516" i="1"/>
  <c r="BA1535" i="1"/>
  <c r="M1557" i="1"/>
  <c r="BA1540" i="1"/>
  <c r="BA1538" i="1"/>
  <c r="BA1517" i="1"/>
  <c r="BA1515" i="1"/>
  <c r="AN1557" i="1"/>
  <c r="AZ1557" i="1"/>
  <c r="AH1557" i="1"/>
  <c r="AT1557" i="1"/>
  <c r="G1557" i="1"/>
  <c r="Y1557" i="1"/>
  <c r="BA1495" i="1"/>
  <c r="BA1496" i="1"/>
  <c r="BA1493" i="1"/>
  <c r="BA1456" i="1"/>
  <c r="BA1494" i="1"/>
  <c r="BA1492" i="1"/>
  <c r="G1492" i="1"/>
  <c r="M1492" i="1"/>
  <c r="S1492" i="1"/>
  <c r="Y1492" i="1"/>
  <c r="G1493" i="1"/>
  <c r="M1493" i="1"/>
  <c r="S1493" i="1"/>
  <c r="Y1493" i="1"/>
  <c r="G1494" i="1"/>
  <c r="M1494" i="1"/>
  <c r="S1494" i="1"/>
  <c r="Y1494" i="1"/>
  <c r="G1495" i="1"/>
  <c r="M1495" i="1"/>
  <c r="S1495" i="1"/>
  <c r="Y1495" i="1"/>
  <c r="G1496" i="1"/>
  <c r="M1496" i="1"/>
  <c r="S1496" i="1"/>
  <c r="Y1496" i="1"/>
  <c r="G1497" i="1"/>
  <c r="M1497" i="1"/>
  <c r="S1497" i="1"/>
  <c r="Y1497" i="1"/>
  <c r="G1498" i="1"/>
  <c r="M1498" i="1"/>
  <c r="S1498" i="1"/>
  <c r="Y1498" i="1"/>
  <c r="G1499" i="1"/>
  <c r="M1499" i="1"/>
  <c r="S1499" i="1"/>
  <c r="Y1499" i="1"/>
  <c r="G1500" i="1"/>
  <c r="M1500" i="1"/>
  <c r="S1500" i="1"/>
  <c r="Y1500" i="1"/>
  <c r="G1501" i="1"/>
  <c r="M1501" i="1"/>
  <c r="S1501" i="1"/>
  <c r="Y1501" i="1"/>
  <c r="G1502" i="1"/>
  <c r="M1502" i="1"/>
  <c r="S1502" i="1"/>
  <c r="Y1502" i="1"/>
  <c r="G1503" i="1"/>
  <c r="M1503" i="1"/>
  <c r="S1503" i="1"/>
  <c r="Y1503" i="1"/>
  <c r="G1504" i="1"/>
  <c r="M1504" i="1"/>
  <c r="S1504" i="1"/>
  <c r="Y1504" i="1"/>
  <c r="G1505" i="1"/>
  <c r="M1505" i="1"/>
  <c r="S1505" i="1"/>
  <c r="Y1505" i="1"/>
  <c r="G1506" i="1"/>
  <c r="M1506" i="1"/>
  <c r="S1506" i="1"/>
  <c r="Y1506" i="1"/>
  <c r="G1507" i="1"/>
  <c r="M1507" i="1"/>
  <c r="S1507" i="1"/>
  <c r="Y1507" i="1"/>
  <c r="G1508" i="1"/>
  <c r="M1508" i="1"/>
  <c r="S1508" i="1"/>
  <c r="Y1508" i="1"/>
  <c r="G1509" i="1"/>
  <c r="M1509" i="1"/>
  <c r="S1509" i="1"/>
  <c r="Y1509" i="1"/>
  <c r="G1510" i="1"/>
  <c r="M1510" i="1"/>
  <c r="S1510" i="1"/>
  <c r="Y1510" i="1"/>
  <c r="G1511" i="1"/>
  <c r="M1511" i="1"/>
  <c r="S1511" i="1"/>
  <c r="Y1511" i="1"/>
  <c r="G1512" i="1"/>
  <c r="M1512" i="1"/>
  <c r="S1512" i="1"/>
  <c r="Y1512" i="1"/>
  <c r="G1513" i="1"/>
  <c r="M1513" i="1"/>
  <c r="S1513" i="1"/>
  <c r="Y1513" i="1"/>
  <c r="G1514" i="1"/>
  <c r="M1514" i="1"/>
  <c r="S1514" i="1"/>
  <c r="Y1514" i="1"/>
  <c r="G1515" i="1"/>
  <c r="M1515" i="1"/>
  <c r="S1515" i="1"/>
  <c r="Y1515" i="1"/>
  <c r="AY1518" i="1"/>
  <c r="AX1518" i="1"/>
  <c r="AW1518" i="1"/>
  <c r="AV1518" i="1"/>
  <c r="AU1518" i="1"/>
  <c r="AS1518" i="1"/>
  <c r="AR1518" i="1"/>
  <c r="AQ1518" i="1"/>
  <c r="AP1518" i="1"/>
  <c r="AO1518" i="1"/>
  <c r="AM1518" i="1"/>
  <c r="AL1518" i="1"/>
  <c r="AK1518" i="1"/>
  <c r="AJ1518" i="1"/>
  <c r="AI1518" i="1"/>
  <c r="AG1518" i="1"/>
  <c r="AF1518" i="1"/>
  <c r="AE1518" i="1"/>
  <c r="AD1518" i="1"/>
  <c r="AC1518" i="1"/>
  <c r="X1518" i="1"/>
  <c r="W1518" i="1"/>
  <c r="V1518" i="1"/>
  <c r="U1518" i="1"/>
  <c r="T1518" i="1"/>
  <c r="R1518" i="1"/>
  <c r="Q1518" i="1"/>
  <c r="P1518" i="1"/>
  <c r="O1518" i="1"/>
  <c r="N1518" i="1"/>
  <c r="L1518" i="1"/>
  <c r="K1518" i="1"/>
  <c r="J1518" i="1"/>
  <c r="I1518" i="1"/>
  <c r="H1518" i="1"/>
  <c r="F1518" i="1"/>
  <c r="E1518" i="1"/>
  <c r="D1518" i="1"/>
  <c r="C1518" i="1"/>
  <c r="B1518" i="1"/>
  <c r="Y1517" i="1"/>
  <c r="S1517" i="1"/>
  <c r="M1517" i="1"/>
  <c r="G1517" i="1"/>
  <c r="Y1516" i="1"/>
  <c r="S1516" i="1"/>
  <c r="M1516" i="1"/>
  <c r="G1516" i="1"/>
  <c r="AZ1514" i="1"/>
  <c r="AT1514" i="1"/>
  <c r="AN1514" i="1"/>
  <c r="AH1514" i="1"/>
  <c r="AZ1513" i="1"/>
  <c r="AT1513" i="1"/>
  <c r="AN1513" i="1"/>
  <c r="AH1513" i="1"/>
  <c r="AZ1512" i="1"/>
  <c r="AT1512" i="1"/>
  <c r="AN1512" i="1"/>
  <c r="AH1512" i="1"/>
  <c r="AZ1511" i="1"/>
  <c r="AT1511" i="1"/>
  <c r="AN1511" i="1"/>
  <c r="AH1511" i="1"/>
  <c r="AZ1510" i="1"/>
  <c r="AT1510" i="1"/>
  <c r="AN1510" i="1"/>
  <c r="AH1510" i="1"/>
  <c r="AZ1509" i="1"/>
  <c r="AT1509" i="1"/>
  <c r="AN1509" i="1"/>
  <c r="AH1509" i="1"/>
  <c r="AZ1508" i="1"/>
  <c r="AT1508" i="1"/>
  <c r="AN1508" i="1"/>
  <c r="AH1508" i="1"/>
  <c r="AZ1507" i="1"/>
  <c r="AT1507" i="1"/>
  <c r="AN1507" i="1"/>
  <c r="AH1507" i="1"/>
  <c r="AZ1506" i="1"/>
  <c r="AT1506" i="1"/>
  <c r="AN1506" i="1"/>
  <c r="AH1506" i="1"/>
  <c r="AZ1505" i="1"/>
  <c r="AT1505" i="1"/>
  <c r="AN1505" i="1"/>
  <c r="AH1505" i="1"/>
  <c r="AZ1504" i="1"/>
  <c r="AT1504" i="1"/>
  <c r="AN1504" i="1"/>
  <c r="AH1504" i="1"/>
  <c r="AZ1503" i="1"/>
  <c r="AT1503" i="1"/>
  <c r="AN1503" i="1"/>
  <c r="AH1503" i="1"/>
  <c r="AZ1502" i="1"/>
  <c r="AT1502" i="1"/>
  <c r="AN1502" i="1"/>
  <c r="AH1502" i="1"/>
  <c r="AZ1501" i="1"/>
  <c r="AT1501" i="1"/>
  <c r="AN1501" i="1"/>
  <c r="AH1501" i="1"/>
  <c r="AZ1500" i="1"/>
  <c r="AT1500" i="1"/>
  <c r="AN1500" i="1"/>
  <c r="AH1500" i="1"/>
  <c r="AZ1499" i="1"/>
  <c r="AT1499" i="1"/>
  <c r="AN1499" i="1"/>
  <c r="AH1499" i="1"/>
  <c r="AZ1498" i="1"/>
  <c r="AT1498" i="1"/>
  <c r="AN1498" i="1"/>
  <c r="AH1498" i="1"/>
  <c r="AZ1490" i="1"/>
  <c r="AT1490" i="1"/>
  <c r="AN1490" i="1"/>
  <c r="AH1490" i="1"/>
  <c r="Y1490" i="1"/>
  <c r="S1490" i="1"/>
  <c r="M1490" i="1"/>
  <c r="G1490" i="1"/>
  <c r="AZ1489" i="1"/>
  <c r="AT1489" i="1"/>
  <c r="AN1489" i="1"/>
  <c r="AH1489" i="1"/>
  <c r="Y1489" i="1"/>
  <c r="S1489" i="1"/>
  <c r="M1489" i="1"/>
  <c r="G1489" i="1"/>
  <c r="AZ1488" i="1"/>
  <c r="AT1488" i="1"/>
  <c r="AN1488" i="1"/>
  <c r="AH1488" i="1"/>
  <c r="Y1488" i="1"/>
  <c r="S1488" i="1"/>
  <c r="M1488" i="1"/>
  <c r="G1488" i="1"/>
  <c r="AZ1487" i="1"/>
  <c r="AT1487" i="1"/>
  <c r="AN1487" i="1"/>
  <c r="AH1487" i="1"/>
  <c r="Y1487" i="1"/>
  <c r="S1487" i="1"/>
  <c r="M1487" i="1"/>
  <c r="G1487" i="1"/>
  <c r="S2338" i="1" l="1"/>
  <c r="Y2338" i="1"/>
  <c r="Z2337" i="1"/>
  <c r="M2338" i="1"/>
  <c r="P2338" i="1"/>
  <c r="S2305" i="1"/>
  <c r="AH2338" i="1"/>
  <c r="Z2305" i="1"/>
  <c r="G2338" i="1"/>
  <c r="Z2310" i="1"/>
  <c r="Z2298" i="1"/>
  <c r="BA2298" i="1"/>
  <c r="BA2259" i="1"/>
  <c r="BA2025" i="1"/>
  <c r="Z2259" i="1"/>
  <c r="BA2220" i="1"/>
  <c r="Z2220" i="1"/>
  <c r="BA1752" i="1"/>
  <c r="BA1947" i="1"/>
  <c r="BA1908" i="1"/>
  <c r="BA1986" i="1"/>
  <c r="BA2142" i="1"/>
  <c r="Z2181" i="1"/>
  <c r="Z2142" i="1"/>
  <c r="BA2103" i="1"/>
  <c r="Z2103" i="1"/>
  <c r="BA1713" i="1"/>
  <c r="BA1791" i="1"/>
  <c r="BA1830" i="1"/>
  <c r="BA1869" i="1"/>
  <c r="BA2064" i="1"/>
  <c r="Z2064" i="1"/>
  <c r="Z2025" i="1"/>
  <c r="Z1986" i="1"/>
  <c r="Z1947" i="1"/>
  <c r="Z1908" i="1"/>
  <c r="Z1869" i="1"/>
  <c r="M1830" i="1"/>
  <c r="Z1830" i="1" s="1"/>
  <c r="Z1791" i="1"/>
  <c r="Z1752" i="1"/>
  <c r="Z1713" i="1"/>
  <c r="BA1674" i="1"/>
  <c r="Z1674" i="1"/>
  <c r="Z1635" i="1"/>
  <c r="BA1635" i="1"/>
  <c r="BA1596" i="1"/>
  <c r="Z1596" i="1"/>
  <c r="Z1557" i="1"/>
  <c r="BA1557" i="1"/>
  <c r="Z1508" i="1"/>
  <c r="Z1506" i="1"/>
  <c r="Z1496" i="1"/>
  <c r="BA1513" i="1"/>
  <c r="BA1508" i="1"/>
  <c r="BA1490" i="1"/>
  <c r="BA1506" i="1"/>
  <c r="Z1498" i="1"/>
  <c r="Z1492" i="1"/>
  <c r="BA1501" i="1"/>
  <c r="Z1512" i="1"/>
  <c r="Z1500" i="1"/>
  <c r="BA1499" i="1"/>
  <c r="BA1507" i="1"/>
  <c r="Z1504" i="1"/>
  <c r="Z1489" i="1"/>
  <c r="BA1498" i="1"/>
  <c r="BA1505" i="1"/>
  <c r="BA1512" i="1"/>
  <c r="BA1514" i="1"/>
  <c r="Y1518" i="1"/>
  <c r="Z1510" i="1"/>
  <c r="AZ1518" i="1"/>
  <c r="Z1514" i="1"/>
  <c r="BA1487" i="1"/>
  <c r="BA1504" i="1"/>
  <c r="BA1511" i="1"/>
  <c r="Z1517" i="1"/>
  <c r="BA1503" i="1"/>
  <c r="BA1510" i="1"/>
  <c r="Z1494" i="1"/>
  <c r="Z1516" i="1"/>
  <c r="BA1509" i="1"/>
  <c r="BA1489" i="1"/>
  <c r="BA1500" i="1"/>
  <c r="BA1502" i="1"/>
  <c r="Z1502" i="1"/>
  <c r="G1518" i="1"/>
  <c r="Z1515" i="1"/>
  <c r="Z1511" i="1"/>
  <c r="Z1507" i="1"/>
  <c r="Z1503" i="1"/>
  <c r="Z1499" i="1"/>
  <c r="Z1495" i="1"/>
  <c r="S1518" i="1"/>
  <c r="AN1518" i="1"/>
  <c r="Z1487" i="1"/>
  <c r="BA1488" i="1"/>
  <c r="Z1513" i="1"/>
  <c r="Z1509" i="1"/>
  <c r="Z1505" i="1"/>
  <c r="Z1501" i="1"/>
  <c r="Z1497" i="1"/>
  <c r="Z1493" i="1"/>
  <c r="AH1518" i="1"/>
  <c r="AT1518" i="1"/>
  <c r="Z1488" i="1"/>
  <c r="Z1490" i="1"/>
  <c r="M1518" i="1"/>
  <c r="L1468" i="1"/>
  <c r="AZ1455" i="1"/>
  <c r="AT1455" i="1"/>
  <c r="AN1455" i="1"/>
  <c r="AH1455" i="1"/>
  <c r="AZ1454" i="1"/>
  <c r="AT1454" i="1"/>
  <c r="AN1454" i="1"/>
  <c r="AH1454" i="1"/>
  <c r="AH1439" i="1"/>
  <c r="AN1439" i="1"/>
  <c r="AT1439" i="1"/>
  <c r="AZ1439" i="1"/>
  <c r="AZ1478" i="1"/>
  <c r="AT1478" i="1"/>
  <c r="AN1478" i="1"/>
  <c r="AH1478" i="1"/>
  <c r="Z2338" i="1" l="1"/>
  <c r="Z1518" i="1"/>
  <c r="BA1518" i="1"/>
  <c r="BA1455" i="1"/>
  <c r="BA1454" i="1"/>
  <c r="BA1439" i="1"/>
  <c r="BA1478" i="1"/>
  <c r="AZ1418" i="1"/>
  <c r="AT1418" i="1"/>
  <c r="AN1418" i="1"/>
  <c r="AH1418" i="1"/>
  <c r="AH1453" i="1"/>
  <c r="AN1453" i="1"/>
  <c r="AT1453" i="1"/>
  <c r="AZ1453" i="1"/>
  <c r="AH1457" i="1"/>
  <c r="AN1457" i="1"/>
  <c r="AT1457" i="1"/>
  <c r="AZ1457" i="1"/>
  <c r="AH1458" i="1"/>
  <c r="AN1458" i="1"/>
  <c r="AT1458" i="1"/>
  <c r="AZ1458" i="1"/>
  <c r="AH1459" i="1"/>
  <c r="AN1459" i="1"/>
  <c r="AT1459" i="1"/>
  <c r="AZ1459" i="1"/>
  <c r="AH1466" i="1"/>
  <c r="AN1466" i="1"/>
  <c r="AT1466" i="1"/>
  <c r="AZ1466" i="1"/>
  <c r="AH1467" i="1"/>
  <c r="AN1467" i="1"/>
  <c r="AT1467" i="1"/>
  <c r="AZ1467" i="1"/>
  <c r="AH1468" i="1"/>
  <c r="AN1468" i="1"/>
  <c r="AT1468" i="1"/>
  <c r="AZ1468" i="1"/>
  <c r="AH1469" i="1"/>
  <c r="AN1469" i="1"/>
  <c r="AT1469" i="1"/>
  <c r="AZ1469" i="1"/>
  <c r="AH1470" i="1"/>
  <c r="AN1470" i="1"/>
  <c r="AT1470" i="1"/>
  <c r="AZ1470" i="1"/>
  <c r="AH1471" i="1"/>
  <c r="AN1471" i="1"/>
  <c r="AT1471" i="1"/>
  <c r="AZ1471" i="1"/>
  <c r="AH1472" i="1"/>
  <c r="AN1472" i="1"/>
  <c r="AT1472" i="1"/>
  <c r="AZ1472" i="1"/>
  <c r="AH1473" i="1"/>
  <c r="AN1473" i="1"/>
  <c r="AT1473" i="1"/>
  <c r="AZ1473" i="1"/>
  <c r="AH1474" i="1"/>
  <c r="AN1474" i="1"/>
  <c r="AT1474" i="1"/>
  <c r="AZ1474" i="1"/>
  <c r="AH1475" i="1"/>
  <c r="AN1475" i="1"/>
  <c r="AT1475" i="1"/>
  <c r="AZ1475" i="1"/>
  <c r="AH1476" i="1"/>
  <c r="AN1476" i="1"/>
  <c r="AT1476" i="1"/>
  <c r="AZ1476" i="1"/>
  <c r="AH1477" i="1"/>
  <c r="AN1477" i="1"/>
  <c r="AT1477" i="1"/>
  <c r="AZ1477" i="1"/>
  <c r="G1448" i="1"/>
  <c r="M1448" i="1"/>
  <c r="S1448" i="1"/>
  <c r="Y1448" i="1"/>
  <c r="G1450" i="1"/>
  <c r="M1450" i="1"/>
  <c r="S1450" i="1"/>
  <c r="Y1450" i="1"/>
  <c r="G1451" i="1"/>
  <c r="M1451" i="1"/>
  <c r="S1451" i="1"/>
  <c r="Y1451" i="1"/>
  <c r="G1453" i="1"/>
  <c r="M1453" i="1"/>
  <c r="S1453" i="1"/>
  <c r="Y1453" i="1"/>
  <c r="G1454" i="1"/>
  <c r="M1454" i="1"/>
  <c r="S1454" i="1"/>
  <c r="Y1454" i="1"/>
  <c r="G1455" i="1"/>
  <c r="M1455" i="1"/>
  <c r="S1455" i="1"/>
  <c r="Y1455" i="1"/>
  <c r="G1456" i="1"/>
  <c r="M1456" i="1"/>
  <c r="S1456" i="1"/>
  <c r="Y1456" i="1"/>
  <c r="G1457" i="1"/>
  <c r="M1457" i="1"/>
  <c r="S1457" i="1"/>
  <c r="Y1457" i="1"/>
  <c r="G1458" i="1"/>
  <c r="M1458" i="1"/>
  <c r="S1458" i="1"/>
  <c r="Y1458" i="1"/>
  <c r="G1459" i="1"/>
  <c r="M1459" i="1"/>
  <c r="S1459" i="1"/>
  <c r="Y1459" i="1"/>
  <c r="G1460" i="1"/>
  <c r="M1460" i="1"/>
  <c r="S1460" i="1"/>
  <c r="Y1460" i="1"/>
  <c r="G1461" i="1"/>
  <c r="M1461" i="1"/>
  <c r="S1461" i="1"/>
  <c r="Y1461" i="1"/>
  <c r="G1462" i="1"/>
  <c r="M1462" i="1"/>
  <c r="S1462" i="1"/>
  <c r="Y1462" i="1"/>
  <c r="G1463" i="1"/>
  <c r="M1463" i="1"/>
  <c r="S1463" i="1"/>
  <c r="Y1463" i="1"/>
  <c r="G1464" i="1"/>
  <c r="M1464" i="1"/>
  <c r="S1464" i="1"/>
  <c r="Y1464" i="1"/>
  <c r="G1465" i="1"/>
  <c r="M1465" i="1"/>
  <c r="S1465" i="1"/>
  <c r="Y1465" i="1"/>
  <c r="G1466" i="1"/>
  <c r="M1466" i="1"/>
  <c r="S1466" i="1"/>
  <c r="Y1466" i="1"/>
  <c r="G1467" i="1"/>
  <c r="M1467" i="1"/>
  <c r="S1467" i="1"/>
  <c r="Y1467" i="1"/>
  <c r="G1468" i="1"/>
  <c r="M1468" i="1"/>
  <c r="S1468" i="1"/>
  <c r="Y1468" i="1"/>
  <c r="G1469" i="1"/>
  <c r="M1469" i="1"/>
  <c r="S1469" i="1"/>
  <c r="Y1469" i="1"/>
  <c r="G1470" i="1"/>
  <c r="M1470" i="1"/>
  <c r="S1470" i="1"/>
  <c r="Y1470" i="1"/>
  <c r="G1471" i="1"/>
  <c r="M1471" i="1"/>
  <c r="S1471" i="1"/>
  <c r="Y1471" i="1"/>
  <c r="G1472" i="1"/>
  <c r="M1472" i="1"/>
  <c r="S1472" i="1"/>
  <c r="Y1472" i="1"/>
  <c r="G1473" i="1"/>
  <c r="M1473" i="1"/>
  <c r="S1473" i="1"/>
  <c r="Y1473" i="1"/>
  <c r="G1474" i="1"/>
  <c r="M1474" i="1"/>
  <c r="S1474" i="1"/>
  <c r="Y1474" i="1"/>
  <c r="G1475" i="1"/>
  <c r="M1475" i="1"/>
  <c r="S1475" i="1"/>
  <c r="Y1475" i="1"/>
  <c r="AY1479" i="1"/>
  <c r="AX1479" i="1"/>
  <c r="AW1479" i="1"/>
  <c r="AV1479" i="1"/>
  <c r="AU1479" i="1"/>
  <c r="AS1479" i="1"/>
  <c r="AR1479" i="1"/>
  <c r="AQ1479" i="1"/>
  <c r="AP1479" i="1"/>
  <c r="AO1479" i="1"/>
  <c r="AM1479" i="1"/>
  <c r="AL1479" i="1"/>
  <c r="AK1479" i="1"/>
  <c r="AJ1479" i="1"/>
  <c r="AI1479" i="1"/>
  <c r="AG1479" i="1"/>
  <c r="AF1479" i="1"/>
  <c r="AE1479" i="1"/>
  <c r="AD1479" i="1"/>
  <c r="AC1479" i="1"/>
  <c r="X1479" i="1"/>
  <c r="W1479" i="1"/>
  <c r="V1479" i="1"/>
  <c r="U1479" i="1"/>
  <c r="T1479" i="1"/>
  <c r="R1479" i="1"/>
  <c r="Q1479" i="1"/>
  <c r="P1479" i="1"/>
  <c r="O1479" i="1"/>
  <c r="N1479" i="1"/>
  <c r="L1479" i="1"/>
  <c r="K1479" i="1"/>
  <c r="J1479" i="1"/>
  <c r="I1479" i="1"/>
  <c r="H1479" i="1"/>
  <c r="F1479" i="1"/>
  <c r="E1479" i="1"/>
  <c r="D1479" i="1"/>
  <c r="C1479" i="1"/>
  <c r="B1479" i="1"/>
  <c r="Y1478" i="1"/>
  <c r="S1478" i="1"/>
  <c r="M1478" i="1"/>
  <c r="G1478" i="1"/>
  <c r="Y1477" i="1"/>
  <c r="S1477" i="1"/>
  <c r="M1477" i="1"/>
  <c r="G1477" i="1"/>
  <c r="Y1476" i="1"/>
  <c r="S1476" i="1"/>
  <c r="M1476" i="1"/>
  <c r="G1476" i="1"/>
  <c r="AZ1465" i="1"/>
  <c r="AT1465" i="1"/>
  <c r="AN1465" i="1"/>
  <c r="AH1465" i="1"/>
  <c r="AZ1464" i="1"/>
  <c r="AT1464" i="1"/>
  <c r="AN1464" i="1"/>
  <c r="AH1464" i="1"/>
  <c r="AZ1463" i="1"/>
  <c r="AT1463" i="1"/>
  <c r="AN1463" i="1"/>
  <c r="AH1463" i="1"/>
  <c r="AZ1462" i="1"/>
  <c r="AT1462" i="1"/>
  <c r="AN1462" i="1"/>
  <c r="AH1462" i="1"/>
  <c r="AZ1461" i="1"/>
  <c r="AT1461" i="1"/>
  <c r="AN1461" i="1"/>
  <c r="AH1461" i="1"/>
  <c r="AZ1460" i="1"/>
  <c r="AT1460" i="1"/>
  <c r="AN1460" i="1"/>
  <c r="AH1460" i="1"/>
  <c r="AZ1451" i="1"/>
  <c r="AT1451" i="1"/>
  <c r="AN1451" i="1"/>
  <c r="AH1451" i="1"/>
  <c r="AZ1450" i="1"/>
  <c r="AT1450" i="1"/>
  <c r="AN1450" i="1"/>
  <c r="AH1450" i="1"/>
  <c r="AZ1449" i="1"/>
  <c r="AT1449" i="1"/>
  <c r="AN1449" i="1"/>
  <c r="AH1449" i="1"/>
  <c r="Y1449" i="1"/>
  <c r="S1449" i="1"/>
  <c r="M1449" i="1"/>
  <c r="G1449" i="1"/>
  <c r="AZ1448" i="1"/>
  <c r="AT1448" i="1"/>
  <c r="AN1448" i="1"/>
  <c r="AH1448" i="1"/>
  <c r="AZ1417" i="1"/>
  <c r="AT1417" i="1"/>
  <c r="AN1417" i="1"/>
  <c r="AH1417" i="1"/>
  <c r="AZ1415" i="1"/>
  <c r="AT1415" i="1"/>
  <c r="AN1415" i="1"/>
  <c r="AH1415" i="1"/>
  <c r="AZ1414" i="1"/>
  <c r="AT1414" i="1"/>
  <c r="AN1414" i="1"/>
  <c r="AH1414" i="1"/>
  <c r="AZ1380" i="1"/>
  <c r="AT1380" i="1"/>
  <c r="AN1380" i="1"/>
  <c r="AH1380" i="1"/>
  <c r="AH1416" i="1"/>
  <c r="AN1416" i="1"/>
  <c r="AT1416" i="1"/>
  <c r="AZ1416" i="1"/>
  <c r="AH1419" i="1"/>
  <c r="AN1419" i="1"/>
  <c r="AT1419" i="1"/>
  <c r="AZ1419" i="1"/>
  <c r="AH1420" i="1"/>
  <c r="AN1420" i="1"/>
  <c r="AT1420" i="1"/>
  <c r="AZ1420" i="1"/>
  <c r="G1414" i="1"/>
  <c r="M1414" i="1"/>
  <c r="S1414" i="1"/>
  <c r="Y1414" i="1"/>
  <c r="G1415" i="1"/>
  <c r="M1415" i="1"/>
  <c r="S1415" i="1"/>
  <c r="Y1415" i="1"/>
  <c r="G1416" i="1"/>
  <c r="M1416" i="1"/>
  <c r="S1416" i="1"/>
  <c r="Y1416" i="1"/>
  <c r="G1417" i="1"/>
  <c r="M1417" i="1"/>
  <c r="S1417" i="1"/>
  <c r="Y1417" i="1"/>
  <c r="G1418" i="1"/>
  <c r="M1418" i="1"/>
  <c r="S1418" i="1"/>
  <c r="Y1418" i="1"/>
  <c r="G1419" i="1"/>
  <c r="M1419" i="1"/>
  <c r="S1419" i="1"/>
  <c r="Y1419" i="1"/>
  <c r="G1420" i="1"/>
  <c r="M1420" i="1"/>
  <c r="S1420" i="1"/>
  <c r="Y1420" i="1"/>
  <c r="G1421" i="1"/>
  <c r="M1421" i="1"/>
  <c r="S1421" i="1"/>
  <c r="Y1421" i="1"/>
  <c r="G1422" i="1"/>
  <c r="M1422" i="1"/>
  <c r="S1422" i="1"/>
  <c r="Y1422" i="1"/>
  <c r="G1423" i="1"/>
  <c r="M1423" i="1"/>
  <c r="S1423" i="1"/>
  <c r="Y1423" i="1"/>
  <c r="G1424" i="1"/>
  <c r="M1424" i="1"/>
  <c r="S1424" i="1"/>
  <c r="Y1424" i="1"/>
  <c r="G1425" i="1"/>
  <c r="M1425" i="1"/>
  <c r="S1425" i="1"/>
  <c r="Y1425" i="1"/>
  <c r="G1426" i="1"/>
  <c r="M1426" i="1"/>
  <c r="S1426" i="1"/>
  <c r="Y1426" i="1"/>
  <c r="G1427" i="1"/>
  <c r="M1427" i="1"/>
  <c r="S1427" i="1"/>
  <c r="Y1427" i="1"/>
  <c r="G1428" i="1"/>
  <c r="M1428" i="1"/>
  <c r="S1428" i="1"/>
  <c r="Y1428" i="1"/>
  <c r="G1429" i="1"/>
  <c r="M1429" i="1"/>
  <c r="S1429" i="1"/>
  <c r="Y1429" i="1"/>
  <c r="G1430" i="1"/>
  <c r="M1430" i="1"/>
  <c r="S1430" i="1"/>
  <c r="Y1430" i="1"/>
  <c r="G1431" i="1"/>
  <c r="M1431" i="1"/>
  <c r="S1431" i="1"/>
  <c r="Y1431" i="1"/>
  <c r="G1432" i="1"/>
  <c r="M1432" i="1"/>
  <c r="S1432" i="1"/>
  <c r="Y1432" i="1"/>
  <c r="G1433" i="1"/>
  <c r="M1433" i="1"/>
  <c r="S1433" i="1"/>
  <c r="Y1433" i="1"/>
  <c r="G1434" i="1"/>
  <c r="M1434" i="1"/>
  <c r="S1434" i="1"/>
  <c r="Y1434" i="1"/>
  <c r="G1435" i="1"/>
  <c r="M1435" i="1"/>
  <c r="S1435" i="1"/>
  <c r="Y1435" i="1"/>
  <c r="G1436" i="1"/>
  <c r="M1436" i="1"/>
  <c r="S1436" i="1"/>
  <c r="Y1436" i="1"/>
  <c r="G1437" i="1"/>
  <c r="M1437" i="1"/>
  <c r="S1437" i="1"/>
  <c r="Y1437" i="1"/>
  <c r="AY1440" i="1"/>
  <c r="AX1440" i="1"/>
  <c r="AW1440" i="1"/>
  <c r="AV1440" i="1"/>
  <c r="AU1440" i="1"/>
  <c r="AS1440" i="1"/>
  <c r="AR1440" i="1"/>
  <c r="AQ1440" i="1"/>
  <c r="AP1440" i="1"/>
  <c r="AO1440" i="1"/>
  <c r="AM1440" i="1"/>
  <c r="AL1440" i="1"/>
  <c r="AK1440" i="1"/>
  <c r="AJ1440" i="1"/>
  <c r="AI1440" i="1"/>
  <c r="AG1440" i="1"/>
  <c r="AF1440" i="1"/>
  <c r="AE1440" i="1"/>
  <c r="AD1440" i="1"/>
  <c r="AC1440" i="1"/>
  <c r="X1440" i="1"/>
  <c r="W1440" i="1"/>
  <c r="V1440" i="1"/>
  <c r="U1440" i="1"/>
  <c r="T1440" i="1"/>
  <c r="R1440" i="1"/>
  <c r="Q1440" i="1"/>
  <c r="P1440" i="1"/>
  <c r="O1440" i="1"/>
  <c r="N1440" i="1"/>
  <c r="L1440" i="1"/>
  <c r="K1440" i="1"/>
  <c r="J1440" i="1"/>
  <c r="I1440" i="1"/>
  <c r="H1440" i="1"/>
  <c r="F1440" i="1"/>
  <c r="E1440" i="1"/>
  <c r="D1440" i="1"/>
  <c r="C1440" i="1"/>
  <c r="B1440" i="1"/>
  <c r="Y1439" i="1"/>
  <c r="S1439" i="1"/>
  <c r="M1439" i="1"/>
  <c r="G1439" i="1"/>
  <c r="AZ1438" i="1"/>
  <c r="AT1438" i="1"/>
  <c r="AN1438" i="1"/>
  <c r="AH1438" i="1"/>
  <c r="Y1438" i="1"/>
  <c r="S1438" i="1"/>
  <c r="M1438" i="1"/>
  <c r="G1438" i="1"/>
  <c r="AZ1437" i="1"/>
  <c r="AT1437" i="1"/>
  <c r="AN1437" i="1"/>
  <c r="AH1437" i="1"/>
  <c r="AZ1436" i="1"/>
  <c r="AT1436" i="1"/>
  <c r="AN1436" i="1"/>
  <c r="AH1436" i="1"/>
  <c r="AZ1435" i="1"/>
  <c r="AT1435" i="1"/>
  <c r="AN1435" i="1"/>
  <c r="AH1435" i="1"/>
  <c r="AZ1434" i="1"/>
  <c r="AT1434" i="1"/>
  <c r="AN1434" i="1"/>
  <c r="AH1434" i="1"/>
  <c r="AZ1433" i="1"/>
  <c r="AT1433" i="1"/>
  <c r="AN1433" i="1"/>
  <c r="AH1433" i="1"/>
  <c r="AZ1432" i="1"/>
  <c r="AT1432" i="1"/>
  <c r="AN1432" i="1"/>
  <c r="AH1432" i="1"/>
  <c r="AZ1431" i="1"/>
  <c r="AT1431" i="1"/>
  <c r="AN1431" i="1"/>
  <c r="AH1431" i="1"/>
  <c r="AZ1430" i="1"/>
  <c r="AT1430" i="1"/>
  <c r="AN1430" i="1"/>
  <c r="AH1430" i="1"/>
  <c r="AZ1429" i="1"/>
  <c r="AT1429" i="1"/>
  <c r="AN1429" i="1"/>
  <c r="AH1429" i="1"/>
  <c r="AZ1428" i="1"/>
  <c r="AT1428" i="1"/>
  <c r="AN1428" i="1"/>
  <c r="AH1428" i="1"/>
  <c r="AZ1427" i="1"/>
  <c r="AT1427" i="1"/>
  <c r="AN1427" i="1"/>
  <c r="AH1427" i="1"/>
  <c r="AZ1426" i="1"/>
  <c r="AT1426" i="1"/>
  <c r="AN1426" i="1"/>
  <c r="AH1426" i="1"/>
  <c r="AZ1425" i="1"/>
  <c r="AT1425" i="1"/>
  <c r="AN1425" i="1"/>
  <c r="AH1425" i="1"/>
  <c r="AZ1424" i="1"/>
  <c r="AT1424" i="1"/>
  <c r="AN1424" i="1"/>
  <c r="AH1424" i="1"/>
  <c r="AZ1423" i="1"/>
  <c r="AT1423" i="1"/>
  <c r="AN1423" i="1"/>
  <c r="AH1423" i="1"/>
  <c r="AZ1422" i="1"/>
  <c r="AT1422" i="1"/>
  <c r="AN1422" i="1"/>
  <c r="AH1422" i="1"/>
  <c r="AZ1421" i="1"/>
  <c r="AT1421" i="1"/>
  <c r="AN1421" i="1"/>
  <c r="AH1421" i="1"/>
  <c r="AZ1412" i="1"/>
  <c r="AT1412" i="1"/>
  <c r="AN1412" i="1"/>
  <c r="AH1412" i="1"/>
  <c r="Y1412" i="1"/>
  <c r="S1412" i="1"/>
  <c r="M1412" i="1"/>
  <c r="G1412" i="1"/>
  <c r="AZ1411" i="1"/>
  <c r="AT1411" i="1"/>
  <c r="AN1411" i="1"/>
  <c r="AH1411" i="1"/>
  <c r="Y1411" i="1"/>
  <c r="S1411" i="1"/>
  <c r="M1411" i="1"/>
  <c r="G1411" i="1"/>
  <c r="AZ1410" i="1"/>
  <c r="AT1410" i="1"/>
  <c r="AN1410" i="1"/>
  <c r="AH1410" i="1"/>
  <c r="Y1410" i="1"/>
  <c r="S1410" i="1"/>
  <c r="M1410" i="1"/>
  <c r="G1410" i="1"/>
  <c r="AZ1409" i="1"/>
  <c r="AT1409" i="1"/>
  <c r="AN1409" i="1"/>
  <c r="AH1409" i="1"/>
  <c r="Y1409" i="1"/>
  <c r="S1409" i="1"/>
  <c r="M1409" i="1"/>
  <c r="G1409" i="1"/>
  <c r="AZ1379" i="1"/>
  <c r="AT1379" i="1"/>
  <c r="AN1379" i="1"/>
  <c r="AH1379" i="1"/>
  <c r="AZ1378" i="1"/>
  <c r="AT1378" i="1"/>
  <c r="AN1378" i="1"/>
  <c r="AH1378" i="1"/>
  <c r="AZ1377" i="1"/>
  <c r="AT1377" i="1"/>
  <c r="AN1377" i="1"/>
  <c r="AH1377" i="1"/>
  <c r="AH1340" i="1"/>
  <c r="AN1340" i="1"/>
  <c r="AT1340" i="1"/>
  <c r="AZ1340" i="1"/>
  <c r="AZ1375" i="1"/>
  <c r="AT1375" i="1"/>
  <c r="AN1375" i="1"/>
  <c r="AH1375" i="1"/>
  <c r="G1370" i="1"/>
  <c r="M1370" i="1"/>
  <c r="S1370" i="1"/>
  <c r="Y1370" i="1"/>
  <c r="G1371" i="1"/>
  <c r="M1371" i="1"/>
  <c r="S1371" i="1"/>
  <c r="Y1371" i="1"/>
  <c r="AH1389" i="1"/>
  <c r="AN1389" i="1"/>
  <c r="AT1389" i="1"/>
  <c r="AZ1389" i="1"/>
  <c r="AH1390" i="1"/>
  <c r="AN1390" i="1"/>
  <c r="AT1390" i="1"/>
  <c r="AZ1390" i="1"/>
  <c r="AH1391" i="1"/>
  <c r="AN1391" i="1"/>
  <c r="AT1391" i="1"/>
  <c r="AZ1391" i="1"/>
  <c r="AH1392" i="1"/>
  <c r="AN1392" i="1"/>
  <c r="AT1392" i="1"/>
  <c r="AZ1392" i="1"/>
  <c r="AH1393" i="1"/>
  <c r="AN1393" i="1"/>
  <c r="AT1393" i="1"/>
  <c r="AZ1393" i="1"/>
  <c r="AH1394" i="1"/>
  <c r="AN1394" i="1"/>
  <c r="AT1394" i="1"/>
  <c r="AZ1394" i="1"/>
  <c r="AH1395" i="1"/>
  <c r="AN1395" i="1"/>
  <c r="AT1395" i="1"/>
  <c r="AZ1395" i="1"/>
  <c r="AH1396" i="1"/>
  <c r="AN1396" i="1"/>
  <c r="AT1396" i="1"/>
  <c r="AZ1396" i="1"/>
  <c r="AH1397" i="1"/>
  <c r="AN1397" i="1"/>
  <c r="AT1397" i="1"/>
  <c r="AZ1397" i="1"/>
  <c r="AH1398" i="1"/>
  <c r="AN1398" i="1"/>
  <c r="AT1398" i="1"/>
  <c r="AZ1398" i="1"/>
  <c r="AH1399" i="1"/>
  <c r="AN1399" i="1"/>
  <c r="AT1399" i="1"/>
  <c r="AZ1399" i="1"/>
  <c r="AH1400" i="1"/>
  <c r="AN1400" i="1"/>
  <c r="AT1400" i="1"/>
  <c r="AZ1400" i="1"/>
  <c r="AH1376" i="1"/>
  <c r="AN1376" i="1"/>
  <c r="AT1376" i="1"/>
  <c r="AZ1376" i="1"/>
  <c r="AH1381" i="1"/>
  <c r="AN1381" i="1"/>
  <c r="AT1381" i="1"/>
  <c r="AZ1381" i="1"/>
  <c r="G1375" i="1"/>
  <c r="M1375" i="1"/>
  <c r="S1375" i="1"/>
  <c r="Y1375" i="1"/>
  <c r="G1376" i="1"/>
  <c r="M1376" i="1"/>
  <c r="S1376" i="1"/>
  <c r="Y1376" i="1"/>
  <c r="G1377" i="1"/>
  <c r="M1377" i="1"/>
  <c r="S1377" i="1"/>
  <c r="Y1377" i="1"/>
  <c r="G1378" i="1"/>
  <c r="M1378" i="1"/>
  <c r="S1378" i="1"/>
  <c r="Y1378" i="1"/>
  <c r="G1379" i="1"/>
  <c r="M1379" i="1"/>
  <c r="S1379" i="1"/>
  <c r="Y1379" i="1"/>
  <c r="G1380" i="1"/>
  <c r="M1380" i="1"/>
  <c r="S1380" i="1"/>
  <c r="Y1380" i="1"/>
  <c r="G1381" i="1"/>
  <c r="M1381" i="1"/>
  <c r="S1381" i="1"/>
  <c r="Y1381" i="1"/>
  <c r="G1382" i="1"/>
  <c r="M1382" i="1"/>
  <c r="S1382" i="1"/>
  <c r="Y1382" i="1"/>
  <c r="G1383" i="1"/>
  <c r="M1383" i="1"/>
  <c r="S1383" i="1"/>
  <c r="Y1383" i="1"/>
  <c r="G1384" i="1"/>
  <c r="M1384" i="1"/>
  <c r="S1384" i="1"/>
  <c r="Y1384" i="1"/>
  <c r="G1385" i="1"/>
  <c r="M1385" i="1"/>
  <c r="S1385" i="1"/>
  <c r="Y1385" i="1"/>
  <c r="G1386" i="1"/>
  <c r="M1386" i="1"/>
  <c r="S1386" i="1"/>
  <c r="Y1386" i="1"/>
  <c r="G1387" i="1"/>
  <c r="M1387" i="1"/>
  <c r="S1387" i="1"/>
  <c r="Y1387" i="1"/>
  <c r="G1388" i="1"/>
  <c r="M1388" i="1"/>
  <c r="S1388" i="1"/>
  <c r="Y1388" i="1"/>
  <c r="G1389" i="1"/>
  <c r="M1389" i="1"/>
  <c r="S1389" i="1"/>
  <c r="Y1389" i="1"/>
  <c r="G1390" i="1"/>
  <c r="M1390" i="1"/>
  <c r="S1390" i="1"/>
  <c r="Y1390" i="1"/>
  <c r="G1391" i="1"/>
  <c r="M1391" i="1"/>
  <c r="S1391" i="1"/>
  <c r="Y1391" i="1"/>
  <c r="G1392" i="1"/>
  <c r="M1392" i="1"/>
  <c r="S1392" i="1"/>
  <c r="Y1392" i="1"/>
  <c r="G1393" i="1"/>
  <c r="M1393" i="1"/>
  <c r="S1393" i="1"/>
  <c r="Y1393" i="1"/>
  <c r="G1394" i="1"/>
  <c r="M1394" i="1"/>
  <c r="S1394" i="1"/>
  <c r="Y1394" i="1"/>
  <c r="G1395" i="1"/>
  <c r="M1395" i="1"/>
  <c r="S1395" i="1"/>
  <c r="Y1395" i="1"/>
  <c r="G1396" i="1"/>
  <c r="M1396" i="1"/>
  <c r="S1396" i="1"/>
  <c r="Y1396" i="1"/>
  <c r="G1397" i="1"/>
  <c r="M1397" i="1"/>
  <c r="S1397" i="1"/>
  <c r="Y1397" i="1"/>
  <c r="G1398" i="1"/>
  <c r="M1398" i="1"/>
  <c r="S1398" i="1"/>
  <c r="Y1398" i="1"/>
  <c r="AY1401" i="1"/>
  <c r="AX1401" i="1"/>
  <c r="AW1401" i="1"/>
  <c r="AV1401" i="1"/>
  <c r="AU1401" i="1"/>
  <c r="AS1401" i="1"/>
  <c r="AR1401" i="1"/>
  <c r="AQ1401" i="1"/>
  <c r="AP1401" i="1"/>
  <c r="AO1401" i="1"/>
  <c r="AM1401" i="1"/>
  <c r="AL1401" i="1"/>
  <c r="AK1401" i="1"/>
  <c r="AJ1401" i="1"/>
  <c r="AI1401" i="1"/>
  <c r="AG1401" i="1"/>
  <c r="AF1401" i="1"/>
  <c r="AE1401" i="1"/>
  <c r="AD1401" i="1"/>
  <c r="AC1401" i="1"/>
  <c r="X1401" i="1"/>
  <c r="W1401" i="1"/>
  <c r="V1401" i="1"/>
  <c r="U1401" i="1"/>
  <c r="T1401" i="1"/>
  <c r="R1401" i="1"/>
  <c r="Q1401" i="1"/>
  <c r="P1401" i="1"/>
  <c r="O1401" i="1"/>
  <c r="N1401" i="1"/>
  <c r="L1401" i="1"/>
  <c r="K1401" i="1"/>
  <c r="J1401" i="1"/>
  <c r="I1401" i="1"/>
  <c r="H1401" i="1"/>
  <c r="F1401" i="1"/>
  <c r="E1401" i="1"/>
  <c r="D1401" i="1"/>
  <c r="C1401" i="1"/>
  <c r="B1401" i="1"/>
  <c r="Y1400" i="1"/>
  <c r="S1400" i="1"/>
  <c r="M1400" i="1"/>
  <c r="G1400" i="1"/>
  <c r="Y1399" i="1"/>
  <c r="S1399" i="1"/>
  <c r="M1399" i="1"/>
  <c r="G1399" i="1"/>
  <c r="AZ1388" i="1"/>
  <c r="AT1388" i="1"/>
  <c r="AN1388" i="1"/>
  <c r="AH1388" i="1"/>
  <c r="AZ1387" i="1"/>
  <c r="AT1387" i="1"/>
  <c r="AN1387" i="1"/>
  <c r="AH1387" i="1"/>
  <c r="AZ1386" i="1"/>
  <c r="AT1386" i="1"/>
  <c r="AN1386" i="1"/>
  <c r="AH1386" i="1"/>
  <c r="AZ1385" i="1"/>
  <c r="AT1385" i="1"/>
  <c r="AN1385" i="1"/>
  <c r="AH1385" i="1"/>
  <c r="AZ1384" i="1"/>
  <c r="AT1384" i="1"/>
  <c r="AN1384" i="1"/>
  <c r="AH1384" i="1"/>
  <c r="AZ1383" i="1"/>
  <c r="AT1383" i="1"/>
  <c r="AN1383" i="1"/>
  <c r="AH1383" i="1"/>
  <c r="AZ1382" i="1"/>
  <c r="AT1382" i="1"/>
  <c r="AN1382" i="1"/>
  <c r="AH1382" i="1"/>
  <c r="AZ1373" i="1"/>
  <c r="AT1373" i="1"/>
  <c r="AN1373" i="1"/>
  <c r="AH1373" i="1"/>
  <c r="Y1373" i="1"/>
  <c r="S1373" i="1"/>
  <c r="M1373" i="1"/>
  <c r="G1373" i="1"/>
  <c r="AZ1372" i="1"/>
  <c r="AT1372" i="1"/>
  <c r="AN1372" i="1"/>
  <c r="AH1372" i="1"/>
  <c r="Y1372" i="1"/>
  <c r="S1372" i="1"/>
  <c r="M1372" i="1"/>
  <c r="G1372" i="1"/>
  <c r="AZ1371" i="1"/>
  <c r="AT1371" i="1"/>
  <c r="AN1371" i="1"/>
  <c r="AH1371" i="1"/>
  <c r="AZ1370" i="1"/>
  <c r="AT1370" i="1"/>
  <c r="AN1370" i="1"/>
  <c r="AH1370" i="1"/>
  <c r="AZ1339" i="1"/>
  <c r="AT1339" i="1"/>
  <c r="AN1339" i="1"/>
  <c r="AH1339" i="1"/>
  <c r="AZ1338" i="1"/>
  <c r="AT1338" i="1"/>
  <c r="AN1338" i="1"/>
  <c r="AH1338" i="1"/>
  <c r="AZ1360" i="1"/>
  <c r="AT1360" i="1"/>
  <c r="AN1360" i="1"/>
  <c r="AH1360" i="1"/>
  <c r="AZ1358" i="1"/>
  <c r="AT1358" i="1"/>
  <c r="AN1358" i="1"/>
  <c r="AH1358" i="1"/>
  <c r="AZ1336" i="1"/>
  <c r="AT1336" i="1"/>
  <c r="AN1336" i="1"/>
  <c r="AH1336" i="1"/>
  <c r="AH1320" i="1"/>
  <c r="AN1320" i="1"/>
  <c r="AT1320" i="1"/>
  <c r="AZ1320" i="1"/>
  <c r="AH1321" i="1"/>
  <c r="AN1321" i="1"/>
  <c r="AT1321" i="1"/>
  <c r="AZ1321" i="1"/>
  <c r="AH1322" i="1"/>
  <c r="AN1322" i="1"/>
  <c r="AT1322" i="1"/>
  <c r="AZ1322" i="1"/>
  <c r="AH1331" i="1"/>
  <c r="AN1331" i="1"/>
  <c r="AT1331" i="1"/>
  <c r="AZ1331" i="1"/>
  <c r="AH1337" i="1"/>
  <c r="AN1337" i="1"/>
  <c r="AT1337" i="1"/>
  <c r="AZ1337" i="1"/>
  <c r="G1336" i="1"/>
  <c r="M1336" i="1"/>
  <c r="S1336" i="1"/>
  <c r="Y1336" i="1"/>
  <c r="G1337" i="1"/>
  <c r="M1337" i="1"/>
  <c r="S1337" i="1"/>
  <c r="Y1337" i="1"/>
  <c r="G1338" i="1"/>
  <c r="M1338" i="1"/>
  <c r="S1338" i="1"/>
  <c r="Y1338" i="1"/>
  <c r="G1339" i="1"/>
  <c r="M1339" i="1"/>
  <c r="S1339" i="1"/>
  <c r="Y1339" i="1"/>
  <c r="G1340" i="1"/>
  <c r="M1340" i="1"/>
  <c r="S1340" i="1"/>
  <c r="Y1340" i="1"/>
  <c r="G1341" i="1"/>
  <c r="M1341" i="1"/>
  <c r="S1341" i="1"/>
  <c r="Y1341" i="1"/>
  <c r="G1342" i="1"/>
  <c r="M1342" i="1"/>
  <c r="S1342" i="1"/>
  <c r="Y1342" i="1"/>
  <c r="G1343" i="1"/>
  <c r="M1343" i="1"/>
  <c r="S1343" i="1"/>
  <c r="Y1343" i="1"/>
  <c r="G1344" i="1"/>
  <c r="M1344" i="1"/>
  <c r="S1344" i="1"/>
  <c r="Y1344" i="1"/>
  <c r="G1345" i="1"/>
  <c r="M1345" i="1"/>
  <c r="S1345" i="1"/>
  <c r="Y1345" i="1"/>
  <c r="G1346" i="1"/>
  <c r="M1346" i="1"/>
  <c r="S1346" i="1"/>
  <c r="Y1346" i="1"/>
  <c r="G1347" i="1"/>
  <c r="M1347" i="1"/>
  <c r="S1347" i="1"/>
  <c r="Y1347" i="1"/>
  <c r="G1348" i="1"/>
  <c r="M1348" i="1"/>
  <c r="S1348" i="1"/>
  <c r="Y1348" i="1"/>
  <c r="G1349" i="1"/>
  <c r="M1349" i="1"/>
  <c r="S1349" i="1"/>
  <c r="Y1349" i="1"/>
  <c r="G1350" i="1"/>
  <c r="M1350" i="1"/>
  <c r="S1350" i="1"/>
  <c r="Y1350" i="1"/>
  <c r="G1351" i="1"/>
  <c r="M1351" i="1"/>
  <c r="S1351" i="1"/>
  <c r="Y1351" i="1"/>
  <c r="G1352" i="1"/>
  <c r="M1352" i="1"/>
  <c r="S1352" i="1"/>
  <c r="Y1352" i="1"/>
  <c r="G1353" i="1"/>
  <c r="M1353" i="1"/>
  <c r="S1353" i="1"/>
  <c r="Y1353" i="1"/>
  <c r="G1354" i="1"/>
  <c r="M1354" i="1"/>
  <c r="S1354" i="1"/>
  <c r="Y1354" i="1"/>
  <c r="G1355" i="1"/>
  <c r="M1355" i="1"/>
  <c r="S1355" i="1"/>
  <c r="Y1355" i="1"/>
  <c r="G1356" i="1"/>
  <c r="M1356" i="1"/>
  <c r="S1356" i="1"/>
  <c r="Y1356" i="1"/>
  <c r="G1357" i="1"/>
  <c r="M1357" i="1"/>
  <c r="S1357" i="1"/>
  <c r="Y1357" i="1"/>
  <c r="G1358" i="1"/>
  <c r="M1358" i="1"/>
  <c r="S1358" i="1"/>
  <c r="Y1358" i="1"/>
  <c r="G1359" i="1"/>
  <c r="M1359" i="1"/>
  <c r="S1359" i="1"/>
  <c r="Y1359" i="1"/>
  <c r="AY1362" i="1"/>
  <c r="AX1362" i="1"/>
  <c r="AW1362" i="1"/>
  <c r="AV1362" i="1"/>
  <c r="AU1362" i="1"/>
  <c r="AS1362" i="1"/>
  <c r="AR1362" i="1"/>
  <c r="AQ1362" i="1"/>
  <c r="AP1362" i="1"/>
  <c r="AO1362" i="1"/>
  <c r="AM1362" i="1"/>
  <c r="AL1362" i="1"/>
  <c r="AK1362" i="1"/>
  <c r="AJ1362" i="1"/>
  <c r="AI1362" i="1"/>
  <c r="AG1362" i="1"/>
  <c r="AF1362" i="1"/>
  <c r="AE1362" i="1"/>
  <c r="AD1362" i="1"/>
  <c r="AC1362" i="1"/>
  <c r="X1362" i="1"/>
  <c r="W1362" i="1"/>
  <c r="V1362" i="1"/>
  <c r="U1362" i="1"/>
  <c r="T1362" i="1"/>
  <c r="R1362" i="1"/>
  <c r="Q1362" i="1"/>
  <c r="P1362" i="1"/>
  <c r="O1362" i="1"/>
  <c r="N1362" i="1"/>
  <c r="L1362" i="1"/>
  <c r="K1362" i="1"/>
  <c r="J1362" i="1"/>
  <c r="I1362" i="1"/>
  <c r="H1362" i="1"/>
  <c r="F1362" i="1"/>
  <c r="E1362" i="1"/>
  <c r="D1362" i="1"/>
  <c r="C1362" i="1"/>
  <c r="B1362" i="1"/>
  <c r="AZ1361" i="1"/>
  <c r="AT1361" i="1"/>
  <c r="AN1361" i="1"/>
  <c r="AH1361" i="1"/>
  <c r="Y1361" i="1"/>
  <c r="S1361" i="1"/>
  <c r="M1361" i="1"/>
  <c r="G1361" i="1"/>
  <c r="Y1360" i="1"/>
  <c r="S1360" i="1"/>
  <c r="M1360" i="1"/>
  <c r="G1360" i="1"/>
  <c r="AZ1359" i="1"/>
  <c r="AT1359" i="1"/>
  <c r="AN1359" i="1"/>
  <c r="AH1359" i="1"/>
  <c r="AZ1357" i="1"/>
  <c r="AT1357" i="1"/>
  <c r="AN1357" i="1"/>
  <c r="AH1357" i="1"/>
  <c r="AZ1356" i="1"/>
  <c r="AT1356" i="1"/>
  <c r="AN1356" i="1"/>
  <c r="AH1356" i="1"/>
  <c r="AZ1355" i="1"/>
  <c r="AT1355" i="1"/>
  <c r="AN1355" i="1"/>
  <c r="AH1355" i="1"/>
  <c r="AZ1354" i="1"/>
  <c r="AT1354" i="1"/>
  <c r="AN1354" i="1"/>
  <c r="AH1354" i="1"/>
  <c r="AZ1353" i="1"/>
  <c r="AT1353" i="1"/>
  <c r="AN1353" i="1"/>
  <c r="AH1353" i="1"/>
  <c r="AZ1352" i="1"/>
  <c r="AT1352" i="1"/>
  <c r="AN1352" i="1"/>
  <c r="AH1352" i="1"/>
  <c r="AZ1351" i="1"/>
  <c r="AT1351" i="1"/>
  <c r="AN1351" i="1"/>
  <c r="AH1351" i="1"/>
  <c r="AZ1350" i="1"/>
  <c r="AT1350" i="1"/>
  <c r="AN1350" i="1"/>
  <c r="AH1350" i="1"/>
  <c r="AZ1349" i="1"/>
  <c r="AT1349" i="1"/>
  <c r="AN1349" i="1"/>
  <c r="AH1349" i="1"/>
  <c r="AZ1348" i="1"/>
  <c r="AT1348" i="1"/>
  <c r="AN1348" i="1"/>
  <c r="AH1348" i="1"/>
  <c r="AZ1347" i="1"/>
  <c r="AT1347" i="1"/>
  <c r="AN1347" i="1"/>
  <c r="AH1347" i="1"/>
  <c r="AZ1346" i="1"/>
  <c r="AT1346" i="1"/>
  <c r="AN1346" i="1"/>
  <c r="AH1346" i="1"/>
  <c r="AZ1345" i="1"/>
  <c r="AT1345" i="1"/>
  <c r="AN1345" i="1"/>
  <c r="AH1345" i="1"/>
  <c r="AZ1344" i="1"/>
  <c r="AT1344" i="1"/>
  <c r="AN1344" i="1"/>
  <c r="AH1344" i="1"/>
  <c r="AZ1343" i="1"/>
  <c r="AT1343" i="1"/>
  <c r="AN1343" i="1"/>
  <c r="AH1343" i="1"/>
  <c r="AZ1342" i="1"/>
  <c r="AT1342" i="1"/>
  <c r="AN1342" i="1"/>
  <c r="AH1342" i="1"/>
  <c r="AZ1341" i="1"/>
  <c r="AT1341" i="1"/>
  <c r="AN1341" i="1"/>
  <c r="AH1341" i="1"/>
  <c r="AZ1334" i="1"/>
  <c r="AT1334" i="1"/>
  <c r="AN1334" i="1"/>
  <c r="AH1334" i="1"/>
  <c r="Y1334" i="1"/>
  <c r="S1334" i="1"/>
  <c r="M1334" i="1"/>
  <c r="G1334" i="1"/>
  <c r="AZ1333" i="1"/>
  <c r="AT1333" i="1"/>
  <c r="AN1333" i="1"/>
  <c r="AH1333" i="1"/>
  <c r="Y1333" i="1"/>
  <c r="S1333" i="1"/>
  <c r="M1333" i="1"/>
  <c r="G1333" i="1"/>
  <c r="AZ1332" i="1"/>
  <c r="AT1332" i="1"/>
  <c r="AN1332" i="1"/>
  <c r="AH1332" i="1"/>
  <c r="Y1332" i="1"/>
  <c r="S1332" i="1"/>
  <c r="M1332" i="1"/>
  <c r="G1332" i="1"/>
  <c r="Y1331" i="1"/>
  <c r="S1331" i="1"/>
  <c r="M1331" i="1"/>
  <c r="G1331" i="1"/>
  <c r="Z1471" i="1" l="1"/>
  <c r="BA1451" i="1"/>
  <c r="BA1465" i="1"/>
  <c r="BA1418" i="1"/>
  <c r="Z1470" i="1"/>
  <c r="Z1451" i="1"/>
  <c r="Z1453" i="1"/>
  <c r="BA1477" i="1"/>
  <c r="BA1459" i="1"/>
  <c r="Z1454" i="1"/>
  <c r="Z1448" i="1"/>
  <c r="BA1475" i="1"/>
  <c r="BA1472" i="1"/>
  <c r="BA1466" i="1"/>
  <c r="BA1448" i="1"/>
  <c r="BA1450" i="1"/>
  <c r="BA1461" i="1"/>
  <c r="BA1464" i="1"/>
  <c r="Z1458" i="1"/>
  <c r="BA1453" i="1"/>
  <c r="Z1464" i="1"/>
  <c r="Z1461" i="1"/>
  <c r="Z1459" i="1"/>
  <c r="BA1458" i="1"/>
  <c r="Z1476" i="1"/>
  <c r="Z1472" i="1"/>
  <c r="Z1468" i="1"/>
  <c r="Z1465" i="1"/>
  <c r="BA1471" i="1"/>
  <c r="BA1468" i="1"/>
  <c r="BA1460" i="1"/>
  <c r="BA1476" i="1"/>
  <c r="Z1475" i="1"/>
  <c r="Z1457" i="1"/>
  <c r="Z1469" i="1"/>
  <c r="Z1473" i="1"/>
  <c r="Z1466" i="1"/>
  <c r="Z1462" i="1"/>
  <c r="Z1455" i="1"/>
  <c r="Z1450" i="1"/>
  <c r="BA1473" i="1"/>
  <c r="BA1469" i="1"/>
  <c r="BA1449" i="1"/>
  <c r="BA1463" i="1"/>
  <c r="Z1477" i="1"/>
  <c r="Z1478" i="1"/>
  <c r="Z1463" i="1"/>
  <c r="BA1462" i="1"/>
  <c r="Z1474" i="1"/>
  <c r="Z1467" i="1"/>
  <c r="Z1460" i="1"/>
  <c r="Z1456" i="1"/>
  <c r="BA1474" i="1"/>
  <c r="BA1470" i="1"/>
  <c r="BA1467" i="1"/>
  <c r="BA1457" i="1"/>
  <c r="AZ1479" i="1"/>
  <c r="AT1479" i="1"/>
  <c r="AN1479" i="1"/>
  <c r="AH1479" i="1"/>
  <c r="Z1449" i="1"/>
  <c r="Y1479" i="1"/>
  <c r="S1479" i="1"/>
  <c r="M1479" i="1"/>
  <c r="G1479" i="1"/>
  <c r="BA1417" i="1"/>
  <c r="BA1415" i="1"/>
  <c r="BA1414" i="1"/>
  <c r="Z1432" i="1"/>
  <c r="Z1425" i="1"/>
  <c r="BA1419" i="1"/>
  <c r="BA1438" i="1"/>
  <c r="Z1437" i="1"/>
  <c r="Z1431" i="1"/>
  <c r="BA1420" i="1"/>
  <c r="Z1419" i="1"/>
  <c r="BA1412" i="1"/>
  <c r="BA1423" i="1"/>
  <c r="BA1426" i="1"/>
  <c r="BA1429" i="1"/>
  <c r="BA1432" i="1"/>
  <c r="BA1435" i="1"/>
  <c r="BA1409" i="1"/>
  <c r="Z1426" i="1"/>
  <c r="Z1420" i="1"/>
  <c r="Z1438" i="1"/>
  <c r="Z1434" i="1"/>
  <c r="Z1430" i="1"/>
  <c r="Z1427" i="1"/>
  <c r="Z1423" i="1"/>
  <c r="Z1416" i="1"/>
  <c r="Z1414" i="1"/>
  <c r="Z1435" i="1"/>
  <c r="BA1411" i="1"/>
  <c r="BA1422" i="1"/>
  <c r="BA1425" i="1"/>
  <c r="BA1428" i="1"/>
  <c r="BA1431" i="1"/>
  <c r="BA1434" i="1"/>
  <c r="BA1437" i="1"/>
  <c r="Z1439" i="1"/>
  <c r="Y1440" i="1"/>
  <c r="Z1428" i="1"/>
  <c r="Z1424" i="1"/>
  <c r="Z1421" i="1"/>
  <c r="Z1417" i="1"/>
  <c r="BA1380" i="1"/>
  <c r="Z1411" i="1"/>
  <c r="BA1427" i="1"/>
  <c r="BA1430" i="1"/>
  <c r="BA1433" i="1"/>
  <c r="BA1436" i="1"/>
  <c r="Z1436" i="1"/>
  <c r="Z1433" i="1"/>
  <c r="Z1429" i="1"/>
  <c r="Z1422" i="1"/>
  <c r="Z1418" i="1"/>
  <c r="Z1415" i="1"/>
  <c r="BA1416" i="1"/>
  <c r="Z1410" i="1"/>
  <c r="Z1412" i="1"/>
  <c r="AZ1440" i="1"/>
  <c r="AT1440" i="1"/>
  <c r="AN1440" i="1"/>
  <c r="AH1440" i="1"/>
  <c r="S1440" i="1"/>
  <c r="M1440" i="1"/>
  <c r="G1440" i="1"/>
  <c r="Z1409" i="1"/>
  <c r="BA1421" i="1"/>
  <c r="BA1410" i="1"/>
  <c r="BA1424" i="1"/>
  <c r="BA1379" i="1"/>
  <c r="BA1378" i="1"/>
  <c r="BA1377" i="1"/>
  <c r="BA1375" i="1"/>
  <c r="BA1371" i="1"/>
  <c r="BA1340" i="1"/>
  <c r="Z1398" i="1"/>
  <c r="Z1395" i="1"/>
  <c r="Z1392" i="1"/>
  <c r="Z1386" i="1"/>
  <c r="BA1400" i="1"/>
  <c r="BA1394" i="1"/>
  <c r="Z1372" i="1"/>
  <c r="Z1387" i="1"/>
  <c r="BA1395" i="1"/>
  <c r="Z1393" i="1"/>
  <c r="Z1380" i="1"/>
  <c r="Z1371" i="1"/>
  <c r="BA1383" i="1"/>
  <c r="BA1386" i="1"/>
  <c r="Z1399" i="1"/>
  <c r="Z1391" i="1"/>
  <c r="Z1388" i="1"/>
  <c r="Z1381" i="1"/>
  <c r="Z1375" i="1"/>
  <c r="BA1399" i="1"/>
  <c r="BA1396" i="1"/>
  <c r="BA1389" i="1"/>
  <c r="BA1372" i="1"/>
  <c r="Z1377" i="1"/>
  <c r="BA1382" i="1"/>
  <c r="BA1387" i="1"/>
  <c r="BA1381" i="1"/>
  <c r="Z1400" i="1"/>
  <c r="Z1389" i="1"/>
  <c r="BA1370" i="1"/>
  <c r="Z1384" i="1"/>
  <c r="BA1376" i="1"/>
  <c r="BA1392" i="1"/>
  <c r="BA1384" i="1"/>
  <c r="BA1388" i="1"/>
  <c r="Z1378" i="1"/>
  <c r="Z1382" i="1"/>
  <c r="BA1397" i="1"/>
  <c r="BA1393" i="1"/>
  <c r="BA1373" i="1"/>
  <c r="Z1390" i="1"/>
  <c r="BA1398" i="1"/>
  <c r="BA1385" i="1"/>
  <c r="Z1396" i="1"/>
  <c r="Z1385" i="1"/>
  <c r="BA1390" i="1"/>
  <c r="Z1397" i="1"/>
  <c r="Z1394" i="1"/>
  <c r="Z1383" i="1"/>
  <c r="Z1379" i="1"/>
  <c r="Z1376" i="1"/>
  <c r="BA1391" i="1"/>
  <c r="Z1370" i="1"/>
  <c r="Z1373" i="1"/>
  <c r="AZ1401" i="1"/>
  <c r="AN1401" i="1"/>
  <c r="AT1401" i="1"/>
  <c r="AH1401" i="1"/>
  <c r="Y1401" i="1"/>
  <c r="M1401" i="1"/>
  <c r="S1401" i="1"/>
  <c r="G1401" i="1"/>
  <c r="BA1339" i="1"/>
  <c r="BA1338" i="1"/>
  <c r="Z1350" i="1"/>
  <c r="Z1346" i="1"/>
  <c r="BA1358" i="1"/>
  <c r="BA1331" i="1"/>
  <c r="Z1344" i="1"/>
  <c r="Z1336" i="1"/>
  <c r="Z1358" i="1"/>
  <c r="Z1342" i="1"/>
  <c r="Z1354" i="1"/>
  <c r="BA1320" i="1"/>
  <c r="Z1338" i="1"/>
  <c r="BA1360" i="1"/>
  <c r="BA1334" i="1"/>
  <c r="BA1342" i="1"/>
  <c r="BA1345" i="1"/>
  <c r="BA1348" i="1"/>
  <c r="BA1351" i="1"/>
  <c r="BA1354" i="1"/>
  <c r="BA1357" i="1"/>
  <c r="Z1360" i="1"/>
  <c r="BA1361" i="1"/>
  <c r="Z1356" i="1"/>
  <c r="BA1332" i="1"/>
  <c r="BA1341" i="1"/>
  <c r="BA1344" i="1"/>
  <c r="BA1347" i="1"/>
  <c r="BA1350" i="1"/>
  <c r="BA1353" i="1"/>
  <c r="BA1356" i="1"/>
  <c r="BA1359" i="1"/>
  <c r="Z1361" i="1"/>
  <c r="Z1340" i="1"/>
  <c r="BA1322" i="1"/>
  <c r="BA1321" i="1"/>
  <c r="BA1336" i="1"/>
  <c r="Z1348" i="1"/>
  <c r="Z1352" i="1"/>
  <c r="M1362" i="1"/>
  <c r="AZ1362" i="1"/>
  <c r="BA1333" i="1"/>
  <c r="BA1343" i="1"/>
  <c r="BA1346" i="1"/>
  <c r="BA1349" i="1"/>
  <c r="BA1352" i="1"/>
  <c r="BA1355" i="1"/>
  <c r="Z1359" i="1"/>
  <c r="Z1355" i="1"/>
  <c r="Z1351" i="1"/>
  <c r="Z1347" i="1"/>
  <c r="Z1343" i="1"/>
  <c r="Z1339" i="1"/>
  <c r="AN1362" i="1"/>
  <c r="Y1362" i="1"/>
  <c r="Z1357" i="1"/>
  <c r="Z1353" i="1"/>
  <c r="Z1349" i="1"/>
  <c r="Z1345" i="1"/>
  <c r="Z1341" i="1"/>
  <c r="Z1337" i="1"/>
  <c r="BA1337" i="1"/>
  <c r="AH1362" i="1"/>
  <c r="AT1362" i="1"/>
  <c r="Z1331" i="1"/>
  <c r="Z1332" i="1"/>
  <c r="Z1333" i="1"/>
  <c r="Z1334" i="1"/>
  <c r="G1362" i="1"/>
  <c r="S1362" i="1"/>
  <c r="AZ1298" i="1"/>
  <c r="AT1298" i="1"/>
  <c r="AN1298" i="1"/>
  <c r="AH1298" i="1"/>
  <c r="AZ1297" i="1"/>
  <c r="AT1297" i="1"/>
  <c r="AN1297" i="1"/>
  <c r="AH1297" i="1"/>
  <c r="AH1236" i="1"/>
  <c r="AN1236" i="1"/>
  <c r="AT1236" i="1"/>
  <c r="AZ1236" i="1"/>
  <c r="AH1237" i="1"/>
  <c r="AN1237" i="1"/>
  <c r="AT1237" i="1"/>
  <c r="AZ1237" i="1"/>
  <c r="AH1238" i="1"/>
  <c r="AN1238" i="1"/>
  <c r="AT1238" i="1"/>
  <c r="AZ1238" i="1"/>
  <c r="AZ1283" i="1"/>
  <c r="AT1283" i="1"/>
  <c r="AN1283" i="1"/>
  <c r="AH1283" i="1"/>
  <c r="AZ1258" i="1"/>
  <c r="AT1258" i="1"/>
  <c r="AN1258" i="1"/>
  <c r="AH1258" i="1"/>
  <c r="AH1280" i="1"/>
  <c r="AN1280" i="1"/>
  <c r="AT1280" i="1"/>
  <c r="AZ1280" i="1"/>
  <c r="AH1281" i="1"/>
  <c r="AN1281" i="1"/>
  <c r="AT1281" i="1"/>
  <c r="AZ1281" i="1"/>
  <c r="AH1282" i="1"/>
  <c r="AN1282" i="1"/>
  <c r="AT1282" i="1"/>
  <c r="AZ1282" i="1"/>
  <c r="AH1316" i="1"/>
  <c r="AN1316" i="1"/>
  <c r="AT1316" i="1"/>
  <c r="AZ1316" i="1"/>
  <c r="AH1317" i="1"/>
  <c r="AN1317" i="1"/>
  <c r="AT1317" i="1"/>
  <c r="AZ1317" i="1"/>
  <c r="AH1318" i="1"/>
  <c r="AN1318" i="1"/>
  <c r="AT1318" i="1"/>
  <c r="AZ1318" i="1"/>
  <c r="AH1319" i="1"/>
  <c r="AN1319" i="1"/>
  <c r="AT1319" i="1"/>
  <c r="AZ1319" i="1"/>
  <c r="G1295" i="1"/>
  <c r="M1295" i="1"/>
  <c r="S1295" i="1"/>
  <c r="Y1295" i="1"/>
  <c r="G1292" i="1"/>
  <c r="M1292" i="1"/>
  <c r="S1292" i="1"/>
  <c r="Y1292" i="1"/>
  <c r="G1293" i="1"/>
  <c r="M1293" i="1"/>
  <c r="S1293" i="1"/>
  <c r="Y1293" i="1"/>
  <c r="G1297" i="1"/>
  <c r="M1297" i="1"/>
  <c r="S1297" i="1"/>
  <c r="Y1297" i="1"/>
  <c r="G1298" i="1"/>
  <c r="M1298" i="1"/>
  <c r="S1298" i="1"/>
  <c r="Y1298" i="1"/>
  <c r="G1299" i="1"/>
  <c r="M1299" i="1"/>
  <c r="S1299" i="1"/>
  <c r="Y1299" i="1"/>
  <c r="G1300" i="1"/>
  <c r="M1300" i="1"/>
  <c r="S1300" i="1"/>
  <c r="Y1300" i="1"/>
  <c r="G1301" i="1"/>
  <c r="M1301" i="1"/>
  <c r="S1301" i="1"/>
  <c r="Y1301" i="1"/>
  <c r="G1302" i="1"/>
  <c r="M1302" i="1"/>
  <c r="S1302" i="1"/>
  <c r="Y1302" i="1"/>
  <c r="G1303" i="1"/>
  <c r="M1303" i="1"/>
  <c r="S1303" i="1"/>
  <c r="Y1303" i="1"/>
  <c r="G1304" i="1"/>
  <c r="M1304" i="1"/>
  <c r="S1304" i="1"/>
  <c r="Y1304" i="1"/>
  <c r="G1305" i="1"/>
  <c r="M1305" i="1"/>
  <c r="S1305" i="1"/>
  <c r="Y1305" i="1"/>
  <c r="G1306" i="1"/>
  <c r="M1306" i="1"/>
  <c r="S1306" i="1"/>
  <c r="Y1306" i="1"/>
  <c r="G1307" i="1"/>
  <c r="M1307" i="1"/>
  <c r="S1307" i="1"/>
  <c r="Y1307" i="1"/>
  <c r="G1308" i="1"/>
  <c r="M1308" i="1"/>
  <c r="S1308" i="1"/>
  <c r="Y1308" i="1"/>
  <c r="G1309" i="1"/>
  <c r="M1309" i="1"/>
  <c r="S1309" i="1"/>
  <c r="Y1309" i="1"/>
  <c r="G1310" i="1"/>
  <c r="M1310" i="1"/>
  <c r="S1310" i="1"/>
  <c r="Y1310" i="1"/>
  <c r="G1311" i="1"/>
  <c r="M1311" i="1"/>
  <c r="S1311" i="1"/>
  <c r="Y1311" i="1"/>
  <c r="G1312" i="1"/>
  <c r="M1312" i="1"/>
  <c r="S1312" i="1"/>
  <c r="Y1312" i="1"/>
  <c r="G1313" i="1"/>
  <c r="M1313" i="1"/>
  <c r="S1313" i="1"/>
  <c r="Y1313" i="1"/>
  <c r="G1314" i="1"/>
  <c r="M1314" i="1"/>
  <c r="S1314" i="1"/>
  <c r="Y1314" i="1"/>
  <c r="G1315" i="1"/>
  <c r="M1315" i="1"/>
  <c r="S1315" i="1"/>
  <c r="Y1315" i="1"/>
  <c r="G1316" i="1"/>
  <c r="M1316" i="1"/>
  <c r="S1316" i="1"/>
  <c r="Y1316" i="1"/>
  <c r="G1317" i="1"/>
  <c r="M1317" i="1"/>
  <c r="S1317" i="1"/>
  <c r="Y1317" i="1"/>
  <c r="G1318" i="1"/>
  <c r="M1318" i="1"/>
  <c r="S1318" i="1"/>
  <c r="Y1318" i="1"/>
  <c r="G1319" i="1"/>
  <c r="M1319" i="1"/>
  <c r="S1319" i="1"/>
  <c r="Y1319" i="1"/>
  <c r="G1320" i="1"/>
  <c r="M1320" i="1"/>
  <c r="S1320" i="1"/>
  <c r="Y1320" i="1"/>
  <c r="AY1323" i="1"/>
  <c r="AX1323" i="1"/>
  <c r="AW1323" i="1"/>
  <c r="AV1323" i="1"/>
  <c r="AU1323" i="1"/>
  <c r="AS1323" i="1"/>
  <c r="AR1323" i="1"/>
  <c r="AQ1323" i="1"/>
  <c r="AP1323" i="1"/>
  <c r="AO1323" i="1"/>
  <c r="AM1323" i="1"/>
  <c r="AL1323" i="1"/>
  <c r="AK1323" i="1"/>
  <c r="AJ1323" i="1"/>
  <c r="AI1323" i="1"/>
  <c r="AG1323" i="1"/>
  <c r="AF1323" i="1"/>
  <c r="AE1323" i="1"/>
  <c r="AD1323" i="1"/>
  <c r="AC1323" i="1"/>
  <c r="X1323" i="1"/>
  <c r="W1323" i="1"/>
  <c r="V1323" i="1"/>
  <c r="U1323" i="1"/>
  <c r="T1323" i="1"/>
  <c r="R1323" i="1"/>
  <c r="Q1323" i="1"/>
  <c r="P1323" i="1"/>
  <c r="O1323" i="1"/>
  <c r="N1323" i="1"/>
  <c r="L1323" i="1"/>
  <c r="K1323" i="1"/>
  <c r="J1323" i="1"/>
  <c r="I1323" i="1"/>
  <c r="H1323" i="1"/>
  <c r="F1323" i="1"/>
  <c r="E1323" i="1"/>
  <c r="D1323" i="1"/>
  <c r="C1323" i="1"/>
  <c r="B1323" i="1"/>
  <c r="Y1322" i="1"/>
  <c r="S1322" i="1"/>
  <c r="M1322" i="1"/>
  <c r="G1322" i="1"/>
  <c r="Y1321" i="1"/>
  <c r="S1321" i="1"/>
  <c r="M1321" i="1"/>
  <c r="G1321" i="1"/>
  <c r="AZ1315" i="1"/>
  <c r="AT1315" i="1"/>
  <c r="AN1315" i="1"/>
  <c r="AH1315" i="1"/>
  <c r="AZ1314" i="1"/>
  <c r="AT1314" i="1"/>
  <c r="AN1314" i="1"/>
  <c r="AH1314" i="1"/>
  <c r="AZ1313" i="1"/>
  <c r="AT1313" i="1"/>
  <c r="AN1313" i="1"/>
  <c r="AH1313" i="1"/>
  <c r="AZ1312" i="1"/>
  <c r="AT1312" i="1"/>
  <c r="AN1312" i="1"/>
  <c r="AH1312" i="1"/>
  <c r="AZ1311" i="1"/>
  <c r="AT1311" i="1"/>
  <c r="AN1311" i="1"/>
  <c r="AH1311" i="1"/>
  <c r="AZ1310" i="1"/>
  <c r="AT1310" i="1"/>
  <c r="AN1310" i="1"/>
  <c r="AH1310" i="1"/>
  <c r="AZ1309" i="1"/>
  <c r="AT1309" i="1"/>
  <c r="AN1309" i="1"/>
  <c r="AH1309" i="1"/>
  <c r="AZ1308" i="1"/>
  <c r="AT1308" i="1"/>
  <c r="AN1308" i="1"/>
  <c r="AH1308" i="1"/>
  <c r="AZ1307" i="1"/>
  <c r="AT1307" i="1"/>
  <c r="AN1307" i="1"/>
  <c r="AH1307" i="1"/>
  <c r="AZ1306" i="1"/>
  <c r="AT1306" i="1"/>
  <c r="AN1306" i="1"/>
  <c r="AH1306" i="1"/>
  <c r="AZ1305" i="1"/>
  <c r="AT1305" i="1"/>
  <c r="AN1305" i="1"/>
  <c r="AH1305" i="1"/>
  <c r="AZ1304" i="1"/>
  <c r="AT1304" i="1"/>
  <c r="AN1304" i="1"/>
  <c r="AH1304" i="1"/>
  <c r="AZ1303" i="1"/>
  <c r="AT1303" i="1"/>
  <c r="AN1303" i="1"/>
  <c r="AH1303" i="1"/>
  <c r="AZ1302" i="1"/>
  <c r="AT1302" i="1"/>
  <c r="AN1302" i="1"/>
  <c r="AH1302" i="1"/>
  <c r="AZ1301" i="1"/>
  <c r="AT1301" i="1"/>
  <c r="AN1301" i="1"/>
  <c r="AH1301" i="1"/>
  <c r="AZ1300" i="1"/>
  <c r="AT1300" i="1"/>
  <c r="AN1300" i="1"/>
  <c r="AH1300" i="1"/>
  <c r="AZ1299" i="1"/>
  <c r="AT1299" i="1"/>
  <c r="AN1299" i="1"/>
  <c r="AH1299" i="1"/>
  <c r="AZ1295" i="1"/>
  <c r="AT1295" i="1"/>
  <c r="AN1295" i="1"/>
  <c r="AH1295" i="1"/>
  <c r="AZ1294" i="1"/>
  <c r="AT1294" i="1"/>
  <c r="AN1294" i="1"/>
  <c r="AH1294" i="1"/>
  <c r="Y1294" i="1"/>
  <c r="S1294" i="1"/>
  <c r="M1294" i="1"/>
  <c r="G1294" i="1"/>
  <c r="AZ1293" i="1"/>
  <c r="AT1293" i="1"/>
  <c r="AN1293" i="1"/>
  <c r="AH1293" i="1"/>
  <c r="AZ1292" i="1"/>
  <c r="AT1292" i="1"/>
  <c r="AN1292" i="1"/>
  <c r="AH1292" i="1"/>
  <c r="AZ1228" i="1"/>
  <c r="AT1228" i="1"/>
  <c r="AN1228" i="1"/>
  <c r="AH1228" i="1"/>
  <c r="AZ1227" i="1"/>
  <c r="AT1227" i="1"/>
  <c r="AN1227" i="1"/>
  <c r="AH1227" i="1"/>
  <c r="AZ1226" i="1"/>
  <c r="AT1226" i="1"/>
  <c r="AN1226" i="1"/>
  <c r="AH1226" i="1"/>
  <c r="AZ1225" i="1"/>
  <c r="AT1225" i="1"/>
  <c r="AN1225" i="1"/>
  <c r="AH1225" i="1"/>
  <c r="AH1224" i="1"/>
  <c r="AN1224" i="1"/>
  <c r="AT1224" i="1"/>
  <c r="AZ1224" i="1"/>
  <c r="BA1479" i="1" l="1"/>
  <c r="Z1479" i="1"/>
  <c r="Z1440" i="1"/>
  <c r="BA1440" i="1"/>
  <c r="BA1401" i="1"/>
  <c r="Z1401" i="1"/>
  <c r="Z1362" i="1"/>
  <c r="BA1362" i="1"/>
  <c r="BA1298" i="1"/>
  <c r="Z1306" i="1"/>
  <c r="BA1297" i="1"/>
  <c r="Z1304" i="1"/>
  <c r="Z1301" i="1"/>
  <c r="BA1293" i="1"/>
  <c r="BA1299" i="1"/>
  <c r="BA1302" i="1"/>
  <c r="BA1308" i="1"/>
  <c r="BA1311" i="1"/>
  <c r="BA1314" i="1"/>
  <c r="Z1319" i="1"/>
  <c r="BA1305" i="1"/>
  <c r="Z1322" i="1"/>
  <c r="BA1306" i="1"/>
  <c r="BA1315" i="1"/>
  <c r="Z1317" i="1"/>
  <c r="BA1280" i="1"/>
  <c r="BA1292" i="1"/>
  <c r="Z1294" i="1"/>
  <c r="BA1300" i="1"/>
  <c r="BA1312" i="1"/>
  <c r="Z1314" i="1"/>
  <c r="Z1318" i="1"/>
  <c r="BA1303" i="1"/>
  <c r="BA1309" i="1"/>
  <c r="Z1312" i="1"/>
  <c r="BA1238" i="1"/>
  <c r="Z1300" i="1"/>
  <c r="Y1323" i="1"/>
  <c r="Z1309" i="1"/>
  <c r="Z1305" i="1"/>
  <c r="Z1302" i="1"/>
  <c r="Z1303" i="1"/>
  <c r="Z1299" i="1"/>
  <c r="Z1293" i="1"/>
  <c r="BA1318" i="1"/>
  <c r="BA1282" i="1"/>
  <c r="BA1294" i="1"/>
  <c r="BA1301" i="1"/>
  <c r="BA1304" i="1"/>
  <c r="BA1307" i="1"/>
  <c r="BA1310" i="1"/>
  <c r="BA1313" i="1"/>
  <c r="Z1321" i="1"/>
  <c r="Z1316" i="1"/>
  <c r="Z1313" i="1"/>
  <c r="BA1237" i="1"/>
  <c r="AN1323" i="1"/>
  <c r="Z1320" i="1"/>
  <c r="Z1310" i="1"/>
  <c r="Z1307" i="1"/>
  <c r="Z1297" i="1"/>
  <c r="Z1295" i="1"/>
  <c r="BA1319" i="1"/>
  <c r="BA1316" i="1"/>
  <c r="BA1295" i="1"/>
  <c r="Z1315" i="1"/>
  <c r="Z1311" i="1"/>
  <c r="Z1308" i="1"/>
  <c r="Z1298" i="1"/>
  <c r="Z1292" i="1"/>
  <c r="BA1317" i="1"/>
  <c r="BA1281" i="1"/>
  <c r="BA1236" i="1"/>
  <c r="BA1283" i="1"/>
  <c r="BA1258" i="1"/>
  <c r="AH1323" i="1"/>
  <c r="AZ1323" i="1"/>
  <c r="AT1323" i="1"/>
  <c r="S1323" i="1"/>
  <c r="M1323" i="1"/>
  <c r="G1323" i="1"/>
  <c r="BA1228" i="1"/>
  <c r="BA1227" i="1"/>
  <c r="BA1226" i="1"/>
  <c r="BA1225" i="1"/>
  <c r="BA1224" i="1"/>
  <c r="G1255" i="1"/>
  <c r="M1255" i="1"/>
  <c r="S1255" i="1"/>
  <c r="Y1255" i="1"/>
  <c r="G1256" i="1"/>
  <c r="M1256" i="1"/>
  <c r="S1256" i="1"/>
  <c r="Y1256" i="1"/>
  <c r="G1253" i="1"/>
  <c r="M1253" i="1"/>
  <c r="S1253" i="1"/>
  <c r="Y1253" i="1"/>
  <c r="G1254" i="1"/>
  <c r="M1254" i="1"/>
  <c r="S1254" i="1"/>
  <c r="Y1254" i="1"/>
  <c r="AH1259" i="1"/>
  <c r="AN1259" i="1"/>
  <c r="AT1259" i="1"/>
  <c r="AZ1259" i="1"/>
  <c r="AH1260" i="1"/>
  <c r="AN1260" i="1"/>
  <c r="AT1260" i="1"/>
  <c r="AZ1260" i="1"/>
  <c r="AH1261" i="1"/>
  <c r="AN1261" i="1"/>
  <c r="AT1261" i="1"/>
  <c r="AZ1261" i="1"/>
  <c r="AH1262" i="1"/>
  <c r="AN1262" i="1"/>
  <c r="AT1262" i="1"/>
  <c r="AZ1262" i="1"/>
  <c r="AH1263" i="1"/>
  <c r="AN1263" i="1"/>
  <c r="AT1263" i="1"/>
  <c r="AZ1263" i="1"/>
  <c r="AH1264" i="1"/>
  <c r="AN1264" i="1"/>
  <c r="AT1264" i="1"/>
  <c r="AZ1264" i="1"/>
  <c r="AH1272" i="1"/>
  <c r="AN1272" i="1"/>
  <c r="AT1272" i="1"/>
  <c r="AZ1272" i="1"/>
  <c r="AH1273" i="1"/>
  <c r="AN1273" i="1"/>
  <c r="AT1273" i="1"/>
  <c r="AZ1273" i="1"/>
  <c r="AH1274" i="1"/>
  <c r="AN1274" i="1"/>
  <c r="AT1274" i="1"/>
  <c r="AZ1274" i="1"/>
  <c r="AH1275" i="1"/>
  <c r="AN1275" i="1"/>
  <c r="AT1275" i="1"/>
  <c r="AZ1275" i="1"/>
  <c r="AH1276" i="1"/>
  <c r="AN1276" i="1"/>
  <c r="AT1276" i="1"/>
  <c r="AZ1276" i="1"/>
  <c r="AH1277" i="1"/>
  <c r="AN1277" i="1"/>
  <c r="AT1277" i="1"/>
  <c r="AZ1277" i="1"/>
  <c r="AH1278" i="1"/>
  <c r="AN1278" i="1"/>
  <c r="AT1278" i="1"/>
  <c r="AZ1278" i="1"/>
  <c r="AH1279" i="1"/>
  <c r="AN1279" i="1"/>
  <c r="AT1279" i="1"/>
  <c r="AZ1279" i="1"/>
  <c r="G1258" i="1"/>
  <c r="M1258" i="1"/>
  <c r="S1258" i="1"/>
  <c r="Y1258" i="1"/>
  <c r="G1259" i="1"/>
  <c r="M1259" i="1"/>
  <c r="S1259" i="1"/>
  <c r="Y1259" i="1"/>
  <c r="G1260" i="1"/>
  <c r="M1260" i="1"/>
  <c r="S1260" i="1"/>
  <c r="Y1260" i="1"/>
  <c r="G1261" i="1"/>
  <c r="M1261" i="1"/>
  <c r="S1261" i="1"/>
  <c r="Y1261" i="1"/>
  <c r="G1262" i="1"/>
  <c r="M1262" i="1"/>
  <c r="S1262" i="1"/>
  <c r="Y1262" i="1"/>
  <c r="G1263" i="1"/>
  <c r="M1263" i="1"/>
  <c r="S1263" i="1"/>
  <c r="Y1263" i="1"/>
  <c r="G1264" i="1"/>
  <c r="M1264" i="1"/>
  <c r="S1264" i="1"/>
  <c r="Y1264" i="1"/>
  <c r="G1265" i="1"/>
  <c r="M1265" i="1"/>
  <c r="S1265" i="1"/>
  <c r="Y1265" i="1"/>
  <c r="G1266" i="1"/>
  <c r="M1266" i="1"/>
  <c r="S1266" i="1"/>
  <c r="Y1266" i="1"/>
  <c r="G1267" i="1"/>
  <c r="M1267" i="1"/>
  <c r="S1267" i="1"/>
  <c r="Y1267" i="1"/>
  <c r="G1268" i="1"/>
  <c r="M1268" i="1"/>
  <c r="S1268" i="1"/>
  <c r="Y1268" i="1"/>
  <c r="G1269" i="1"/>
  <c r="M1269" i="1"/>
  <c r="S1269" i="1"/>
  <c r="Y1269" i="1"/>
  <c r="G1270" i="1"/>
  <c r="M1270" i="1"/>
  <c r="S1270" i="1"/>
  <c r="Y1270" i="1"/>
  <c r="G1271" i="1"/>
  <c r="M1271" i="1"/>
  <c r="S1271" i="1"/>
  <c r="Y1271" i="1"/>
  <c r="G1272" i="1"/>
  <c r="M1272" i="1"/>
  <c r="S1272" i="1"/>
  <c r="Y1272" i="1"/>
  <c r="G1273" i="1"/>
  <c r="M1273" i="1"/>
  <c r="S1273" i="1"/>
  <c r="Y1273" i="1"/>
  <c r="G1274" i="1"/>
  <c r="M1274" i="1"/>
  <c r="S1274" i="1"/>
  <c r="Y1274" i="1"/>
  <c r="G1275" i="1"/>
  <c r="M1275" i="1"/>
  <c r="S1275" i="1"/>
  <c r="Y1275" i="1"/>
  <c r="G1276" i="1"/>
  <c r="M1276" i="1"/>
  <c r="S1276" i="1"/>
  <c r="Y1276" i="1"/>
  <c r="G1277" i="1"/>
  <c r="M1277" i="1"/>
  <c r="S1277" i="1"/>
  <c r="Y1277" i="1"/>
  <c r="G1278" i="1"/>
  <c r="M1278" i="1"/>
  <c r="S1278" i="1"/>
  <c r="Y1278" i="1"/>
  <c r="G1279" i="1"/>
  <c r="M1279" i="1"/>
  <c r="S1279" i="1"/>
  <c r="Y1279" i="1"/>
  <c r="G1280" i="1"/>
  <c r="M1280" i="1"/>
  <c r="S1280" i="1"/>
  <c r="Y1280" i="1"/>
  <c r="G1281" i="1"/>
  <c r="M1281" i="1"/>
  <c r="S1281" i="1"/>
  <c r="Y1281" i="1"/>
  <c r="AY1284" i="1"/>
  <c r="AX1284" i="1"/>
  <c r="AW1284" i="1"/>
  <c r="AV1284" i="1"/>
  <c r="AU1284" i="1"/>
  <c r="AS1284" i="1"/>
  <c r="AR1284" i="1"/>
  <c r="AQ1284" i="1"/>
  <c r="AP1284" i="1"/>
  <c r="AO1284" i="1"/>
  <c r="AM1284" i="1"/>
  <c r="AL1284" i="1"/>
  <c r="AK1284" i="1"/>
  <c r="AJ1284" i="1"/>
  <c r="AI1284" i="1"/>
  <c r="AG1284" i="1"/>
  <c r="AF1284" i="1"/>
  <c r="AE1284" i="1"/>
  <c r="AD1284" i="1"/>
  <c r="AC1284" i="1"/>
  <c r="X1284" i="1"/>
  <c r="W1284" i="1"/>
  <c r="V1284" i="1"/>
  <c r="U1284" i="1"/>
  <c r="T1284" i="1"/>
  <c r="R1284" i="1"/>
  <c r="Q1284" i="1"/>
  <c r="P1284" i="1"/>
  <c r="O1284" i="1"/>
  <c r="N1284" i="1"/>
  <c r="L1284" i="1"/>
  <c r="K1284" i="1"/>
  <c r="J1284" i="1"/>
  <c r="I1284" i="1"/>
  <c r="H1284" i="1"/>
  <c r="F1284" i="1"/>
  <c r="E1284" i="1"/>
  <c r="D1284" i="1"/>
  <c r="C1284" i="1"/>
  <c r="B1284" i="1"/>
  <c r="Y1283" i="1"/>
  <c r="S1283" i="1"/>
  <c r="M1283" i="1"/>
  <c r="G1283" i="1"/>
  <c r="Y1282" i="1"/>
  <c r="S1282" i="1"/>
  <c r="M1282" i="1"/>
  <c r="G1282" i="1"/>
  <c r="AZ1271" i="1"/>
  <c r="AT1271" i="1"/>
  <c r="AN1271" i="1"/>
  <c r="AH1271" i="1"/>
  <c r="AZ1270" i="1"/>
  <c r="AT1270" i="1"/>
  <c r="AN1270" i="1"/>
  <c r="AH1270" i="1"/>
  <c r="AZ1269" i="1"/>
  <c r="AT1269" i="1"/>
  <c r="AN1269" i="1"/>
  <c r="AH1269" i="1"/>
  <c r="AZ1268" i="1"/>
  <c r="AT1268" i="1"/>
  <c r="AN1268" i="1"/>
  <c r="AH1268" i="1"/>
  <c r="AZ1267" i="1"/>
  <c r="AT1267" i="1"/>
  <c r="AN1267" i="1"/>
  <c r="AH1267" i="1"/>
  <c r="AZ1266" i="1"/>
  <c r="AT1266" i="1"/>
  <c r="AN1266" i="1"/>
  <c r="AH1266" i="1"/>
  <c r="AZ1265" i="1"/>
  <c r="AT1265" i="1"/>
  <c r="AN1265" i="1"/>
  <c r="AH1265" i="1"/>
  <c r="AZ1256" i="1"/>
  <c r="AT1256" i="1"/>
  <c r="AN1256" i="1"/>
  <c r="AH1256" i="1"/>
  <c r="AZ1255" i="1"/>
  <c r="AT1255" i="1"/>
  <c r="AN1255" i="1"/>
  <c r="AH1255" i="1"/>
  <c r="AZ1254" i="1"/>
  <c r="AT1254" i="1"/>
  <c r="AN1254" i="1"/>
  <c r="AH1254" i="1"/>
  <c r="AZ1253" i="1"/>
  <c r="AT1253" i="1"/>
  <c r="AN1253" i="1"/>
  <c r="AH1253" i="1"/>
  <c r="AZ1223" i="1"/>
  <c r="AT1223" i="1"/>
  <c r="AN1223" i="1"/>
  <c r="AH1223" i="1"/>
  <c r="AZ1222" i="1"/>
  <c r="AT1222" i="1"/>
  <c r="AN1222" i="1"/>
  <c r="AH1222" i="1"/>
  <c r="AZ1239" i="1"/>
  <c r="AT1239" i="1"/>
  <c r="AN1239" i="1"/>
  <c r="AH1239" i="1"/>
  <c r="AZ1221" i="1"/>
  <c r="AT1221" i="1"/>
  <c r="AN1221" i="1"/>
  <c r="AH1221" i="1"/>
  <c r="AZ1240" i="1"/>
  <c r="AT1240" i="1"/>
  <c r="AN1240" i="1"/>
  <c r="AH1240" i="1"/>
  <c r="AH1194" i="1"/>
  <c r="AN1194" i="1"/>
  <c r="AT1194" i="1"/>
  <c r="AZ1194" i="1"/>
  <c r="AH1195" i="1"/>
  <c r="AN1195" i="1"/>
  <c r="AT1195" i="1"/>
  <c r="AZ1195" i="1"/>
  <c r="AH1196" i="1"/>
  <c r="AN1196" i="1"/>
  <c r="AT1196" i="1"/>
  <c r="AZ1196" i="1"/>
  <c r="AH1197" i="1"/>
  <c r="AN1197" i="1"/>
  <c r="AT1197" i="1"/>
  <c r="AZ1197" i="1"/>
  <c r="AH1198" i="1"/>
  <c r="AN1198" i="1"/>
  <c r="AT1198" i="1"/>
  <c r="AZ1198" i="1"/>
  <c r="AH1199" i="1"/>
  <c r="AN1199" i="1"/>
  <c r="AT1199" i="1"/>
  <c r="AZ1199" i="1"/>
  <c r="AH1200" i="1"/>
  <c r="AN1200" i="1"/>
  <c r="AT1200" i="1"/>
  <c r="AZ1200" i="1"/>
  <c r="AH1201" i="1"/>
  <c r="AN1201" i="1"/>
  <c r="AT1201" i="1"/>
  <c r="AZ1201" i="1"/>
  <c r="AH1202" i="1"/>
  <c r="AN1202" i="1"/>
  <c r="AT1202" i="1"/>
  <c r="AZ1202" i="1"/>
  <c r="AH1203" i="1"/>
  <c r="AN1203" i="1"/>
  <c r="AT1203" i="1"/>
  <c r="AZ1203" i="1"/>
  <c r="AH1204" i="1"/>
  <c r="AN1204" i="1"/>
  <c r="AT1204" i="1"/>
  <c r="AZ1204" i="1"/>
  <c r="AH1205" i="1"/>
  <c r="AN1205" i="1"/>
  <c r="AT1205" i="1"/>
  <c r="AZ1205" i="1"/>
  <c r="AH1214" i="1"/>
  <c r="AN1214" i="1"/>
  <c r="AT1214" i="1"/>
  <c r="AZ1214" i="1"/>
  <c r="AH1215" i="1"/>
  <c r="AN1215" i="1"/>
  <c r="AT1215" i="1"/>
  <c r="AZ1215" i="1"/>
  <c r="AH1219" i="1"/>
  <c r="AN1219" i="1"/>
  <c r="AT1219" i="1"/>
  <c r="AZ1219" i="1"/>
  <c r="AH1220" i="1"/>
  <c r="AN1220" i="1"/>
  <c r="AT1220" i="1"/>
  <c r="AZ1220" i="1"/>
  <c r="AH1229" i="1"/>
  <c r="AN1229" i="1"/>
  <c r="AT1229" i="1"/>
  <c r="AZ1229" i="1"/>
  <c r="AH1230" i="1"/>
  <c r="AN1230" i="1"/>
  <c r="AT1230" i="1"/>
  <c r="AZ1230" i="1"/>
  <c r="AH1231" i="1"/>
  <c r="AN1231" i="1"/>
  <c r="AT1231" i="1"/>
  <c r="AZ1231" i="1"/>
  <c r="G1219" i="1"/>
  <c r="M1219" i="1"/>
  <c r="S1219" i="1"/>
  <c r="Y1219" i="1"/>
  <c r="G1220" i="1"/>
  <c r="M1220" i="1"/>
  <c r="S1220" i="1"/>
  <c r="Y1220" i="1"/>
  <c r="G1221" i="1"/>
  <c r="M1221" i="1"/>
  <c r="S1221" i="1"/>
  <c r="Y1221" i="1"/>
  <c r="G1222" i="1"/>
  <c r="M1222" i="1"/>
  <c r="S1222" i="1"/>
  <c r="Y1222" i="1"/>
  <c r="G1223" i="1"/>
  <c r="M1223" i="1"/>
  <c r="S1223" i="1"/>
  <c r="Y1223" i="1"/>
  <c r="G1224" i="1"/>
  <c r="M1224" i="1"/>
  <c r="S1224" i="1"/>
  <c r="Y1224" i="1"/>
  <c r="G1225" i="1"/>
  <c r="M1225" i="1"/>
  <c r="S1225" i="1"/>
  <c r="Y1225" i="1"/>
  <c r="G1226" i="1"/>
  <c r="M1226" i="1"/>
  <c r="S1226" i="1"/>
  <c r="Y1226" i="1"/>
  <c r="G1227" i="1"/>
  <c r="M1227" i="1"/>
  <c r="S1227" i="1"/>
  <c r="Y1227" i="1"/>
  <c r="G1228" i="1"/>
  <c r="M1228" i="1"/>
  <c r="S1228" i="1"/>
  <c r="Y1228" i="1"/>
  <c r="G1229" i="1"/>
  <c r="M1229" i="1"/>
  <c r="S1229" i="1"/>
  <c r="Y1229" i="1"/>
  <c r="G1230" i="1"/>
  <c r="M1230" i="1"/>
  <c r="S1230" i="1"/>
  <c r="Y1230" i="1"/>
  <c r="G1231" i="1"/>
  <c r="M1231" i="1"/>
  <c r="S1231" i="1"/>
  <c r="Y1231" i="1"/>
  <c r="G1232" i="1"/>
  <c r="M1232" i="1"/>
  <c r="S1232" i="1"/>
  <c r="Y1232" i="1"/>
  <c r="G1233" i="1"/>
  <c r="M1233" i="1"/>
  <c r="S1233" i="1"/>
  <c r="Y1233" i="1"/>
  <c r="G1234" i="1"/>
  <c r="M1234" i="1"/>
  <c r="S1234" i="1"/>
  <c r="Y1234" i="1"/>
  <c r="G1235" i="1"/>
  <c r="M1235" i="1"/>
  <c r="S1235" i="1"/>
  <c r="Y1235" i="1"/>
  <c r="G1236" i="1"/>
  <c r="M1236" i="1"/>
  <c r="S1236" i="1"/>
  <c r="Y1236" i="1"/>
  <c r="G1237" i="1"/>
  <c r="M1237" i="1"/>
  <c r="S1237" i="1"/>
  <c r="Y1237" i="1"/>
  <c r="G1238" i="1"/>
  <c r="M1238" i="1"/>
  <c r="S1238" i="1"/>
  <c r="Y1238" i="1"/>
  <c r="G1239" i="1"/>
  <c r="M1239" i="1"/>
  <c r="S1239" i="1"/>
  <c r="Y1239" i="1"/>
  <c r="G1240" i="1"/>
  <c r="M1240" i="1"/>
  <c r="S1240" i="1"/>
  <c r="Y1240" i="1"/>
  <c r="G1241" i="1"/>
  <c r="M1241" i="1"/>
  <c r="S1241" i="1"/>
  <c r="Y1241" i="1"/>
  <c r="G1242" i="1"/>
  <c r="M1242" i="1"/>
  <c r="S1242" i="1"/>
  <c r="Y1242" i="1"/>
  <c r="AY1245" i="1"/>
  <c r="AX1245" i="1"/>
  <c r="AW1245" i="1"/>
  <c r="AV1245" i="1"/>
  <c r="AU1245" i="1"/>
  <c r="AS1245" i="1"/>
  <c r="AR1245" i="1"/>
  <c r="AQ1245" i="1"/>
  <c r="AP1245" i="1"/>
  <c r="AO1245" i="1"/>
  <c r="AM1245" i="1"/>
  <c r="AL1245" i="1"/>
  <c r="AK1245" i="1"/>
  <c r="AJ1245" i="1"/>
  <c r="AI1245" i="1"/>
  <c r="AG1245" i="1"/>
  <c r="AF1245" i="1"/>
  <c r="AE1245" i="1"/>
  <c r="AD1245" i="1"/>
  <c r="AC1245" i="1"/>
  <c r="X1245" i="1"/>
  <c r="W1245" i="1"/>
  <c r="V1245" i="1"/>
  <c r="U1245" i="1"/>
  <c r="T1245" i="1"/>
  <c r="R1245" i="1"/>
  <c r="Q1245" i="1"/>
  <c r="P1245" i="1"/>
  <c r="O1245" i="1"/>
  <c r="N1245" i="1"/>
  <c r="L1245" i="1"/>
  <c r="K1245" i="1"/>
  <c r="J1245" i="1"/>
  <c r="I1245" i="1"/>
  <c r="H1245" i="1"/>
  <c r="F1245" i="1"/>
  <c r="E1245" i="1"/>
  <c r="D1245" i="1"/>
  <c r="C1245" i="1"/>
  <c r="B1245" i="1"/>
  <c r="AZ1244" i="1"/>
  <c r="AT1244" i="1"/>
  <c r="AN1244" i="1"/>
  <c r="AH1244" i="1"/>
  <c r="Y1244" i="1"/>
  <c r="S1244" i="1"/>
  <c r="M1244" i="1"/>
  <c r="G1244" i="1"/>
  <c r="AZ1243" i="1"/>
  <c r="AT1243" i="1"/>
  <c r="AN1243" i="1"/>
  <c r="AH1243" i="1"/>
  <c r="Y1243" i="1"/>
  <c r="S1243" i="1"/>
  <c r="M1243" i="1"/>
  <c r="G1243" i="1"/>
  <c r="AZ1242" i="1"/>
  <c r="AZ1241" i="1"/>
  <c r="AZ1235" i="1"/>
  <c r="AT1235" i="1"/>
  <c r="AN1235" i="1"/>
  <c r="AH1235" i="1"/>
  <c r="AZ1234" i="1"/>
  <c r="AT1234" i="1"/>
  <c r="AN1234" i="1"/>
  <c r="AH1234" i="1"/>
  <c r="AZ1233" i="1"/>
  <c r="AT1233" i="1"/>
  <c r="AN1233" i="1"/>
  <c r="AH1233" i="1"/>
  <c r="AZ1232" i="1"/>
  <c r="AT1232" i="1"/>
  <c r="AN1232" i="1"/>
  <c r="AH1232" i="1"/>
  <c r="AZ1217" i="1"/>
  <c r="AT1217" i="1"/>
  <c r="AN1217" i="1"/>
  <c r="AH1217" i="1"/>
  <c r="Y1217" i="1"/>
  <c r="S1217" i="1"/>
  <c r="M1217" i="1"/>
  <c r="G1217" i="1"/>
  <c r="AZ1216" i="1"/>
  <c r="AT1216" i="1"/>
  <c r="AN1216" i="1"/>
  <c r="AH1216" i="1"/>
  <c r="Y1216" i="1"/>
  <c r="S1216" i="1"/>
  <c r="M1216" i="1"/>
  <c r="G1216" i="1"/>
  <c r="Y1215" i="1"/>
  <c r="S1215" i="1"/>
  <c r="M1215" i="1"/>
  <c r="G1215" i="1"/>
  <c r="Y1214" i="1"/>
  <c r="S1214" i="1"/>
  <c r="M1214" i="1"/>
  <c r="G1214" i="1"/>
  <c r="AZ1187" i="1"/>
  <c r="AT1187" i="1"/>
  <c r="AN1187" i="1"/>
  <c r="AH1187" i="1"/>
  <c r="AZ1175" i="1"/>
  <c r="AT1175" i="1"/>
  <c r="AN1175" i="1"/>
  <c r="AH1175" i="1"/>
  <c r="Y1190" i="1"/>
  <c r="S1190" i="1"/>
  <c r="M1190" i="1"/>
  <c r="G1190" i="1"/>
  <c r="Z1323" i="1" l="1"/>
  <c r="BA1323" i="1"/>
  <c r="Z1271" i="1"/>
  <c r="BA1274" i="1"/>
  <c r="Z1256" i="1"/>
  <c r="Z1273" i="1"/>
  <c r="Z1270" i="1"/>
  <c r="Z1267" i="1"/>
  <c r="BA1275" i="1"/>
  <c r="Z1259" i="1"/>
  <c r="BA1279" i="1"/>
  <c r="BA1276" i="1"/>
  <c r="BA1262" i="1"/>
  <c r="BA1259" i="1"/>
  <c r="Z1255" i="1"/>
  <c r="Z1274" i="1"/>
  <c r="BA1254" i="1"/>
  <c r="BA1265" i="1"/>
  <c r="Z1269" i="1"/>
  <c r="Z1261" i="1"/>
  <c r="Z1260" i="1"/>
  <c r="BA1260" i="1"/>
  <c r="Z1279" i="1"/>
  <c r="BA1255" i="1"/>
  <c r="BA1266" i="1"/>
  <c r="BA1268" i="1"/>
  <c r="BA1269" i="1"/>
  <c r="BA1271" i="1"/>
  <c r="Z1268" i="1"/>
  <c r="Z1264" i="1"/>
  <c r="Z1281" i="1"/>
  <c r="Z1278" i="1"/>
  <c r="Z1262" i="1"/>
  <c r="Z1258" i="1"/>
  <c r="BA1277" i="1"/>
  <c r="BA1273" i="1"/>
  <c r="BA1263" i="1"/>
  <c r="Z1253" i="1"/>
  <c r="Z1283" i="1"/>
  <c r="Z1275" i="1"/>
  <c r="Z1272" i="1"/>
  <c r="Z1265" i="1"/>
  <c r="BA1278" i="1"/>
  <c r="BA1253" i="1"/>
  <c r="BA1256" i="1"/>
  <c r="BA1267" i="1"/>
  <c r="BA1270" i="1"/>
  <c r="BA1264" i="1"/>
  <c r="BA1261" i="1"/>
  <c r="Z1254" i="1"/>
  <c r="Z1282" i="1"/>
  <c r="Z1280" i="1"/>
  <c r="Z1277" i="1"/>
  <c r="Z1276" i="1"/>
  <c r="Z1266" i="1"/>
  <c r="Z1263" i="1"/>
  <c r="BA1272" i="1"/>
  <c r="AZ1284" i="1"/>
  <c r="AT1284" i="1"/>
  <c r="AH1284" i="1"/>
  <c r="AN1284" i="1"/>
  <c r="Y1284" i="1"/>
  <c r="M1284" i="1"/>
  <c r="S1284" i="1"/>
  <c r="G1284" i="1"/>
  <c r="BA1223" i="1"/>
  <c r="BA1239" i="1"/>
  <c r="BA1222" i="1"/>
  <c r="BA1221" i="1"/>
  <c r="Z1240" i="1"/>
  <c r="Z1234" i="1"/>
  <c r="BA1240" i="1"/>
  <c r="Z1233" i="1"/>
  <c r="Z1231" i="1"/>
  <c r="Z1228" i="1"/>
  <c r="BA1220" i="1"/>
  <c r="BA1194" i="1"/>
  <c r="Z1244" i="1"/>
  <c r="Z1220" i="1"/>
  <c r="BA1230" i="1"/>
  <c r="BA1198" i="1"/>
  <c r="BA1195" i="1"/>
  <c r="BA1233" i="1"/>
  <c r="Z1243" i="1"/>
  <c r="Z1239" i="1"/>
  <c r="Z1222" i="1"/>
  <c r="BA1200" i="1"/>
  <c r="Z1227" i="1"/>
  <c r="Z1224" i="1"/>
  <c r="Z1221" i="1"/>
  <c r="BA1205" i="1"/>
  <c r="BA1202" i="1"/>
  <c r="BA1199" i="1"/>
  <c r="BA1219" i="1"/>
  <c r="BA1234" i="1"/>
  <c r="BA1243" i="1"/>
  <c r="Z1238" i="1"/>
  <c r="Z1241" i="1"/>
  <c r="Z1237" i="1"/>
  <c r="Z1230" i="1"/>
  <c r="Z1226" i="1"/>
  <c r="Z1223" i="1"/>
  <c r="BA1229" i="1"/>
  <c r="BA1201" i="1"/>
  <c r="BA1197" i="1"/>
  <c r="BA1232" i="1"/>
  <c r="BA1217" i="1"/>
  <c r="Z1242" i="1"/>
  <c r="Z1235" i="1"/>
  <c r="BA1214" i="1"/>
  <c r="BA1241" i="1"/>
  <c r="Z1236" i="1"/>
  <c r="Z1232" i="1"/>
  <c r="Z1229" i="1"/>
  <c r="Z1225" i="1"/>
  <c r="BA1231" i="1"/>
  <c r="BA1204" i="1"/>
  <c r="BA1196" i="1"/>
  <c r="BA1235" i="1"/>
  <c r="Y1245" i="1"/>
  <c r="BA1203" i="1"/>
  <c r="BA1216" i="1"/>
  <c r="BA1242" i="1"/>
  <c r="BA1215" i="1"/>
  <c r="Z1219" i="1"/>
  <c r="BA1244" i="1"/>
  <c r="AT1245" i="1"/>
  <c r="AH1245" i="1"/>
  <c r="AZ1245" i="1"/>
  <c r="AN1245" i="1"/>
  <c r="M1245" i="1"/>
  <c r="S1245" i="1"/>
  <c r="G1245" i="1"/>
  <c r="Z1214" i="1"/>
  <c r="Z1217" i="1"/>
  <c r="Z1215" i="1"/>
  <c r="Z1216" i="1"/>
  <c r="BA1187" i="1"/>
  <c r="Z1190" i="1"/>
  <c r="BA1175" i="1"/>
  <c r="AZ1183" i="1"/>
  <c r="AT1183" i="1"/>
  <c r="AN1183" i="1"/>
  <c r="AH1183" i="1"/>
  <c r="AZ1181" i="1"/>
  <c r="AT1181" i="1"/>
  <c r="AN1181" i="1"/>
  <c r="AH1181" i="1"/>
  <c r="AH1136" i="1"/>
  <c r="AN1136" i="1"/>
  <c r="AT1136" i="1"/>
  <c r="AZ1136" i="1"/>
  <c r="AH1164" i="1"/>
  <c r="AN1164" i="1"/>
  <c r="AT1164" i="1"/>
  <c r="AZ1164" i="1"/>
  <c r="AH1165" i="1"/>
  <c r="AN1165" i="1"/>
  <c r="AT1165" i="1"/>
  <c r="AZ1165" i="1"/>
  <c r="AH1180" i="1"/>
  <c r="AN1180" i="1"/>
  <c r="AT1180" i="1"/>
  <c r="AZ1180" i="1"/>
  <c r="AH1182" i="1"/>
  <c r="AN1182" i="1"/>
  <c r="AT1182" i="1"/>
  <c r="AZ1182" i="1"/>
  <c r="G1175" i="1"/>
  <c r="M1175" i="1"/>
  <c r="S1175" i="1"/>
  <c r="Y1175" i="1"/>
  <c r="G1176" i="1"/>
  <c r="M1176" i="1"/>
  <c r="S1176" i="1"/>
  <c r="Y1176" i="1"/>
  <c r="G1177" i="1"/>
  <c r="M1177" i="1"/>
  <c r="S1177" i="1"/>
  <c r="Y1177" i="1"/>
  <c r="G1180" i="1"/>
  <c r="M1180" i="1"/>
  <c r="S1180" i="1"/>
  <c r="Y1180" i="1"/>
  <c r="G1181" i="1"/>
  <c r="M1181" i="1"/>
  <c r="S1181" i="1"/>
  <c r="Y1181" i="1"/>
  <c r="G1182" i="1"/>
  <c r="M1182" i="1"/>
  <c r="S1182" i="1"/>
  <c r="Y1182" i="1"/>
  <c r="G1183" i="1"/>
  <c r="M1183" i="1"/>
  <c r="S1183" i="1"/>
  <c r="Y1183" i="1"/>
  <c r="G1184" i="1"/>
  <c r="M1184" i="1"/>
  <c r="S1184" i="1"/>
  <c r="Y1184" i="1"/>
  <c r="G1185" i="1"/>
  <c r="M1185" i="1"/>
  <c r="S1185" i="1"/>
  <c r="Y1185" i="1"/>
  <c r="G1186" i="1"/>
  <c r="M1186" i="1"/>
  <c r="S1186" i="1"/>
  <c r="Y1186" i="1"/>
  <c r="G1187" i="1"/>
  <c r="M1187" i="1"/>
  <c r="S1187" i="1"/>
  <c r="Y1187" i="1"/>
  <c r="G1188" i="1"/>
  <c r="M1188" i="1"/>
  <c r="S1188" i="1"/>
  <c r="Y1188" i="1"/>
  <c r="G1189" i="1"/>
  <c r="M1189" i="1"/>
  <c r="S1189" i="1"/>
  <c r="Y1189" i="1"/>
  <c r="G1191" i="1"/>
  <c r="M1191" i="1"/>
  <c r="S1191" i="1"/>
  <c r="Y1191" i="1"/>
  <c r="G1192" i="1"/>
  <c r="M1192" i="1"/>
  <c r="S1192" i="1"/>
  <c r="Y1192" i="1"/>
  <c r="G1193" i="1"/>
  <c r="M1193" i="1"/>
  <c r="S1193" i="1"/>
  <c r="Y1193" i="1"/>
  <c r="G1194" i="1"/>
  <c r="M1194" i="1"/>
  <c r="S1194" i="1"/>
  <c r="Y1194" i="1"/>
  <c r="G1195" i="1"/>
  <c r="M1195" i="1"/>
  <c r="S1195" i="1"/>
  <c r="Y1195" i="1"/>
  <c r="G1196" i="1"/>
  <c r="M1196" i="1"/>
  <c r="S1196" i="1"/>
  <c r="Y1196" i="1"/>
  <c r="G1197" i="1"/>
  <c r="M1197" i="1"/>
  <c r="S1197" i="1"/>
  <c r="Y1197" i="1"/>
  <c r="G1198" i="1"/>
  <c r="M1198" i="1"/>
  <c r="S1198" i="1"/>
  <c r="Y1198" i="1"/>
  <c r="G1199" i="1"/>
  <c r="M1199" i="1"/>
  <c r="S1199" i="1"/>
  <c r="Y1199" i="1"/>
  <c r="G1200" i="1"/>
  <c r="M1200" i="1"/>
  <c r="S1200" i="1"/>
  <c r="Y1200" i="1"/>
  <c r="G1201" i="1"/>
  <c r="M1201" i="1"/>
  <c r="S1201" i="1"/>
  <c r="Y1201" i="1"/>
  <c r="G1202" i="1"/>
  <c r="M1202" i="1"/>
  <c r="S1202" i="1"/>
  <c r="Y1202" i="1"/>
  <c r="G1203" i="1"/>
  <c r="M1203" i="1"/>
  <c r="S1203" i="1"/>
  <c r="Y1203" i="1"/>
  <c r="AY1206" i="1"/>
  <c r="AX1206" i="1"/>
  <c r="AW1206" i="1"/>
  <c r="AV1206" i="1"/>
  <c r="AU1206" i="1"/>
  <c r="AS1206" i="1"/>
  <c r="AR1206" i="1"/>
  <c r="AQ1206" i="1"/>
  <c r="AP1206" i="1"/>
  <c r="AO1206" i="1"/>
  <c r="AM1206" i="1"/>
  <c r="AL1206" i="1"/>
  <c r="AK1206" i="1"/>
  <c r="AJ1206" i="1"/>
  <c r="AI1206" i="1"/>
  <c r="AG1206" i="1"/>
  <c r="AF1206" i="1"/>
  <c r="AE1206" i="1"/>
  <c r="AD1206" i="1"/>
  <c r="AC1206" i="1"/>
  <c r="X1206" i="1"/>
  <c r="W1206" i="1"/>
  <c r="V1206" i="1"/>
  <c r="U1206" i="1"/>
  <c r="T1206" i="1"/>
  <c r="R1206" i="1"/>
  <c r="Q1206" i="1"/>
  <c r="P1206" i="1"/>
  <c r="O1206" i="1"/>
  <c r="N1206" i="1"/>
  <c r="L1206" i="1"/>
  <c r="K1206" i="1"/>
  <c r="J1206" i="1"/>
  <c r="I1206" i="1"/>
  <c r="H1206" i="1"/>
  <c r="F1206" i="1"/>
  <c r="E1206" i="1"/>
  <c r="D1206" i="1"/>
  <c r="C1206" i="1"/>
  <c r="B1206" i="1"/>
  <c r="Y1205" i="1"/>
  <c r="S1205" i="1"/>
  <c r="M1205" i="1"/>
  <c r="G1205" i="1"/>
  <c r="Y1204" i="1"/>
  <c r="S1204" i="1"/>
  <c r="M1204" i="1"/>
  <c r="G1204" i="1"/>
  <c r="AZ1193" i="1"/>
  <c r="AT1193" i="1"/>
  <c r="AN1193" i="1"/>
  <c r="AH1193" i="1"/>
  <c r="AZ1192" i="1"/>
  <c r="AT1192" i="1"/>
  <c r="AN1192" i="1"/>
  <c r="AH1192" i="1"/>
  <c r="AZ1191" i="1"/>
  <c r="AT1191" i="1"/>
  <c r="AN1191" i="1"/>
  <c r="AH1191" i="1"/>
  <c r="AZ1190" i="1"/>
  <c r="AT1190" i="1"/>
  <c r="AN1190" i="1"/>
  <c r="AH1190" i="1"/>
  <c r="AZ1189" i="1"/>
  <c r="AT1189" i="1"/>
  <c r="AN1189" i="1"/>
  <c r="AH1189" i="1"/>
  <c r="AZ1188" i="1"/>
  <c r="AT1188" i="1"/>
  <c r="AN1188" i="1"/>
  <c r="AH1188" i="1"/>
  <c r="AZ1186" i="1"/>
  <c r="AT1186" i="1"/>
  <c r="AN1186" i="1"/>
  <c r="AH1186" i="1"/>
  <c r="AZ1185" i="1"/>
  <c r="AT1185" i="1"/>
  <c r="AN1185" i="1"/>
  <c r="AH1185" i="1"/>
  <c r="AZ1184" i="1"/>
  <c r="AT1184" i="1"/>
  <c r="AN1184" i="1"/>
  <c r="AH1184" i="1"/>
  <c r="AZ1178" i="1"/>
  <c r="AT1178" i="1"/>
  <c r="AN1178" i="1"/>
  <c r="AH1178" i="1"/>
  <c r="Y1178" i="1"/>
  <c r="S1178" i="1"/>
  <c r="M1178" i="1"/>
  <c r="G1178" i="1"/>
  <c r="AZ1177" i="1"/>
  <c r="AT1177" i="1"/>
  <c r="AN1177" i="1"/>
  <c r="AH1177" i="1"/>
  <c r="AZ1176" i="1"/>
  <c r="AT1176" i="1"/>
  <c r="AN1176" i="1"/>
  <c r="AH1176" i="1"/>
  <c r="Z1284" i="1" l="1"/>
  <c r="BA1284" i="1"/>
  <c r="BA1245" i="1"/>
  <c r="Z1245" i="1"/>
  <c r="Z1187" i="1"/>
  <c r="BA1183" i="1"/>
  <c r="BA1181" i="1"/>
  <c r="BA1186" i="1"/>
  <c r="BA1188" i="1"/>
  <c r="BA1191" i="1"/>
  <c r="Z1205" i="1"/>
  <c r="BA1193" i="1"/>
  <c r="BA1182" i="1"/>
  <c r="Z1177" i="1"/>
  <c r="Z1200" i="1"/>
  <c r="Z1194" i="1"/>
  <c r="Z1188" i="1"/>
  <c r="Z1182" i="1"/>
  <c r="BA1185" i="1"/>
  <c r="Z1204" i="1"/>
  <c r="Z1202" i="1"/>
  <c r="Z1196" i="1"/>
  <c r="Z1184" i="1"/>
  <c r="BA1164" i="1"/>
  <c r="BA1189" i="1"/>
  <c r="Z1175" i="1"/>
  <c r="BA1184" i="1"/>
  <c r="BA1192" i="1"/>
  <c r="BA1165" i="1"/>
  <c r="BA1177" i="1"/>
  <c r="BA1178" i="1"/>
  <c r="BA1190" i="1"/>
  <c r="BA1176" i="1"/>
  <c r="Z1198" i="1"/>
  <c r="Z1192" i="1"/>
  <c r="Z1186" i="1"/>
  <c r="BA1136" i="1"/>
  <c r="BA1180" i="1"/>
  <c r="Y1206" i="1"/>
  <c r="Z1180" i="1"/>
  <c r="Z1178" i="1"/>
  <c r="M1206" i="1"/>
  <c r="Z1203" i="1"/>
  <c r="Z1199" i="1"/>
  <c r="Z1195" i="1"/>
  <c r="Z1191" i="1"/>
  <c r="Z1183" i="1"/>
  <c r="AZ1206" i="1"/>
  <c r="G1206" i="1"/>
  <c r="AN1206" i="1"/>
  <c r="S1206" i="1"/>
  <c r="Z1176" i="1"/>
  <c r="Z1201" i="1"/>
  <c r="Z1197" i="1"/>
  <c r="Z1193" i="1"/>
  <c r="Z1189" i="1"/>
  <c r="Z1185" i="1"/>
  <c r="Z1181" i="1"/>
  <c r="AH1206" i="1"/>
  <c r="AT1206" i="1"/>
  <c r="AZ1144" i="1"/>
  <c r="AT1144" i="1"/>
  <c r="AN1144" i="1"/>
  <c r="AH1144" i="1"/>
  <c r="AH1125" i="1"/>
  <c r="AN1125" i="1"/>
  <c r="AT1125" i="1"/>
  <c r="AZ1125" i="1"/>
  <c r="AH1126" i="1"/>
  <c r="AN1126" i="1"/>
  <c r="AT1126" i="1"/>
  <c r="AZ1126" i="1"/>
  <c r="AZ1127" i="1"/>
  <c r="AT1127" i="1"/>
  <c r="AN1127" i="1"/>
  <c r="AH1127" i="1"/>
  <c r="AH1141" i="1"/>
  <c r="AN1141" i="1"/>
  <c r="AT1141" i="1"/>
  <c r="AZ1141" i="1"/>
  <c r="AH1142" i="1"/>
  <c r="AN1142" i="1"/>
  <c r="AT1142" i="1"/>
  <c r="AZ1142" i="1"/>
  <c r="AH1143" i="1"/>
  <c r="AN1143" i="1"/>
  <c r="AT1143" i="1"/>
  <c r="AZ1143" i="1"/>
  <c r="G1136" i="1"/>
  <c r="M1136" i="1"/>
  <c r="S1136" i="1"/>
  <c r="Y1136" i="1"/>
  <c r="G1137" i="1"/>
  <c r="M1137" i="1"/>
  <c r="S1137" i="1"/>
  <c r="Y1137" i="1"/>
  <c r="AY1167" i="1"/>
  <c r="AX1167" i="1"/>
  <c r="AW1167" i="1"/>
  <c r="AV1167" i="1"/>
  <c r="AU1167" i="1"/>
  <c r="AS1167" i="1"/>
  <c r="AR1167" i="1"/>
  <c r="AQ1167" i="1"/>
  <c r="AP1167" i="1"/>
  <c r="AO1167" i="1"/>
  <c r="AM1167" i="1"/>
  <c r="AL1167" i="1"/>
  <c r="AK1167" i="1"/>
  <c r="AJ1167" i="1"/>
  <c r="AI1167" i="1"/>
  <c r="AG1167" i="1"/>
  <c r="AF1167" i="1"/>
  <c r="AE1167" i="1"/>
  <c r="AD1167" i="1"/>
  <c r="AC1167" i="1"/>
  <c r="X1167" i="1"/>
  <c r="W1167" i="1"/>
  <c r="V1167" i="1"/>
  <c r="U1167" i="1"/>
  <c r="T1167" i="1"/>
  <c r="R1167" i="1"/>
  <c r="Q1167" i="1"/>
  <c r="P1167" i="1"/>
  <c r="O1167" i="1"/>
  <c r="N1167" i="1"/>
  <c r="L1167" i="1"/>
  <c r="K1167" i="1"/>
  <c r="J1167" i="1"/>
  <c r="I1167" i="1"/>
  <c r="H1167" i="1"/>
  <c r="F1167" i="1"/>
  <c r="E1167" i="1"/>
  <c r="C1167" i="1"/>
  <c r="B1167" i="1"/>
  <c r="AZ1166" i="1"/>
  <c r="AT1166" i="1"/>
  <c r="AN1166" i="1"/>
  <c r="AH1166" i="1"/>
  <c r="Y1166" i="1"/>
  <c r="S1166" i="1"/>
  <c r="M1166" i="1"/>
  <c r="G1166" i="1"/>
  <c r="Y1165" i="1"/>
  <c r="S1165" i="1"/>
  <c r="M1165" i="1"/>
  <c r="G1165" i="1"/>
  <c r="Y1164" i="1"/>
  <c r="S1164" i="1"/>
  <c r="M1164" i="1"/>
  <c r="G1164" i="1"/>
  <c r="AZ1163" i="1"/>
  <c r="AT1163" i="1"/>
  <c r="AN1163" i="1"/>
  <c r="AH1163" i="1"/>
  <c r="Y1163" i="1"/>
  <c r="S1163" i="1"/>
  <c r="M1163" i="1"/>
  <c r="G1163" i="1"/>
  <c r="AZ1162" i="1"/>
  <c r="AT1162" i="1"/>
  <c r="AN1162" i="1"/>
  <c r="AH1162" i="1"/>
  <c r="Y1162" i="1"/>
  <c r="S1162" i="1"/>
  <c r="M1162" i="1"/>
  <c r="G1162" i="1"/>
  <c r="AZ1161" i="1"/>
  <c r="AT1161" i="1"/>
  <c r="AN1161" i="1"/>
  <c r="AH1161" i="1"/>
  <c r="Y1161" i="1"/>
  <c r="S1161" i="1"/>
  <c r="M1161" i="1"/>
  <c r="G1161" i="1"/>
  <c r="D1167" i="1"/>
  <c r="AZ1160" i="1"/>
  <c r="AT1160" i="1"/>
  <c r="AN1160" i="1"/>
  <c r="AH1160" i="1"/>
  <c r="Y1160" i="1"/>
  <c r="S1160" i="1"/>
  <c r="M1160" i="1"/>
  <c r="G1160" i="1"/>
  <c r="AZ1159" i="1"/>
  <c r="AT1159" i="1"/>
  <c r="AN1159" i="1"/>
  <c r="AH1159" i="1"/>
  <c r="Y1159" i="1"/>
  <c r="S1159" i="1"/>
  <c r="M1159" i="1"/>
  <c r="G1159" i="1"/>
  <c r="AZ1158" i="1"/>
  <c r="AT1158" i="1"/>
  <c r="AN1158" i="1"/>
  <c r="AH1158" i="1"/>
  <c r="Y1158" i="1"/>
  <c r="S1158" i="1"/>
  <c r="M1158" i="1"/>
  <c r="G1158" i="1"/>
  <c r="AZ1157" i="1"/>
  <c r="AT1157" i="1"/>
  <c r="AN1157" i="1"/>
  <c r="AH1157" i="1"/>
  <c r="Y1157" i="1"/>
  <c r="S1157" i="1"/>
  <c r="M1157" i="1"/>
  <c r="G1157" i="1"/>
  <c r="AZ1156" i="1"/>
  <c r="AT1156" i="1"/>
  <c r="AN1156" i="1"/>
  <c r="AH1156" i="1"/>
  <c r="Y1156" i="1"/>
  <c r="S1156" i="1"/>
  <c r="M1156" i="1"/>
  <c r="G1156" i="1"/>
  <c r="AZ1155" i="1"/>
  <c r="AT1155" i="1"/>
  <c r="AN1155" i="1"/>
  <c r="AH1155" i="1"/>
  <c r="Y1155" i="1"/>
  <c r="S1155" i="1"/>
  <c r="M1155" i="1"/>
  <c r="G1155" i="1"/>
  <c r="AZ1154" i="1"/>
  <c r="AT1154" i="1"/>
  <c r="AN1154" i="1"/>
  <c r="AH1154" i="1"/>
  <c r="Y1154" i="1"/>
  <c r="S1154" i="1"/>
  <c r="M1154" i="1"/>
  <c r="G1154" i="1"/>
  <c r="AZ1153" i="1"/>
  <c r="AT1153" i="1"/>
  <c r="AN1153" i="1"/>
  <c r="AH1153" i="1"/>
  <c r="Y1153" i="1"/>
  <c r="S1153" i="1"/>
  <c r="M1153" i="1"/>
  <c r="G1153" i="1"/>
  <c r="AZ1152" i="1"/>
  <c r="AT1152" i="1"/>
  <c r="AN1152" i="1"/>
  <c r="AH1152" i="1"/>
  <c r="Y1152" i="1"/>
  <c r="S1152" i="1"/>
  <c r="M1152" i="1"/>
  <c r="G1152" i="1"/>
  <c r="AZ1151" i="1"/>
  <c r="AT1151" i="1"/>
  <c r="AN1151" i="1"/>
  <c r="AH1151" i="1"/>
  <c r="Y1151" i="1"/>
  <c r="S1151" i="1"/>
  <c r="M1151" i="1"/>
  <c r="G1151" i="1"/>
  <c r="AZ1150" i="1"/>
  <c r="AT1150" i="1"/>
  <c r="AN1150" i="1"/>
  <c r="AH1150" i="1"/>
  <c r="Y1150" i="1"/>
  <c r="S1150" i="1"/>
  <c r="M1150" i="1"/>
  <c r="G1150" i="1"/>
  <c r="AZ1149" i="1"/>
  <c r="AT1149" i="1"/>
  <c r="AN1149" i="1"/>
  <c r="AH1149" i="1"/>
  <c r="Y1149" i="1"/>
  <c r="S1149" i="1"/>
  <c r="M1149" i="1"/>
  <c r="G1149" i="1"/>
  <c r="AZ1148" i="1"/>
  <c r="AT1148" i="1"/>
  <c r="AN1148" i="1"/>
  <c r="AH1148" i="1"/>
  <c r="Y1148" i="1"/>
  <c r="S1148" i="1"/>
  <c r="M1148" i="1"/>
  <c r="G1148" i="1"/>
  <c r="AZ1147" i="1"/>
  <c r="AT1147" i="1"/>
  <c r="AN1147" i="1"/>
  <c r="AH1147" i="1"/>
  <c r="Y1147" i="1"/>
  <c r="S1147" i="1"/>
  <c r="M1147" i="1"/>
  <c r="G1147" i="1"/>
  <c r="AZ1146" i="1"/>
  <c r="AT1146" i="1"/>
  <c r="AN1146" i="1"/>
  <c r="AH1146" i="1"/>
  <c r="Y1146" i="1"/>
  <c r="S1146" i="1"/>
  <c r="M1146" i="1"/>
  <c r="G1146" i="1"/>
  <c r="AZ1145" i="1"/>
  <c r="AT1145" i="1"/>
  <c r="AN1145" i="1"/>
  <c r="AH1145" i="1"/>
  <c r="Y1145" i="1"/>
  <c r="S1145" i="1"/>
  <c r="M1145" i="1"/>
  <c r="G1145" i="1"/>
  <c r="Y1144" i="1"/>
  <c r="S1144" i="1"/>
  <c r="M1144" i="1"/>
  <c r="G1144" i="1"/>
  <c r="Y1143" i="1"/>
  <c r="S1143" i="1"/>
  <c r="M1143" i="1"/>
  <c r="G1143" i="1"/>
  <c r="Y1142" i="1"/>
  <c r="S1142" i="1"/>
  <c r="M1142" i="1"/>
  <c r="G1142" i="1"/>
  <c r="Y1141" i="1"/>
  <c r="S1141" i="1"/>
  <c r="M1141" i="1"/>
  <c r="G1141" i="1"/>
  <c r="AZ1139" i="1"/>
  <c r="AT1139" i="1"/>
  <c r="AN1139" i="1"/>
  <c r="AH1139" i="1"/>
  <c r="Y1139" i="1"/>
  <c r="S1139" i="1"/>
  <c r="M1139" i="1"/>
  <c r="G1139" i="1"/>
  <c r="AZ1138" i="1"/>
  <c r="AT1138" i="1"/>
  <c r="AN1138" i="1"/>
  <c r="AH1138" i="1"/>
  <c r="Y1138" i="1"/>
  <c r="S1138" i="1"/>
  <c r="M1138" i="1"/>
  <c r="G1138" i="1"/>
  <c r="AZ1137" i="1"/>
  <c r="AT1137" i="1"/>
  <c r="AN1137" i="1"/>
  <c r="AH1137" i="1"/>
  <c r="Z1206" i="1" l="1"/>
  <c r="BA1144" i="1"/>
  <c r="BA1206" i="1"/>
  <c r="BA1143" i="1"/>
  <c r="Z1161" i="1"/>
  <c r="BA1162" i="1"/>
  <c r="Z1164" i="1"/>
  <c r="Z1166" i="1"/>
  <c r="BA1141" i="1"/>
  <c r="BA1125" i="1"/>
  <c r="M1167" i="1"/>
  <c r="Z1136" i="1"/>
  <c r="BA1145" i="1"/>
  <c r="BA1148" i="1"/>
  <c r="BA1151" i="1"/>
  <c r="BA1154" i="1"/>
  <c r="BA1157" i="1"/>
  <c r="BA1160" i="1"/>
  <c r="BA1139" i="1"/>
  <c r="Z1138" i="1"/>
  <c r="AT1167" i="1"/>
  <c r="Z1137" i="1"/>
  <c r="BA1163" i="1"/>
  <c r="BA1137" i="1"/>
  <c r="Z1139" i="1"/>
  <c r="BA1146" i="1"/>
  <c r="BA1149" i="1"/>
  <c r="BA1152" i="1"/>
  <c r="BA1155" i="1"/>
  <c r="BA1158" i="1"/>
  <c r="AH1167" i="1"/>
  <c r="BA1142" i="1"/>
  <c r="Z1162" i="1"/>
  <c r="BA1127" i="1"/>
  <c r="BA1126" i="1"/>
  <c r="BA1161" i="1"/>
  <c r="Z1163" i="1"/>
  <c r="Z1165" i="1"/>
  <c r="BA1166" i="1"/>
  <c r="Y1167" i="1"/>
  <c r="BA1138" i="1"/>
  <c r="BA1147" i="1"/>
  <c r="BA1150" i="1"/>
  <c r="BA1153" i="1"/>
  <c r="BA1156" i="1"/>
  <c r="BA1159" i="1"/>
  <c r="AN1167" i="1"/>
  <c r="AZ1167" i="1"/>
  <c r="S1167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G1167" i="1"/>
  <c r="AZ1105" i="1"/>
  <c r="AT1105" i="1"/>
  <c r="AN1105" i="1"/>
  <c r="AH1105" i="1"/>
  <c r="D1122" i="1"/>
  <c r="G1122" i="1" s="1"/>
  <c r="AH1086" i="1"/>
  <c r="AN1086" i="1"/>
  <c r="AT1086" i="1"/>
  <c r="AZ1086" i="1"/>
  <c r="AH1100" i="1"/>
  <c r="AN1100" i="1"/>
  <c r="AT1100" i="1"/>
  <c r="AZ1100" i="1"/>
  <c r="AH1102" i="1"/>
  <c r="AN1102" i="1"/>
  <c r="AT1102" i="1"/>
  <c r="AZ1102" i="1"/>
  <c r="AH1103" i="1"/>
  <c r="AN1103" i="1"/>
  <c r="AT1103" i="1"/>
  <c r="AZ1103" i="1"/>
  <c r="AH1104" i="1"/>
  <c r="AN1104" i="1"/>
  <c r="AT1104" i="1"/>
  <c r="AZ1104" i="1"/>
  <c r="AH1106" i="1"/>
  <c r="AN1106" i="1"/>
  <c r="AT1106" i="1"/>
  <c r="AZ1106" i="1"/>
  <c r="AH1107" i="1"/>
  <c r="AN1107" i="1"/>
  <c r="AT1107" i="1"/>
  <c r="AZ1107" i="1"/>
  <c r="AH1108" i="1"/>
  <c r="AN1108" i="1"/>
  <c r="AT1108" i="1"/>
  <c r="AZ1108" i="1"/>
  <c r="AH1109" i="1"/>
  <c r="AN1109" i="1"/>
  <c r="AT1109" i="1"/>
  <c r="AZ1109" i="1"/>
  <c r="G1102" i="1"/>
  <c r="M1102" i="1"/>
  <c r="S1102" i="1"/>
  <c r="Y1102" i="1"/>
  <c r="G1103" i="1"/>
  <c r="M1103" i="1"/>
  <c r="S1103" i="1"/>
  <c r="Y1103" i="1"/>
  <c r="G1104" i="1"/>
  <c r="M1104" i="1"/>
  <c r="S1104" i="1"/>
  <c r="Y1104" i="1"/>
  <c r="G1105" i="1"/>
  <c r="M1105" i="1"/>
  <c r="S1105" i="1"/>
  <c r="Y1105" i="1"/>
  <c r="G1106" i="1"/>
  <c r="M1106" i="1"/>
  <c r="S1106" i="1"/>
  <c r="Y1106" i="1"/>
  <c r="G1107" i="1"/>
  <c r="M1107" i="1"/>
  <c r="S1107" i="1"/>
  <c r="Y1107" i="1"/>
  <c r="G1108" i="1"/>
  <c r="M1108" i="1"/>
  <c r="S1108" i="1"/>
  <c r="Y1108" i="1"/>
  <c r="G1109" i="1"/>
  <c r="M1109" i="1"/>
  <c r="S1109" i="1"/>
  <c r="Y1109" i="1"/>
  <c r="G1110" i="1"/>
  <c r="M1110" i="1"/>
  <c r="S1110" i="1"/>
  <c r="Y1110" i="1"/>
  <c r="G1111" i="1"/>
  <c r="M1111" i="1"/>
  <c r="S1111" i="1"/>
  <c r="Y1111" i="1"/>
  <c r="G1112" i="1"/>
  <c r="M1112" i="1"/>
  <c r="S1112" i="1"/>
  <c r="Y1112" i="1"/>
  <c r="G1113" i="1"/>
  <c r="M1113" i="1"/>
  <c r="S1113" i="1"/>
  <c r="Y1113" i="1"/>
  <c r="G1114" i="1"/>
  <c r="M1114" i="1"/>
  <c r="S1114" i="1"/>
  <c r="Y1114" i="1"/>
  <c r="G1115" i="1"/>
  <c r="M1115" i="1"/>
  <c r="S1115" i="1"/>
  <c r="Y1115" i="1"/>
  <c r="G1116" i="1"/>
  <c r="M1116" i="1"/>
  <c r="S1116" i="1"/>
  <c r="Y1116" i="1"/>
  <c r="G1117" i="1"/>
  <c r="M1117" i="1"/>
  <c r="S1117" i="1"/>
  <c r="Y1117" i="1"/>
  <c r="G1118" i="1"/>
  <c r="M1118" i="1"/>
  <c r="S1118" i="1"/>
  <c r="Y1118" i="1"/>
  <c r="G1119" i="1"/>
  <c r="M1119" i="1"/>
  <c r="S1119" i="1"/>
  <c r="Y1119" i="1"/>
  <c r="G1120" i="1"/>
  <c r="M1120" i="1"/>
  <c r="S1120" i="1"/>
  <c r="Y1120" i="1"/>
  <c r="G1121" i="1"/>
  <c r="M1121" i="1"/>
  <c r="S1121" i="1"/>
  <c r="Y1121" i="1"/>
  <c r="M1122" i="1"/>
  <c r="S1122" i="1"/>
  <c r="Y1122" i="1"/>
  <c r="G1123" i="1"/>
  <c r="M1123" i="1"/>
  <c r="S1123" i="1"/>
  <c r="Y1123" i="1"/>
  <c r="G1124" i="1"/>
  <c r="M1124" i="1"/>
  <c r="S1124" i="1"/>
  <c r="Y1124" i="1"/>
  <c r="G1125" i="1"/>
  <c r="M1125" i="1"/>
  <c r="S1125" i="1"/>
  <c r="Y1125" i="1"/>
  <c r="G1126" i="1"/>
  <c r="M1126" i="1"/>
  <c r="S1126" i="1"/>
  <c r="Y1126" i="1"/>
  <c r="G1097" i="1"/>
  <c r="M1097" i="1"/>
  <c r="S1097" i="1"/>
  <c r="Y1097" i="1"/>
  <c r="G1098" i="1"/>
  <c r="M1098" i="1"/>
  <c r="S1098" i="1"/>
  <c r="Y1098" i="1"/>
  <c r="G1099" i="1"/>
  <c r="M1099" i="1"/>
  <c r="S1099" i="1"/>
  <c r="Y1099" i="1"/>
  <c r="AY1128" i="1"/>
  <c r="AX1128" i="1"/>
  <c r="AW1128" i="1"/>
  <c r="AV1128" i="1"/>
  <c r="AU1128" i="1"/>
  <c r="AS1128" i="1"/>
  <c r="AR1128" i="1"/>
  <c r="AQ1128" i="1"/>
  <c r="AP1128" i="1"/>
  <c r="AO1128" i="1"/>
  <c r="AM1128" i="1"/>
  <c r="AL1128" i="1"/>
  <c r="AK1128" i="1"/>
  <c r="AJ1128" i="1"/>
  <c r="AI1128" i="1"/>
  <c r="AG1128" i="1"/>
  <c r="AF1128" i="1"/>
  <c r="AE1128" i="1"/>
  <c r="AD1128" i="1"/>
  <c r="AC1128" i="1"/>
  <c r="X1128" i="1"/>
  <c r="W1128" i="1"/>
  <c r="V1128" i="1"/>
  <c r="U1128" i="1"/>
  <c r="T1128" i="1"/>
  <c r="R1128" i="1"/>
  <c r="Q1128" i="1"/>
  <c r="P1128" i="1"/>
  <c r="O1128" i="1"/>
  <c r="N1128" i="1"/>
  <c r="L1128" i="1"/>
  <c r="K1128" i="1"/>
  <c r="J1128" i="1"/>
  <c r="I1128" i="1"/>
  <c r="H1128" i="1"/>
  <c r="F1128" i="1"/>
  <c r="E1128" i="1"/>
  <c r="B1128" i="1"/>
  <c r="Y1127" i="1"/>
  <c r="S1127" i="1"/>
  <c r="M1127" i="1"/>
  <c r="G1127" i="1"/>
  <c r="AZ1124" i="1"/>
  <c r="AT1124" i="1"/>
  <c r="AN1124" i="1"/>
  <c r="AH1124" i="1"/>
  <c r="AZ1123" i="1"/>
  <c r="AT1123" i="1"/>
  <c r="AN1123" i="1"/>
  <c r="AH1123" i="1"/>
  <c r="AZ1122" i="1"/>
  <c r="AT1122" i="1"/>
  <c r="AN1122" i="1"/>
  <c r="AH1122" i="1"/>
  <c r="AZ1121" i="1"/>
  <c r="AT1121" i="1"/>
  <c r="AN1121" i="1"/>
  <c r="AH1121" i="1"/>
  <c r="AZ1120" i="1"/>
  <c r="AT1120" i="1"/>
  <c r="AN1120" i="1"/>
  <c r="AH1120" i="1"/>
  <c r="AZ1119" i="1"/>
  <c r="AT1119" i="1"/>
  <c r="AN1119" i="1"/>
  <c r="AH1119" i="1"/>
  <c r="AZ1118" i="1"/>
  <c r="AT1118" i="1"/>
  <c r="AN1118" i="1"/>
  <c r="AH1118" i="1"/>
  <c r="AZ1117" i="1"/>
  <c r="AT1117" i="1"/>
  <c r="AN1117" i="1"/>
  <c r="AH1117" i="1"/>
  <c r="AZ1116" i="1"/>
  <c r="AT1116" i="1"/>
  <c r="AN1116" i="1"/>
  <c r="AH1116" i="1"/>
  <c r="AZ1115" i="1"/>
  <c r="AT1115" i="1"/>
  <c r="AN1115" i="1"/>
  <c r="AH1115" i="1"/>
  <c r="AZ1114" i="1"/>
  <c r="AT1114" i="1"/>
  <c r="AN1114" i="1"/>
  <c r="AH1114" i="1"/>
  <c r="AZ1113" i="1"/>
  <c r="AT1113" i="1"/>
  <c r="AN1113" i="1"/>
  <c r="AH1113" i="1"/>
  <c r="AZ1112" i="1"/>
  <c r="AT1112" i="1"/>
  <c r="AN1112" i="1"/>
  <c r="AH1112" i="1"/>
  <c r="C1128" i="1"/>
  <c r="AZ1111" i="1"/>
  <c r="AT1111" i="1"/>
  <c r="AN1111" i="1"/>
  <c r="AH1111" i="1"/>
  <c r="AZ1110" i="1"/>
  <c r="AT1110" i="1"/>
  <c r="AN1110" i="1"/>
  <c r="AH1110" i="1"/>
  <c r="Y1100" i="1"/>
  <c r="S1100" i="1"/>
  <c r="M1100" i="1"/>
  <c r="G1100" i="1"/>
  <c r="AZ1099" i="1"/>
  <c r="AT1099" i="1"/>
  <c r="AN1099" i="1"/>
  <c r="AH1099" i="1"/>
  <c r="AZ1098" i="1"/>
  <c r="AT1098" i="1"/>
  <c r="AN1098" i="1"/>
  <c r="AH1098" i="1"/>
  <c r="AZ1097" i="1"/>
  <c r="AT1097" i="1"/>
  <c r="AN1097" i="1"/>
  <c r="AH1097" i="1"/>
  <c r="BA1167" i="1" l="1"/>
  <c r="BA1105" i="1"/>
  <c r="Z1167" i="1"/>
  <c r="D1128" i="1"/>
  <c r="G1128" i="1" s="1"/>
  <c r="BA1086" i="1"/>
  <c r="BA1117" i="1"/>
  <c r="BA1120" i="1"/>
  <c r="Z1099" i="1"/>
  <c r="Z1108" i="1"/>
  <c r="BA1106" i="1"/>
  <c r="BA1098" i="1"/>
  <c r="BA1110" i="1"/>
  <c r="BA1114" i="1"/>
  <c r="BA1123" i="1"/>
  <c r="Z1120" i="1"/>
  <c r="BA1100" i="1"/>
  <c r="Z1109" i="1"/>
  <c r="BA1107" i="1"/>
  <c r="Z1124" i="1"/>
  <c r="Z1112" i="1"/>
  <c r="Z1106" i="1"/>
  <c r="Z1125" i="1"/>
  <c r="Z1113" i="1"/>
  <c r="Z1110" i="1"/>
  <c r="BA1108" i="1"/>
  <c r="Z1118" i="1"/>
  <c r="Z1122" i="1"/>
  <c r="Z1116" i="1"/>
  <c r="Z1104" i="1"/>
  <c r="Z1121" i="1"/>
  <c r="BA1104" i="1"/>
  <c r="BA1099" i="1"/>
  <c r="BA1111" i="1"/>
  <c r="Z1117" i="1"/>
  <c r="Z1114" i="1"/>
  <c r="BA1103" i="1"/>
  <c r="BA1102" i="1"/>
  <c r="Z1097" i="1"/>
  <c r="Z1105" i="1"/>
  <c r="Z1102" i="1"/>
  <c r="Z1126" i="1"/>
  <c r="BA1113" i="1"/>
  <c r="BA1116" i="1"/>
  <c r="BA1119" i="1"/>
  <c r="BA1122" i="1"/>
  <c r="Z1127" i="1"/>
  <c r="Z1123" i="1"/>
  <c r="Z1119" i="1"/>
  <c r="Z1115" i="1"/>
  <c r="Z1111" i="1"/>
  <c r="Z1107" i="1"/>
  <c r="Z1103" i="1"/>
  <c r="BA1109" i="1"/>
  <c r="BA1097" i="1"/>
  <c r="BA1112" i="1"/>
  <c r="BA1115" i="1"/>
  <c r="BA1118" i="1"/>
  <c r="BA1121" i="1"/>
  <c r="BA1124" i="1"/>
  <c r="Z1098" i="1"/>
  <c r="AT1128" i="1"/>
  <c r="AZ1128" i="1"/>
  <c r="AH1128" i="1"/>
  <c r="AN1128" i="1"/>
  <c r="S1128" i="1"/>
  <c r="M1128" i="1"/>
  <c r="Y1128" i="1"/>
  <c r="Z1100" i="1"/>
  <c r="AZ1069" i="1"/>
  <c r="AT1069" i="1"/>
  <c r="AN1069" i="1"/>
  <c r="AH1069" i="1"/>
  <c r="AZ1067" i="1"/>
  <c r="AT1067" i="1"/>
  <c r="AN1067" i="1"/>
  <c r="AH1067" i="1"/>
  <c r="AZ1065" i="1"/>
  <c r="AT1065" i="1"/>
  <c r="AN1065" i="1"/>
  <c r="AH1065" i="1"/>
  <c r="C1073" i="1"/>
  <c r="C1089" i="1" s="1"/>
  <c r="AZ1063" i="1"/>
  <c r="AT1063" i="1"/>
  <c r="AN1063" i="1"/>
  <c r="AH1063" i="1"/>
  <c r="AZ1087" i="1"/>
  <c r="AT1087" i="1"/>
  <c r="AN1087" i="1"/>
  <c r="AH1087" i="1"/>
  <c r="AH1049" i="1"/>
  <c r="AN1049" i="1"/>
  <c r="AT1049" i="1"/>
  <c r="AZ1049" i="1"/>
  <c r="AH1058" i="1"/>
  <c r="AN1058" i="1"/>
  <c r="AT1058" i="1"/>
  <c r="AZ1058" i="1"/>
  <c r="AH1059" i="1"/>
  <c r="AN1059" i="1"/>
  <c r="AT1059" i="1"/>
  <c r="AZ1059" i="1"/>
  <c r="AH1064" i="1"/>
  <c r="AN1064" i="1"/>
  <c r="AT1064" i="1"/>
  <c r="AZ1064" i="1"/>
  <c r="G1058" i="1"/>
  <c r="M1058" i="1"/>
  <c r="S1058" i="1"/>
  <c r="Y1058" i="1"/>
  <c r="G1059" i="1"/>
  <c r="M1059" i="1"/>
  <c r="S1059" i="1"/>
  <c r="Y1059" i="1"/>
  <c r="G1060" i="1"/>
  <c r="M1060" i="1"/>
  <c r="S1060" i="1"/>
  <c r="Y1060" i="1"/>
  <c r="G1063" i="1"/>
  <c r="M1063" i="1"/>
  <c r="S1063" i="1"/>
  <c r="Y1063" i="1"/>
  <c r="G1064" i="1"/>
  <c r="M1064" i="1"/>
  <c r="S1064" i="1"/>
  <c r="Y1064" i="1"/>
  <c r="G1065" i="1"/>
  <c r="M1065" i="1"/>
  <c r="S1065" i="1"/>
  <c r="Y1065" i="1"/>
  <c r="G1066" i="1"/>
  <c r="M1066" i="1"/>
  <c r="S1066" i="1"/>
  <c r="Y1066" i="1"/>
  <c r="G1067" i="1"/>
  <c r="M1067" i="1"/>
  <c r="S1067" i="1"/>
  <c r="Y1067" i="1"/>
  <c r="G1068" i="1"/>
  <c r="M1068" i="1"/>
  <c r="S1068" i="1"/>
  <c r="Y1068" i="1"/>
  <c r="G1069" i="1"/>
  <c r="M1069" i="1"/>
  <c r="S1069" i="1"/>
  <c r="Y1069" i="1"/>
  <c r="G1070" i="1"/>
  <c r="M1070" i="1"/>
  <c r="S1070" i="1"/>
  <c r="Y1070" i="1"/>
  <c r="G1071" i="1"/>
  <c r="M1071" i="1"/>
  <c r="S1071" i="1"/>
  <c r="Y1071" i="1"/>
  <c r="G1072" i="1"/>
  <c r="M1072" i="1"/>
  <c r="S1072" i="1"/>
  <c r="Y1072" i="1"/>
  <c r="M1073" i="1"/>
  <c r="S1073" i="1"/>
  <c r="Y1073" i="1"/>
  <c r="G1074" i="1"/>
  <c r="M1074" i="1"/>
  <c r="S1074" i="1"/>
  <c r="Y1074" i="1"/>
  <c r="G1075" i="1"/>
  <c r="M1075" i="1"/>
  <c r="S1075" i="1"/>
  <c r="Y1075" i="1"/>
  <c r="G1076" i="1"/>
  <c r="M1076" i="1"/>
  <c r="S1076" i="1"/>
  <c r="Y1076" i="1"/>
  <c r="G1077" i="1"/>
  <c r="M1077" i="1"/>
  <c r="S1077" i="1"/>
  <c r="Y1077" i="1"/>
  <c r="G1078" i="1"/>
  <c r="M1078" i="1"/>
  <c r="S1078" i="1"/>
  <c r="Y1078" i="1"/>
  <c r="G1079" i="1"/>
  <c r="M1079" i="1"/>
  <c r="S1079" i="1"/>
  <c r="Y1079" i="1"/>
  <c r="G1080" i="1"/>
  <c r="M1080" i="1"/>
  <c r="S1080" i="1"/>
  <c r="Y1080" i="1"/>
  <c r="G1081" i="1"/>
  <c r="M1081" i="1"/>
  <c r="S1081" i="1"/>
  <c r="Y1081" i="1"/>
  <c r="G1082" i="1"/>
  <c r="M1082" i="1"/>
  <c r="S1082" i="1"/>
  <c r="Y1082" i="1"/>
  <c r="G1083" i="1"/>
  <c r="M1083" i="1"/>
  <c r="S1083" i="1"/>
  <c r="Y1083" i="1"/>
  <c r="G1084" i="1"/>
  <c r="M1084" i="1"/>
  <c r="S1084" i="1"/>
  <c r="Y1084" i="1"/>
  <c r="G1085" i="1"/>
  <c r="M1085" i="1"/>
  <c r="S1085" i="1"/>
  <c r="Y1085" i="1"/>
  <c r="G1086" i="1"/>
  <c r="M1086" i="1"/>
  <c r="S1086" i="1"/>
  <c r="Y1086" i="1"/>
  <c r="AY1089" i="1"/>
  <c r="AX1089" i="1"/>
  <c r="AW1089" i="1"/>
  <c r="AV1089" i="1"/>
  <c r="AU1089" i="1"/>
  <c r="AS1089" i="1"/>
  <c r="AR1089" i="1"/>
  <c r="AQ1089" i="1"/>
  <c r="AP1089" i="1"/>
  <c r="AO1089" i="1"/>
  <c r="AM1089" i="1"/>
  <c r="AL1089" i="1"/>
  <c r="AK1089" i="1"/>
  <c r="AJ1089" i="1"/>
  <c r="AI1089" i="1"/>
  <c r="AG1089" i="1"/>
  <c r="AF1089" i="1"/>
  <c r="AE1089" i="1"/>
  <c r="AD1089" i="1"/>
  <c r="AC1089" i="1"/>
  <c r="X1089" i="1"/>
  <c r="W1089" i="1"/>
  <c r="V1089" i="1"/>
  <c r="U1089" i="1"/>
  <c r="T1089" i="1"/>
  <c r="R1089" i="1"/>
  <c r="Q1089" i="1"/>
  <c r="P1089" i="1"/>
  <c r="O1089" i="1"/>
  <c r="N1089" i="1"/>
  <c r="L1089" i="1"/>
  <c r="K1089" i="1"/>
  <c r="J1089" i="1"/>
  <c r="I1089" i="1"/>
  <c r="H1089" i="1"/>
  <c r="F1089" i="1"/>
  <c r="E1089" i="1"/>
  <c r="D1089" i="1"/>
  <c r="B1089" i="1"/>
  <c r="AZ1088" i="1"/>
  <c r="AT1088" i="1"/>
  <c r="AN1088" i="1"/>
  <c r="AH1088" i="1"/>
  <c r="Y1088" i="1"/>
  <c r="S1088" i="1"/>
  <c r="M1088" i="1"/>
  <c r="G1088" i="1"/>
  <c r="Y1087" i="1"/>
  <c r="S1087" i="1"/>
  <c r="M1087" i="1"/>
  <c r="G1087" i="1"/>
  <c r="AZ1085" i="1"/>
  <c r="AT1085" i="1"/>
  <c r="AN1085" i="1"/>
  <c r="AH1085" i="1"/>
  <c r="AZ1084" i="1"/>
  <c r="AT1084" i="1"/>
  <c r="AN1084" i="1"/>
  <c r="AH1084" i="1"/>
  <c r="AZ1083" i="1"/>
  <c r="AT1083" i="1"/>
  <c r="AN1083" i="1"/>
  <c r="AH1083" i="1"/>
  <c r="AZ1082" i="1"/>
  <c r="AT1082" i="1"/>
  <c r="AN1082" i="1"/>
  <c r="AH1082" i="1"/>
  <c r="AZ1081" i="1"/>
  <c r="AT1081" i="1"/>
  <c r="AN1081" i="1"/>
  <c r="AH1081" i="1"/>
  <c r="AZ1080" i="1"/>
  <c r="AT1080" i="1"/>
  <c r="AN1080" i="1"/>
  <c r="AH1080" i="1"/>
  <c r="AZ1079" i="1"/>
  <c r="AT1079" i="1"/>
  <c r="AN1079" i="1"/>
  <c r="AH1079" i="1"/>
  <c r="AZ1078" i="1"/>
  <c r="AT1078" i="1"/>
  <c r="AN1078" i="1"/>
  <c r="AH1078" i="1"/>
  <c r="AZ1077" i="1"/>
  <c r="AT1077" i="1"/>
  <c r="AN1077" i="1"/>
  <c r="AH1077" i="1"/>
  <c r="AZ1076" i="1"/>
  <c r="AT1076" i="1"/>
  <c r="AN1076" i="1"/>
  <c r="AH1076" i="1"/>
  <c r="AZ1075" i="1"/>
  <c r="AT1075" i="1"/>
  <c r="AN1075" i="1"/>
  <c r="AH1075" i="1"/>
  <c r="AZ1074" i="1"/>
  <c r="AT1074" i="1"/>
  <c r="AN1074" i="1"/>
  <c r="AH1074" i="1"/>
  <c r="AZ1073" i="1"/>
  <c r="AT1073" i="1"/>
  <c r="AN1073" i="1"/>
  <c r="AH1073" i="1"/>
  <c r="AZ1072" i="1"/>
  <c r="AT1072" i="1"/>
  <c r="AN1072" i="1"/>
  <c r="AH1072" i="1"/>
  <c r="AZ1071" i="1"/>
  <c r="AT1071" i="1"/>
  <c r="AN1071" i="1"/>
  <c r="AH1071" i="1"/>
  <c r="AZ1070" i="1"/>
  <c r="AT1070" i="1"/>
  <c r="AN1070" i="1"/>
  <c r="AH1070" i="1"/>
  <c r="AZ1068" i="1"/>
  <c r="AT1068" i="1"/>
  <c r="AN1068" i="1"/>
  <c r="AH1068" i="1"/>
  <c r="AZ1066" i="1"/>
  <c r="AT1066" i="1"/>
  <c r="AN1066" i="1"/>
  <c r="AH1066" i="1"/>
  <c r="AZ1061" i="1"/>
  <c r="AT1061" i="1"/>
  <c r="AN1061" i="1"/>
  <c r="AH1061" i="1"/>
  <c r="Y1061" i="1"/>
  <c r="S1061" i="1"/>
  <c r="M1061" i="1"/>
  <c r="G1061" i="1"/>
  <c r="AZ1060" i="1"/>
  <c r="AT1060" i="1"/>
  <c r="AN1060" i="1"/>
  <c r="AH1060" i="1"/>
  <c r="BA1128" i="1" l="1"/>
  <c r="Z1128" i="1"/>
  <c r="BA1069" i="1"/>
  <c r="BA1067" i="1"/>
  <c r="BA1065" i="1"/>
  <c r="G1073" i="1"/>
  <c r="Z1073" i="1" s="1"/>
  <c r="Y1089" i="1"/>
  <c r="Z1081" i="1"/>
  <c r="Z1075" i="1"/>
  <c r="Z1069" i="1"/>
  <c r="Z1063" i="1"/>
  <c r="Z1085" i="1"/>
  <c r="Z1079" i="1"/>
  <c r="BA1063" i="1"/>
  <c r="Z1067" i="1"/>
  <c r="Z1082" i="1"/>
  <c r="Z1076" i="1"/>
  <c r="Z1070" i="1"/>
  <c r="Z1064" i="1"/>
  <c r="Z1080" i="1"/>
  <c r="Z1074" i="1"/>
  <c r="Z1068" i="1"/>
  <c r="Z1083" i="1"/>
  <c r="Z1077" i="1"/>
  <c r="Z1071" i="1"/>
  <c r="Z1065" i="1"/>
  <c r="Z1086" i="1"/>
  <c r="BA1068" i="1"/>
  <c r="BA1071" i="1"/>
  <c r="Z1084" i="1"/>
  <c r="Z1078" i="1"/>
  <c r="Z1072" i="1"/>
  <c r="BA1087" i="1"/>
  <c r="BA1058" i="1"/>
  <c r="Z1058" i="1"/>
  <c r="BA1074" i="1"/>
  <c r="BA1077" i="1"/>
  <c r="BA1080" i="1"/>
  <c r="BA1083" i="1"/>
  <c r="Z1088" i="1"/>
  <c r="Z1059" i="1"/>
  <c r="BA1059" i="1"/>
  <c r="M1089" i="1"/>
  <c r="BA1061" i="1"/>
  <c r="BA1073" i="1"/>
  <c r="BA1079" i="1"/>
  <c r="BA1082" i="1"/>
  <c r="AZ1089" i="1"/>
  <c r="Z1066" i="1"/>
  <c r="BA1064" i="1"/>
  <c r="BA1049" i="1"/>
  <c r="BA1070" i="1"/>
  <c r="BA1076" i="1"/>
  <c r="BA1085" i="1"/>
  <c r="BA1066" i="1"/>
  <c r="BA1072" i="1"/>
  <c r="BA1075" i="1"/>
  <c r="BA1078" i="1"/>
  <c r="BA1081" i="1"/>
  <c r="BA1084" i="1"/>
  <c r="Z1087" i="1"/>
  <c r="BA1088" i="1"/>
  <c r="BA1060" i="1"/>
  <c r="AH1089" i="1"/>
  <c r="AT1089" i="1"/>
  <c r="AN1089" i="1"/>
  <c r="Z1060" i="1"/>
  <c r="Z1061" i="1"/>
  <c r="G1089" i="1"/>
  <c r="S1089" i="1"/>
  <c r="Y1046" i="1"/>
  <c r="S1046" i="1"/>
  <c r="M1046" i="1"/>
  <c r="G1046" i="1"/>
  <c r="AZ1025" i="1"/>
  <c r="AT1025" i="1"/>
  <c r="AN1025" i="1"/>
  <c r="AH1025" i="1"/>
  <c r="AZ998" i="1"/>
  <c r="AT998" i="1"/>
  <c r="AN998" i="1"/>
  <c r="AH998" i="1"/>
  <c r="G1019" i="1"/>
  <c r="AH1021" i="1"/>
  <c r="AN1021" i="1"/>
  <c r="AT1021" i="1"/>
  <c r="AZ1021" i="1"/>
  <c r="AZ1019" i="1"/>
  <c r="AT1019" i="1"/>
  <c r="AN1019" i="1"/>
  <c r="AH1019" i="1"/>
  <c r="Z1089" i="1" l="1"/>
  <c r="Z1046" i="1"/>
  <c r="BA1025" i="1"/>
  <c r="BA1089" i="1"/>
  <c r="BA998" i="1"/>
  <c r="BA1021" i="1"/>
  <c r="BA1019" i="1"/>
  <c r="D997" i="1"/>
  <c r="AZ994" i="1"/>
  <c r="AT994" i="1"/>
  <c r="AN994" i="1"/>
  <c r="AH994" i="1"/>
  <c r="BA994" i="1" l="1"/>
  <c r="AH966" i="1"/>
  <c r="AN966" i="1"/>
  <c r="AT966" i="1"/>
  <c r="AZ966" i="1"/>
  <c r="AH967" i="1"/>
  <c r="AN967" i="1"/>
  <c r="AT967" i="1"/>
  <c r="AZ967" i="1"/>
  <c r="AH968" i="1"/>
  <c r="AN968" i="1"/>
  <c r="AT968" i="1"/>
  <c r="AZ968" i="1"/>
  <c r="AH969" i="1"/>
  <c r="AN969" i="1"/>
  <c r="AT969" i="1"/>
  <c r="AZ969" i="1"/>
  <c r="AZ971" i="1"/>
  <c r="AT971" i="1"/>
  <c r="AN971" i="1"/>
  <c r="AH971" i="1"/>
  <c r="AZ970" i="1"/>
  <c r="AT970" i="1"/>
  <c r="AN970" i="1"/>
  <c r="AH970" i="1"/>
  <c r="AZ1010" i="1"/>
  <c r="AT1010" i="1"/>
  <c r="AN1010" i="1"/>
  <c r="AH1010" i="1"/>
  <c r="AZ1009" i="1"/>
  <c r="AT1009" i="1"/>
  <c r="AN1009" i="1"/>
  <c r="AH1009" i="1"/>
  <c r="AZ1008" i="1"/>
  <c r="AT1008" i="1"/>
  <c r="AN1008" i="1"/>
  <c r="AH1008" i="1"/>
  <c r="AZ1007" i="1"/>
  <c r="AT1007" i="1"/>
  <c r="AN1007" i="1"/>
  <c r="AH1007" i="1"/>
  <c r="AH981" i="1"/>
  <c r="AN981" i="1"/>
  <c r="AT981" i="1"/>
  <c r="AZ981" i="1"/>
  <c r="AY1050" i="1"/>
  <c r="AX1050" i="1"/>
  <c r="AW1050" i="1"/>
  <c r="AV1050" i="1"/>
  <c r="AU1050" i="1"/>
  <c r="AS1050" i="1"/>
  <c r="AR1050" i="1"/>
  <c r="AQ1050" i="1"/>
  <c r="AP1050" i="1"/>
  <c r="AO1050" i="1"/>
  <c r="AM1050" i="1"/>
  <c r="AL1050" i="1"/>
  <c r="AK1050" i="1"/>
  <c r="AJ1050" i="1"/>
  <c r="AI1050" i="1"/>
  <c r="AG1050" i="1"/>
  <c r="AF1050" i="1"/>
  <c r="AE1050" i="1"/>
  <c r="AD1050" i="1"/>
  <c r="AC1050" i="1"/>
  <c r="X1050" i="1"/>
  <c r="W1050" i="1"/>
  <c r="V1050" i="1"/>
  <c r="U1050" i="1"/>
  <c r="T1050" i="1"/>
  <c r="R1050" i="1"/>
  <c r="Q1050" i="1"/>
  <c r="P1050" i="1"/>
  <c r="O1050" i="1"/>
  <c r="N1050" i="1"/>
  <c r="L1050" i="1"/>
  <c r="K1050" i="1"/>
  <c r="J1050" i="1"/>
  <c r="I1050" i="1"/>
  <c r="H1050" i="1"/>
  <c r="F1050" i="1"/>
  <c r="E1050" i="1"/>
  <c r="D1050" i="1"/>
  <c r="C1050" i="1"/>
  <c r="B1050" i="1"/>
  <c r="Y1049" i="1"/>
  <c r="S1049" i="1"/>
  <c r="M1049" i="1"/>
  <c r="G1049" i="1"/>
  <c r="AZ1048" i="1"/>
  <c r="AT1048" i="1"/>
  <c r="AN1048" i="1"/>
  <c r="AH1048" i="1"/>
  <c r="Y1048" i="1"/>
  <c r="S1048" i="1"/>
  <c r="M1048" i="1"/>
  <c r="G1048" i="1"/>
  <c r="AZ1047" i="1"/>
  <c r="AT1047" i="1"/>
  <c r="AN1047" i="1"/>
  <c r="AH1047" i="1"/>
  <c r="Y1047" i="1"/>
  <c r="S1047" i="1"/>
  <c r="M1047" i="1"/>
  <c r="G1047" i="1"/>
  <c r="AZ1046" i="1"/>
  <c r="AT1046" i="1"/>
  <c r="AN1046" i="1"/>
  <c r="AH1046" i="1"/>
  <c r="AZ1045" i="1"/>
  <c r="AT1045" i="1"/>
  <c r="AN1045" i="1"/>
  <c r="AH1045" i="1"/>
  <c r="Y1045" i="1"/>
  <c r="S1045" i="1"/>
  <c r="M1045" i="1"/>
  <c r="G1045" i="1"/>
  <c r="AZ1044" i="1"/>
  <c r="AT1044" i="1"/>
  <c r="AN1044" i="1"/>
  <c r="AH1044" i="1"/>
  <c r="Y1044" i="1"/>
  <c r="S1044" i="1"/>
  <c r="M1044" i="1"/>
  <c r="G1044" i="1"/>
  <c r="AZ1043" i="1"/>
  <c r="AT1043" i="1"/>
  <c r="AN1043" i="1"/>
  <c r="AH1043" i="1"/>
  <c r="Y1043" i="1"/>
  <c r="S1043" i="1"/>
  <c r="M1043" i="1"/>
  <c r="G1043" i="1"/>
  <c r="AZ1042" i="1"/>
  <c r="AT1042" i="1"/>
  <c r="AN1042" i="1"/>
  <c r="AH1042" i="1"/>
  <c r="Y1042" i="1"/>
  <c r="S1042" i="1"/>
  <c r="M1042" i="1"/>
  <c r="G1042" i="1"/>
  <c r="AZ1041" i="1"/>
  <c r="AT1041" i="1"/>
  <c r="AN1041" i="1"/>
  <c r="AH1041" i="1"/>
  <c r="Y1041" i="1"/>
  <c r="S1041" i="1"/>
  <c r="M1041" i="1"/>
  <c r="G1041" i="1"/>
  <c r="AZ1040" i="1"/>
  <c r="AT1040" i="1"/>
  <c r="AN1040" i="1"/>
  <c r="AH1040" i="1"/>
  <c r="Y1040" i="1"/>
  <c r="S1040" i="1"/>
  <c r="M1040" i="1"/>
  <c r="G1040" i="1"/>
  <c r="AZ1039" i="1"/>
  <c r="AT1039" i="1"/>
  <c r="AN1039" i="1"/>
  <c r="AH1039" i="1"/>
  <c r="Y1039" i="1"/>
  <c r="S1039" i="1"/>
  <c r="M1039" i="1"/>
  <c r="G1039" i="1"/>
  <c r="AZ1038" i="1"/>
  <c r="AT1038" i="1"/>
  <c r="AN1038" i="1"/>
  <c r="AH1038" i="1"/>
  <c r="Y1038" i="1"/>
  <c r="S1038" i="1"/>
  <c r="M1038" i="1"/>
  <c r="G1038" i="1"/>
  <c r="AZ1037" i="1"/>
  <c r="AT1037" i="1"/>
  <c r="AN1037" i="1"/>
  <c r="AH1037" i="1"/>
  <c r="Y1037" i="1"/>
  <c r="S1037" i="1"/>
  <c r="M1037" i="1"/>
  <c r="G1037" i="1"/>
  <c r="AZ1036" i="1"/>
  <c r="AT1036" i="1"/>
  <c r="AN1036" i="1"/>
  <c r="AH1036" i="1"/>
  <c r="Y1036" i="1"/>
  <c r="S1036" i="1"/>
  <c r="M1036" i="1"/>
  <c r="G1036" i="1"/>
  <c r="AZ1035" i="1"/>
  <c r="AT1035" i="1"/>
  <c r="AN1035" i="1"/>
  <c r="AH1035" i="1"/>
  <c r="Y1035" i="1"/>
  <c r="S1035" i="1"/>
  <c r="M1035" i="1"/>
  <c r="G1035" i="1"/>
  <c r="AZ1034" i="1"/>
  <c r="AT1034" i="1"/>
  <c r="AN1034" i="1"/>
  <c r="AH1034" i="1"/>
  <c r="Y1034" i="1"/>
  <c r="S1034" i="1"/>
  <c r="M1034" i="1"/>
  <c r="G1034" i="1"/>
  <c r="AZ1033" i="1"/>
  <c r="AT1033" i="1"/>
  <c r="AN1033" i="1"/>
  <c r="AH1033" i="1"/>
  <c r="Y1033" i="1"/>
  <c r="S1033" i="1"/>
  <c r="M1033" i="1"/>
  <c r="G1033" i="1"/>
  <c r="AZ1032" i="1"/>
  <c r="AT1032" i="1"/>
  <c r="AN1032" i="1"/>
  <c r="AH1032" i="1"/>
  <c r="Y1032" i="1"/>
  <c r="S1032" i="1"/>
  <c r="M1032" i="1"/>
  <c r="G1032" i="1"/>
  <c r="AZ1031" i="1"/>
  <c r="AT1031" i="1"/>
  <c r="AN1031" i="1"/>
  <c r="AH1031" i="1"/>
  <c r="Y1031" i="1"/>
  <c r="S1031" i="1"/>
  <c r="M1031" i="1"/>
  <c r="G1031" i="1"/>
  <c r="AZ1030" i="1"/>
  <c r="AT1030" i="1"/>
  <c r="AN1030" i="1"/>
  <c r="AH1030" i="1"/>
  <c r="Y1030" i="1"/>
  <c r="S1030" i="1"/>
  <c r="M1030" i="1"/>
  <c r="G1030" i="1"/>
  <c r="AZ1029" i="1"/>
  <c r="AT1029" i="1"/>
  <c r="AN1029" i="1"/>
  <c r="AH1029" i="1"/>
  <c r="Y1029" i="1"/>
  <c r="S1029" i="1"/>
  <c r="M1029" i="1"/>
  <c r="G1029" i="1"/>
  <c r="AZ1028" i="1"/>
  <c r="AT1028" i="1"/>
  <c r="AN1028" i="1"/>
  <c r="AH1028" i="1"/>
  <c r="Y1028" i="1"/>
  <c r="S1028" i="1"/>
  <c r="M1028" i="1"/>
  <c r="G1028" i="1"/>
  <c r="AZ1027" i="1"/>
  <c r="AT1027" i="1"/>
  <c r="AN1027" i="1"/>
  <c r="AH1027" i="1"/>
  <c r="Y1027" i="1"/>
  <c r="S1027" i="1"/>
  <c r="M1027" i="1"/>
  <c r="G1027" i="1"/>
  <c r="AZ1026" i="1"/>
  <c r="AT1026" i="1"/>
  <c r="AN1026" i="1"/>
  <c r="AH1026" i="1"/>
  <c r="Y1026" i="1"/>
  <c r="S1026" i="1"/>
  <c r="M1026" i="1"/>
  <c r="G1026" i="1"/>
  <c r="Y1025" i="1"/>
  <c r="S1025" i="1"/>
  <c r="M1025" i="1"/>
  <c r="G1025" i="1"/>
  <c r="AZ1024" i="1"/>
  <c r="AT1024" i="1"/>
  <c r="AN1024" i="1"/>
  <c r="AH1024" i="1"/>
  <c r="Y1024" i="1"/>
  <c r="S1024" i="1"/>
  <c r="M1024" i="1"/>
  <c r="G1024" i="1"/>
  <c r="AZ1022" i="1"/>
  <c r="AT1022" i="1"/>
  <c r="AN1022" i="1"/>
  <c r="AH1022" i="1"/>
  <c r="Y1022" i="1"/>
  <c r="S1022" i="1"/>
  <c r="M1022" i="1"/>
  <c r="G1022" i="1"/>
  <c r="Y1021" i="1"/>
  <c r="S1021" i="1"/>
  <c r="M1021" i="1"/>
  <c r="G1021" i="1"/>
  <c r="AZ1020" i="1"/>
  <c r="AT1020" i="1"/>
  <c r="AN1020" i="1"/>
  <c r="AH1020" i="1"/>
  <c r="Y1020" i="1"/>
  <c r="S1020" i="1"/>
  <c r="M1020" i="1"/>
  <c r="G1020" i="1"/>
  <c r="Y1019" i="1"/>
  <c r="S1019" i="1"/>
  <c r="M1019" i="1"/>
  <c r="BA1007" i="1" l="1"/>
  <c r="BA1010" i="1"/>
  <c r="BA981" i="1"/>
  <c r="Y1050" i="1"/>
  <c r="Z1021" i="1"/>
  <c r="Z1025" i="1"/>
  <c r="BA1026" i="1"/>
  <c r="Z1028" i="1"/>
  <c r="BA1029" i="1"/>
  <c r="Z1031" i="1"/>
  <c r="BA1032" i="1"/>
  <c r="Z1034" i="1"/>
  <c r="BA1035" i="1"/>
  <c r="Z1037" i="1"/>
  <c r="BA1038" i="1"/>
  <c r="Z1040" i="1"/>
  <c r="BA1041" i="1"/>
  <c r="Z1043" i="1"/>
  <c r="BA1044" i="1"/>
  <c r="BA1047" i="1"/>
  <c r="Z1049" i="1"/>
  <c r="S1050" i="1"/>
  <c r="BA968" i="1"/>
  <c r="BA1009" i="1"/>
  <c r="BA971" i="1"/>
  <c r="Z1020" i="1"/>
  <c r="Z1024" i="1"/>
  <c r="Z1027" i="1"/>
  <c r="BA1028" i="1"/>
  <c r="Z1030" i="1"/>
  <c r="BA1031" i="1"/>
  <c r="Z1033" i="1"/>
  <c r="BA1034" i="1"/>
  <c r="Z1036" i="1"/>
  <c r="BA1037" i="1"/>
  <c r="Z1039" i="1"/>
  <c r="BA1040" i="1"/>
  <c r="Z1042" i="1"/>
  <c r="BA1043" i="1"/>
  <c r="Z1045" i="1"/>
  <c r="BA1046" i="1"/>
  <c r="Z1048" i="1"/>
  <c r="AH1050" i="1"/>
  <c r="BA967" i="1"/>
  <c r="M1050" i="1"/>
  <c r="AZ1050" i="1"/>
  <c r="BA969" i="1"/>
  <c r="BA966" i="1"/>
  <c r="Z1019" i="1"/>
  <c r="Z1022" i="1"/>
  <c r="Z1026" i="1"/>
  <c r="BA1027" i="1"/>
  <c r="Z1029" i="1"/>
  <c r="BA1030" i="1"/>
  <c r="Z1032" i="1"/>
  <c r="BA1033" i="1"/>
  <c r="Z1035" i="1"/>
  <c r="BA1036" i="1"/>
  <c r="Z1038" i="1"/>
  <c r="BA1039" i="1"/>
  <c r="Z1041" i="1"/>
  <c r="BA1042" i="1"/>
  <c r="Z1044" i="1"/>
  <c r="BA1045" i="1"/>
  <c r="Z1047" i="1"/>
  <c r="BA1048" i="1"/>
  <c r="G1050" i="1"/>
  <c r="AT1050" i="1"/>
  <c r="AN1050" i="1"/>
  <c r="BA1008" i="1"/>
  <c r="BA970" i="1"/>
  <c r="BA1020" i="1"/>
  <c r="BA1022" i="1"/>
  <c r="BA1024" i="1"/>
  <c r="X1011" i="1"/>
  <c r="W1011" i="1"/>
  <c r="V1011" i="1"/>
  <c r="U1011" i="1"/>
  <c r="T1011" i="1"/>
  <c r="R1011" i="1"/>
  <c r="Q1011" i="1"/>
  <c r="P1011" i="1"/>
  <c r="O1011" i="1"/>
  <c r="N1011" i="1"/>
  <c r="L1011" i="1"/>
  <c r="K1011" i="1"/>
  <c r="J1011" i="1"/>
  <c r="I1011" i="1"/>
  <c r="H1011" i="1"/>
  <c r="F1011" i="1"/>
  <c r="E1011" i="1"/>
  <c r="D1011" i="1"/>
  <c r="C1011" i="1"/>
  <c r="B1011" i="1"/>
  <c r="Y1010" i="1"/>
  <c r="S1010" i="1"/>
  <c r="M1010" i="1"/>
  <c r="G1010" i="1"/>
  <c r="Y1009" i="1"/>
  <c r="S1009" i="1"/>
  <c r="M1009" i="1"/>
  <c r="G1009" i="1"/>
  <c r="Y1008" i="1"/>
  <c r="S1008" i="1"/>
  <c r="M1008" i="1"/>
  <c r="G1008" i="1"/>
  <c r="Y1007" i="1"/>
  <c r="S1007" i="1"/>
  <c r="M1007" i="1"/>
  <c r="G1007" i="1"/>
  <c r="Y1006" i="1"/>
  <c r="S1006" i="1"/>
  <c r="M1006" i="1"/>
  <c r="G1006" i="1"/>
  <c r="Y1005" i="1"/>
  <c r="S1005" i="1"/>
  <c r="M1005" i="1"/>
  <c r="G1005" i="1"/>
  <c r="Y1004" i="1"/>
  <c r="S1004" i="1"/>
  <c r="M1004" i="1"/>
  <c r="G1004" i="1"/>
  <c r="Y1003" i="1"/>
  <c r="S1003" i="1"/>
  <c r="M1003" i="1"/>
  <c r="G1003" i="1"/>
  <c r="Y1002" i="1"/>
  <c r="S1002" i="1"/>
  <c r="M1002" i="1"/>
  <c r="G1002" i="1"/>
  <c r="Y1001" i="1"/>
  <c r="S1001" i="1"/>
  <c r="M1001" i="1"/>
  <c r="G1001" i="1"/>
  <c r="Y1000" i="1"/>
  <c r="S1000" i="1"/>
  <c r="M1000" i="1"/>
  <c r="G1000" i="1"/>
  <c r="Y999" i="1"/>
  <c r="S999" i="1"/>
  <c r="M999" i="1"/>
  <c r="G999" i="1"/>
  <c r="Y998" i="1"/>
  <c r="S998" i="1"/>
  <c r="M998" i="1"/>
  <c r="G998" i="1"/>
  <c r="Y997" i="1"/>
  <c r="S997" i="1"/>
  <c r="M997" i="1"/>
  <c r="G997" i="1"/>
  <c r="Y996" i="1"/>
  <c r="S996" i="1"/>
  <c r="M996" i="1"/>
  <c r="G996" i="1"/>
  <c r="Y995" i="1"/>
  <c r="S995" i="1"/>
  <c r="M995" i="1"/>
  <c r="G995" i="1"/>
  <c r="Y994" i="1"/>
  <c r="S994" i="1"/>
  <c r="M994" i="1"/>
  <c r="G994" i="1"/>
  <c r="Y993" i="1"/>
  <c r="S993" i="1"/>
  <c r="M993" i="1"/>
  <c r="G993" i="1"/>
  <c r="Y992" i="1"/>
  <c r="S992" i="1"/>
  <c r="M992" i="1"/>
  <c r="G992" i="1"/>
  <c r="Y991" i="1"/>
  <c r="S991" i="1"/>
  <c r="M991" i="1"/>
  <c r="G991" i="1"/>
  <c r="Y990" i="1"/>
  <c r="S990" i="1"/>
  <c r="M990" i="1"/>
  <c r="G990" i="1"/>
  <c r="Y989" i="1"/>
  <c r="S989" i="1"/>
  <c r="M989" i="1"/>
  <c r="G989" i="1"/>
  <c r="Y988" i="1"/>
  <c r="S988" i="1"/>
  <c r="M988" i="1"/>
  <c r="G988" i="1"/>
  <c r="Y987" i="1"/>
  <c r="S987" i="1"/>
  <c r="M987" i="1"/>
  <c r="G987" i="1"/>
  <c r="Y986" i="1"/>
  <c r="S986" i="1"/>
  <c r="M986" i="1"/>
  <c r="G986" i="1"/>
  <c r="Y985" i="1"/>
  <c r="S985" i="1"/>
  <c r="M985" i="1"/>
  <c r="G985" i="1"/>
  <c r="Y983" i="1"/>
  <c r="S983" i="1"/>
  <c r="M983" i="1"/>
  <c r="G983" i="1"/>
  <c r="Y982" i="1"/>
  <c r="S982" i="1"/>
  <c r="M982" i="1"/>
  <c r="G982" i="1"/>
  <c r="Y981" i="1"/>
  <c r="S981" i="1"/>
  <c r="M981" i="1"/>
  <c r="G981" i="1"/>
  <c r="Y980" i="1"/>
  <c r="S980" i="1"/>
  <c r="M980" i="1"/>
  <c r="G980" i="1"/>
  <c r="Z1050" i="1" l="1"/>
  <c r="BA1050" i="1"/>
  <c r="Z1009" i="1"/>
  <c r="Z1006" i="1"/>
  <c r="Z983" i="1"/>
  <c r="Z997" i="1"/>
  <c r="Z1003" i="1"/>
  <c r="Z1007" i="1"/>
  <c r="Z1008" i="1"/>
  <c r="Z980" i="1"/>
  <c r="Z1004" i="1"/>
  <c r="Z1005" i="1"/>
  <c r="Z994" i="1"/>
  <c r="Z1000" i="1"/>
  <c r="Z1010" i="1"/>
  <c r="Z982" i="1"/>
  <c r="Z990" i="1"/>
  <c r="Z1002" i="1"/>
  <c r="Y1011" i="1"/>
  <c r="Z989" i="1"/>
  <c r="Z995" i="1"/>
  <c r="Z1001" i="1"/>
  <c r="Z987" i="1"/>
  <c r="Z993" i="1"/>
  <c r="S1011" i="1"/>
  <c r="Z988" i="1"/>
  <c r="Z999" i="1"/>
  <c r="M1011" i="1"/>
  <c r="Z998" i="1"/>
  <c r="Z996" i="1"/>
  <c r="Z981" i="1"/>
  <c r="Z986" i="1"/>
  <c r="Z985" i="1"/>
  <c r="Z992" i="1"/>
  <c r="Z991" i="1"/>
  <c r="G1011" i="1"/>
  <c r="AY1011" i="1"/>
  <c r="AX1011" i="1"/>
  <c r="AW1011" i="1"/>
  <c r="AV1011" i="1"/>
  <c r="AU1011" i="1"/>
  <c r="AS1011" i="1"/>
  <c r="AR1011" i="1"/>
  <c r="AQ1011" i="1"/>
  <c r="AP1011" i="1"/>
  <c r="AO1011" i="1"/>
  <c r="AM1011" i="1"/>
  <c r="AL1011" i="1"/>
  <c r="AK1011" i="1"/>
  <c r="AJ1011" i="1"/>
  <c r="AI1011" i="1"/>
  <c r="AG1011" i="1"/>
  <c r="AF1011" i="1"/>
  <c r="AC1011" i="1"/>
  <c r="AZ1006" i="1"/>
  <c r="AT1006" i="1"/>
  <c r="AN1006" i="1"/>
  <c r="AH1006" i="1"/>
  <c r="AZ1005" i="1"/>
  <c r="AT1005" i="1"/>
  <c r="AN1005" i="1"/>
  <c r="AE1011" i="1"/>
  <c r="AH1005" i="1"/>
  <c r="AZ1004" i="1"/>
  <c r="AT1004" i="1"/>
  <c r="AN1004" i="1"/>
  <c r="AH1004" i="1"/>
  <c r="AZ1003" i="1"/>
  <c r="AT1003" i="1"/>
  <c r="AN1003" i="1"/>
  <c r="AH1003" i="1"/>
  <c r="AZ1002" i="1"/>
  <c r="AT1002" i="1"/>
  <c r="AN1002" i="1"/>
  <c r="AH1002" i="1"/>
  <c r="AZ1001" i="1"/>
  <c r="AT1001" i="1"/>
  <c r="AN1001" i="1"/>
  <c r="AH1001" i="1"/>
  <c r="AZ1000" i="1"/>
  <c r="AT1000" i="1"/>
  <c r="AN1000" i="1"/>
  <c r="AH1000" i="1"/>
  <c r="AZ999" i="1"/>
  <c r="AT999" i="1"/>
  <c r="AN999" i="1"/>
  <c r="AH999" i="1"/>
  <c r="AZ997" i="1"/>
  <c r="AT997" i="1"/>
  <c r="AN997" i="1"/>
  <c r="AH997" i="1"/>
  <c r="AZ996" i="1"/>
  <c r="AT996" i="1"/>
  <c r="AN996" i="1"/>
  <c r="AH996" i="1"/>
  <c r="AZ995" i="1"/>
  <c r="AT995" i="1"/>
  <c r="AN995" i="1"/>
  <c r="AH995" i="1"/>
  <c r="AZ993" i="1"/>
  <c r="AT993" i="1"/>
  <c r="AN993" i="1"/>
  <c r="AH993" i="1"/>
  <c r="AZ992" i="1"/>
  <c r="AT992" i="1"/>
  <c r="AN992" i="1"/>
  <c r="AH992" i="1"/>
  <c r="AZ991" i="1"/>
  <c r="AT991" i="1"/>
  <c r="AN991" i="1"/>
  <c r="AH991" i="1"/>
  <c r="AZ990" i="1"/>
  <c r="AT990" i="1"/>
  <c r="AN990" i="1"/>
  <c r="AH990" i="1"/>
  <c r="AZ989" i="1"/>
  <c r="AT989" i="1"/>
  <c r="AN989" i="1"/>
  <c r="AH989" i="1"/>
  <c r="AZ988" i="1"/>
  <c r="AT988" i="1"/>
  <c r="AN988" i="1"/>
  <c r="AH988" i="1"/>
  <c r="AZ987" i="1"/>
  <c r="AT987" i="1"/>
  <c r="AN987" i="1"/>
  <c r="AH987" i="1"/>
  <c r="AZ986" i="1"/>
  <c r="AT986" i="1"/>
  <c r="AN986" i="1"/>
  <c r="AH986" i="1"/>
  <c r="AZ985" i="1"/>
  <c r="AT985" i="1"/>
  <c r="AN985" i="1"/>
  <c r="AH985" i="1"/>
  <c r="AZ983" i="1"/>
  <c r="AT983" i="1"/>
  <c r="AN983" i="1"/>
  <c r="AH983" i="1"/>
  <c r="AZ982" i="1"/>
  <c r="AT982" i="1"/>
  <c r="AN982" i="1"/>
  <c r="AH982" i="1"/>
  <c r="AZ980" i="1"/>
  <c r="AT980" i="1"/>
  <c r="AN980" i="1"/>
  <c r="AH980" i="1"/>
  <c r="BA1006" i="1" l="1"/>
  <c r="BA982" i="1"/>
  <c r="Z1011" i="1"/>
  <c r="BA1004" i="1"/>
  <c r="BA992" i="1"/>
  <c r="BA983" i="1"/>
  <c r="BA1000" i="1"/>
  <c r="BA987" i="1"/>
  <c r="BA993" i="1"/>
  <c r="BA986" i="1"/>
  <c r="BA999" i="1"/>
  <c r="AZ1011" i="1"/>
  <c r="BA985" i="1"/>
  <c r="BA991" i="1"/>
  <c r="BA1005" i="1"/>
  <c r="BA988" i="1"/>
  <c r="AT1011" i="1"/>
  <c r="BA997" i="1"/>
  <c r="AN1011" i="1"/>
  <c r="BA990" i="1"/>
  <c r="BA989" i="1"/>
  <c r="BA996" i="1"/>
  <c r="BA1003" i="1"/>
  <c r="BA995" i="1"/>
  <c r="BA1002" i="1"/>
  <c r="BA1001" i="1"/>
  <c r="BA980" i="1"/>
  <c r="AD1011" i="1"/>
  <c r="AZ941" i="1"/>
  <c r="AT941" i="1"/>
  <c r="AN941" i="1"/>
  <c r="AH941" i="1"/>
  <c r="AH1011" i="1" l="1"/>
  <c r="BA1011" i="1" s="1"/>
  <c r="BA941" i="1"/>
  <c r="AH926" i="1" l="1"/>
  <c r="AN926" i="1"/>
  <c r="AT926" i="1"/>
  <c r="AZ926" i="1"/>
  <c r="AH927" i="1"/>
  <c r="AN927" i="1"/>
  <c r="AT927" i="1"/>
  <c r="AZ927" i="1"/>
  <c r="AH928" i="1"/>
  <c r="AN928" i="1"/>
  <c r="AT928" i="1"/>
  <c r="AZ928" i="1"/>
  <c r="AH929" i="1"/>
  <c r="AN929" i="1"/>
  <c r="AT929" i="1"/>
  <c r="AZ929" i="1"/>
  <c r="AH930" i="1"/>
  <c r="AN930" i="1"/>
  <c r="AT930" i="1"/>
  <c r="AZ930" i="1"/>
  <c r="AY972" i="1"/>
  <c r="AX972" i="1"/>
  <c r="AW972" i="1"/>
  <c r="AV972" i="1"/>
  <c r="AU972" i="1"/>
  <c r="AS972" i="1"/>
  <c r="AR972" i="1"/>
  <c r="AQ972" i="1"/>
  <c r="AP972" i="1"/>
  <c r="AO972" i="1"/>
  <c r="AM972" i="1"/>
  <c r="AL972" i="1"/>
  <c r="AK972" i="1"/>
  <c r="AJ972" i="1"/>
  <c r="AI972" i="1"/>
  <c r="AG972" i="1"/>
  <c r="AF972" i="1"/>
  <c r="AE972" i="1"/>
  <c r="AD972" i="1"/>
  <c r="AC972" i="1"/>
  <c r="X972" i="1"/>
  <c r="W972" i="1"/>
  <c r="V972" i="1"/>
  <c r="U972" i="1"/>
  <c r="T972" i="1"/>
  <c r="R972" i="1"/>
  <c r="Q972" i="1"/>
  <c r="P972" i="1"/>
  <c r="O972" i="1"/>
  <c r="N972" i="1"/>
  <c r="L972" i="1"/>
  <c r="K972" i="1"/>
  <c r="J972" i="1"/>
  <c r="I972" i="1"/>
  <c r="H972" i="1"/>
  <c r="F972" i="1"/>
  <c r="E972" i="1"/>
  <c r="D972" i="1"/>
  <c r="C972" i="1"/>
  <c r="B972" i="1"/>
  <c r="Y971" i="1"/>
  <c r="S971" i="1"/>
  <c r="M971" i="1"/>
  <c r="G971" i="1"/>
  <c r="Y970" i="1"/>
  <c r="S970" i="1"/>
  <c r="M970" i="1"/>
  <c r="G970" i="1"/>
  <c r="Y969" i="1"/>
  <c r="S969" i="1"/>
  <c r="M969" i="1"/>
  <c r="G969" i="1"/>
  <c r="Y968" i="1"/>
  <c r="S968" i="1"/>
  <c r="M968" i="1"/>
  <c r="G968" i="1"/>
  <c r="Y967" i="1"/>
  <c r="S967" i="1"/>
  <c r="M967" i="1"/>
  <c r="G967" i="1"/>
  <c r="Y966" i="1"/>
  <c r="S966" i="1"/>
  <c r="M966" i="1"/>
  <c r="G966" i="1"/>
  <c r="AZ965" i="1"/>
  <c r="AT965" i="1"/>
  <c r="AN965" i="1"/>
  <c r="AH965" i="1"/>
  <c r="Y965" i="1"/>
  <c r="S965" i="1"/>
  <c r="M965" i="1"/>
  <c r="G965" i="1"/>
  <c r="AZ964" i="1"/>
  <c r="AT964" i="1"/>
  <c r="AN964" i="1"/>
  <c r="AH964" i="1"/>
  <c r="Y964" i="1"/>
  <c r="S964" i="1"/>
  <c r="M964" i="1"/>
  <c r="G964" i="1"/>
  <c r="AZ963" i="1"/>
  <c r="AT963" i="1"/>
  <c r="AN963" i="1"/>
  <c r="AH963" i="1"/>
  <c r="Y963" i="1"/>
  <c r="S963" i="1"/>
  <c r="M963" i="1"/>
  <c r="G963" i="1"/>
  <c r="AZ962" i="1"/>
  <c r="AT962" i="1"/>
  <c r="AN962" i="1"/>
  <c r="AH962" i="1"/>
  <c r="Y962" i="1"/>
  <c r="S962" i="1"/>
  <c r="M962" i="1"/>
  <c r="G962" i="1"/>
  <c r="AZ961" i="1"/>
  <c r="AT961" i="1"/>
  <c r="AN961" i="1"/>
  <c r="AH961" i="1"/>
  <c r="Y961" i="1"/>
  <c r="S961" i="1"/>
  <c r="M961" i="1"/>
  <c r="G961" i="1"/>
  <c r="AZ960" i="1"/>
  <c r="AT960" i="1"/>
  <c r="AN960" i="1"/>
  <c r="AH960" i="1"/>
  <c r="Y960" i="1"/>
  <c r="S960" i="1"/>
  <c r="M960" i="1"/>
  <c r="G960" i="1"/>
  <c r="AZ959" i="1"/>
  <c r="AT959" i="1"/>
  <c r="AN959" i="1"/>
  <c r="AH959" i="1"/>
  <c r="Y959" i="1"/>
  <c r="S959" i="1"/>
  <c r="M959" i="1"/>
  <c r="G959" i="1"/>
  <c r="AZ958" i="1"/>
  <c r="AT958" i="1"/>
  <c r="AN958" i="1"/>
  <c r="AH958" i="1"/>
  <c r="Y958" i="1"/>
  <c r="S958" i="1"/>
  <c r="M958" i="1"/>
  <c r="G958" i="1"/>
  <c r="AZ957" i="1"/>
  <c r="AT957" i="1"/>
  <c r="AN957" i="1"/>
  <c r="AH957" i="1"/>
  <c r="Y957" i="1"/>
  <c r="S957" i="1"/>
  <c r="M957" i="1"/>
  <c r="G957" i="1"/>
  <c r="AZ956" i="1"/>
  <c r="AT956" i="1"/>
  <c r="AN956" i="1"/>
  <c r="AH956" i="1"/>
  <c r="Y956" i="1"/>
  <c r="S956" i="1"/>
  <c r="M956" i="1"/>
  <c r="G956" i="1"/>
  <c r="AZ955" i="1"/>
  <c r="AT955" i="1"/>
  <c r="AN955" i="1"/>
  <c r="AH955" i="1"/>
  <c r="Y955" i="1"/>
  <c r="S955" i="1"/>
  <c r="M955" i="1"/>
  <c r="G955" i="1"/>
  <c r="AZ954" i="1"/>
  <c r="AT954" i="1"/>
  <c r="AN954" i="1"/>
  <c r="AH954" i="1"/>
  <c r="Y954" i="1"/>
  <c r="S954" i="1"/>
  <c r="M954" i="1"/>
  <c r="G954" i="1"/>
  <c r="AZ953" i="1"/>
  <c r="AT953" i="1"/>
  <c r="AN953" i="1"/>
  <c r="AH953" i="1"/>
  <c r="Y953" i="1"/>
  <c r="S953" i="1"/>
  <c r="M953" i="1"/>
  <c r="G953" i="1"/>
  <c r="AZ952" i="1"/>
  <c r="AT952" i="1"/>
  <c r="AN952" i="1"/>
  <c r="AH952" i="1"/>
  <c r="Y952" i="1"/>
  <c r="S952" i="1"/>
  <c r="M952" i="1"/>
  <c r="G952" i="1"/>
  <c r="AZ951" i="1"/>
  <c r="AT951" i="1"/>
  <c r="AN951" i="1"/>
  <c r="AH951" i="1"/>
  <c r="Y951" i="1"/>
  <c r="S951" i="1"/>
  <c r="M951" i="1"/>
  <c r="G951" i="1"/>
  <c r="AZ950" i="1"/>
  <c r="AT950" i="1"/>
  <c r="AN950" i="1"/>
  <c r="AH950" i="1"/>
  <c r="Y950" i="1"/>
  <c r="S950" i="1"/>
  <c r="M950" i="1"/>
  <c r="G950" i="1"/>
  <c r="AZ949" i="1"/>
  <c r="AT949" i="1"/>
  <c r="AN949" i="1"/>
  <c r="AH949" i="1"/>
  <c r="Y949" i="1"/>
  <c r="S949" i="1"/>
  <c r="M949" i="1"/>
  <c r="G949" i="1"/>
  <c r="AZ948" i="1"/>
  <c r="AT948" i="1"/>
  <c r="AN948" i="1"/>
  <c r="AH948" i="1"/>
  <c r="Y948" i="1"/>
  <c r="S948" i="1"/>
  <c r="M948" i="1"/>
  <c r="G948" i="1"/>
  <c r="AZ947" i="1"/>
  <c r="AT947" i="1"/>
  <c r="AN947" i="1"/>
  <c r="AH947" i="1"/>
  <c r="Y947" i="1"/>
  <c r="S947" i="1"/>
  <c r="M947" i="1"/>
  <c r="G947" i="1"/>
  <c r="AZ946" i="1"/>
  <c r="AT946" i="1"/>
  <c r="AN946" i="1"/>
  <c r="AH946" i="1"/>
  <c r="Y946" i="1"/>
  <c r="S946" i="1"/>
  <c r="M946" i="1"/>
  <c r="G946" i="1"/>
  <c r="AZ944" i="1"/>
  <c r="AT944" i="1"/>
  <c r="AN944" i="1"/>
  <c r="AH944" i="1"/>
  <c r="Y944" i="1"/>
  <c r="S944" i="1"/>
  <c r="M944" i="1"/>
  <c r="G944" i="1"/>
  <c r="AZ943" i="1"/>
  <c r="AT943" i="1"/>
  <c r="AN943" i="1"/>
  <c r="AH943" i="1"/>
  <c r="Y943" i="1"/>
  <c r="S943" i="1"/>
  <c r="M943" i="1"/>
  <c r="G943" i="1"/>
  <c r="AZ942" i="1"/>
  <c r="AT942" i="1"/>
  <c r="AN942" i="1"/>
  <c r="AH942" i="1"/>
  <c r="Y942" i="1"/>
  <c r="S942" i="1"/>
  <c r="M942" i="1"/>
  <c r="G942" i="1"/>
  <c r="Y941" i="1"/>
  <c r="S941" i="1"/>
  <c r="M941" i="1"/>
  <c r="G941" i="1"/>
  <c r="BA926" i="1" l="1"/>
  <c r="BA943" i="1"/>
  <c r="Z946" i="1"/>
  <c r="BA950" i="1"/>
  <c r="Z952" i="1"/>
  <c r="BA953" i="1"/>
  <c r="Z958" i="1"/>
  <c r="BA959" i="1"/>
  <c r="BA965" i="1"/>
  <c r="Z968" i="1"/>
  <c r="Z971" i="1"/>
  <c r="BA963" i="1"/>
  <c r="BA930" i="1"/>
  <c r="BA964" i="1"/>
  <c r="BA928" i="1"/>
  <c r="BA962" i="1"/>
  <c r="BA942" i="1"/>
  <c r="BA946" i="1"/>
  <c r="Z948" i="1"/>
  <c r="BA949" i="1"/>
  <c r="BA952" i="1"/>
  <c r="Z954" i="1"/>
  <c r="BA958" i="1"/>
  <c r="Z960" i="1"/>
  <c r="BA961" i="1"/>
  <c r="BA929" i="1"/>
  <c r="Z970" i="1"/>
  <c r="Y972" i="1"/>
  <c r="Z950" i="1"/>
  <c r="BA951" i="1"/>
  <c r="BA954" i="1"/>
  <c r="Z956" i="1"/>
  <c r="BA957" i="1"/>
  <c r="S972" i="1"/>
  <c r="BA944" i="1"/>
  <c r="Z962" i="1"/>
  <c r="Z964" i="1"/>
  <c r="Z966" i="1"/>
  <c r="M972" i="1"/>
  <c r="BA927" i="1"/>
  <c r="AZ972" i="1"/>
  <c r="BA947" i="1"/>
  <c r="BA948" i="1"/>
  <c r="BA955" i="1"/>
  <c r="BA956" i="1"/>
  <c r="BA960" i="1"/>
  <c r="AN972" i="1"/>
  <c r="AH972" i="1"/>
  <c r="AT972" i="1"/>
  <c r="Z941" i="1"/>
  <c r="Z942" i="1"/>
  <c r="Z943" i="1"/>
  <c r="Z944" i="1"/>
  <c r="Z947" i="1"/>
  <c r="Z949" i="1"/>
  <c r="Z951" i="1"/>
  <c r="Z953" i="1"/>
  <c r="Z955" i="1"/>
  <c r="Z957" i="1"/>
  <c r="Z959" i="1"/>
  <c r="Z961" i="1"/>
  <c r="Z963" i="1"/>
  <c r="Z965" i="1"/>
  <c r="Z967" i="1"/>
  <c r="Z969" i="1"/>
  <c r="G972" i="1"/>
  <c r="E930" i="1"/>
  <c r="G930" i="1" s="1"/>
  <c r="AZ912" i="1"/>
  <c r="AT912" i="1"/>
  <c r="AN912" i="1"/>
  <c r="AH912" i="1"/>
  <c r="C910" i="1"/>
  <c r="C933" i="1" s="1"/>
  <c r="AZ907" i="1"/>
  <c r="AT907" i="1"/>
  <c r="AN907" i="1"/>
  <c r="AH907" i="1"/>
  <c r="AH891" i="1"/>
  <c r="AN891" i="1"/>
  <c r="AT891" i="1"/>
  <c r="AZ891" i="1"/>
  <c r="AH892" i="1"/>
  <c r="AN892" i="1"/>
  <c r="AT892" i="1"/>
  <c r="AZ892" i="1"/>
  <c r="AZ893" i="1"/>
  <c r="AT893" i="1"/>
  <c r="AN893" i="1"/>
  <c r="AH893" i="1"/>
  <c r="AH931" i="1"/>
  <c r="AN931" i="1"/>
  <c r="AT931" i="1"/>
  <c r="AZ931" i="1"/>
  <c r="AH932" i="1"/>
  <c r="AN932" i="1"/>
  <c r="AT932" i="1"/>
  <c r="AZ932" i="1"/>
  <c r="AY933" i="1"/>
  <c r="AX933" i="1"/>
  <c r="AW933" i="1"/>
  <c r="AV933" i="1"/>
  <c r="AU933" i="1"/>
  <c r="AS933" i="1"/>
  <c r="AR933" i="1"/>
  <c r="AQ933" i="1"/>
  <c r="AP933" i="1"/>
  <c r="AO933" i="1"/>
  <c r="AM933" i="1"/>
  <c r="AL933" i="1"/>
  <c r="AK933" i="1"/>
  <c r="AJ933" i="1"/>
  <c r="AI933" i="1"/>
  <c r="AG933" i="1"/>
  <c r="AF933" i="1"/>
  <c r="AE933" i="1"/>
  <c r="AD933" i="1"/>
  <c r="AC933" i="1"/>
  <c r="X933" i="1"/>
  <c r="W933" i="1"/>
  <c r="V933" i="1"/>
  <c r="U933" i="1"/>
  <c r="T933" i="1"/>
  <c r="R933" i="1"/>
  <c r="Q933" i="1"/>
  <c r="P933" i="1"/>
  <c r="O933" i="1"/>
  <c r="N933" i="1"/>
  <c r="L933" i="1"/>
  <c r="K933" i="1"/>
  <c r="J933" i="1"/>
  <c r="I933" i="1"/>
  <c r="H933" i="1"/>
  <c r="F933" i="1"/>
  <c r="D933" i="1"/>
  <c r="B933" i="1"/>
  <c r="Y932" i="1"/>
  <c r="S932" i="1"/>
  <c r="M932" i="1"/>
  <c r="G932" i="1"/>
  <c r="Y931" i="1"/>
  <c r="S931" i="1"/>
  <c r="M931" i="1"/>
  <c r="G931" i="1"/>
  <c r="Y930" i="1"/>
  <c r="S930" i="1"/>
  <c r="M930" i="1"/>
  <c r="Y929" i="1"/>
  <c r="S929" i="1"/>
  <c r="M929" i="1"/>
  <c r="G929" i="1"/>
  <c r="Y928" i="1"/>
  <c r="S928" i="1"/>
  <c r="M928" i="1"/>
  <c r="G928" i="1"/>
  <c r="Y927" i="1"/>
  <c r="S927" i="1"/>
  <c r="M927" i="1"/>
  <c r="G927" i="1"/>
  <c r="Y926" i="1"/>
  <c r="S926" i="1"/>
  <c r="M926" i="1"/>
  <c r="G926" i="1"/>
  <c r="AZ925" i="1"/>
  <c r="AT925" i="1"/>
  <c r="AN925" i="1"/>
  <c r="AH925" i="1"/>
  <c r="Y925" i="1"/>
  <c r="S925" i="1"/>
  <c r="M925" i="1"/>
  <c r="G925" i="1"/>
  <c r="AZ924" i="1"/>
  <c r="AT924" i="1"/>
  <c r="AN924" i="1"/>
  <c r="AH924" i="1"/>
  <c r="Y924" i="1"/>
  <c r="S924" i="1"/>
  <c r="M924" i="1"/>
  <c r="G924" i="1"/>
  <c r="AZ923" i="1"/>
  <c r="AT923" i="1"/>
  <c r="AN923" i="1"/>
  <c r="AH923" i="1"/>
  <c r="Y923" i="1"/>
  <c r="S923" i="1"/>
  <c r="M923" i="1"/>
  <c r="G923" i="1"/>
  <c r="AZ922" i="1"/>
  <c r="AT922" i="1"/>
  <c r="AN922" i="1"/>
  <c r="AH922" i="1"/>
  <c r="Y922" i="1"/>
  <c r="S922" i="1"/>
  <c r="M922" i="1"/>
  <c r="G922" i="1"/>
  <c r="AZ921" i="1"/>
  <c r="AT921" i="1"/>
  <c r="AN921" i="1"/>
  <c r="AH921" i="1"/>
  <c r="Y921" i="1"/>
  <c r="S921" i="1"/>
  <c r="M921" i="1"/>
  <c r="G921" i="1"/>
  <c r="AZ920" i="1"/>
  <c r="AT920" i="1"/>
  <c r="AN920" i="1"/>
  <c r="AH920" i="1"/>
  <c r="Y920" i="1"/>
  <c r="S920" i="1"/>
  <c r="M920" i="1"/>
  <c r="G920" i="1"/>
  <c r="AZ919" i="1"/>
  <c r="AT919" i="1"/>
  <c r="AN919" i="1"/>
  <c r="AH919" i="1"/>
  <c r="Y919" i="1"/>
  <c r="S919" i="1"/>
  <c r="M919" i="1"/>
  <c r="G919" i="1"/>
  <c r="AZ918" i="1"/>
  <c r="AT918" i="1"/>
  <c r="AN918" i="1"/>
  <c r="AH918" i="1"/>
  <c r="Y918" i="1"/>
  <c r="S918" i="1"/>
  <c r="M918" i="1"/>
  <c r="G918" i="1"/>
  <c r="AZ917" i="1"/>
  <c r="AT917" i="1"/>
  <c r="AN917" i="1"/>
  <c r="AH917" i="1"/>
  <c r="Y917" i="1"/>
  <c r="S917" i="1"/>
  <c r="M917" i="1"/>
  <c r="G917" i="1"/>
  <c r="AZ916" i="1"/>
  <c r="AT916" i="1"/>
  <c r="AN916" i="1"/>
  <c r="AH916" i="1"/>
  <c r="Y916" i="1"/>
  <c r="S916" i="1"/>
  <c r="M916" i="1"/>
  <c r="G916" i="1"/>
  <c r="AZ915" i="1"/>
  <c r="AT915" i="1"/>
  <c r="AN915" i="1"/>
  <c r="AH915" i="1"/>
  <c r="Y915" i="1"/>
  <c r="S915" i="1"/>
  <c r="M915" i="1"/>
  <c r="G915" i="1"/>
  <c r="AZ914" i="1"/>
  <c r="AT914" i="1"/>
  <c r="AN914" i="1"/>
  <c r="AH914" i="1"/>
  <c r="Y914" i="1"/>
  <c r="S914" i="1"/>
  <c r="M914" i="1"/>
  <c r="G914" i="1"/>
  <c r="AZ913" i="1"/>
  <c r="AT913" i="1"/>
  <c r="AN913" i="1"/>
  <c r="AH913" i="1"/>
  <c r="Y913" i="1"/>
  <c r="S913" i="1"/>
  <c r="M913" i="1"/>
  <c r="G913" i="1"/>
  <c r="Y912" i="1"/>
  <c r="S912" i="1"/>
  <c r="M912" i="1"/>
  <c r="G912" i="1"/>
  <c r="AZ911" i="1"/>
  <c r="AT911" i="1"/>
  <c r="AN911" i="1"/>
  <c r="AH911" i="1"/>
  <c r="Y911" i="1"/>
  <c r="S911" i="1"/>
  <c r="M911" i="1"/>
  <c r="G911" i="1"/>
  <c r="AZ910" i="1"/>
  <c r="AT910" i="1"/>
  <c r="AN910" i="1"/>
  <c r="AH910" i="1"/>
  <c r="Y910" i="1"/>
  <c r="S910" i="1"/>
  <c r="M910" i="1"/>
  <c r="AZ909" i="1"/>
  <c r="AT909" i="1"/>
  <c r="AN909" i="1"/>
  <c r="AH909" i="1"/>
  <c r="Y909" i="1"/>
  <c r="S909" i="1"/>
  <c r="M909" i="1"/>
  <c r="G909" i="1"/>
  <c r="AZ908" i="1"/>
  <c r="AT908" i="1"/>
  <c r="AN908" i="1"/>
  <c r="AH908" i="1"/>
  <c r="Y908" i="1"/>
  <c r="S908" i="1"/>
  <c r="M908" i="1"/>
  <c r="G908" i="1"/>
  <c r="Y907" i="1"/>
  <c r="S907" i="1"/>
  <c r="M907" i="1"/>
  <c r="G907" i="1"/>
  <c r="AZ905" i="1"/>
  <c r="AT905" i="1"/>
  <c r="AN905" i="1"/>
  <c r="AH905" i="1"/>
  <c r="Y905" i="1"/>
  <c r="S905" i="1"/>
  <c r="M905" i="1"/>
  <c r="G905" i="1"/>
  <c r="AZ904" i="1"/>
  <c r="AT904" i="1"/>
  <c r="AN904" i="1"/>
  <c r="AH904" i="1"/>
  <c r="Y904" i="1"/>
  <c r="S904" i="1"/>
  <c r="M904" i="1"/>
  <c r="G904" i="1"/>
  <c r="AZ903" i="1"/>
  <c r="AT903" i="1"/>
  <c r="AN903" i="1"/>
  <c r="AH903" i="1"/>
  <c r="Y903" i="1"/>
  <c r="S903" i="1"/>
  <c r="M903" i="1"/>
  <c r="G903" i="1"/>
  <c r="AZ902" i="1"/>
  <c r="AT902" i="1"/>
  <c r="AN902" i="1"/>
  <c r="AH902" i="1"/>
  <c r="Y902" i="1"/>
  <c r="S902" i="1"/>
  <c r="M902" i="1"/>
  <c r="G902" i="1"/>
  <c r="AD1793" i="1" l="1"/>
  <c r="E933" i="1"/>
  <c r="G933" i="1" s="1"/>
  <c r="Z972" i="1"/>
  <c r="BA972" i="1"/>
  <c r="BA912" i="1"/>
  <c r="BA907" i="1"/>
  <c r="G910" i="1"/>
  <c r="Z910" i="1" s="1"/>
  <c r="BA892" i="1"/>
  <c r="BA932" i="1"/>
  <c r="BA891" i="1"/>
  <c r="Y933" i="1"/>
  <c r="BA893" i="1"/>
  <c r="BA902" i="1"/>
  <c r="BA905" i="1"/>
  <c r="BA924" i="1"/>
  <c r="BA904" i="1"/>
  <c r="BA923" i="1"/>
  <c r="Z932" i="1"/>
  <c r="M933" i="1"/>
  <c r="BA931" i="1"/>
  <c r="BA925" i="1"/>
  <c r="BA903" i="1"/>
  <c r="AZ933" i="1"/>
  <c r="AT933" i="1"/>
  <c r="AH933" i="1"/>
  <c r="BA908" i="1"/>
  <c r="BA909" i="1"/>
  <c r="BA910" i="1"/>
  <c r="BA911" i="1"/>
  <c r="BA913" i="1"/>
  <c r="BA914" i="1"/>
  <c r="BA915" i="1"/>
  <c r="BA916" i="1"/>
  <c r="BA917" i="1"/>
  <c r="BA918" i="1"/>
  <c r="BA919" i="1"/>
  <c r="BA920" i="1"/>
  <c r="BA921" i="1"/>
  <c r="BA922" i="1"/>
  <c r="AN933" i="1"/>
  <c r="Z905" i="1"/>
  <c r="Z903" i="1"/>
  <c r="Z904" i="1"/>
  <c r="Z930" i="1"/>
  <c r="Z931" i="1"/>
  <c r="S933" i="1"/>
  <c r="Z907" i="1"/>
  <c r="Z908" i="1"/>
  <c r="Z909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02" i="1"/>
  <c r="AZ869" i="1"/>
  <c r="AT869" i="1"/>
  <c r="AN869" i="1"/>
  <c r="AH869" i="1"/>
  <c r="X894" i="1"/>
  <c r="W894" i="1"/>
  <c r="V894" i="1"/>
  <c r="U894" i="1"/>
  <c r="T894" i="1"/>
  <c r="R894" i="1"/>
  <c r="Q894" i="1"/>
  <c r="P894" i="1"/>
  <c r="O894" i="1"/>
  <c r="N894" i="1"/>
  <c r="L894" i="1"/>
  <c r="K894" i="1"/>
  <c r="J894" i="1"/>
  <c r="I894" i="1"/>
  <c r="H894" i="1"/>
  <c r="F894" i="1"/>
  <c r="E894" i="1"/>
  <c r="D894" i="1"/>
  <c r="C894" i="1"/>
  <c r="B894" i="1"/>
  <c r="Y893" i="1"/>
  <c r="S893" i="1"/>
  <c r="M893" i="1"/>
  <c r="G893" i="1"/>
  <c r="Y892" i="1"/>
  <c r="S892" i="1"/>
  <c r="M892" i="1"/>
  <c r="G892" i="1"/>
  <c r="Y891" i="1"/>
  <c r="S891" i="1"/>
  <c r="M891" i="1"/>
  <c r="G891" i="1"/>
  <c r="Y890" i="1"/>
  <c r="S890" i="1"/>
  <c r="M890" i="1"/>
  <c r="G890" i="1"/>
  <c r="Y889" i="1"/>
  <c r="S889" i="1"/>
  <c r="M889" i="1"/>
  <c r="G889" i="1"/>
  <c r="Y888" i="1"/>
  <c r="S888" i="1"/>
  <c r="M888" i="1"/>
  <c r="G888" i="1"/>
  <c r="Y887" i="1"/>
  <c r="S887" i="1"/>
  <c r="M887" i="1"/>
  <c r="G887" i="1"/>
  <c r="Y886" i="1"/>
  <c r="S886" i="1"/>
  <c r="M886" i="1"/>
  <c r="G886" i="1"/>
  <c r="Y885" i="1"/>
  <c r="S885" i="1"/>
  <c r="M885" i="1"/>
  <c r="G885" i="1"/>
  <c r="Y884" i="1"/>
  <c r="S884" i="1"/>
  <c r="M884" i="1"/>
  <c r="G884" i="1"/>
  <c r="Y883" i="1"/>
  <c r="S883" i="1"/>
  <c r="M883" i="1"/>
  <c r="G883" i="1"/>
  <c r="Y882" i="1"/>
  <c r="S882" i="1"/>
  <c r="M882" i="1"/>
  <c r="G882" i="1"/>
  <c r="Y881" i="1"/>
  <c r="S881" i="1"/>
  <c r="M881" i="1"/>
  <c r="G881" i="1"/>
  <c r="Y880" i="1"/>
  <c r="S880" i="1"/>
  <c r="M880" i="1"/>
  <c r="G880" i="1"/>
  <c r="Y879" i="1"/>
  <c r="S879" i="1"/>
  <c r="M879" i="1"/>
  <c r="G879" i="1"/>
  <c r="Y878" i="1"/>
  <c r="S878" i="1"/>
  <c r="M878" i="1"/>
  <c r="G878" i="1"/>
  <c r="Y877" i="1"/>
  <c r="S877" i="1"/>
  <c r="M877" i="1"/>
  <c r="G877" i="1"/>
  <c r="Y876" i="1"/>
  <c r="S876" i="1"/>
  <c r="M876" i="1"/>
  <c r="G876" i="1"/>
  <c r="Y875" i="1"/>
  <c r="S875" i="1"/>
  <c r="M875" i="1"/>
  <c r="G875" i="1"/>
  <c r="Y874" i="1"/>
  <c r="S874" i="1"/>
  <c r="M874" i="1"/>
  <c r="G874" i="1"/>
  <c r="Y873" i="1"/>
  <c r="S873" i="1"/>
  <c r="M873" i="1"/>
  <c r="G873" i="1"/>
  <c r="Y872" i="1"/>
  <c r="S872" i="1"/>
  <c r="M872" i="1"/>
  <c r="G872" i="1"/>
  <c r="Y871" i="1"/>
  <c r="S871" i="1"/>
  <c r="M871" i="1"/>
  <c r="G871" i="1"/>
  <c r="Y870" i="1"/>
  <c r="S870" i="1"/>
  <c r="M870" i="1"/>
  <c r="G870" i="1"/>
  <c r="Y869" i="1"/>
  <c r="S869" i="1"/>
  <c r="M869" i="1"/>
  <c r="G869" i="1"/>
  <c r="Y868" i="1"/>
  <c r="S868" i="1"/>
  <c r="M868" i="1"/>
  <c r="G868" i="1"/>
  <c r="Y866" i="1"/>
  <c r="S866" i="1"/>
  <c r="M866" i="1"/>
  <c r="G866" i="1"/>
  <c r="Y865" i="1"/>
  <c r="S865" i="1"/>
  <c r="M865" i="1"/>
  <c r="G865" i="1"/>
  <c r="Y864" i="1"/>
  <c r="S864" i="1"/>
  <c r="M864" i="1"/>
  <c r="G864" i="1"/>
  <c r="Y863" i="1"/>
  <c r="S863" i="1"/>
  <c r="M863" i="1"/>
  <c r="G863" i="1"/>
  <c r="AZ853" i="1"/>
  <c r="AT853" i="1"/>
  <c r="AN853" i="1"/>
  <c r="AH853" i="1"/>
  <c r="AY894" i="1"/>
  <c r="AX894" i="1"/>
  <c r="AW894" i="1"/>
  <c r="AW1793" i="1" s="1"/>
  <c r="AV894" i="1"/>
  <c r="AV1793" i="1" s="1"/>
  <c r="AU894" i="1"/>
  <c r="AU1793" i="1" s="1"/>
  <c r="AS894" i="1"/>
  <c r="AS1793" i="1" s="1"/>
  <c r="AR894" i="1"/>
  <c r="AR1793" i="1" s="1"/>
  <c r="AQ894" i="1"/>
  <c r="AP894" i="1"/>
  <c r="AO894" i="1"/>
  <c r="AO1793" i="1" s="1"/>
  <c r="AM894" i="1"/>
  <c r="AM1793" i="1" s="1"/>
  <c r="AL894" i="1"/>
  <c r="AK894" i="1"/>
  <c r="AJ894" i="1"/>
  <c r="AI894" i="1"/>
  <c r="AI1793" i="1" s="1"/>
  <c r="AG894" i="1"/>
  <c r="AG1793" i="1" s="1"/>
  <c r="AF894" i="1"/>
  <c r="AF1793" i="1" s="1"/>
  <c r="AE894" i="1"/>
  <c r="AE1793" i="1" s="1"/>
  <c r="AD894" i="1"/>
  <c r="AC894" i="1"/>
  <c r="AZ890" i="1"/>
  <c r="AT890" i="1"/>
  <c r="AN890" i="1"/>
  <c r="AH890" i="1"/>
  <c r="AZ889" i="1"/>
  <c r="AT889" i="1"/>
  <c r="AN889" i="1"/>
  <c r="AH889" i="1"/>
  <c r="AZ888" i="1"/>
  <c r="AT888" i="1"/>
  <c r="AN888" i="1"/>
  <c r="AH888" i="1"/>
  <c r="AZ887" i="1"/>
  <c r="AT887" i="1"/>
  <c r="AN887" i="1"/>
  <c r="AH887" i="1"/>
  <c r="AZ886" i="1"/>
  <c r="AT886" i="1"/>
  <c r="AN886" i="1"/>
  <c r="AH886" i="1"/>
  <c r="AZ885" i="1"/>
  <c r="AT885" i="1"/>
  <c r="AN885" i="1"/>
  <c r="AH885" i="1"/>
  <c r="AZ884" i="1"/>
  <c r="AT884" i="1"/>
  <c r="AN884" i="1"/>
  <c r="AH884" i="1"/>
  <c r="AZ883" i="1"/>
  <c r="AT883" i="1"/>
  <c r="AN883" i="1"/>
  <c r="AH883" i="1"/>
  <c r="AZ882" i="1"/>
  <c r="AT882" i="1"/>
  <c r="AN882" i="1"/>
  <c r="AH882" i="1"/>
  <c r="AZ881" i="1"/>
  <c r="AT881" i="1"/>
  <c r="AN881" i="1"/>
  <c r="AH881" i="1"/>
  <c r="AZ880" i="1"/>
  <c r="AT880" i="1"/>
  <c r="AN880" i="1"/>
  <c r="AH880" i="1"/>
  <c r="AZ879" i="1"/>
  <c r="AT879" i="1"/>
  <c r="AN879" i="1"/>
  <c r="AH879" i="1"/>
  <c r="AZ878" i="1"/>
  <c r="AT878" i="1"/>
  <c r="AN878" i="1"/>
  <c r="AH878" i="1"/>
  <c r="AZ877" i="1"/>
  <c r="AT877" i="1"/>
  <c r="AN877" i="1"/>
  <c r="AH877" i="1"/>
  <c r="AZ876" i="1"/>
  <c r="AT876" i="1"/>
  <c r="AN876" i="1"/>
  <c r="AH876" i="1"/>
  <c r="AZ875" i="1"/>
  <c r="AT875" i="1"/>
  <c r="AN875" i="1"/>
  <c r="AH875" i="1"/>
  <c r="AZ874" i="1"/>
  <c r="AT874" i="1"/>
  <c r="AN874" i="1"/>
  <c r="AH874" i="1"/>
  <c r="AZ873" i="1"/>
  <c r="AT873" i="1"/>
  <c r="AN873" i="1"/>
  <c r="AH873" i="1"/>
  <c r="AZ872" i="1"/>
  <c r="AT872" i="1"/>
  <c r="AN872" i="1"/>
  <c r="AH872" i="1"/>
  <c r="AZ871" i="1"/>
  <c r="AT871" i="1"/>
  <c r="AN871" i="1"/>
  <c r="AH871" i="1"/>
  <c r="AZ870" i="1"/>
  <c r="AT870" i="1"/>
  <c r="AN870" i="1"/>
  <c r="AH870" i="1"/>
  <c r="AZ868" i="1"/>
  <c r="AT868" i="1"/>
  <c r="AN868" i="1"/>
  <c r="AH868" i="1"/>
  <c r="AZ866" i="1"/>
  <c r="AT866" i="1"/>
  <c r="AN866" i="1"/>
  <c r="AH866" i="1"/>
  <c r="AZ865" i="1"/>
  <c r="AT865" i="1"/>
  <c r="AN865" i="1"/>
  <c r="AH865" i="1"/>
  <c r="AZ864" i="1"/>
  <c r="AT864" i="1"/>
  <c r="AN864" i="1"/>
  <c r="AH864" i="1"/>
  <c r="AZ863" i="1"/>
  <c r="AT863" i="1"/>
  <c r="AN863" i="1"/>
  <c r="AH863" i="1"/>
  <c r="AJ1793" i="1" l="1"/>
  <c r="AX1793" i="1"/>
  <c r="AK1793" i="1"/>
  <c r="AY1793" i="1"/>
  <c r="AL1793" i="1"/>
  <c r="AP1793" i="1"/>
  <c r="AC1793" i="1"/>
  <c r="AQ1793" i="1"/>
  <c r="Z933" i="1"/>
  <c r="BA933" i="1"/>
  <c r="BA869" i="1"/>
  <c r="BA888" i="1"/>
  <c r="BA864" i="1"/>
  <c r="Z864" i="1"/>
  <c r="Z877" i="1"/>
  <c r="Z880" i="1"/>
  <c r="Z883" i="1"/>
  <c r="Z892" i="1"/>
  <c r="Z863" i="1"/>
  <c r="BA866" i="1"/>
  <c r="G894" i="1"/>
  <c r="BA865" i="1"/>
  <c r="BA890" i="1"/>
  <c r="BA853" i="1"/>
  <c r="Z889" i="1"/>
  <c r="Z893" i="1"/>
  <c r="BA881" i="1"/>
  <c r="BA889" i="1"/>
  <c r="Z871" i="1"/>
  <c r="Z891" i="1"/>
  <c r="BA875" i="1"/>
  <c r="BA863" i="1"/>
  <c r="BA870" i="1"/>
  <c r="BA876" i="1"/>
  <c r="BA882" i="1"/>
  <c r="Z873" i="1"/>
  <c r="Z879" i="1"/>
  <c r="Z885" i="1"/>
  <c r="Y894" i="1"/>
  <c r="S894" i="1"/>
  <c r="Z872" i="1"/>
  <c r="Z878" i="1"/>
  <c r="Z887" i="1"/>
  <c r="Z870" i="1"/>
  <c r="Z884" i="1"/>
  <c r="Z890" i="1"/>
  <c r="M894" i="1"/>
  <c r="Z869" i="1"/>
  <c r="Z876" i="1"/>
  <c r="Z868" i="1"/>
  <c r="Z875" i="1"/>
  <c r="Z882" i="1"/>
  <c r="Z874" i="1"/>
  <c r="Z881" i="1"/>
  <c r="Z888" i="1"/>
  <c r="Z886" i="1"/>
  <c r="Z865" i="1"/>
  <c r="Z866" i="1"/>
  <c r="AN894" i="1"/>
  <c r="BA872" i="1"/>
  <c r="BA878" i="1"/>
  <c r="BA884" i="1"/>
  <c r="AZ894" i="1"/>
  <c r="AT894" i="1"/>
  <c r="BA871" i="1"/>
  <c r="BA877" i="1"/>
  <c r="BA883" i="1"/>
  <c r="BA868" i="1"/>
  <c r="BA874" i="1"/>
  <c r="BA880" i="1"/>
  <c r="BA873" i="1"/>
  <c r="BA887" i="1"/>
  <c r="AH894" i="1"/>
  <c r="BA879" i="1"/>
  <c r="BA886" i="1"/>
  <c r="BA885" i="1"/>
  <c r="AH850" i="1"/>
  <c r="AN850" i="1"/>
  <c r="AT850" i="1"/>
  <c r="AZ850" i="1"/>
  <c r="AH851" i="1"/>
  <c r="AN851" i="1"/>
  <c r="AT851" i="1"/>
  <c r="AZ851" i="1"/>
  <c r="AH852" i="1"/>
  <c r="AN852" i="1"/>
  <c r="AT852" i="1"/>
  <c r="AZ852" i="1"/>
  <c r="AH854" i="1"/>
  <c r="AN854" i="1"/>
  <c r="AT854" i="1"/>
  <c r="AZ854" i="1"/>
  <c r="AZ839" i="1"/>
  <c r="AT839" i="1"/>
  <c r="AN839" i="1"/>
  <c r="AH839" i="1"/>
  <c r="AZ833" i="1"/>
  <c r="AT833" i="1"/>
  <c r="AN833" i="1"/>
  <c r="AH833" i="1"/>
  <c r="AH814" i="1"/>
  <c r="AN814" i="1"/>
  <c r="AT814" i="1"/>
  <c r="AZ814" i="1"/>
  <c r="AH815" i="1"/>
  <c r="AN815" i="1"/>
  <c r="AT815" i="1"/>
  <c r="AZ815" i="1"/>
  <c r="AT1793" i="1" l="1"/>
  <c r="AZ1793" i="1"/>
  <c r="AN1793" i="1"/>
  <c r="AH1793" i="1"/>
  <c r="Z894" i="1"/>
  <c r="BA894" i="1"/>
  <c r="BA851" i="1"/>
  <c r="BA852" i="1"/>
  <c r="BA839" i="1"/>
  <c r="BA854" i="1"/>
  <c r="BA850" i="1"/>
  <c r="BA814" i="1"/>
  <c r="BA815" i="1"/>
  <c r="BA833" i="1"/>
  <c r="AZ831" i="1"/>
  <c r="AT831" i="1"/>
  <c r="AN831" i="1"/>
  <c r="AH831" i="1"/>
  <c r="AH825" i="1"/>
  <c r="AH826" i="1"/>
  <c r="AH827" i="1"/>
  <c r="AN825" i="1"/>
  <c r="AN826" i="1"/>
  <c r="AN827" i="1"/>
  <c r="AT825" i="1"/>
  <c r="AT826" i="1"/>
  <c r="AT827" i="1"/>
  <c r="AZ825" i="1"/>
  <c r="AZ826" i="1"/>
  <c r="AZ827" i="1"/>
  <c r="AY855" i="1"/>
  <c r="AX855" i="1"/>
  <c r="AW855" i="1"/>
  <c r="AV855" i="1"/>
  <c r="AU855" i="1"/>
  <c r="AS855" i="1"/>
  <c r="AR855" i="1"/>
  <c r="AQ855" i="1"/>
  <c r="AP855" i="1"/>
  <c r="AO855" i="1"/>
  <c r="AM855" i="1"/>
  <c r="AL855" i="1"/>
  <c r="AK855" i="1"/>
  <c r="AJ855" i="1"/>
  <c r="AI855" i="1"/>
  <c r="AG855" i="1"/>
  <c r="AF855" i="1"/>
  <c r="AE855" i="1"/>
  <c r="AD855" i="1"/>
  <c r="AC855" i="1"/>
  <c r="X855" i="1"/>
  <c r="W855" i="1"/>
  <c r="V855" i="1"/>
  <c r="U855" i="1"/>
  <c r="T855" i="1"/>
  <c r="R855" i="1"/>
  <c r="Q855" i="1"/>
  <c r="P855" i="1"/>
  <c r="O855" i="1"/>
  <c r="N855" i="1"/>
  <c r="L855" i="1"/>
  <c r="K855" i="1"/>
  <c r="J855" i="1"/>
  <c r="I855" i="1"/>
  <c r="H855" i="1"/>
  <c r="F855" i="1"/>
  <c r="E855" i="1"/>
  <c r="D855" i="1"/>
  <c r="C855" i="1"/>
  <c r="B855" i="1"/>
  <c r="Y854" i="1"/>
  <c r="S854" i="1"/>
  <c r="M854" i="1"/>
  <c r="G854" i="1"/>
  <c r="Y853" i="1"/>
  <c r="S853" i="1"/>
  <c r="M853" i="1"/>
  <c r="G853" i="1"/>
  <c r="Y852" i="1"/>
  <c r="S852" i="1"/>
  <c r="M852" i="1"/>
  <c r="G852" i="1"/>
  <c r="Y851" i="1"/>
  <c r="S851" i="1"/>
  <c r="M851" i="1"/>
  <c r="G851" i="1"/>
  <c r="Y850" i="1"/>
  <c r="S850" i="1"/>
  <c r="M850" i="1"/>
  <c r="G850" i="1"/>
  <c r="AZ849" i="1"/>
  <c r="AT849" i="1"/>
  <c r="AN849" i="1"/>
  <c r="AH849" i="1"/>
  <c r="Y849" i="1"/>
  <c r="S849" i="1"/>
  <c r="M849" i="1"/>
  <c r="G849" i="1"/>
  <c r="AZ848" i="1"/>
  <c r="AT848" i="1"/>
  <c r="AN848" i="1"/>
  <c r="AH848" i="1"/>
  <c r="Y848" i="1"/>
  <c r="S848" i="1"/>
  <c r="M848" i="1"/>
  <c r="G848" i="1"/>
  <c r="AZ847" i="1"/>
  <c r="AT847" i="1"/>
  <c r="AN847" i="1"/>
  <c r="AH847" i="1"/>
  <c r="Y847" i="1"/>
  <c r="S847" i="1"/>
  <c r="M847" i="1"/>
  <c r="G847" i="1"/>
  <c r="AZ846" i="1"/>
  <c r="AT846" i="1"/>
  <c r="AN846" i="1"/>
  <c r="AH846" i="1"/>
  <c r="Y846" i="1"/>
  <c r="S846" i="1"/>
  <c r="M846" i="1"/>
  <c r="G846" i="1"/>
  <c r="AZ845" i="1"/>
  <c r="AT845" i="1"/>
  <c r="AN845" i="1"/>
  <c r="AH845" i="1"/>
  <c r="Y845" i="1"/>
  <c r="S845" i="1"/>
  <c r="M845" i="1"/>
  <c r="G845" i="1"/>
  <c r="AZ844" i="1"/>
  <c r="AT844" i="1"/>
  <c r="AN844" i="1"/>
  <c r="AH844" i="1"/>
  <c r="Y844" i="1"/>
  <c r="S844" i="1"/>
  <c r="M844" i="1"/>
  <c r="G844" i="1"/>
  <c r="AZ843" i="1"/>
  <c r="AT843" i="1"/>
  <c r="AN843" i="1"/>
  <c r="AH843" i="1"/>
  <c r="Y843" i="1"/>
  <c r="S843" i="1"/>
  <c r="M843" i="1"/>
  <c r="G843" i="1"/>
  <c r="AZ842" i="1"/>
  <c r="AT842" i="1"/>
  <c r="AN842" i="1"/>
  <c r="AH842" i="1"/>
  <c r="Y842" i="1"/>
  <c r="S842" i="1"/>
  <c r="M842" i="1"/>
  <c r="G842" i="1"/>
  <c r="AZ841" i="1"/>
  <c r="AT841" i="1"/>
  <c r="AN841" i="1"/>
  <c r="AH841" i="1"/>
  <c r="Y841" i="1"/>
  <c r="S841" i="1"/>
  <c r="M841" i="1"/>
  <c r="G841" i="1"/>
  <c r="AZ840" i="1"/>
  <c r="AT840" i="1"/>
  <c r="AN840" i="1"/>
  <c r="AH840" i="1"/>
  <c r="Y840" i="1"/>
  <c r="S840" i="1"/>
  <c r="M840" i="1"/>
  <c r="G840" i="1"/>
  <c r="Y839" i="1"/>
  <c r="S839" i="1"/>
  <c r="M839" i="1"/>
  <c r="G839" i="1"/>
  <c r="AZ838" i="1"/>
  <c r="AT838" i="1"/>
  <c r="AN838" i="1"/>
  <c r="AH838" i="1"/>
  <c r="Y838" i="1"/>
  <c r="S838" i="1"/>
  <c r="M838" i="1"/>
  <c r="G838" i="1"/>
  <c r="AZ837" i="1"/>
  <c r="AT837" i="1"/>
  <c r="AN837" i="1"/>
  <c r="AH837" i="1"/>
  <c r="Y837" i="1"/>
  <c r="S837" i="1"/>
  <c r="M837" i="1"/>
  <c r="G837" i="1"/>
  <c r="AZ836" i="1"/>
  <c r="AT836" i="1"/>
  <c r="AN836" i="1"/>
  <c r="AH836" i="1"/>
  <c r="Y836" i="1"/>
  <c r="S836" i="1"/>
  <c r="M836" i="1"/>
  <c r="G836" i="1"/>
  <c r="AZ835" i="1"/>
  <c r="AT835" i="1"/>
  <c r="AN835" i="1"/>
  <c r="AH835" i="1"/>
  <c r="Y835" i="1"/>
  <c r="S835" i="1"/>
  <c r="M835" i="1"/>
  <c r="G835" i="1"/>
  <c r="AZ834" i="1"/>
  <c r="AT834" i="1"/>
  <c r="AN834" i="1"/>
  <c r="AH834" i="1"/>
  <c r="Y834" i="1"/>
  <c r="S834" i="1"/>
  <c r="M834" i="1"/>
  <c r="G834" i="1"/>
  <c r="Y833" i="1"/>
  <c r="S833" i="1"/>
  <c r="M833" i="1"/>
  <c r="G833" i="1"/>
  <c r="AZ832" i="1"/>
  <c r="AT832" i="1"/>
  <c r="AN832" i="1"/>
  <c r="AH832" i="1"/>
  <c r="Y832" i="1"/>
  <c r="S832" i="1"/>
  <c r="M832" i="1"/>
  <c r="G832" i="1"/>
  <c r="Y831" i="1"/>
  <c r="S831" i="1"/>
  <c r="M831" i="1"/>
  <c r="G831" i="1"/>
  <c r="AZ830" i="1"/>
  <c r="AT830" i="1"/>
  <c r="AN830" i="1"/>
  <c r="AH830" i="1"/>
  <c r="Y830" i="1"/>
  <c r="S830" i="1"/>
  <c r="M830" i="1"/>
  <c r="G830" i="1"/>
  <c r="AZ829" i="1"/>
  <c r="AT829" i="1"/>
  <c r="AN829" i="1"/>
  <c r="AH829" i="1"/>
  <c r="Y829" i="1"/>
  <c r="S829" i="1"/>
  <c r="M829" i="1"/>
  <c r="G829" i="1"/>
  <c r="Y827" i="1"/>
  <c r="S827" i="1"/>
  <c r="M827" i="1"/>
  <c r="G827" i="1"/>
  <c r="Y826" i="1"/>
  <c r="S826" i="1"/>
  <c r="M826" i="1"/>
  <c r="G826" i="1"/>
  <c r="Y825" i="1"/>
  <c r="S825" i="1"/>
  <c r="M825" i="1"/>
  <c r="G825" i="1"/>
  <c r="AZ824" i="1"/>
  <c r="AT824" i="1"/>
  <c r="AN824" i="1"/>
  <c r="AH824" i="1"/>
  <c r="Y824" i="1"/>
  <c r="S824" i="1"/>
  <c r="M824" i="1"/>
  <c r="G824" i="1"/>
  <c r="AZ798" i="1"/>
  <c r="AT798" i="1"/>
  <c r="AN798" i="1"/>
  <c r="AH798" i="1"/>
  <c r="Y805" i="1"/>
  <c r="S805" i="1"/>
  <c r="M805" i="1"/>
  <c r="G805" i="1"/>
  <c r="AZ794" i="1"/>
  <c r="AT794" i="1"/>
  <c r="AN794" i="1"/>
  <c r="AH794" i="1"/>
  <c r="AZ793" i="1"/>
  <c r="AT793" i="1"/>
  <c r="AN793" i="1"/>
  <c r="AH793" i="1"/>
  <c r="AZ792" i="1"/>
  <c r="AT792" i="1"/>
  <c r="AN792" i="1"/>
  <c r="AH792" i="1"/>
  <c r="AZ791" i="1"/>
  <c r="AT791" i="1"/>
  <c r="AN791" i="1"/>
  <c r="AH791" i="1"/>
  <c r="AZ756" i="1"/>
  <c r="AT756" i="1"/>
  <c r="AN756" i="1"/>
  <c r="AH756" i="1"/>
  <c r="AZ747" i="1"/>
  <c r="AT747" i="1"/>
  <c r="AN747" i="1"/>
  <c r="AH747" i="1"/>
  <c r="AZ746" i="1"/>
  <c r="AT746" i="1"/>
  <c r="AN746" i="1"/>
  <c r="AH746" i="1"/>
  <c r="AZ752" i="1"/>
  <c r="AT752" i="1"/>
  <c r="AN752" i="1"/>
  <c r="AH752" i="1"/>
  <c r="AY816" i="1"/>
  <c r="AX816" i="1"/>
  <c r="AW816" i="1"/>
  <c r="AV816" i="1"/>
  <c r="AU816" i="1"/>
  <c r="AS816" i="1"/>
  <c r="AR816" i="1"/>
  <c r="AQ816" i="1"/>
  <c r="AP816" i="1"/>
  <c r="AO816" i="1"/>
  <c r="AM816" i="1"/>
  <c r="AL816" i="1"/>
  <c r="AK816" i="1"/>
  <c r="AJ816" i="1"/>
  <c r="AI816" i="1"/>
  <c r="AG816" i="1"/>
  <c r="AF816" i="1"/>
  <c r="AE816" i="1"/>
  <c r="AD816" i="1"/>
  <c r="AC816" i="1"/>
  <c r="X816" i="1"/>
  <c r="W816" i="1"/>
  <c r="V816" i="1"/>
  <c r="U816" i="1"/>
  <c r="T816" i="1"/>
  <c r="R816" i="1"/>
  <c r="Q816" i="1"/>
  <c r="P816" i="1"/>
  <c r="O816" i="1"/>
  <c r="N816" i="1"/>
  <c r="L816" i="1"/>
  <c r="K816" i="1"/>
  <c r="J816" i="1"/>
  <c r="I816" i="1"/>
  <c r="H816" i="1"/>
  <c r="F816" i="1"/>
  <c r="E816" i="1"/>
  <c r="D816" i="1"/>
  <c r="C816" i="1"/>
  <c r="B816" i="1"/>
  <c r="Y815" i="1"/>
  <c r="S815" i="1"/>
  <c r="M815" i="1"/>
  <c r="G815" i="1"/>
  <c r="Y814" i="1"/>
  <c r="S814" i="1"/>
  <c r="M814" i="1"/>
  <c r="G814" i="1"/>
  <c r="AZ813" i="1"/>
  <c r="AT813" i="1"/>
  <c r="AN813" i="1"/>
  <c r="AH813" i="1"/>
  <c r="Y813" i="1"/>
  <c r="S813" i="1"/>
  <c r="M813" i="1"/>
  <c r="G813" i="1"/>
  <c r="AZ812" i="1"/>
  <c r="AT812" i="1"/>
  <c r="AN812" i="1"/>
  <c r="AH812" i="1"/>
  <c r="Y812" i="1"/>
  <c r="S812" i="1"/>
  <c r="M812" i="1"/>
  <c r="G812" i="1"/>
  <c r="AZ811" i="1"/>
  <c r="AT811" i="1"/>
  <c r="AN811" i="1"/>
  <c r="AH811" i="1"/>
  <c r="Y811" i="1"/>
  <c r="S811" i="1"/>
  <c r="M811" i="1"/>
  <c r="G811" i="1"/>
  <c r="AZ810" i="1"/>
  <c r="AT810" i="1"/>
  <c r="AN810" i="1"/>
  <c r="AH810" i="1"/>
  <c r="Y810" i="1"/>
  <c r="S810" i="1"/>
  <c r="M810" i="1"/>
  <c r="G810" i="1"/>
  <c r="AZ809" i="1"/>
  <c r="AT809" i="1"/>
  <c r="AN809" i="1"/>
  <c r="AH809" i="1"/>
  <c r="Y809" i="1"/>
  <c r="S809" i="1"/>
  <c r="M809" i="1"/>
  <c r="G809" i="1"/>
  <c r="AZ808" i="1"/>
  <c r="AT808" i="1"/>
  <c r="AN808" i="1"/>
  <c r="AH808" i="1"/>
  <c r="Y808" i="1"/>
  <c r="S808" i="1"/>
  <c r="M808" i="1"/>
  <c r="G808" i="1"/>
  <c r="AZ807" i="1"/>
  <c r="AT807" i="1"/>
  <c r="AN807" i="1"/>
  <c r="AH807" i="1"/>
  <c r="Y807" i="1"/>
  <c r="S807" i="1"/>
  <c r="M807" i="1"/>
  <c r="G807" i="1"/>
  <c r="AZ806" i="1"/>
  <c r="AT806" i="1"/>
  <c r="AN806" i="1"/>
  <c r="AH806" i="1"/>
  <c r="Y806" i="1"/>
  <c r="S806" i="1"/>
  <c r="M806" i="1"/>
  <c r="G806" i="1"/>
  <c r="AZ805" i="1"/>
  <c r="AT805" i="1"/>
  <c r="AN805" i="1"/>
  <c r="AH805" i="1"/>
  <c r="AZ804" i="1"/>
  <c r="AT804" i="1"/>
  <c r="AN804" i="1"/>
  <c r="AH804" i="1"/>
  <c r="Y804" i="1"/>
  <c r="S804" i="1"/>
  <c r="M804" i="1"/>
  <c r="G804" i="1"/>
  <c r="AZ803" i="1"/>
  <c r="AT803" i="1"/>
  <c r="AN803" i="1"/>
  <c r="AH803" i="1"/>
  <c r="Y803" i="1"/>
  <c r="S803" i="1"/>
  <c r="M803" i="1"/>
  <c r="G803" i="1"/>
  <c r="AZ802" i="1"/>
  <c r="AT802" i="1"/>
  <c r="AN802" i="1"/>
  <c r="AH802" i="1"/>
  <c r="Y802" i="1"/>
  <c r="S802" i="1"/>
  <c r="M802" i="1"/>
  <c r="G802" i="1"/>
  <c r="AZ801" i="1"/>
  <c r="AT801" i="1"/>
  <c r="AN801" i="1"/>
  <c r="AH801" i="1"/>
  <c r="Y801" i="1"/>
  <c r="S801" i="1"/>
  <c r="M801" i="1"/>
  <c r="G801" i="1"/>
  <c r="AZ800" i="1"/>
  <c r="AT800" i="1"/>
  <c r="AN800" i="1"/>
  <c r="AH800" i="1"/>
  <c r="Y800" i="1"/>
  <c r="S800" i="1"/>
  <c r="M800" i="1"/>
  <c r="G800" i="1"/>
  <c r="AZ799" i="1"/>
  <c r="AT799" i="1"/>
  <c r="AN799" i="1"/>
  <c r="AH799" i="1"/>
  <c r="Y799" i="1"/>
  <c r="S799" i="1"/>
  <c r="M799" i="1"/>
  <c r="G799" i="1"/>
  <c r="Y798" i="1"/>
  <c r="S798" i="1"/>
  <c r="M798" i="1"/>
  <c r="G798" i="1"/>
  <c r="AZ797" i="1"/>
  <c r="AT797" i="1"/>
  <c r="AN797" i="1"/>
  <c r="AH797" i="1"/>
  <c r="Y797" i="1"/>
  <c r="S797" i="1"/>
  <c r="M797" i="1"/>
  <c r="G797" i="1"/>
  <c r="AZ796" i="1"/>
  <c r="AT796" i="1"/>
  <c r="AN796" i="1"/>
  <c r="AH796" i="1"/>
  <c r="Y796" i="1"/>
  <c r="S796" i="1"/>
  <c r="M796" i="1"/>
  <c r="G796" i="1"/>
  <c r="AZ795" i="1"/>
  <c r="AT795" i="1"/>
  <c r="AN795" i="1"/>
  <c r="AH795" i="1"/>
  <c r="Y795" i="1"/>
  <c r="S795" i="1"/>
  <c r="M795" i="1"/>
  <c r="G795" i="1"/>
  <c r="Y794" i="1"/>
  <c r="S794" i="1"/>
  <c r="M794" i="1"/>
  <c r="G794" i="1"/>
  <c r="Y793" i="1"/>
  <c r="S793" i="1"/>
  <c r="M793" i="1"/>
  <c r="G793" i="1"/>
  <c r="Y792" i="1"/>
  <c r="S792" i="1"/>
  <c r="M792" i="1"/>
  <c r="G792" i="1"/>
  <c r="Y791" i="1"/>
  <c r="S791" i="1"/>
  <c r="M791" i="1"/>
  <c r="G791" i="1"/>
  <c r="AZ790" i="1"/>
  <c r="AT790" i="1"/>
  <c r="AN790" i="1"/>
  <c r="AH790" i="1"/>
  <c r="Y790" i="1"/>
  <c r="S790" i="1"/>
  <c r="M790" i="1"/>
  <c r="G790" i="1"/>
  <c r="AZ788" i="1"/>
  <c r="AT788" i="1"/>
  <c r="AN788" i="1"/>
  <c r="AH788" i="1"/>
  <c r="Y788" i="1"/>
  <c r="S788" i="1"/>
  <c r="M788" i="1"/>
  <c r="G788" i="1"/>
  <c r="AZ787" i="1"/>
  <c r="AT787" i="1"/>
  <c r="AN787" i="1"/>
  <c r="AH787" i="1"/>
  <c r="Y787" i="1"/>
  <c r="S787" i="1"/>
  <c r="M787" i="1"/>
  <c r="G787" i="1"/>
  <c r="Y786" i="1"/>
  <c r="S786" i="1"/>
  <c r="M786" i="1"/>
  <c r="G786" i="1"/>
  <c r="AZ785" i="1"/>
  <c r="AT785" i="1"/>
  <c r="AN785" i="1"/>
  <c r="AH785" i="1"/>
  <c r="Y785" i="1"/>
  <c r="S785" i="1"/>
  <c r="M785" i="1"/>
  <c r="G785" i="1"/>
  <c r="AG1715" i="1" l="1"/>
  <c r="AG1754" i="1"/>
  <c r="AO1715" i="1"/>
  <c r="AO1754" i="1"/>
  <c r="AV1754" i="1"/>
  <c r="AV1715" i="1"/>
  <c r="AI1715" i="1"/>
  <c r="AI1754" i="1"/>
  <c r="AP1754" i="1"/>
  <c r="AP1715" i="1"/>
  <c r="AW1754" i="1"/>
  <c r="AW1715" i="1"/>
  <c r="AC1754" i="1"/>
  <c r="AC1715" i="1"/>
  <c r="AJ1754" i="1"/>
  <c r="AJ1715" i="1"/>
  <c r="AQ1715" i="1"/>
  <c r="AQ1754" i="1"/>
  <c r="AX1715" i="1"/>
  <c r="AX1754" i="1"/>
  <c r="AD1715" i="1"/>
  <c r="AD1754" i="1"/>
  <c r="AK1754" i="1"/>
  <c r="AK1715" i="1"/>
  <c r="AR1715" i="1"/>
  <c r="AR1754" i="1"/>
  <c r="AY1715" i="1"/>
  <c r="AY1754" i="1"/>
  <c r="AE1754" i="1"/>
  <c r="AE1715" i="1"/>
  <c r="AL1715" i="1"/>
  <c r="AL1754" i="1"/>
  <c r="AS1715" i="1"/>
  <c r="AS1754" i="1"/>
  <c r="AF1754" i="1"/>
  <c r="AF1715" i="1"/>
  <c r="AM1754" i="1"/>
  <c r="AM1715" i="1"/>
  <c r="AU1715" i="1"/>
  <c r="AU1754" i="1"/>
  <c r="BA830" i="1"/>
  <c r="BA832" i="1"/>
  <c r="BA834" i="1"/>
  <c r="BA840" i="1"/>
  <c r="BA846" i="1"/>
  <c r="BA835" i="1"/>
  <c r="BA838" i="1"/>
  <c r="BA841" i="1"/>
  <c r="BA844" i="1"/>
  <c r="BA847" i="1"/>
  <c r="Y855" i="1"/>
  <c r="BA837" i="1"/>
  <c r="BA843" i="1"/>
  <c r="BA849" i="1"/>
  <c r="Z854" i="1"/>
  <c r="BA836" i="1"/>
  <c r="BA842" i="1"/>
  <c r="BA848" i="1"/>
  <c r="M855" i="1"/>
  <c r="BA825" i="1"/>
  <c r="BA845" i="1"/>
  <c r="BA831" i="1"/>
  <c r="S855" i="1"/>
  <c r="Z825" i="1"/>
  <c r="Z844" i="1"/>
  <c r="Z847" i="1"/>
  <c r="Z850" i="1"/>
  <c r="BA829" i="1"/>
  <c r="Z831" i="1"/>
  <c r="Z834" i="1"/>
  <c r="Z837" i="1"/>
  <c r="Z849" i="1"/>
  <c r="Z852" i="1"/>
  <c r="AZ855" i="1"/>
  <c r="G855" i="1"/>
  <c r="BA827" i="1"/>
  <c r="BA826" i="1"/>
  <c r="BA824" i="1"/>
  <c r="AT855" i="1"/>
  <c r="AN855" i="1"/>
  <c r="AH855" i="1"/>
  <c r="Z853" i="1"/>
  <c r="Z840" i="1"/>
  <c r="Z833" i="1"/>
  <c r="Z851" i="1"/>
  <c r="Z843" i="1"/>
  <c r="Z836" i="1"/>
  <c r="Z839" i="1"/>
  <c r="Z846" i="1"/>
  <c r="Z832" i="1"/>
  <c r="Z835" i="1"/>
  <c r="Z842" i="1"/>
  <c r="Z838" i="1"/>
  <c r="Z845" i="1"/>
  <c r="Z830" i="1"/>
  <c r="Z841" i="1"/>
  <c r="Z848" i="1"/>
  <c r="Z829" i="1"/>
  <c r="Z826" i="1"/>
  <c r="Z824" i="1"/>
  <c r="Z827" i="1"/>
  <c r="BA798" i="1"/>
  <c r="Z805" i="1"/>
  <c r="BA793" i="1"/>
  <c r="BA794" i="1"/>
  <c r="BA792" i="1"/>
  <c r="BA791" i="1"/>
  <c r="BA756" i="1"/>
  <c r="BA747" i="1"/>
  <c r="BA746" i="1"/>
  <c r="BA752" i="1"/>
  <c r="Z786" i="1"/>
  <c r="Z788" i="1"/>
  <c r="BA790" i="1"/>
  <c r="Z792" i="1"/>
  <c r="Z795" i="1"/>
  <c r="BA796" i="1"/>
  <c r="Z798" i="1"/>
  <c r="BA799" i="1"/>
  <c r="Z801" i="1"/>
  <c r="BA802" i="1"/>
  <c r="Z804" i="1"/>
  <c r="BA805" i="1"/>
  <c r="Z807" i="1"/>
  <c r="BA808" i="1"/>
  <c r="Z810" i="1"/>
  <c r="BA811" i="1"/>
  <c r="Z790" i="1"/>
  <c r="Z796" i="1"/>
  <c r="BA797" i="1"/>
  <c r="Z799" i="1"/>
  <c r="BA800" i="1"/>
  <c r="Z802" i="1"/>
  <c r="BA803" i="1"/>
  <c r="BA806" i="1"/>
  <c r="Z808" i="1"/>
  <c r="BA809" i="1"/>
  <c r="BA812" i="1"/>
  <c r="Z814" i="1"/>
  <c r="AH816" i="1"/>
  <c r="BA785" i="1"/>
  <c r="BA787" i="1"/>
  <c r="Z793" i="1"/>
  <c r="Z811" i="1"/>
  <c r="M816" i="1"/>
  <c r="AZ816" i="1"/>
  <c r="Z813" i="1"/>
  <c r="G816" i="1"/>
  <c r="AT816" i="1"/>
  <c r="AN816" i="1"/>
  <c r="Y816" i="1"/>
  <c r="Z785" i="1"/>
  <c r="Z787" i="1"/>
  <c r="BA788" i="1"/>
  <c r="Z791" i="1"/>
  <c r="Z794" i="1"/>
  <c r="BA795" i="1"/>
  <c r="Z797" i="1"/>
  <c r="Z800" i="1"/>
  <c r="BA801" i="1"/>
  <c r="Z803" i="1"/>
  <c r="BA804" i="1"/>
  <c r="Z806" i="1"/>
  <c r="BA807" i="1"/>
  <c r="Z809" i="1"/>
  <c r="BA810" i="1"/>
  <c r="Z812" i="1"/>
  <c r="BA813" i="1"/>
  <c r="Z815" i="1"/>
  <c r="S816" i="1"/>
  <c r="AZ737" i="1"/>
  <c r="AT737" i="1"/>
  <c r="AN737" i="1"/>
  <c r="AH737" i="1"/>
  <c r="AZ736" i="1"/>
  <c r="AT736" i="1"/>
  <c r="AN736" i="1"/>
  <c r="AH736" i="1"/>
  <c r="AY777" i="1"/>
  <c r="AW777" i="1"/>
  <c r="AU777" i="1"/>
  <c r="AR777" i="1"/>
  <c r="AO777" i="1"/>
  <c r="AM777" i="1"/>
  <c r="AL777" i="1"/>
  <c r="AK777" i="1"/>
  <c r="AJ777" i="1"/>
  <c r="AI777" i="1"/>
  <c r="AG777" i="1"/>
  <c r="AF777" i="1"/>
  <c r="AD777" i="1"/>
  <c r="X777" i="1"/>
  <c r="W777" i="1"/>
  <c r="V777" i="1"/>
  <c r="U777" i="1"/>
  <c r="T777" i="1"/>
  <c r="R777" i="1"/>
  <c r="Q777" i="1"/>
  <c r="P777" i="1"/>
  <c r="O777" i="1"/>
  <c r="N777" i="1"/>
  <c r="L777" i="1"/>
  <c r="K777" i="1"/>
  <c r="J777" i="1"/>
  <c r="I777" i="1"/>
  <c r="H777" i="1"/>
  <c r="F777" i="1"/>
  <c r="E777" i="1"/>
  <c r="D777" i="1"/>
  <c r="C777" i="1"/>
  <c r="B777" i="1"/>
  <c r="AX777" i="1"/>
  <c r="AV777" i="1"/>
  <c r="AS777" i="1"/>
  <c r="AQ777" i="1"/>
  <c r="AT776" i="1"/>
  <c r="AN776" i="1"/>
  <c r="AE777" i="1"/>
  <c r="AC777" i="1"/>
  <c r="Y776" i="1"/>
  <c r="S776" i="1"/>
  <c r="M776" i="1"/>
  <c r="G776" i="1"/>
  <c r="AZ775" i="1"/>
  <c r="AT775" i="1"/>
  <c r="AN775" i="1"/>
  <c r="AH775" i="1"/>
  <c r="Y775" i="1"/>
  <c r="S775" i="1"/>
  <c r="M775" i="1"/>
  <c r="G775" i="1"/>
  <c r="AZ774" i="1"/>
  <c r="AT774" i="1"/>
  <c r="AN774" i="1"/>
  <c r="AH774" i="1"/>
  <c r="Y774" i="1"/>
  <c r="S774" i="1"/>
  <c r="M774" i="1"/>
  <c r="G774" i="1"/>
  <c r="AZ773" i="1"/>
  <c r="AT773" i="1"/>
  <c r="AN773" i="1"/>
  <c r="AH773" i="1"/>
  <c r="Y773" i="1"/>
  <c r="S773" i="1"/>
  <c r="M773" i="1"/>
  <c r="G773" i="1"/>
  <c r="AZ772" i="1"/>
  <c r="AT772" i="1"/>
  <c r="AN772" i="1"/>
  <c r="AH772" i="1"/>
  <c r="Y772" i="1"/>
  <c r="S772" i="1"/>
  <c r="M772" i="1"/>
  <c r="G772" i="1"/>
  <c r="AZ771" i="1"/>
  <c r="AT771" i="1"/>
  <c r="AN771" i="1"/>
  <c r="AH771" i="1"/>
  <c r="Y771" i="1"/>
  <c r="S771" i="1"/>
  <c r="M771" i="1"/>
  <c r="G771" i="1"/>
  <c r="AZ770" i="1"/>
  <c r="AT770" i="1"/>
  <c r="AN770" i="1"/>
  <c r="AH770" i="1"/>
  <c r="Y770" i="1"/>
  <c r="S770" i="1"/>
  <c r="M770" i="1"/>
  <c r="G770" i="1"/>
  <c r="AZ769" i="1"/>
  <c r="AT769" i="1"/>
  <c r="AN769" i="1"/>
  <c r="AH769" i="1"/>
  <c r="Y769" i="1"/>
  <c r="S769" i="1"/>
  <c r="M769" i="1"/>
  <c r="G769" i="1"/>
  <c r="AZ768" i="1"/>
  <c r="AT768" i="1"/>
  <c r="AN768" i="1"/>
  <c r="AH768" i="1"/>
  <c r="Y768" i="1"/>
  <c r="S768" i="1"/>
  <c r="M768" i="1"/>
  <c r="G768" i="1"/>
  <c r="AZ767" i="1"/>
  <c r="AT767" i="1"/>
  <c r="AN767" i="1"/>
  <c r="AH767" i="1"/>
  <c r="Y767" i="1"/>
  <c r="S767" i="1"/>
  <c r="M767" i="1"/>
  <c r="G767" i="1"/>
  <c r="AZ766" i="1"/>
  <c r="AT766" i="1"/>
  <c r="AN766" i="1"/>
  <c r="AH766" i="1"/>
  <c r="Y766" i="1"/>
  <c r="S766" i="1"/>
  <c r="M766" i="1"/>
  <c r="G766" i="1"/>
  <c r="AZ765" i="1"/>
  <c r="AT765" i="1"/>
  <c r="AN765" i="1"/>
  <c r="AH765" i="1"/>
  <c r="Y765" i="1"/>
  <c r="S765" i="1"/>
  <c r="M765" i="1"/>
  <c r="G765" i="1"/>
  <c r="AZ764" i="1"/>
  <c r="AT764" i="1"/>
  <c r="AN764" i="1"/>
  <c r="AH764" i="1"/>
  <c r="Y764" i="1"/>
  <c r="S764" i="1"/>
  <c r="M764" i="1"/>
  <c r="G764" i="1"/>
  <c r="AZ763" i="1"/>
  <c r="AT763" i="1"/>
  <c r="AN763" i="1"/>
  <c r="AH763" i="1"/>
  <c r="Y763" i="1"/>
  <c r="S763" i="1"/>
  <c r="M763" i="1"/>
  <c r="G763" i="1"/>
  <c r="AZ762" i="1"/>
  <c r="AT762" i="1"/>
  <c r="AN762" i="1"/>
  <c r="AH762" i="1"/>
  <c r="Y762" i="1"/>
  <c r="S762" i="1"/>
  <c r="M762" i="1"/>
  <c r="G762" i="1"/>
  <c r="AZ761" i="1"/>
  <c r="AT761" i="1"/>
  <c r="AN761" i="1"/>
  <c r="AH761" i="1"/>
  <c r="Y761" i="1"/>
  <c r="S761" i="1"/>
  <c r="M761" i="1"/>
  <c r="G761" i="1"/>
  <c r="AZ760" i="1"/>
  <c r="AT760" i="1"/>
  <c r="AN760" i="1"/>
  <c r="AH760" i="1"/>
  <c r="Y760" i="1"/>
  <c r="S760" i="1"/>
  <c r="M760" i="1"/>
  <c r="G760" i="1"/>
  <c r="AZ759" i="1"/>
  <c r="AT759" i="1"/>
  <c r="AN759" i="1"/>
  <c r="AH759" i="1"/>
  <c r="Y759" i="1"/>
  <c r="S759" i="1"/>
  <c r="M759" i="1"/>
  <c r="G759" i="1"/>
  <c r="AZ758" i="1"/>
  <c r="AT758" i="1"/>
  <c r="AN758" i="1"/>
  <c r="AH758" i="1"/>
  <c r="Y758" i="1"/>
  <c r="S758" i="1"/>
  <c r="M758" i="1"/>
  <c r="G758" i="1"/>
  <c r="AZ757" i="1"/>
  <c r="AT757" i="1"/>
  <c r="AN757" i="1"/>
  <c r="AH757" i="1"/>
  <c r="Y757" i="1"/>
  <c r="S757" i="1"/>
  <c r="M757" i="1"/>
  <c r="G757" i="1"/>
  <c r="Y756" i="1"/>
  <c r="S756" i="1"/>
  <c r="M756" i="1"/>
  <c r="G756" i="1"/>
  <c r="AZ755" i="1"/>
  <c r="AT755" i="1"/>
  <c r="AN755" i="1"/>
  <c r="AH755" i="1"/>
  <c r="Y755" i="1"/>
  <c r="S755" i="1"/>
  <c r="M755" i="1"/>
  <c r="G755" i="1"/>
  <c r="AZ754" i="1"/>
  <c r="AT754" i="1"/>
  <c r="AN754" i="1"/>
  <c r="AH754" i="1"/>
  <c r="Y754" i="1"/>
  <c r="S754" i="1"/>
  <c r="M754" i="1"/>
  <c r="G754" i="1"/>
  <c r="AZ753" i="1"/>
  <c r="AT753" i="1"/>
  <c r="AN753" i="1"/>
  <c r="AH753" i="1"/>
  <c r="Y753" i="1"/>
  <c r="S753" i="1"/>
  <c r="M753" i="1"/>
  <c r="G753" i="1"/>
  <c r="Y752" i="1"/>
  <c r="S752" i="1"/>
  <c r="M752" i="1"/>
  <c r="G752" i="1"/>
  <c r="AZ751" i="1"/>
  <c r="AT751" i="1"/>
  <c r="AN751" i="1"/>
  <c r="AH751" i="1"/>
  <c r="Y751" i="1"/>
  <c r="S751" i="1"/>
  <c r="M751" i="1"/>
  <c r="G751" i="1"/>
  <c r="AZ749" i="1"/>
  <c r="AT749" i="1"/>
  <c r="AN749" i="1"/>
  <c r="AH749" i="1"/>
  <c r="Y749" i="1"/>
  <c r="S749" i="1"/>
  <c r="M749" i="1"/>
  <c r="G749" i="1"/>
  <c r="AZ748" i="1"/>
  <c r="AT748" i="1"/>
  <c r="AN748" i="1"/>
  <c r="AH748" i="1"/>
  <c r="Y748" i="1"/>
  <c r="S748" i="1"/>
  <c r="M748" i="1"/>
  <c r="G748" i="1"/>
  <c r="Y747" i="1"/>
  <c r="S747" i="1"/>
  <c r="M747" i="1"/>
  <c r="G747" i="1"/>
  <c r="Y746" i="1"/>
  <c r="S746" i="1"/>
  <c r="M746" i="1"/>
  <c r="G746" i="1"/>
  <c r="AZ1715" i="1" l="1"/>
  <c r="AU1716" i="1"/>
  <c r="AY1755" i="1"/>
  <c r="AD1755" i="1"/>
  <c r="AW1755" i="1"/>
  <c r="AV1755" i="1"/>
  <c r="AW1716" i="1"/>
  <c r="AT1754" i="1"/>
  <c r="AZ1754" i="1"/>
  <c r="AU1755" i="1"/>
  <c r="AT1715" i="1"/>
  <c r="AS1755" i="1" s="1"/>
  <c r="AX1755" i="1"/>
  <c r="AH1715" i="1"/>
  <c r="AF1755" i="1" s="1"/>
  <c r="AC1716" i="1"/>
  <c r="AX1716" i="1"/>
  <c r="AH1754" i="1"/>
  <c r="AN1754" i="1"/>
  <c r="AV1716" i="1"/>
  <c r="AN1715" i="1"/>
  <c r="AM1716" i="1" s="1"/>
  <c r="Z855" i="1"/>
  <c r="BA855" i="1"/>
  <c r="BA816" i="1"/>
  <c r="Z752" i="1"/>
  <c r="Z755" i="1"/>
  <c r="Z761" i="1"/>
  <c r="Z764" i="1"/>
  <c r="BA765" i="1"/>
  <c r="BA771" i="1"/>
  <c r="BA774" i="1"/>
  <c r="Z776" i="1"/>
  <c r="G777" i="1"/>
  <c r="Z816" i="1"/>
  <c r="BA737" i="1"/>
  <c r="AH777" i="1"/>
  <c r="Z751" i="1"/>
  <c r="Z754" i="1"/>
  <c r="BA755" i="1"/>
  <c r="Z757" i="1"/>
  <c r="Z760" i="1"/>
  <c r="Z763" i="1"/>
  <c r="BA764" i="1"/>
  <c r="BA767" i="1"/>
  <c r="BA770" i="1"/>
  <c r="BA773" i="1"/>
  <c r="Z775" i="1"/>
  <c r="BA749" i="1"/>
  <c r="BA751" i="1"/>
  <c r="Z753" i="1"/>
  <c r="BA754" i="1"/>
  <c r="BA757" i="1"/>
  <c r="Z759" i="1"/>
  <c r="Z765" i="1"/>
  <c r="BA772" i="1"/>
  <c r="Z774" i="1"/>
  <c r="BA775" i="1"/>
  <c r="BA748" i="1"/>
  <c r="Y777" i="1"/>
  <c r="BA736" i="1"/>
  <c r="BA763" i="1"/>
  <c r="BA769" i="1"/>
  <c r="BA753" i="1"/>
  <c r="BA758" i="1"/>
  <c r="BA759" i="1"/>
  <c r="BA760" i="1"/>
  <c r="BA761" i="1"/>
  <c r="BA762" i="1"/>
  <c r="BA766" i="1"/>
  <c r="BA768" i="1"/>
  <c r="AN777" i="1"/>
  <c r="Z766" i="1"/>
  <c r="Z767" i="1"/>
  <c r="Z768" i="1"/>
  <c r="Z769" i="1"/>
  <c r="Z770" i="1"/>
  <c r="Z771" i="1"/>
  <c r="Z772" i="1"/>
  <c r="Z773" i="1"/>
  <c r="Z756" i="1"/>
  <c r="Z758" i="1"/>
  <c r="Z762" i="1"/>
  <c r="S777" i="1"/>
  <c r="M777" i="1"/>
  <c r="Z746" i="1"/>
  <c r="Z747" i="1"/>
  <c r="Z748" i="1"/>
  <c r="Z749" i="1"/>
  <c r="AZ777" i="1"/>
  <c r="AH776" i="1"/>
  <c r="AZ776" i="1"/>
  <c r="AP777" i="1"/>
  <c r="AZ707" i="1"/>
  <c r="AT707" i="1"/>
  <c r="AN707" i="1"/>
  <c r="AH707" i="1"/>
  <c r="AQ1755" i="1" l="1"/>
  <c r="AG1716" i="1"/>
  <c r="AS1716" i="1"/>
  <c r="AI1716" i="1"/>
  <c r="AG1755" i="1"/>
  <c r="AO1716" i="1"/>
  <c r="AM1755" i="1"/>
  <c r="AR1716" i="1"/>
  <c r="AQ1716" i="1"/>
  <c r="AO1755" i="1"/>
  <c r="AT1755" i="1"/>
  <c r="AH1755" i="1"/>
  <c r="AP1755" i="1"/>
  <c r="AL1755" i="1"/>
  <c r="AP1716" i="1"/>
  <c r="AN1716" i="1"/>
  <c r="AI1794" i="1"/>
  <c r="AM1794" i="1"/>
  <c r="AL1794" i="1"/>
  <c r="AJ1794" i="1"/>
  <c r="AK1794" i="1"/>
  <c r="AN1794" i="1"/>
  <c r="AI1755" i="1"/>
  <c r="AL1716" i="1"/>
  <c r="AH1716" i="1"/>
  <c r="AE1794" i="1"/>
  <c r="AD1794" i="1"/>
  <c r="AG1794" i="1"/>
  <c r="AF1794" i="1"/>
  <c r="AC1794" i="1"/>
  <c r="AH1794" i="1"/>
  <c r="AT1716" i="1"/>
  <c r="AR1794" i="1"/>
  <c r="AO1794" i="1"/>
  <c r="AS1794" i="1"/>
  <c r="AT1794" i="1"/>
  <c r="AQ1794" i="1"/>
  <c r="AP1794" i="1"/>
  <c r="AJ1755" i="1"/>
  <c r="AK1716" i="1"/>
  <c r="AN1755" i="1"/>
  <c r="AF1716" i="1"/>
  <c r="AD1716" i="1"/>
  <c r="AZ1716" i="1"/>
  <c r="AW1794" i="1"/>
  <c r="AV1794" i="1"/>
  <c r="AU1794" i="1"/>
  <c r="AY1794" i="1"/>
  <c r="AZ1794" i="1"/>
  <c r="AX1794" i="1"/>
  <c r="AE1716" i="1"/>
  <c r="AC1755" i="1"/>
  <c r="AK1755" i="1"/>
  <c r="AR1755" i="1"/>
  <c r="AZ1755" i="1"/>
  <c r="AY1716" i="1"/>
  <c r="AJ1716" i="1"/>
  <c r="AE1755" i="1"/>
  <c r="AT777" i="1"/>
  <c r="BA707" i="1"/>
  <c r="Z777" i="1"/>
  <c r="BA776" i="1"/>
  <c r="AZ724" i="1"/>
  <c r="AT724" i="1"/>
  <c r="AN724" i="1"/>
  <c r="AH724" i="1"/>
  <c r="BA777" i="1" l="1"/>
  <c r="BA724" i="1"/>
  <c r="AZ713" i="1"/>
  <c r="AT713" i="1"/>
  <c r="AN713" i="1"/>
  <c r="AH713" i="1"/>
  <c r="AY738" i="1"/>
  <c r="AW738" i="1"/>
  <c r="AU738" i="1"/>
  <c r="AR738" i="1"/>
  <c r="AO738" i="1"/>
  <c r="AM738" i="1"/>
  <c r="AL738" i="1"/>
  <c r="AK738" i="1"/>
  <c r="AJ738" i="1"/>
  <c r="AI738" i="1"/>
  <c r="AG738" i="1"/>
  <c r="AD738" i="1"/>
  <c r="X738" i="1"/>
  <c r="W738" i="1"/>
  <c r="V738" i="1"/>
  <c r="U738" i="1"/>
  <c r="T738" i="1"/>
  <c r="R738" i="1"/>
  <c r="Q738" i="1"/>
  <c r="P738" i="1"/>
  <c r="O738" i="1"/>
  <c r="N738" i="1"/>
  <c r="L738" i="1"/>
  <c r="K738" i="1"/>
  <c r="J738" i="1"/>
  <c r="I738" i="1"/>
  <c r="H738" i="1"/>
  <c r="F738" i="1"/>
  <c r="E738" i="1"/>
  <c r="D738" i="1"/>
  <c r="C738" i="1"/>
  <c r="B738" i="1"/>
  <c r="AX738" i="1"/>
  <c r="AV738" i="1"/>
  <c r="AS738" i="1"/>
  <c r="AQ738" i="1"/>
  <c r="AF738" i="1"/>
  <c r="AE738" i="1"/>
  <c r="AC738" i="1"/>
  <c r="Y737" i="1"/>
  <c r="S737" i="1"/>
  <c r="M737" i="1"/>
  <c r="G737" i="1"/>
  <c r="Y736" i="1"/>
  <c r="S736" i="1"/>
  <c r="M736" i="1"/>
  <c r="G736" i="1"/>
  <c r="AZ735" i="1"/>
  <c r="AT735" i="1"/>
  <c r="AN735" i="1"/>
  <c r="AH735" i="1"/>
  <c r="Y735" i="1"/>
  <c r="S735" i="1"/>
  <c r="M735" i="1"/>
  <c r="G735" i="1"/>
  <c r="AZ734" i="1"/>
  <c r="AT734" i="1"/>
  <c r="AN734" i="1"/>
  <c r="AH734" i="1"/>
  <c r="Y734" i="1"/>
  <c r="S734" i="1"/>
  <c r="M734" i="1"/>
  <c r="G734" i="1"/>
  <c r="AZ733" i="1"/>
  <c r="AT733" i="1"/>
  <c r="AN733" i="1"/>
  <c r="AH733" i="1"/>
  <c r="Y733" i="1"/>
  <c r="S733" i="1"/>
  <c r="M733" i="1"/>
  <c r="G733" i="1"/>
  <c r="AZ732" i="1"/>
  <c r="AT732" i="1"/>
  <c r="AN732" i="1"/>
  <c r="AH732" i="1"/>
  <c r="Y732" i="1"/>
  <c r="S732" i="1"/>
  <c r="M732" i="1"/>
  <c r="G732" i="1"/>
  <c r="AZ731" i="1"/>
  <c r="AT731" i="1"/>
  <c r="AN731" i="1"/>
  <c r="AH731" i="1"/>
  <c r="Y731" i="1"/>
  <c r="S731" i="1"/>
  <c r="M731" i="1"/>
  <c r="G731" i="1"/>
  <c r="AZ730" i="1"/>
  <c r="AT730" i="1"/>
  <c r="AN730" i="1"/>
  <c r="AH730" i="1"/>
  <c r="Y730" i="1"/>
  <c r="S730" i="1"/>
  <c r="M730" i="1"/>
  <c r="G730" i="1"/>
  <c r="AZ729" i="1"/>
  <c r="AT729" i="1"/>
  <c r="AN729" i="1"/>
  <c r="AH729" i="1"/>
  <c r="Y729" i="1"/>
  <c r="S729" i="1"/>
  <c r="M729" i="1"/>
  <c r="G729" i="1"/>
  <c r="AZ728" i="1"/>
  <c r="AT728" i="1"/>
  <c r="AN728" i="1"/>
  <c r="AH728" i="1"/>
  <c r="Y728" i="1"/>
  <c r="S728" i="1"/>
  <c r="M728" i="1"/>
  <c r="G728" i="1"/>
  <c r="AZ727" i="1"/>
  <c r="AT727" i="1"/>
  <c r="AN727" i="1"/>
  <c r="AH727" i="1"/>
  <c r="Y727" i="1"/>
  <c r="S727" i="1"/>
  <c r="M727" i="1"/>
  <c r="G727" i="1"/>
  <c r="AZ726" i="1"/>
  <c r="AT726" i="1"/>
  <c r="AN726" i="1"/>
  <c r="AH726" i="1"/>
  <c r="Y726" i="1"/>
  <c r="S726" i="1"/>
  <c r="M726" i="1"/>
  <c r="G726" i="1"/>
  <c r="AZ725" i="1"/>
  <c r="AT725" i="1"/>
  <c r="AN725" i="1"/>
  <c r="AH725" i="1"/>
  <c r="Y725" i="1"/>
  <c r="S725" i="1"/>
  <c r="M725" i="1"/>
  <c r="G725" i="1"/>
  <c r="Y724" i="1"/>
  <c r="S724" i="1"/>
  <c r="M724" i="1"/>
  <c r="G724" i="1"/>
  <c r="AZ723" i="1"/>
  <c r="AT723" i="1"/>
  <c r="AN723" i="1"/>
  <c r="AH723" i="1"/>
  <c r="Y723" i="1"/>
  <c r="S723" i="1"/>
  <c r="M723" i="1"/>
  <c r="G723" i="1"/>
  <c r="AZ722" i="1"/>
  <c r="AT722" i="1"/>
  <c r="AN722" i="1"/>
  <c r="AH722" i="1"/>
  <c r="Y722" i="1"/>
  <c r="S722" i="1"/>
  <c r="M722" i="1"/>
  <c r="G722" i="1"/>
  <c r="AZ721" i="1"/>
  <c r="AT721" i="1"/>
  <c r="AN721" i="1"/>
  <c r="AH721" i="1"/>
  <c r="Y721" i="1"/>
  <c r="S721" i="1"/>
  <c r="M721" i="1"/>
  <c r="G721" i="1"/>
  <c r="AZ720" i="1"/>
  <c r="AT720" i="1"/>
  <c r="AN720" i="1"/>
  <c r="AH720" i="1"/>
  <c r="Y720" i="1"/>
  <c r="S720" i="1"/>
  <c r="M720" i="1"/>
  <c r="G720" i="1"/>
  <c r="AZ719" i="1"/>
  <c r="AT719" i="1"/>
  <c r="AN719" i="1"/>
  <c r="AH719" i="1"/>
  <c r="Y719" i="1"/>
  <c r="S719" i="1"/>
  <c r="M719" i="1"/>
  <c r="G719" i="1"/>
  <c r="AZ718" i="1"/>
  <c r="AT718" i="1"/>
  <c r="AN718" i="1"/>
  <c r="AH718" i="1"/>
  <c r="Y718" i="1"/>
  <c r="S718" i="1"/>
  <c r="M718" i="1"/>
  <c r="G718" i="1"/>
  <c r="AZ717" i="1"/>
  <c r="AT717" i="1"/>
  <c r="AN717" i="1"/>
  <c r="AH717" i="1"/>
  <c r="Y717" i="1"/>
  <c r="S717" i="1"/>
  <c r="M717" i="1"/>
  <c r="G717" i="1"/>
  <c r="AZ716" i="1"/>
  <c r="AT716" i="1"/>
  <c r="AN716" i="1"/>
  <c r="AH716" i="1"/>
  <c r="Y716" i="1"/>
  <c r="S716" i="1"/>
  <c r="M716" i="1"/>
  <c r="G716" i="1"/>
  <c r="AZ715" i="1"/>
  <c r="AT715" i="1"/>
  <c r="AN715" i="1"/>
  <c r="AH715" i="1"/>
  <c r="Y715" i="1"/>
  <c r="S715" i="1"/>
  <c r="M715" i="1"/>
  <c r="G715" i="1"/>
  <c r="AZ714" i="1"/>
  <c r="AT714" i="1"/>
  <c r="AN714" i="1"/>
  <c r="AH714" i="1"/>
  <c r="Y714" i="1"/>
  <c r="S714" i="1"/>
  <c r="M714" i="1"/>
  <c r="G714" i="1"/>
  <c r="Y713" i="1"/>
  <c r="S713" i="1"/>
  <c r="M713" i="1"/>
  <c r="G713" i="1"/>
  <c r="AZ712" i="1"/>
  <c r="AT712" i="1"/>
  <c r="AN712" i="1"/>
  <c r="AH712" i="1"/>
  <c r="Y712" i="1"/>
  <c r="S712" i="1"/>
  <c r="M712" i="1"/>
  <c r="G712" i="1"/>
  <c r="AZ710" i="1"/>
  <c r="AT710" i="1"/>
  <c r="AN710" i="1"/>
  <c r="AH710" i="1"/>
  <c r="Y710" i="1"/>
  <c r="S710" i="1"/>
  <c r="M710" i="1"/>
  <c r="G710" i="1"/>
  <c r="AZ709" i="1"/>
  <c r="AT709" i="1"/>
  <c r="AN709" i="1"/>
  <c r="AH709" i="1"/>
  <c r="Y709" i="1"/>
  <c r="S709" i="1"/>
  <c r="M709" i="1"/>
  <c r="G709" i="1"/>
  <c r="Y708" i="1"/>
  <c r="S708" i="1"/>
  <c r="M708" i="1"/>
  <c r="G708" i="1"/>
  <c r="Y707" i="1"/>
  <c r="S707" i="1"/>
  <c r="M707" i="1"/>
  <c r="G707" i="1"/>
  <c r="BA713" i="1" l="1"/>
  <c r="BA719" i="1"/>
  <c r="Z724" i="1"/>
  <c r="BA728" i="1"/>
  <c r="Z730" i="1"/>
  <c r="Z733" i="1"/>
  <c r="Z736" i="1"/>
  <c r="Z715" i="1"/>
  <c r="BA716" i="1"/>
  <c r="Z718" i="1"/>
  <c r="BA725" i="1"/>
  <c r="Z727" i="1"/>
  <c r="BA731" i="1"/>
  <c r="BA734" i="1"/>
  <c r="Y738" i="1"/>
  <c r="Z709" i="1"/>
  <c r="Z713" i="1"/>
  <c r="BA714" i="1"/>
  <c r="Z716" i="1"/>
  <c r="BA717" i="1"/>
  <c r="BA720" i="1"/>
  <c r="Z725" i="1"/>
  <c r="BA726" i="1"/>
  <c r="Z728" i="1"/>
  <c r="BA729" i="1"/>
  <c r="Z731" i="1"/>
  <c r="BA732" i="1"/>
  <c r="Z734" i="1"/>
  <c r="BA735" i="1"/>
  <c r="Z737" i="1"/>
  <c r="M738" i="1"/>
  <c r="AN738" i="1"/>
  <c r="Z708" i="1"/>
  <c r="Z714" i="1"/>
  <c r="Z717" i="1"/>
  <c r="BA718" i="1"/>
  <c r="Z723" i="1"/>
  <c r="BA727" i="1"/>
  <c r="Z729" i="1"/>
  <c r="BA730" i="1"/>
  <c r="Z732" i="1"/>
  <c r="BA733" i="1"/>
  <c r="Z735" i="1"/>
  <c r="Z707" i="1"/>
  <c r="AZ738" i="1"/>
  <c r="BA715" i="1"/>
  <c r="BA712" i="1"/>
  <c r="BA721" i="1"/>
  <c r="BA722" i="1"/>
  <c r="BA723" i="1"/>
  <c r="BA710" i="1"/>
  <c r="BA709" i="1"/>
  <c r="G738" i="1"/>
  <c r="Z712" i="1"/>
  <c r="Z720" i="1"/>
  <c r="Z721" i="1"/>
  <c r="Z722" i="1"/>
  <c r="Z726" i="1"/>
  <c r="S738" i="1"/>
  <c r="Z719" i="1"/>
  <c r="Z710" i="1"/>
  <c r="AH738" i="1"/>
  <c r="AP738" i="1"/>
  <c r="AZ688" i="1"/>
  <c r="AT688" i="1"/>
  <c r="AN688" i="1"/>
  <c r="AH688" i="1"/>
  <c r="AZ685" i="1"/>
  <c r="AT685" i="1"/>
  <c r="AN685" i="1"/>
  <c r="AH685" i="1"/>
  <c r="AT738" i="1" l="1"/>
  <c r="Z738" i="1"/>
  <c r="BA688" i="1"/>
  <c r="BA685" i="1"/>
  <c r="AZ680" i="1"/>
  <c r="AT680" i="1"/>
  <c r="AN680" i="1"/>
  <c r="AH680" i="1"/>
  <c r="AT679" i="1"/>
  <c r="AN679" i="1"/>
  <c r="AH678" i="1"/>
  <c r="AH679" i="1"/>
  <c r="AZ679" i="1"/>
  <c r="BA738" i="1" l="1"/>
  <c r="BA680" i="1"/>
  <c r="BA679" i="1"/>
  <c r="AZ670" i="1"/>
  <c r="AT670" i="1"/>
  <c r="AN670" i="1"/>
  <c r="AH670" i="1"/>
  <c r="G671" i="1"/>
  <c r="M671" i="1"/>
  <c r="S671" i="1"/>
  <c r="Y671" i="1"/>
  <c r="AZ674" i="1"/>
  <c r="AT674" i="1"/>
  <c r="AN674" i="1"/>
  <c r="AH674" i="1"/>
  <c r="BA670" i="1" l="1"/>
  <c r="Z671" i="1"/>
  <c r="BA674" i="1"/>
  <c r="AY699" i="1"/>
  <c r="AW699" i="1"/>
  <c r="AU699" i="1"/>
  <c r="AO699" i="1"/>
  <c r="AM699" i="1"/>
  <c r="AL699" i="1"/>
  <c r="AK699" i="1"/>
  <c r="AJ699" i="1"/>
  <c r="AI699" i="1"/>
  <c r="AD699" i="1"/>
  <c r="X699" i="1"/>
  <c r="W699" i="1"/>
  <c r="V699" i="1"/>
  <c r="U699" i="1"/>
  <c r="T699" i="1"/>
  <c r="R699" i="1"/>
  <c r="Q699" i="1"/>
  <c r="P699" i="1"/>
  <c r="O699" i="1"/>
  <c r="N699" i="1"/>
  <c r="L699" i="1"/>
  <c r="K699" i="1"/>
  <c r="J699" i="1"/>
  <c r="I699" i="1"/>
  <c r="H699" i="1"/>
  <c r="F699" i="1"/>
  <c r="E699" i="1"/>
  <c r="D699" i="1"/>
  <c r="C699" i="1"/>
  <c r="B699" i="1"/>
  <c r="AX699" i="1"/>
  <c r="AV699" i="1"/>
  <c r="AS699" i="1"/>
  <c r="AR699" i="1"/>
  <c r="AQ699" i="1"/>
  <c r="AN698" i="1"/>
  <c r="AG699" i="1"/>
  <c r="AF699" i="1"/>
  <c r="AE699" i="1"/>
  <c r="AC699" i="1"/>
  <c r="Y698" i="1"/>
  <c r="S698" i="1"/>
  <c r="M698" i="1"/>
  <c r="G698" i="1"/>
  <c r="AZ697" i="1"/>
  <c r="AT697" i="1"/>
  <c r="AN697" i="1"/>
  <c r="AH697" i="1"/>
  <c r="Y697" i="1"/>
  <c r="S697" i="1"/>
  <c r="M697" i="1"/>
  <c r="G697" i="1"/>
  <c r="AZ696" i="1"/>
  <c r="AT696" i="1"/>
  <c r="AN696" i="1"/>
  <c r="AH696" i="1"/>
  <c r="Y696" i="1"/>
  <c r="S696" i="1"/>
  <c r="M696" i="1"/>
  <c r="G696" i="1"/>
  <c r="AZ695" i="1"/>
  <c r="AT695" i="1"/>
  <c r="AN695" i="1"/>
  <c r="AH695" i="1"/>
  <c r="Y695" i="1"/>
  <c r="S695" i="1"/>
  <c r="M695" i="1"/>
  <c r="G695" i="1"/>
  <c r="AZ694" i="1"/>
  <c r="AT694" i="1"/>
  <c r="AN694" i="1"/>
  <c r="AH694" i="1"/>
  <c r="Y694" i="1"/>
  <c r="S694" i="1"/>
  <c r="M694" i="1"/>
  <c r="G694" i="1"/>
  <c r="AZ693" i="1"/>
  <c r="AT693" i="1"/>
  <c r="AN693" i="1"/>
  <c r="AH693" i="1"/>
  <c r="Y693" i="1"/>
  <c r="S693" i="1"/>
  <c r="M693" i="1"/>
  <c r="G693" i="1"/>
  <c r="AZ692" i="1"/>
  <c r="AT692" i="1"/>
  <c r="AN692" i="1"/>
  <c r="AH692" i="1"/>
  <c r="Y692" i="1"/>
  <c r="S692" i="1"/>
  <c r="M692" i="1"/>
  <c r="G692" i="1"/>
  <c r="AZ691" i="1"/>
  <c r="AT691" i="1"/>
  <c r="AN691" i="1"/>
  <c r="AH691" i="1"/>
  <c r="Y691" i="1"/>
  <c r="S691" i="1"/>
  <c r="M691" i="1"/>
  <c r="G691" i="1"/>
  <c r="AZ690" i="1"/>
  <c r="AT690" i="1"/>
  <c r="AN690" i="1"/>
  <c r="AH690" i="1"/>
  <c r="Y690" i="1"/>
  <c r="S690" i="1"/>
  <c r="M690" i="1"/>
  <c r="G690" i="1"/>
  <c r="AZ689" i="1"/>
  <c r="AT689" i="1"/>
  <c r="AN689" i="1"/>
  <c r="AH689" i="1"/>
  <c r="Y689" i="1"/>
  <c r="S689" i="1"/>
  <c r="M689" i="1"/>
  <c r="G689" i="1"/>
  <c r="Y688" i="1"/>
  <c r="S688" i="1"/>
  <c r="M688" i="1"/>
  <c r="G688" i="1"/>
  <c r="AZ687" i="1"/>
  <c r="AT687" i="1"/>
  <c r="AN687" i="1"/>
  <c r="AH687" i="1"/>
  <c r="Y687" i="1"/>
  <c r="S687" i="1"/>
  <c r="M687" i="1"/>
  <c r="G687" i="1"/>
  <c r="AZ686" i="1"/>
  <c r="AT686" i="1"/>
  <c r="AN686" i="1"/>
  <c r="AH686" i="1"/>
  <c r="Y686" i="1"/>
  <c r="S686" i="1"/>
  <c r="M686" i="1"/>
  <c r="G686" i="1"/>
  <c r="Y685" i="1"/>
  <c r="S685" i="1"/>
  <c r="M685" i="1"/>
  <c r="G685" i="1"/>
  <c r="AZ684" i="1"/>
  <c r="AT684" i="1"/>
  <c r="AN684" i="1"/>
  <c r="AH684" i="1"/>
  <c r="Y684" i="1"/>
  <c r="S684" i="1"/>
  <c r="M684" i="1"/>
  <c r="G684" i="1"/>
  <c r="AZ683" i="1"/>
  <c r="AT683" i="1"/>
  <c r="AN683" i="1"/>
  <c r="AH683" i="1"/>
  <c r="Y683" i="1"/>
  <c r="S683" i="1"/>
  <c r="M683" i="1"/>
  <c r="G683" i="1"/>
  <c r="AZ682" i="1"/>
  <c r="AT682" i="1"/>
  <c r="AN682" i="1"/>
  <c r="AH682" i="1"/>
  <c r="Y682" i="1"/>
  <c r="S682" i="1"/>
  <c r="M682" i="1"/>
  <c r="G682" i="1"/>
  <c r="AZ681" i="1"/>
  <c r="AT681" i="1"/>
  <c r="AN681" i="1"/>
  <c r="AH681" i="1"/>
  <c r="Y681" i="1"/>
  <c r="S681" i="1"/>
  <c r="M681" i="1"/>
  <c r="G681" i="1"/>
  <c r="Y680" i="1"/>
  <c r="S680" i="1"/>
  <c r="M680" i="1"/>
  <c r="G680" i="1"/>
  <c r="Y679" i="1"/>
  <c r="S679" i="1"/>
  <c r="M679" i="1"/>
  <c r="G679" i="1"/>
  <c r="AZ678" i="1"/>
  <c r="AT678" i="1"/>
  <c r="AN678" i="1"/>
  <c r="Y678" i="1"/>
  <c r="S678" i="1"/>
  <c r="M678" i="1"/>
  <c r="G678" i="1"/>
  <c r="AZ677" i="1"/>
  <c r="AT677" i="1"/>
  <c r="AN677" i="1"/>
  <c r="AH677" i="1"/>
  <c r="Y677" i="1"/>
  <c r="S677" i="1"/>
  <c r="M677" i="1"/>
  <c r="G677" i="1"/>
  <c r="AZ676" i="1"/>
  <c r="AT676" i="1"/>
  <c r="AN676" i="1"/>
  <c r="AH676" i="1"/>
  <c r="Y676" i="1"/>
  <c r="S676" i="1"/>
  <c r="M676" i="1"/>
  <c r="G676" i="1"/>
  <c r="AZ675" i="1"/>
  <c r="AT675" i="1"/>
  <c r="AN675" i="1"/>
  <c r="AH675" i="1"/>
  <c r="Y675" i="1"/>
  <c r="S675" i="1"/>
  <c r="M675" i="1"/>
  <c r="G675" i="1"/>
  <c r="Y674" i="1"/>
  <c r="S674" i="1"/>
  <c r="M674" i="1"/>
  <c r="G674" i="1"/>
  <c r="AZ673" i="1"/>
  <c r="AT673" i="1"/>
  <c r="AN673" i="1"/>
  <c r="AH673" i="1"/>
  <c r="Y673" i="1"/>
  <c r="S673" i="1"/>
  <c r="M673" i="1"/>
  <c r="G673" i="1"/>
  <c r="AZ671" i="1"/>
  <c r="AT671" i="1"/>
  <c r="AN671" i="1"/>
  <c r="AH671" i="1"/>
  <c r="Y670" i="1"/>
  <c r="S670" i="1"/>
  <c r="M670" i="1"/>
  <c r="G670" i="1"/>
  <c r="Y669" i="1"/>
  <c r="S669" i="1"/>
  <c r="M669" i="1"/>
  <c r="G669" i="1"/>
  <c r="Y668" i="1"/>
  <c r="S668" i="1"/>
  <c r="M668" i="1"/>
  <c r="G668" i="1"/>
  <c r="Z698" i="1" l="1"/>
  <c r="BA695" i="1"/>
  <c r="AT698" i="1"/>
  <c r="Z674" i="1"/>
  <c r="BA675" i="1"/>
  <c r="Z677" i="1"/>
  <c r="BA678" i="1"/>
  <c r="BA687" i="1"/>
  <c r="BA681" i="1"/>
  <c r="BA684" i="1"/>
  <c r="BA693" i="1"/>
  <c r="BA690" i="1"/>
  <c r="BA696" i="1"/>
  <c r="S699" i="1"/>
  <c r="AP699" i="1"/>
  <c r="Z697" i="1"/>
  <c r="Z680" i="1"/>
  <c r="BA697" i="1"/>
  <c r="G699" i="1"/>
  <c r="AH699" i="1"/>
  <c r="Z668" i="1"/>
  <c r="BA694" i="1"/>
  <c r="AZ699" i="1"/>
  <c r="BA677" i="1"/>
  <c r="BA683" i="1"/>
  <c r="BA686" i="1"/>
  <c r="BA689" i="1"/>
  <c r="BA692" i="1"/>
  <c r="AN699" i="1"/>
  <c r="BA673" i="1"/>
  <c r="BA676" i="1"/>
  <c r="BA682" i="1"/>
  <c r="BA691" i="1"/>
  <c r="BA671" i="1"/>
  <c r="Y699" i="1"/>
  <c r="Z681" i="1"/>
  <c r="Z684" i="1"/>
  <c r="Z687" i="1"/>
  <c r="Z690" i="1"/>
  <c r="Z693" i="1"/>
  <c r="Z696" i="1"/>
  <c r="Z692" i="1"/>
  <c r="Z695" i="1"/>
  <c r="Z675" i="1"/>
  <c r="Z678" i="1"/>
  <c r="Z683" i="1"/>
  <c r="Z686" i="1"/>
  <c r="Z689" i="1"/>
  <c r="Z691" i="1"/>
  <c r="Z694" i="1"/>
  <c r="Z673" i="1"/>
  <c r="Z676" i="1"/>
  <c r="M699" i="1"/>
  <c r="Z679" i="1"/>
  <c r="Z682" i="1"/>
  <c r="Z685" i="1"/>
  <c r="Z688" i="1"/>
  <c r="Z670" i="1"/>
  <c r="Z669" i="1"/>
  <c r="AZ698" i="1"/>
  <c r="AH698" i="1"/>
  <c r="AZ652" i="1"/>
  <c r="AT652" i="1"/>
  <c r="AN652" i="1"/>
  <c r="AH652" i="1"/>
  <c r="AT699" i="1" l="1"/>
  <c r="Z699" i="1"/>
  <c r="BA698" i="1"/>
  <c r="BA652" i="1"/>
  <c r="BA699" i="1" l="1"/>
  <c r="AZ615" i="1"/>
  <c r="AT615" i="1"/>
  <c r="AN615" i="1"/>
  <c r="AH615" i="1"/>
  <c r="AZ620" i="1"/>
  <c r="AT620" i="1"/>
  <c r="AN620" i="1"/>
  <c r="AH620" i="1"/>
  <c r="AZ619" i="1"/>
  <c r="AT619" i="1"/>
  <c r="AN619" i="1"/>
  <c r="AH619" i="1"/>
  <c r="AZ618" i="1"/>
  <c r="AT618" i="1"/>
  <c r="AN618" i="1"/>
  <c r="AH618" i="1"/>
  <c r="X660" i="1"/>
  <c r="W660" i="1"/>
  <c r="V660" i="1"/>
  <c r="U660" i="1"/>
  <c r="T660" i="1"/>
  <c r="R660" i="1"/>
  <c r="Q660" i="1"/>
  <c r="P660" i="1"/>
  <c r="O660" i="1"/>
  <c r="N660" i="1"/>
  <c r="L660" i="1"/>
  <c r="K660" i="1"/>
  <c r="J660" i="1"/>
  <c r="I660" i="1"/>
  <c r="H660" i="1"/>
  <c r="F660" i="1"/>
  <c r="E660" i="1"/>
  <c r="D660" i="1"/>
  <c r="C660" i="1"/>
  <c r="B660" i="1"/>
  <c r="Y659" i="1"/>
  <c r="S659" i="1"/>
  <c r="M659" i="1"/>
  <c r="G659" i="1"/>
  <c r="Y658" i="1"/>
  <c r="S658" i="1"/>
  <c r="M658" i="1"/>
  <c r="G658" i="1"/>
  <c r="Y657" i="1"/>
  <c r="S657" i="1"/>
  <c r="M657" i="1"/>
  <c r="G657" i="1"/>
  <c r="Y656" i="1"/>
  <c r="S656" i="1"/>
  <c r="M656" i="1"/>
  <c r="G656" i="1"/>
  <c r="Y655" i="1"/>
  <c r="S655" i="1"/>
  <c r="M655" i="1"/>
  <c r="G655" i="1"/>
  <c r="Y654" i="1"/>
  <c r="S654" i="1"/>
  <c r="M654" i="1"/>
  <c r="G654" i="1"/>
  <c r="Y653" i="1"/>
  <c r="S653" i="1"/>
  <c r="M653" i="1"/>
  <c r="G653" i="1"/>
  <c r="Y652" i="1"/>
  <c r="S652" i="1"/>
  <c r="M652" i="1"/>
  <c r="G652" i="1"/>
  <c r="Y651" i="1"/>
  <c r="S651" i="1"/>
  <c r="M651" i="1"/>
  <c r="G651" i="1"/>
  <c r="Y650" i="1"/>
  <c r="S650" i="1"/>
  <c r="M650" i="1"/>
  <c r="G650" i="1"/>
  <c r="Y649" i="1"/>
  <c r="S649" i="1"/>
  <c r="M649" i="1"/>
  <c r="G649" i="1"/>
  <c r="Y648" i="1"/>
  <c r="S648" i="1"/>
  <c r="M648" i="1"/>
  <c r="G648" i="1"/>
  <c r="Y647" i="1"/>
  <c r="S647" i="1"/>
  <c r="M647" i="1"/>
  <c r="G647" i="1"/>
  <c r="Y646" i="1"/>
  <c r="S646" i="1"/>
  <c r="M646" i="1"/>
  <c r="G646" i="1"/>
  <c r="Y645" i="1"/>
  <c r="S645" i="1"/>
  <c r="M645" i="1"/>
  <c r="G645" i="1"/>
  <c r="Y644" i="1"/>
  <c r="S644" i="1"/>
  <c r="M644" i="1"/>
  <c r="G644" i="1"/>
  <c r="Y643" i="1"/>
  <c r="S643" i="1"/>
  <c r="M643" i="1"/>
  <c r="G643" i="1"/>
  <c r="Y642" i="1"/>
  <c r="S642" i="1"/>
  <c r="M642" i="1"/>
  <c r="G642" i="1"/>
  <c r="Y641" i="1"/>
  <c r="S641" i="1"/>
  <c r="M641" i="1"/>
  <c r="G641" i="1"/>
  <c r="Y640" i="1"/>
  <c r="S640" i="1"/>
  <c r="M640" i="1"/>
  <c r="G640" i="1"/>
  <c r="Y639" i="1"/>
  <c r="S639" i="1"/>
  <c r="M639" i="1"/>
  <c r="G639" i="1"/>
  <c r="Y638" i="1"/>
  <c r="S638" i="1"/>
  <c r="M638" i="1"/>
  <c r="G638" i="1"/>
  <c r="Y637" i="1"/>
  <c r="S637" i="1"/>
  <c r="M637" i="1"/>
  <c r="G637" i="1"/>
  <c r="Y636" i="1"/>
  <c r="S636" i="1"/>
  <c r="M636" i="1"/>
  <c r="G636" i="1"/>
  <c r="Y635" i="1"/>
  <c r="S635" i="1"/>
  <c r="M635" i="1"/>
  <c r="G635" i="1"/>
  <c r="Y634" i="1"/>
  <c r="S634" i="1"/>
  <c r="M634" i="1"/>
  <c r="G634" i="1"/>
  <c r="Y632" i="1"/>
  <c r="S632" i="1"/>
  <c r="M632" i="1"/>
  <c r="G632" i="1"/>
  <c r="Y631" i="1"/>
  <c r="S631" i="1"/>
  <c r="M631" i="1"/>
  <c r="G631" i="1"/>
  <c r="Y630" i="1"/>
  <c r="S630" i="1"/>
  <c r="M630" i="1"/>
  <c r="G630" i="1"/>
  <c r="Y629" i="1"/>
  <c r="S629" i="1"/>
  <c r="M629" i="1"/>
  <c r="G629" i="1"/>
  <c r="AN632" i="1"/>
  <c r="AN631" i="1"/>
  <c r="AH632" i="1"/>
  <c r="AH631" i="1"/>
  <c r="AT632" i="1"/>
  <c r="AT631" i="1"/>
  <c r="AY660" i="1"/>
  <c r="AX660" i="1"/>
  <c r="AW660" i="1"/>
  <c r="AV660" i="1"/>
  <c r="AU660" i="1"/>
  <c r="AS660" i="1"/>
  <c r="AR660" i="1"/>
  <c r="AQ660" i="1"/>
  <c r="AP660" i="1"/>
  <c r="AO660" i="1"/>
  <c r="AM660" i="1"/>
  <c r="AL660" i="1"/>
  <c r="AK660" i="1"/>
  <c r="AJ660" i="1"/>
  <c r="AI660" i="1"/>
  <c r="AG660" i="1"/>
  <c r="AF660" i="1"/>
  <c r="AE660" i="1"/>
  <c r="AD660" i="1"/>
  <c r="AC660" i="1"/>
  <c r="AZ659" i="1"/>
  <c r="AT659" i="1"/>
  <c r="AN659" i="1"/>
  <c r="AH659" i="1"/>
  <c r="AZ658" i="1"/>
  <c r="AT658" i="1"/>
  <c r="AN658" i="1"/>
  <c r="AH658" i="1"/>
  <c r="AZ657" i="1"/>
  <c r="AT657" i="1"/>
  <c r="AN657" i="1"/>
  <c r="AH657" i="1"/>
  <c r="AZ656" i="1"/>
  <c r="AT656" i="1"/>
  <c r="AN656" i="1"/>
  <c r="AH656" i="1"/>
  <c r="AZ655" i="1"/>
  <c r="AT655" i="1"/>
  <c r="AN655" i="1"/>
  <c r="AH655" i="1"/>
  <c r="AZ654" i="1"/>
  <c r="AT654" i="1"/>
  <c r="AN654" i="1"/>
  <c r="AH654" i="1"/>
  <c r="AZ653" i="1"/>
  <c r="AT653" i="1"/>
  <c r="AN653" i="1"/>
  <c r="AH653" i="1"/>
  <c r="AZ651" i="1"/>
  <c r="AT651" i="1"/>
  <c r="AN651" i="1"/>
  <c r="AH651" i="1"/>
  <c r="AZ650" i="1"/>
  <c r="AT650" i="1"/>
  <c r="AN650" i="1"/>
  <c r="AH650" i="1"/>
  <c r="AZ649" i="1"/>
  <c r="AT649" i="1"/>
  <c r="AN649" i="1"/>
  <c r="AH649" i="1"/>
  <c r="AZ648" i="1"/>
  <c r="AT648" i="1"/>
  <c r="AN648" i="1"/>
  <c r="AH648" i="1"/>
  <c r="AZ647" i="1"/>
  <c r="AT647" i="1"/>
  <c r="AN647" i="1"/>
  <c r="AH647" i="1"/>
  <c r="AZ646" i="1"/>
  <c r="AT646" i="1"/>
  <c r="AN646" i="1"/>
  <c r="AH646" i="1"/>
  <c r="AZ645" i="1"/>
  <c r="AT645" i="1"/>
  <c r="AN645" i="1"/>
  <c r="AH645" i="1"/>
  <c r="AZ644" i="1"/>
  <c r="AT644" i="1"/>
  <c r="AN644" i="1"/>
  <c r="AH644" i="1"/>
  <c r="AZ643" i="1"/>
  <c r="AT643" i="1"/>
  <c r="AN643" i="1"/>
  <c r="AH643" i="1"/>
  <c r="AZ642" i="1"/>
  <c r="AT642" i="1"/>
  <c r="AN642" i="1"/>
  <c r="AH642" i="1"/>
  <c r="AZ641" i="1"/>
  <c r="AT641" i="1"/>
  <c r="AN641" i="1"/>
  <c r="AH641" i="1"/>
  <c r="AZ640" i="1"/>
  <c r="AT640" i="1"/>
  <c r="AN640" i="1"/>
  <c r="AH640" i="1"/>
  <c r="AZ639" i="1"/>
  <c r="AT639" i="1"/>
  <c r="AN639" i="1"/>
  <c r="AH639" i="1"/>
  <c r="AZ638" i="1"/>
  <c r="AT638" i="1"/>
  <c r="AN638" i="1"/>
  <c r="AH638" i="1"/>
  <c r="AZ637" i="1"/>
  <c r="AT637" i="1"/>
  <c r="AN637" i="1"/>
  <c r="AH637" i="1"/>
  <c r="AZ636" i="1"/>
  <c r="AT636" i="1"/>
  <c r="AN636" i="1"/>
  <c r="AH636" i="1"/>
  <c r="AZ635" i="1"/>
  <c r="AT635" i="1"/>
  <c r="AN635" i="1"/>
  <c r="AH635" i="1"/>
  <c r="AZ634" i="1"/>
  <c r="AT634" i="1"/>
  <c r="AN634" i="1"/>
  <c r="AH634" i="1"/>
  <c r="AZ632" i="1"/>
  <c r="AZ631" i="1"/>
  <c r="AZ553" i="1"/>
  <c r="AT553" i="1"/>
  <c r="AN551" i="1"/>
  <c r="AN552" i="1"/>
  <c r="AN553" i="1"/>
  <c r="AH551" i="1"/>
  <c r="AH552" i="1"/>
  <c r="AH553" i="1"/>
  <c r="AT514" i="1"/>
  <c r="AN514" i="1"/>
  <c r="AH514" i="1"/>
  <c r="AZ514" i="1"/>
  <c r="AZ592" i="1"/>
  <c r="AT592" i="1"/>
  <c r="AN592" i="1"/>
  <c r="AH592" i="1"/>
  <c r="AY621" i="1"/>
  <c r="AX621" i="1"/>
  <c r="AW621" i="1"/>
  <c r="AV621" i="1"/>
  <c r="AU621" i="1"/>
  <c r="AS621" i="1"/>
  <c r="AR621" i="1"/>
  <c r="AQ621" i="1"/>
  <c r="AP621" i="1"/>
  <c r="AO621" i="1"/>
  <c r="AM621" i="1"/>
  <c r="AL621" i="1"/>
  <c r="AK621" i="1"/>
  <c r="AJ621" i="1"/>
  <c r="AI621" i="1"/>
  <c r="AG621" i="1"/>
  <c r="AF621" i="1"/>
  <c r="AE621" i="1"/>
  <c r="AD621" i="1"/>
  <c r="AC621" i="1"/>
  <c r="X621" i="1"/>
  <c r="W621" i="1"/>
  <c r="V621" i="1"/>
  <c r="U621" i="1"/>
  <c r="T621" i="1"/>
  <c r="R621" i="1"/>
  <c r="Q621" i="1"/>
  <c r="P621" i="1"/>
  <c r="O621" i="1"/>
  <c r="N621" i="1"/>
  <c r="L621" i="1"/>
  <c r="K621" i="1"/>
  <c r="J621" i="1"/>
  <c r="I621" i="1"/>
  <c r="H621" i="1"/>
  <c r="F621" i="1"/>
  <c r="E621" i="1"/>
  <c r="D621" i="1"/>
  <c r="C621" i="1"/>
  <c r="B621" i="1"/>
  <c r="Y620" i="1"/>
  <c r="S620" i="1"/>
  <c r="M620" i="1"/>
  <c r="G620" i="1"/>
  <c r="Y619" i="1"/>
  <c r="S619" i="1"/>
  <c r="M619" i="1"/>
  <c r="G619" i="1"/>
  <c r="Y618" i="1"/>
  <c r="S618" i="1"/>
  <c r="M618" i="1"/>
  <c r="G618" i="1"/>
  <c r="AZ617" i="1"/>
  <c r="AT617" i="1"/>
  <c r="AN617" i="1"/>
  <c r="AH617" i="1"/>
  <c r="Y617" i="1"/>
  <c r="S617" i="1"/>
  <c r="M617" i="1"/>
  <c r="G617" i="1"/>
  <c r="AZ616" i="1"/>
  <c r="AT616" i="1"/>
  <c r="AN616" i="1"/>
  <c r="AH616" i="1"/>
  <c r="Y616" i="1"/>
  <c r="S616" i="1"/>
  <c r="M616" i="1"/>
  <c r="G616" i="1"/>
  <c r="Y615" i="1"/>
  <c r="S615" i="1"/>
  <c r="M615" i="1"/>
  <c r="G615" i="1"/>
  <c r="AZ614" i="1"/>
  <c r="AT614" i="1"/>
  <c r="AN614" i="1"/>
  <c r="AH614" i="1"/>
  <c r="Y614" i="1"/>
  <c r="S614" i="1"/>
  <c r="M614" i="1"/>
  <c r="G614" i="1"/>
  <c r="AZ613" i="1"/>
  <c r="AT613" i="1"/>
  <c r="AN613" i="1"/>
  <c r="AH613" i="1"/>
  <c r="Y613" i="1"/>
  <c r="S613" i="1"/>
  <c r="M613" i="1"/>
  <c r="G613" i="1"/>
  <c r="AZ612" i="1"/>
  <c r="AT612" i="1"/>
  <c r="AN612" i="1"/>
  <c r="AH612" i="1"/>
  <c r="Y612" i="1"/>
  <c r="S612" i="1"/>
  <c r="M612" i="1"/>
  <c r="G612" i="1"/>
  <c r="AZ611" i="1"/>
  <c r="AT611" i="1"/>
  <c r="AN611" i="1"/>
  <c r="AH611" i="1"/>
  <c r="Y611" i="1"/>
  <c r="S611" i="1"/>
  <c r="M611" i="1"/>
  <c r="G611" i="1"/>
  <c r="AZ610" i="1"/>
  <c r="AT610" i="1"/>
  <c r="AN610" i="1"/>
  <c r="AH610" i="1"/>
  <c r="Y610" i="1"/>
  <c r="S610" i="1"/>
  <c r="M610" i="1"/>
  <c r="G610" i="1"/>
  <c r="AZ609" i="1"/>
  <c r="AT609" i="1"/>
  <c r="AN609" i="1"/>
  <c r="AH609" i="1"/>
  <c r="Y609" i="1"/>
  <c r="S609" i="1"/>
  <c r="M609" i="1"/>
  <c r="G609" i="1"/>
  <c r="AZ608" i="1"/>
  <c r="AT608" i="1"/>
  <c r="AN608" i="1"/>
  <c r="AH608" i="1"/>
  <c r="Y608" i="1"/>
  <c r="S608" i="1"/>
  <c r="M608" i="1"/>
  <c r="G608" i="1"/>
  <c r="AZ607" i="1"/>
  <c r="AT607" i="1"/>
  <c r="AN607" i="1"/>
  <c r="AH607" i="1"/>
  <c r="Y607" i="1"/>
  <c r="S607" i="1"/>
  <c r="M607" i="1"/>
  <c r="G607" i="1"/>
  <c r="AZ606" i="1"/>
  <c r="AT606" i="1"/>
  <c r="AN606" i="1"/>
  <c r="AH606" i="1"/>
  <c r="Y606" i="1"/>
  <c r="S606" i="1"/>
  <c r="M606" i="1"/>
  <c r="G606" i="1"/>
  <c r="AZ605" i="1"/>
  <c r="AT605" i="1"/>
  <c r="AN605" i="1"/>
  <c r="AH605" i="1"/>
  <c r="Y605" i="1"/>
  <c r="S605" i="1"/>
  <c r="M605" i="1"/>
  <c r="G605" i="1"/>
  <c r="AZ604" i="1"/>
  <c r="AT604" i="1"/>
  <c r="AN604" i="1"/>
  <c r="AH604" i="1"/>
  <c r="Y604" i="1"/>
  <c r="S604" i="1"/>
  <c r="M604" i="1"/>
  <c r="G604" i="1"/>
  <c r="AZ603" i="1"/>
  <c r="AT603" i="1"/>
  <c r="AN603" i="1"/>
  <c r="AH603" i="1"/>
  <c r="Y603" i="1"/>
  <c r="S603" i="1"/>
  <c r="M603" i="1"/>
  <c r="G603" i="1"/>
  <c r="AZ602" i="1"/>
  <c r="AT602" i="1"/>
  <c r="AN602" i="1"/>
  <c r="AH602" i="1"/>
  <c r="Y602" i="1"/>
  <c r="S602" i="1"/>
  <c r="M602" i="1"/>
  <c r="G602" i="1"/>
  <c r="AZ601" i="1"/>
  <c r="AT601" i="1"/>
  <c r="AN601" i="1"/>
  <c r="AH601" i="1"/>
  <c r="Y601" i="1"/>
  <c r="S601" i="1"/>
  <c r="M601" i="1"/>
  <c r="G601" i="1"/>
  <c r="AZ600" i="1"/>
  <c r="AT600" i="1"/>
  <c r="AN600" i="1"/>
  <c r="AH600" i="1"/>
  <c r="Y600" i="1"/>
  <c r="S600" i="1"/>
  <c r="M600" i="1"/>
  <c r="G600" i="1"/>
  <c r="AZ599" i="1"/>
  <c r="AT599" i="1"/>
  <c r="AN599" i="1"/>
  <c r="AH599" i="1"/>
  <c r="Y599" i="1"/>
  <c r="S599" i="1"/>
  <c r="M599" i="1"/>
  <c r="G599" i="1"/>
  <c r="AZ598" i="1"/>
  <c r="AT598" i="1"/>
  <c r="AN598" i="1"/>
  <c r="AH598" i="1"/>
  <c r="Y598" i="1"/>
  <c r="S598" i="1"/>
  <c r="M598" i="1"/>
  <c r="G598" i="1"/>
  <c r="AZ597" i="1"/>
  <c r="AT597" i="1"/>
  <c r="AN597" i="1"/>
  <c r="AH597" i="1"/>
  <c r="Y597" i="1"/>
  <c r="S597" i="1"/>
  <c r="M597" i="1"/>
  <c r="G597" i="1"/>
  <c r="AZ596" i="1"/>
  <c r="AT596" i="1"/>
  <c r="AN596" i="1"/>
  <c r="AH596" i="1"/>
  <c r="Y596" i="1"/>
  <c r="S596" i="1"/>
  <c r="M596" i="1"/>
  <c r="G596" i="1"/>
  <c r="AZ595" i="1"/>
  <c r="AT595" i="1"/>
  <c r="AN595" i="1"/>
  <c r="AH595" i="1"/>
  <c r="Y595" i="1"/>
  <c r="S595" i="1"/>
  <c r="M595" i="1"/>
  <c r="G595" i="1"/>
  <c r="AZ593" i="1"/>
  <c r="AT593" i="1"/>
  <c r="AN593" i="1"/>
  <c r="AH593" i="1"/>
  <c r="Y593" i="1"/>
  <c r="S593" i="1"/>
  <c r="M593" i="1"/>
  <c r="G593" i="1"/>
  <c r="Y592" i="1"/>
  <c r="S592" i="1"/>
  <c r="M592" i="1"/>
  <c r="G592" i="1"/>
  <c r="Y591" i="1"/>
  <c r="S591" i="1"/>
  <c r="M591" i="1"/>
  <c r="G591" i="1"/>
  <c r="Y590" i="1"/>
  <c r="S590" i="1"/>
  <c r="M590" i="1"/>
  <c r="G590" i="1"/>
  <c r="AZ542" i="1"/>
  <c r="AT542" i="1"/>
  <c r="AN542" i="1"/>
  <c r="AH542" i="1"/>
  <c r="AZ579" i="1"/>
  <c r="AT579" i="1"/>
  <c r="AN579" i="1"/>
  <c r="AH579" i="1"/>
  <c r="AY582" i="1"/>
  <c r="AX582" i="1"/>
  <c r="AW582" i="1"/>
  <c r="AV582" i="1"/>
  <c r="AU582" i="1"/>
  <c r="AS582" i="1"/>
  <c r="AR582" i="1"/>
  <c r="AQ582" i="1"/>
  <c r="AP582" i="1"/>
  <c r="AO582" i="1"/>
  <c r="AM582" i="1"/>
  <c r="AL582" i="1"/>
  <c r="AK582" i="1"/>
  <c r="AJ582" i="1"/>
  <c r="AI582" i="1"/>
  <c r="AG582" i="1"/>
  <c r="AF582" i="1"/>
  <c r="AE582" i="1"/>
  <c r="AD582" i="1"/>
  <c r="AC582" i="1"/>
  <c r="X582" i="1"/>
  <c r="W582" i="1"/>
  <c r="V582" i="1"/>
  <c r="U582" i="1"/>
  <c r="T582" i="1"/>
  <c r="R582" i="1"/>
  <c r="Q582" i="1"/>
  <c r="P582" i="1"/>
  <c r="O582" i="1"/>
  <c r="N582" i="1"/>
  <c r="L582" i="1"/>
  <c r="K582" i="1"/>
  <c r="J582" i="1"/>
  <c r="I582" i="1"/>
  <c r="H582" i="1"/>
  <c r="F582" i="1"/>
  <c r="E582" i="1"/>
  <c r="D582" i="1"/>
  <c r="C582" i="1"/>
  <c r="B582" i="1"/>
  <c r="AZ581" i="1"/>
  <c r="AT581" i="1"/>
  <c r="AN581" i="1"/>
  <c r="AH581" i="1"/>
  <c r="Y581" i="1"/>
  <c r="S581" i="1"/>
  <c r="M581" i="1"/>
  <c r="G581" i="1"/>
  <c r="AZ580" i="1"/>
  <c r="AT580" i="1"/>
  <c r="AN580" i="1"/>
  <c r="AH580" i="1"/>
  <c r="Y580" i="1"/>
  <c r="S580" i="1"/>
  <c r="M580" i="1"/>
  <c r="G580" i="1"/>
  <c r="Y579" i="1"/>
  <c r="S579" i="1"/>
  <c r="M579" i="1"/>
  <c r="G579" i="1"/>
  <c r="AZ578" i="1"/>
  <c r="AT578" i="1"/>
  <c r="AN578" i="1"/>
  <c r="AH578" i="1"/>
  <c r="Y578" i="1"/>
  <c r="S578" i="1"/>
  <c r="M578" i="1"/>
  <c r="G578" i="1"/>
  <c r="AZ577" i="1"/>
  <c r="AT577" i="1"/>
  <c r="AN577" i="1"/>
  <c r="AH577" i="1"/>
  <c r="Y577" i="1"/>
  <c r="S577" i="1"/>
  <c r="M577" i="1"/>
  <c r="G577" i="1"/>
  <c r="AZ576" i="1"/>
  <c r="AT576" i="1"/>
  <c r="AN576" i="1"/>
  <c r="AH576" i="1"/>
  <c r="Y576" i="1"/>
  <c r="S576" i="1"/>
  <c r="M576" i="1"/>
  <c r="G576" i="1"/>
  <c r="AZ575" i="1"/>
  <c r="AT575" i="1"/>
  <c r="AN575" i="1"/>
  <c r="AH575" i="1"/>
  <c r="Y575" i="1"/>
  <c r="S575" i="1"/>
  <c r="M575" i="1"/>
  <c r="G575" i="1"/>
  <c r="AZ574" i="1"/>
  <c r="AT574" i="1"/>
  <c r="AN574" i="1"/>
  <c r="AH574" i="1"/>
  <c r="Y574" i="1"/>
  <c r="S574" i="1"/>
  <c r="M574" i="1"/>
  <c r="G574" i="1"/>
  <c r="AZ573" i="1"/>
  <c r="AT573" i="1"/>
  <c r="AN573" i="1"/>
  <c r="AH573" i="1"/>
  <c r="Y573" i="1"/>
  <c r="S573" i="1"/>
  <c r="M573" i="1"/>
  <c r="G573" i="1"/>
  <c r="AZ572" i="1"/>
  <c r="AT572" i="1"/>
  <c r="AN572" i="1"/>
  <c r="AH572" i="1"/>
  <c r="Y572" i="1"/>
  <c r="S572" i="1"/>
  <c r="M572" i="1"/>
  <c r="G572" i="1"/>
  <c r="AZ571" i="1"/>
  <c r="AT571" i="1"/>
  <c r="AN571" i="1"/>
  <c r="AH571" i="1"/>
  <c r="Y571" i="1"/>
  <c r="S571" i="1"/>
  <c r="M571" i="1"/>
  <c r="G571" i="1"/>
  <c r="AZ570" i="1"/>
  <c r="AT570" i="1"/>
  <c r="AN570" i="1"/>
  <c r="AH570" i="1"/>
  <c r="Y570" i="1"/>
  <c r="S570" i="1"/>
  <c r="M570" i="1"/>
  <c r="G570" i="1"/>
  <c r="AZ569" i="1"/>
  <c r="AT569" i="1"/>
  <c r="AN569" i="1"/>
  <c r="AH569" i="1"/>
  <c r="Y569" i="1"/>
  <c r="S569" i="1"/>
  <c r="M569" i="1"/>
  <c r="G569" i="1"/>
  <c r="AZ568" i="1"/>
  <c r="AT568" i="1"/>
  <c r="AN568" i="1"/>
  <c r="AH568" i="1"/>
  <c r="Y568" i="1"/>
  <c r="S568" i="1"/>
  <c r="M568" i="1"/>
  <c r="G568" i="1"/>
  <c r="AZ567" i="1"/>
  <c r="AT567" i="1"/>
  <c r="AN567" i="1"/>
  <c r="AH567" i="1"/>
  <c r="Y567" i="1"/>
  <c r="S567" i="1"/>
  <c r="M567" i="1"/>
  <c r="G567" i="1"/>
  <c r="AZ566" i="1"/>
  <c r="AT566" i="1"/>
  <c r="AN566" i="1"/>
  <c r="AH566" i="1"/>
  <c r="Y566" i="1"/>
  <c r="S566" i="1"/>
  <c r="M566" i="1"/>
  <c r="G566" i="1"/>
  <c r="AZ565" i="1"/>
  <c r="AT565" i="1"/>
  <c r="AN565" i="1"/>
  <c r="AH565" i="1"/>
  <c r="Y565" i="1"/>
  <c r="S565" i="1"/>
  <c r="M565" i="1"/>
  <c r="G565" i="1"/>
  <c r="AZ564" i="1"/>
  <c r="AT564" i="1"/>
  <c r="AN564" i="1"/>
  <c r="AH564" i="1"/>
  <c r="Y564" i="1"/>
  <c r="S564" i="1"/>
  <c r="M564" i="1"/>
  <c r="G564" i="1"/>
  <c r="AZ563" i="1"/>
  <c r="AT563" i="1"/>
  <c r="AN563" i="1"/>
  <c r="AH563" i="1"/>
  <c r="Y563" i="1"/>
  <c r="S563" i="1"/>
  <c r="M563" i="1"/>
  <c r="G563" i="1"/>
  <c r="AZ562" i="1"/>
  <c r="AT562" i="1"/>
  <c r="AN562" i="1"/>
  <c r="AH562" i="1"/>
  <c r="Y562" i="1"/>
  <c r="S562" i="1"/>
  <c r="M562" i="1"/>
  <c r="G562" i="1"/>
  <c r="AZ561" i="1"/>
  <c r="AT561" i="1"/>
  <c r="AN561" i="1"/>
  <c r="AH561" i="1"/>
  <c r="Y561" i="1"/>
  <c r="S561" i="1"/>
  <c r="M561" i="1"/>
  <c r="G561" i="1"/>
  <c r="AZ560" i="1"/>
  <c r="AT560" i="1"/>
  <c r="AN560" i="1"/>
  <c r="AH560" i="1"/>
  <c r="Y560" i="1"/>
  <c r="S560" i="1"/>
  <c r="M560" i="1"/>
  <c r="G560" i="1"/>
  <c r="AZ559" i="1"/>
  <c r="AT559" i="1"/>
  <c r="AN559" i="1"/>
  <c r="AH559" i="1"/>
  <c r="Y559" i="1"/>
  <c r="S559" i="1"/>
  <c r="M559" i="1"/>
  <c r="G559" i="1"/>
  <c r="AZ558" i="1"/>
  <c r="AT558" i="1"/>
  <c r="AN558" i="1"/>
  <c r="AH558" i="1"/>
  <c r="Y558" i="1"/>
  <c r="S558" i="1"/>
  <c r="M558" i="1"/>
  <c r="G558" i="1"/>
  <c r="AZ557" i="1"/>
  <c r="AT557" i="1"/>
  <c r="AN557" i="1"/>
  <c r="AH557" i="1"/>
  <c r="Y557" i="1"/>
  <c r="S557" i="1"/>
  <c r="M557" i="1"/>
  <c r="G557" i="1"/>
  <c r="AZ556" i="1"/>
  <c r="AT556" i="1"/>
  <c r="AN556" i="1"/>
  <c r="AH556" i="1"/>
  <c r="Y556" i="1"/>
  <c r="S556" i="1"/>
  <c r="M556" i="1"/>
  <c r="G556" i="1"/>
  <c r="AZ554" i="1"/>
  <c r="AT554" i="1"/>
  <c r="AN554" i="1"/>
  <c r="AH554" i="1"/>
  <c r="Y554" i="1"/>
  <c r="S554" i="1"/>
  <c r="M554" i="1"/>
  <c r="G554" i="1"/>
  <c r="Y553" i="1"/>
  <c r="S553" i="1"/>
  <c r="M553" i="1"/>
  <c r="G553" i="1"/>
  <c r="Y552" i="1"/>
  <c r="S552" i="1"/>
  <c r="M552" i="1"/>
  <c r="G552" i="1"/>
  <c r="Y551" i="1"/>
  <c r="S551" i="1"/>
  <c r="M551" i="1"/>
  <c r="G551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Y543" i="1"/>
  <c r="AX543" i="1"/>
  <c r="AW543" i="1"/>
  <c r="AV543" i="1"/>
  <c r="AU543" i="1"/>
  <c r="AS543" i="1"/>
  <c r="AR543" i="1"/>
  <c r="AQ543" i="1"/>
  <c r="AP543" i="1"/>
  <c r="AO543" i="1"/>
  <c r="AM543" i="1"/>
  <c r="AL543" i="1"/>
  <c r="AK543" i="1"/>
  <c r="AJ543" i="1"/>
  <c r="AI543" i="1"/>
  <c r="AG543" i="1"/>
  <c r="AF543" i="1"/>
  <c r="AE543" i="1"/>
  <c r="AD543" i="1"/>
  <c r="AC543" i="1"/>
  <c r="X543" i="1"/>
  <c r="W543" i="1"/>
  <c r="V543" i="1"/>
  <c r="U543" i="1"/>
  <c r="T543" i="1"/>
  <c r="R543" i="1"/>
  <c r="Q543" i="1"/>
  <c r="P543" i="1"/>
  <c r="O543" i="1"/>
  <c r="N543" i="1"/>
  <c r="L543" i="1"/>
  <c r="K543" i="1"/>
  <c r="J543" i="1"/>
  <c r="I543" i="1"/>
  <c r="H543" i="1"/>
  <c r="F543" i="1"/>
  <c r="E543" i="1"/>
  <c r="D543" i="1"/>
  <c r="C543" i="1"/>
  <c r="B543" i="1"/>
  <c r="Y542" i="1"/>
  <c r="S542" i="1"/>
  <c r="M542" i="1"/>
  <c r="G542" i="1"/>
  <c r="AZ541" i="1"/>
  <c r="AT541" i="1"/>
  <c r="AN541" i="1"/>
  <c r="AH541" i="1"/>
  <c r="Y541" i="1"/>
  <c r="S541" i="1"/>
  <c r="M541" i="1"/>
  <c r="G541" i="1"/>
  <c r="AZ540" i="1"/>
  <c r="AT540" i="1"/>
  <c r="AN540" i="1"/>
  <c r="AH540" i="1"/>
  <c r="Y540" i="1"/>
  <c r="S540" i="1"/>
  <c r="M540" i="1"/>
  <c r="G540" i="1"/>
  <c r="AZ539" i="1"/>
  <c r="AT539" i="1"/>
  <c r="AN539" i="1"/>
  <c r="AH539" i="1"/>
  <c r="Y539" i="1"/>
  <c r="S539" i="1"/>
  <c r="M539" i="1"/>
  <c r="G539" i="1"/>
  <c r="AZ538" i="1"/>
  <c r="AT538" i="1"/>
  <c r="AN538" i="1"/>
  <c r="AH538" i="1"/>
  <c r="Y538" i="1"/>
  <c r="S538" i="1"/>
  <c r="M538" i="1"/>
  <c r="G538" i="1"/>
  <c r="AZ537" i="1"/>
  <c r="AT537" i="1"/>
  <c r="AN537" i="1"/>
  <c r="Y537" i="1"/>
  <c r="S537" i="1"/>
  <c r="M537" i="1"/>
  <c r="G537" i="1"/>
  <c r="AZ536" i="1"/>
  <c r="AT536" i="1"/>
  <c r="AN536" i="1"/>
  <c r="Y536" i="1"/>
  <c r="S536" i="1"/>
  <c r="M536" i="1"/>
  <c r="G536" i="1"/>
  <c r="AZ535" i="1"/>
  <c r="AT535" i="1"/>
  <c r="AN535" i="1"/>
  <c r="Y535" i="1"/>
  <c r="S535" i="1"/>
  <c r="M535" i="1"/>
  <c r="G535" i="1"/>
  <c r="AZ534" i="1"/>
  <c r="AT534" i="1"/>
  <c r="AN534" i="1"/>
  <c r="Y534" i="1"/>
  <c r="S534" i="1"/>
  <c r="M534" i="1"/>
  <c r="G534" i="1"/>
  <c r="AZ533" i="1"/>
  <c r="AT533" i="1"/>
  <c r="AN533" i="1"/>
  <c r="Y533" i="1"/>
  <c r="S533" i="1"/>
  <c r="M533" i="1"/>
  <c r="G533" i="1"/>
  <c r="AZ532" i="1"/>
  <c r="AT532" i="1"/>
  <c r="AN532" i="1"/>
  <c r="Y532" i="1"/>
  <c r="S532" i="1"/>
  <c r="M532" i="1"/>
  <c r="G532" i="1"/>
  <c r="AZ531" i="1"/>
  <c r="AT531" i="1"/>
  <c r="AN531" i="1"/>
  <c r="Y531" i="1"/>
  <c r="S531" i="1"/>
  <c r="M531" i="1"/>
  <c r="G531" i="1"/>
  <c r="AZ530" i="1"/>
  <c r="AT530" i="1"/>
  <c r="AN530" i="1"/>
  <c r="Y530" i="1"/>
  <c r="S530" i="1"/>
  <c r="M530" i="1"/>
  <c r="G530" i="1"/>
  <c r="AZ529" i="1"/>
  <c r="AT529" i="1"/>
  <c r="AN529" i="1"/>
  <c r="Y529" i="1"/>
  <c r="S529" i="1"/>
  <c r="M529" i="1"/>
  <c r="G529" i="1"/>
  <c r="AZ528" i="1"/>
  <c r="AT528" i="1"/>
  <c r="AN528" i="1"/>
  <c r="Y528" i="1"/>
  <c r="S528" i="1"/>
  <c r="M528" i="1"/>
  <c r="G528" i="1"/>
  <c r="AZ527" i="1"/>
  <c r="AT527" i="1"/>
  <c r="AN527" i="1"/>
  <c r="Y527" i="1"/>
  <c r="S527" i="1"/>
  <c r="M527" i="1"/>
  <c r="G527" i="1"/>
  <c r="AZ526" i="1"/>
  <c r="AT526" i="1"/>
  <c r="AN526" i="1"/>
  <c r="Y526" i="1"/>
  <c r="S526" i="1"/>
  <c r="M526" i="1"/>
  <c r="G526" i="1"/>
  <c r="AZ525" i="1"/>
  <c r="AT525" i="1"/>
  <c r="AN525" i="1"/>
  <c r="Y525" i="1"/>
  <c r="S525" i="1"/>
  <c r="M525" i="1"/>
  <c r="G525" i="1"/>
  <c r="AZ524" i="1"/>
  <c r="AT524" i="1"/>
  <c r="AN524" i="1"/>
  <c r="Y524" i="1"/>
  <c r="S524" i="1"/>
  <c r="M524" i="1"/>
  <c r="G524" i="1"/>
  <c r="AZ523" i="1"/>
  <c r="AT523" i="1"/>
  <c r="AN523" i="1"/>
  <c r="Y523" i="1"/>
  <c r="S523" i="1"/>
  <c r="M523" i="1"/>
  <c r="G523" i="1"/>
  <c r="AZ522" i="1"/>
  <c r="AT522" i="1"/>
  <c r="AN522" i="1"/>
  <c r="Y522" i="1"/>
  <c r="S522" i="1"/>
  <c r="M522" i="1"/>
  <c r="G522" i="1"/>
  <c r="AZ521" i="1"/>
  <c r="AT521" i="1"/>
  <c r="AN521" i="1"/>
  <c r="Y521" i="1"/>
  <c r="S521" i="1"/>
  <c r="M521" i="1"/>
  <c r="G521" i="1"/>
  <c r="AZ520" i="1"/>
  <c r="AT520" i="1"/>
  <c r="AN520" i="1"/>
  <c r="Y520" i="1"/>
  <c r="S520" i="1"/>
  <c r="M520" i="1"/>
  <c r="G520" i="1"/>
  <c r="AZ519" i="1"/>
  <c r="AT519" i="1"/>
  <c r="AN519" i="1"/>
  <c r="Y519" i="1"/>
  <c r="S519" i="1"/>
  <c r="M519" i="1"/>
  <c r="G519" i="1"/>
  <c r="AZ518" i="1"/>
  <c r="AT518" i="1"/>
  <c r="AN518" i="1"/>
  <c r="Y518" i="1"/>
  <c r="S518" i="1"/>
  <c r="M518" i="1"/>
  <c r="G518" i="1"/>
  <c r="AZ517" i="1"/>
  <c r="AT517" i="1"/>
  <c r="AN517" i="1"/>
  <c r="Y517" i="1"/>
  <c r="S517" i="1"/>
  <c r="M517" i="1"/>
  <c r="G517" i="1"/>
  <c r="AZ515" i="1"/>
  <c r="AT515" i="1"/>
  <c r="AN515" i="1"/>
  <c r="AH515" i="1"/>
  <c r="Y515" i="1"/>
  <c r="S515" i="1"/>
  <c r="M515" i="1"/>
  <c r="G515" i="1"/>
  <c r="Y514" i="1"/>
  <c r="S514" i="1"/>
  <c r="M514" i="1"/>
  <c r="G514" i="1"/>
  <c r="AZ513" i="1"/>
  <c r="AT513" i="1"/>
  <c r="AN513" i="1"/>
  <c r="AH513" i="1"/>
  <c r="Y513" i="1"/>
  <c r="S513" i="1"/>
  <c r="M513" i="1"/>
  <c r="G513" i="1"/>
  <c r="AZ512" i="1"/>
  <c r="AT512" i="1"/>
  <c r="AN512" i="1"/>
  <c r="AH512" i="1"/>
  <c r="Y512" i="1"/>
  <c r="S512" i="1"/>
  <c r="M512" i="1"/>
  <c r="G512" i="1"/>
  <c r="AZ481" i="1"/>
  <c r="AT481" i="1"/>
  <c r="AN481" i="1"/>
  <c r="AH481" i="1"/>
  <c r="AZ480" i="1"/>
  <c r="AT480" i="1"/>
  <c r="AN480" i="1"/>
  <c r="AH480" i="1"/>
  <c r="AZ479" i="1"/>
  <c r="AT479" i="1"/>
  <c r="AN479" i="1"/>
  <c r="AH479" i="1"/>
  <c r="Y479" i="1"/>
  <c r="S479" i="1"/>
  <c r="M479" i="1"/>
  <c r="G479" i="1"/>
  <c r="AH423" i="1"/>
  <c r="AN423" i="1"/>
  <c r="AT423" i="1"/>
  <c r="AZ423" i="1"/>
  <c r="AH424" i="1"/>
  <c r="AN424" i="1"/>
  <c r="AT424" i="1"/>
  <c r="AZ424" i="1"/>
  <c r="X504" i="1"/>
  <c r="W504" i="1"/>
  <c r="V504" i="1"/>
  <c r="U504" i="1"/>
  <c r="T504" i="1"/>
  <c r="R504" i="1"/>
  <c r="Q504" i="1"/>
  <c r="P504" i="1"/>
  <c r="O504" i="1"/>
  <c r="N504" i="1"/>
  <c r="L504" i="1"/>
  <c r="K504" i="1"/>
  <c r="J504" i="1"/>
  <c r="I504" i="1"/>
  <c r="H504" i="1"/>
  <c r="F504" i="1"/>
  <c r="E504" i="1"/>
  <c r="D504" i="1"/>
  <c r="C504" i="1"/>
  <c r="B504" i="1"/>
  <c r="Y503" i="1"/>
  <c r="S503" i="1"/>
  <c r="M503" i="1"/>
  <c r="G503" i="1"/>
  <c r="Y502" i="1"/>
  <c r="S502" i="1"/>
  <c r="M502" i="1"/>
  <c r="G502" i="1"/>
  <c r="Y501" i="1"/>
  <c r="S501" i="1"/>
  <c r="M501" i="1"/>
  <c r="G501" i="1"/>
  <c r="Y500" i="1"/>
  <c r="S500" i="1"/>
  <c r="M500" i="1"/>
  <c r="G500" i="1"/>
  <c r="Y499" i="1"/>
  <c r="S499" i="1"/>
  <c r="M499" i="1"/>
  <c r="G499" i="1"/>
  <c r="Y498" i="1"/>
  <c r="S498" i="1"/>
  <c r="M498" i="1"/>
  <c r="G498" i="1"/>
  <c r="Y497" i="1"/>
  <c r="S497" i="1"/>
  <c r="M497" i="1"/>
  <c r="G497" i="1"/>
  <c r="Y496" i="1"/>
  <c r="S496" i="1"/>
  <c r="M496" i="1"/>
  <c r="G496" i="1"/>
  <c r="Y495" i="1"/>
  <c r="S495" i="1"/>
  <c r="M495" i="1"/>
  <c r="G495" i="1"/>
  <c r="Y494" i="1"/>
  <c r="S494" i="1"/>
  <c r="M494" i="1"/>
  <c r="G494" i="1"/>
  <c r="Y493" i="1"/>
  <c r="S493" i="1"/>
  <c r="M493" i="1"/>
  <c r="G493" i="1"/>
  <c r="Y492" i="1"/>
  <c r="S492" i="1"/>
  <c r="M492" i="1"/>
  <c r="G492" i="1"/>
  <c r="Y491" i="1"/>
  <c r="S491" i="1"/>
  <c r="M491" i="1"/>
  <c r="G491" i="1"/>
  <c r="Y490" i="1"/>
  <c r="S490" i="1"/>
  <c r="M490" i="1"/>
  <c r="G490" i="1"/>
  <c r="Y489" i="1"/>
  <c r="S489" i="1"/>
  <c r="M489" i="1"/>
  <c r="G489" i="1"/>
  <c r="Y488" i="1"/>
  <c r="S488" i="1"/>
  <c r="M488" i="1"/>
  <c r="G488" i="1"/>
  <c r="Y487" i="1"/>
  <c r="S487" i="1"/>
  <c r="M487" i="1"/>
  <c r="G487" i="1"/>
  <c r="Y486" i="1"/>
  <c r="S486" i="1"/>
  <c r="M486" i="1"/>
  <c r="G486" i="1"/>
  <c r="Y485" i="1"/>
  <c r="S485" i="1"/>
  <c r="M485" i="1"/>
  <c r="G485" i="1"/>
  <c r="Y484" i="1"/>
  <c r="S484" i="1"/>
  <c r="M484" i="1"/>
  <c r="G484" i="1"/>
  <c r="Y483" i="1"/>
  <c r="S483" i="1"/>
  <c r="M483" i="1"/>
  <c r="G483" i="1"/>
  <c r="Y482" i="1"/>
  <c r="S482" i="1"/>
  <c r="M482" i="1"/>
  <c r="G482" i="1"/>
  <c r="Y481" i="1"/>
  <c r="S481" i="1"/>
  <c r="M481" i="1"/>
  <c r="G481" i="1"/>
  <c r="Y480" i="1"/>
  <c r="S480" i="1"/>
  <c r="M480" i="1"/>
  <c r="G480" i="1"/>
  <c r="Y478" i="1"/>
  <c r="S478" i="1"/>
  <c r="M478" i="1"/>
  <c r="G478" i="1"/>
  <c r="Y476" i="1"/>
  <c r="S476" i="1"/>
  <c r="M476" i="1"/>
  <c r="G476" i="1"/>
  <c r="Y475" i="1"/>
  <c r="S475" i="1"/>
  <c r="M475" i="1"/>
  <c r="G475" i="1"/>
  <c r="Y474" i="1"/>
  <c r="S474" i="1"/>
  <c r="M474" i="1"/>
  <c r="G474" i="1"/>
  <c r="Y473" i="1"/>
  <c r="S473" i="1"/>
  <c r="M473" i="1"/>
  <c r="G473" i="1"/>
  <c r="AZ462" i="1"/>
  <c r="AT462" i="1"/>
  <c r="AN462" i="1"/>
  <c r="AH462" i="1"/>
  <c r="AZ463" i="1"/>
  <c r="AT463" i="1"/>
  <c r="AN463" i="1"/>
  <c r="AH463" i="1"/>
  <c r="AZ464" i="1"/>
  <c r="AT464" i="1"/>
  <c r="AN464" i="1"/>
  <c r="AH464" i="1"/>
  <c r="AZ502" i="1"/>
  <c r="AT502" i="1"/>
  <c r="AN502" i="1"/>
  <c r="AH502" i="1"/>
  <c r="AY504" i="1"/>
  <c r="AX504" i="1"/>
  <c r="AW504" i="1"/>
  <c r="AV504" i="1"/>
  <c r="AU504" i="1"/>
  <c r="AS504" i="1"/>
  <c r="AR504" i="1"/>
  <c r="AQ504" i="1"/>
  <c r="AP504" i="1"/>
  <c r="AO504" i="1"/>
  <c r="AM504" i="1"/>
  <c r="AL504" i="1"/>
  <c r="AK504" i="1"/>
  <c r="AJ504" i="1"/>
  <c r="AI504" i="1"/>
  <c r="AG504" i="1"/>
  <c r="AF504" i="1"/>
  <c r="AE504" i="1"/>
  <c r="AD504" i="1"/>
  <c r="AC504" i="1"/>
  <c r="AZ503" i="1"/>
  <c r="AT503" i="1"/>
  <c r="AN503" i="1"/>
  <c r="AH503" i="1"/>
  <c r="AZ501" i="1"/>
  <c r="AT501" i="1"/>
  <c r="AN501" i="1"/>
  <c r="AH501" i="1"/>
  <c r="AZ500" i="1"/>
  <c r="AT500" i="1"/>
  <c r="AN500" i="1"/>
  <c r="AH500" i="1"/>
  <c r="AZ499" i="1"/>
  <c r="AT499" i="1"/>
  <c r="AN499" i="1"/>
  <c r="AH499" i="1"/>
  <c r="AZ498" i="1"/>
  <c r="AT498" i="1"/>
  <c r="AN498" i="1"/>
  <c r="AH498" i="1"/>
  <c r="AZ497" i="1"/>
  <c r="AT497" i="1"/>
  <c r="AN497" i="1"/>
  <c r="AH497" i="1"/>
  <c r="AZ496" i="1"/>
  <c r="AT496" i="1"/>
  <c r="AN496" i="1"/>
  <c r="AH496" i="1"/>
  <c r="AZ495" i="1"/>
  <c r="AT495" i="1"/>
  <c r="AN495" i="1"/>
  <c r="AH495" i="1"/>
  <c r="AZ494" i="1"/>
  <c r="AT494" i="1"/>
  <c r="AN494" i="1"/>
  <c r="AH494" i="1"/>
  <c r="AZ493" i="1"/>
  <c r="AT493" i="1"/>
  <c r="AN493" i="1"/>
  <c r="AH493" i="1"/>
  <c r="AZ492" i="1"/>
  <c r="AT492" i="1"/>
  <c r="AN492" i="1"/>
  <c r="AH492" i="1"/>
  <c r="AZ491" i="1"/>
  <c r="AT491" i="1"/>
  <c r="AN491" i="1"/>
  <c r="AH491" i="1"/>
  <c r="AZ490" i="1"/>
  <c r="AT490" i="1"/>
  <c r="AN490" i="1"/>
  <c r="AH490" i="1"/>
  <c r="AZ489" i="1"/>
  <c r="AT489" i="1"/>
  <c r="AN489" i="1"/>
  <c r="AH489" i="1"/>
  <c r="AZ488" i="1"/>
  <c r="AT488" i="1"/>
  <c r="AN488" i="1"/>
  <c r="AH488" i="1"/>
  <c r="AZ487" i="1"/>
  <c r="AT487" i="1"/>
  <c r="AN487" i="1"/>
  <c r="AH487" i="1"/>
  <c r="AZ486" i="1"/>
  <c r="AT486" i="1"/>
  <c r="AN486" i="1"/>
  <c r="AH486" i="1"/>
  <c r="AZ485" i="1"/>
  <c r="AT485" i="1"/>
  <c r="AN485" i="1"/>
  <c r="AH485" i="1"/>
  <c r="AZ484" i="1"/>
  <c r="AT484" i="1"/>
  <c r="AN484" i="1"/>
  <c r="AH484" i="1"/>
  <c r="AZ483" i="1"/>
  <c r="AT483" i="1"/>
  <c r="AN483" i="1"/>
  <c r="AH483" i="1"/>
  <c r="AZ482" i="1"/>
  <c r="AT482" i="1"/>
  <c r="AN482" i="1"/>
  <c r="AH482" i="1"/>
  <c r="AZ478" i="1"/>
  <c r="AT478" i="1"/>
  <c r="AN478" i="1"/>
  <c r="AH478" i="1"/>
  <c r="AZ476" i="1"/>
  <c r="AT476" i="1"/>
  <c r="AN476" i="1"/>
  <c r="AH476" i="1"/>
  <c r="AZ475" i="1"/>
  <c r="AT475" i="1"/>
  <c r="AN475" i="1"/>
  <c r="AH475" i="1"/>
  <c r="AZ474" i="1"/>
  <c r="AT474" i="1"/>
  <c r="AN474" i="1"/>
  <c r="AH474" i="1"/>
  <c r="AZ473" i="1"/>
  <c r="AT473" i="1"/>
  <c r="AN473" i="1"/>
  <c r="AH473" i="1"/>
  <c r="AZ461" i="1"/>
  <c r="AT461" i="1"/>
  <c r="AN461" i="1"/>
  <c r="AH461" i="1"/>
  <c r="AZ425" i="1"/>
  <c r="AT425" i="1"/>
  <c r="AN425" i="1"/>
  <c r="AH425" i="1"/>
  <c r="AZ460" i="1"/>
  <c r="AT460" i="1"/>
  <c r="AN460" i="1"/>
  <c r="AH460" i="1"/>
  <c r="AZ439" i="1"/>
  <c r="AT439" i="1"/>
  <c r="AN439" i="1"/>
  <c r="AH439" i="1"/>
  <c r="AZ384" i="1"/>
  <c r="AT384" i="1"/>
  <c r="AN384" i="1"/>
  <c r="AH384" i="1"/>
  <c r="AZ420" i="1"/>
  <c r="AT420" i="1"/>
  <c r="AN420" i="1"/>
  <c r="AH420" i="1"/>
  <c r="AZ385" i="1"/>
  <c r="AT385" i="1"/>
  <c r="AN385" i="1"/>
  <c r="AH385" i="1"/>
  <c r="X465" i="1"/>
  <c r="W465" i="1"/>
  <c r="V465" i="1"/>
  <c r="U465" i="1"/>
  <c r="T465" i="1"/>
  <c r="R465" i="1"/>
  <c r="Q465" i="1"/>
  <c r="P465" i="1"/>
  <c r="O465" i="1"/>
  <c r="N465" i="1"/>
  <c r="L465" i="1"/>
  <c r="K465" i="1"/>
  <c r="J465" i="1"/>
  <c r="I465" i="1"/>
  <c r="H465" i="1"/>
  <c r="F465" i="1"/>
  <c r="E465" i="1"/>
  <c r="D465" i="1"/>
  <c r="C465" i="1"/>
  <c r="B465" i="1"/>
  <c r="Y464" i="1"/>
  <c r="S464" i="1"/>
  <c r="M464" i="1"/>
  <c r="G464" i="1"/>
  <c r="Y463" i="1"/>
  <c r="S463" i="1"/>
  <c r="M463" i="1"/>
  <c r="G463" i="1"/>
  <c r="Y462" i="1"/>
  <c r="S462" i="1"/>
  <c r="M462" i="1"/>
  <c r="G462" i="1"/>
  <c r="Y461" i="1"/>
  <c r="S461" i="1"/>
  <c r="M461" i="1"/>
  <c r="G461" i="1"/>
  <c r="Y460" i="1"/>
  <c r="S460" i="1"/>
  <c r="M460" i="1"/>
  <c r="G460" i="1"/>
  <c r="Y459" i="1"/>
  <c r="S459" i="1"/>
  <c r="M459" i="1"/>
  <c r="G459" i="1"/>
  <c r="Y458" i="1"/>
  <c r="S458" i="1"/>
  <c r="M458" i="1"/>
  <c r="G458" i="1"/>
  <c r="Y457" i="1"/>
  <c r="S457" i="1"/>
  <c r="M457" i="1"/>
  <c r="G457" i="1"/>
  <c r="Y456" i="1"/>
  <c r="S456" i="1"/>
  <c r="M456" i="1"/>
  <c r="G456" i="1"/>
  <c r="Y455" i="1"/>
  <c r="S455" i="1"/>
  <c r="M455" i="1"/>
  <c r="G455" i="1"/>
  <c r="Y454" i="1"/>
  <c r="S454" i="1"/>
  <c r="M454" i="1"/>
  <c r="G454" i="1"/>
  <c r="Y453" i="1"/>
  <c r="S453" i="1"/>
  <c r="M453" i="1"/>
  <c r="G453" i="1"/>
  <c r="Y452" i="1"/>
  <c r="S452" i="1"/>
  <c r="M452" i="1"/>
  <c r="G452" i="1"/>
  <c r="Y451" i="1"/>
  <c r="S451" i="1"/>
  <c r="M451" i="1"/>
  <c r="G451" i="1"/>
  <c r="Y450" i="1"/>
  <c r="S450" i="1"/>
  <c r="M450" i="1"/>
  <c r="G450" i="1"/>
  <c r="Y449" i="1"/>
  <c r="S449" i="1"/>
  <c r="M449" i="1"/>
  <c r="G449" i="1"/>
  <c r="Y448" i="1"/>
  <c r="S448" i="1"/>
  <c r="M448" i="1"/>
  <c r="G448" i="1"/>
  <c r="Y447" i="1"/>
  <c r="S447" i="1"/>
  <c r="M447" i="1"/>
  <c r="G447" i="1"/>
  <c r="Y446" i="1"/>
  <c r="S446" i="1"/>
  <c r="M446" i="1"/>
  <c r="G446" i="1"/>
  <c r="Y445" i="1"/>
  <c r="S445" i="1"/>
  <c r="M445" i="1"/>
  <c r="G445" i="1"/>
  <c r="Y444" i="1"/>
  <c r="S444" i="1"/>
  <c r="M444" i="1"/>
  <c r="G444" i="1"/>
  <c r="Y443" i="1"/>
  <c r="S443" i="1"/>
  <c r="M443" i="1"/>
  <c r="G443" i="1"/>
  <c r="Y442" i="1"/>
  <c r="S442" i="1"/>
  <c r="M442" i="1"/>
  <c r="G442" i="1"/>
  <c r="Y441" i="1"/>
  <c r="S441" i="1"/>
  <c r="M441" i="1"/>
  <c r="G441" i="1"/>
  <c r="Y440" i="1"/>
  <c r="S440" i="1"/>
  <c r="M440" i="1"/>
  <c r="G440" i="1"/>
  <c r="Y439" i="1"/>
  <c r="S439" i="1"/>
  <c r="M439" i="1"/>
  <c r="G439" i="1"/>
  <c r="Y437" i="1"/>
  <c r="S437" i="1"/>
  <c r="M437" i="1"/>
  <c r="G437" i="1"/>
  <c r="Y436" i="1"/>
  <c r="S436" i="1"/>
  <c r="M436" i="1"/>
  <c r="G436" i="1"/>
  <c r="Y435" i="1"/>
  <c r="S435" i="1"/>
  <c r="M435" i="1"/>
  <c r="G435" i="1"/>
  <c r="Y434" i="1"/>
  <c r="S434" i="1"/>
  <c r="M434" i="1"/>
  <c r="G434" i="1"/>
  <c r="AZ421" i="1"/>
  <c r="AT421" i="1"/>
  <c r="AN421" i="1"/>
  <c r="AH421" i="1"/>
  <c r="AZ435" i="1"/>
  <c r="AT435" i="1"/>
  <c r="AN435" i="1"/>
  <c r="AH435" i="1"/>
  <c r="AZ434" i="1"/>
  <c r="AT434" i="1"/>
  <c r="AN434" i="1"/>
  <c r="AH434" i="1"/>
  <c r="AY465" i="1"/>
  <c r="AX465" i="1"/>
  <c r="AW465" i="1"/>
  <c r="AV465" i="1"/>
  <c r="AU465" i="1"/>
  <c r="AS465" i="1"/>
  <c r="AR465" i="1"/>
  <c r="AQ465" i="1"/>
  <c r="AP465" i="1"/>
  <c r="AO465" i="1"/>
  <c r="AM465" i="1"/>
  <c r="AL465" i="1"/>
  <c r="AK465" i="1"/>
  <c r="AJ465" i="1"/>
  <c r="AI465" i="1"/>
  <c r="AG465" i="1"/>
  <c r="AF465" i="1"/>
  <c r="AE465" i="1"/>
  <c r="AD465" i="1"/>
  <c r="AC465" i="1"/>
  <c r="AZ459" i="1"/>
  <c r="AT459" i="1"/>
  <c r="AN459" i="1"/>
  <c r="AH459" i="1"/>
  <c r="AZ458" i="1"/>
  <c r="AT458" i="1"/>
  <c r="AN458" i="1"/>
  <c r="AH458" i="1"/>
  <c r="AZ457" i="1"/>
  <c r="AT457" i="1"/>
  <c r="AN457" i="1"/>
  <c r="AH457" i="1"/>
  <c r="AZ456" i="1"/>
  <c r="AT456" i="1"/>
  <c r="AN456" i="1"/>
  <c r="AH456" i="1"/>
  <c r="AZ455" i="1"/>
  <c r="AT455" i="1"/>
  <c r="AN455" i="1"/>
  <c r="AH455" i="1"/>
  <c r="AZ454" i="1"/>
  <c r="AT454" i="1"/>
  <c r="AN454" i="1"/>
  <c r="AH454" i="1"/>
  <c r="AZ453" i="1"/>
  <c r="AT453" i="1"/>
  <c r="AN453" i="1"/>
  <c r="AH453" i="1"/>
  <c r="AZ452" i="1"/>
  <c r="AT452" i="1"/>
  <c r="AN452" i="1"/>
  <c r="AH452" i="1"/>
  <c r="AZ451" i="1"/>
  <c r="AT451" i="1"/>
  <c r="AN451" i="1"/>
  <c r="AH451" i="1"/>
  <c r="AZ450" i="1"/>
  <c r="AT450" i="1"/>
  <c r="AN450" i="1"/>
  <c r="AH450" i="1"/>
  <c r="AZ449" i="1"/>
  <c r="AT449" i="1"/>
  <c r="AN449" i="1"/>
  <c r="AH449" i="1"/>
  <c r="AZ448" i="1"/>
  <c r="AT448" i="1"/>
  <c r="AN448" i="1"/>
  <c r="AH448" i="1"/>
  <c r="AZ447" i="1"/>
  <c r="AT447" i="1"/>
  <c r="AN447" i="1"/>
  <c r="AH447" i="1"/>
  <c r="AZ446" i="1"/>
  <c r="AT446" i="1"/>
  <c r="AN446" i="1"/>
  <c r="AH446" i="1"/>
  <c r="AZ445" i="1"/>
  <c r="AT445" i="1"/>
  <c r="AN445" i="1"/>
  <c r="AH445" i="1"/>
  <c r="AZ444" i="1"/>
  <c r="AT444" i="1"/>
  <c r="AN444" i="1"/>
  <c r="AH444" i="1"/>
  <c r="AZ443" i="1"/>
  <c r="AT443" i="1"/>
  <c r="AN443" i="1"/>
  <c r="AH443" i="1"/>
  <c r="AZ442" i="1"/>
  <c r="AT442" i="1"/>
  <c r="AN442" i="1"/>
  <c r="AH442" i="1"/>
  <c r="AZ441" i="1"/>
  <c r="AT441" i="1"/>
  <c r="AN441" i="1"/>
  <c r="AH441" i="1"/>
  <c r="AZ440" i="1"/>
  <c r="AT440" i="1"/>
  <c r="AN440" i="1"/>
  <c r="AH440" i="1"/>
  <c r="AZ437" i="1"/>
  <c r="AT437" i="1"/>
  <c r="AN437" i="1"/>
  <c r="AH437" i="1"/>
  <c r="AZ436" i="1"/>
  <c r="AT436" i="1"/>
  <c r="AN436" i="1"/>
  <c r="AH436" i="1"/>
  <c r="AZ367" i="1"/>
  <c r="AT367" i="1"/>
  <c r="AN367" i="1"/>
  <c r="AH367" i="1"/>
  <c r="AZ382" i="1"/>
  <c r="AT382" i="1"/>
  <c r="AN382" i="1"/>
  <c r="AH382" i="1"/>
  <c r="X426" i="1"/>
  <c r="W426" i="1"/>
  <c r="V426" i="1"/>
  <c r="U426" i="1"/>
  <c r="T426" i="1"/>
  <c r="R426" i="1"/>
  <c r="Q426" i="1"/>
  <c r="P426" i="1"/>
  <c r="O426" i="1"/>
  <c r="N426" i="1"/>
  <c r="L426" i="1"/>
  <c r="K426" i="1"/>
  <c r="J426" i="1"/>
  <c r="I426" i="1"/>
  <c r="H426" i="1"/>
  <c r="F426" i="1"/>
  <c r="E426" i="1"/>
  <c r="D426" i="1"/>
  <c r="C426" i="1"/>
  <c r="B426" i="1"/>
  <c r="Y425" i="1"/>
  <c r="S425" i="1"/>
  <c r="M425" i="1"/>
  <c r="G425" i="1"/>
  <c r="Y424" i="1"/>
  <c r="S424" i="1"/>
  <c r="M424" i="1"/>
  <c r="G424" i="1"/>
  <c r="Y423" i="1"/>
  <c r="S423" i="1"/>
  <c r="M423" i="1"/>
  <c r="G423" i="1"/>
  <c r="Y422" i="1"/>
  <c r="S422" i="1"/>
  <c r="M422" i="1"/>
  <c r="G422" i="1"/>
  <c r="Y421" i="1"/>
  <c r="S421" i="1"/>
  <c r="M421" i="1"/>
  <c r="G421" i="1"/>
  <c r="Y420" i="1"/>
  <c r="S420" i="1"/>
  <c r="M420" i="1"/>
  <c r="G420" i="1"/>
  <c r="Y419" i="1"/>
  <c r="S419" i="1"/>
  <c r="M419" i="1"/>
  <c r="G419" i="1"/>
  <c r="Y418" i="1"/>
  <c r="S418" i="1"/>
  <c r="M418" i="1"/>
  <c r="G418" i="1"/>
  <c r="Y417" i="1"/>
  <c r="S417" i="1"/>
  <c r="M417" i="1"/>
  <c r="G417" i="1"/>
  <c r="Y416" i="1"/>
  <c r="S416" i="1"/>
  <c r="M416" i="1"/>
  <c r="G416" i="1"/>
  <c r="Y415" i="1"/>
  <c r="S415" i="1"/>
  <c r="M415" i="1"/>
  <c r="G415" i="1"/>
  <c r="Y414" i="1"/>
  <c r="S414" i="1"/>
  <c r="M414" i="1"/>
  <c r="G414" i="1"/>
  <c r="Y413" i="1"/>
  <c r="S413" i="1"/>
  <c r="M413" i="1"/>
  <c r="G413" i="1"/>
  <c r="Y412" i="1"/>
  <c r="S412" i="1"/>
  <c r="M412" i="1"/>
  <c r="G412" i="1"/>
  <c r="Y411" i="1"/>
  <c r="S411" i="1"/>
  <c r="M411" i="1"/>
  <c r="G411" i="1"/>
  <c r="Y410" i="1"/>
  <c r="S410" i="1"/>
  <c r="M410" i="1"/>
  <c r="G410" i="1"/>
  <c r="Y409" i="1"/>
  <c r="S409" i="1"/>
  <c r="M409" i="1"/>
  <c r="G409" i="1"/>
  <c r="Y408" i="1"/>
  <c r="S408" i="1"/>
  <c r="M408" i="1"/>
  <c r="G408" i="1"/>
  <c r="Y407" i="1"/>
  <c r="S407" i="1"/>
  <c r="M407" i="1"/>
  <c r="G407" i="1"/>
  <c r="Y406" i="1"/>
  <c r="S406" i="1"/>
  <c r="M406" i="1"/>
  <c r="G406" i="1"/>
  <c r="Y405" i="1"/>
  <c r="S405" i="1"/>
  <c r="M405" i="1"/>
  <c r="G405" i="1"/>
  <c r="Y404" i="1"/>
  <c r="S404" i="1"/>
  <c r="M404" i="1"/>
  <c r="G404" i="1"/>
  <c r="Y403" i="1"/>
  <c r="S403" i="1"/>
  <c r="M403" i="1"/>
  <c r="G403" i="1"/>
  <c r="Y402" i="1"/>
  <c r="S402" i="1"/>
  <c r="M402" i="1"/>
  <c r="G402" i="1"/>
  <c r="Y401" i="1"/>
  <c r="S401" i="1"/>
  <c r="M401" i="1"/>
  <c r="G401" i="1"/>
  <c r="Y400" i="1"/>
  <c r="S400" i="1"/>
  <c r="M400" i="1"/>
  <c r="G400" i="1"/>
  <c r="Y398" i="1"/>
  <c r="S398" i="1"/>
  <c r="M398" i="1"/>
  <c r="G398" i="1"/>
  <c r="Y397" i="1"/>
  <c r="S397" i="1"/>
  <c r="M397" i="1"/>
  <c r="G397" i="1"/>
  <c r="Y396" i="1"/>
  <c r="S396" i="1"/>
  <c r="M396" i="1"/>
  <c r="G396" i="1"/>
  <c r="Y395" i="1"/>
  <c r="S395" i="1"/>
  <c r="M395" i="1"/>
  <c r="G395" i="1"/>
  <c r="AZ383" i="1"/>
  <c r="AT383" i="1"/>
  <c r="AN383" i="1"/>
  <c r="AH383" i="1"/>
  <c r="AZ386" i="1"/>
  <c r="AT386" i="1"/>
  <c r="AN386" i="1"/>
  <c r="AH386" i="1"/>
  <c r="AY426" i="1"/>
  <c r="AX426" i="1"/>
  <c r="AW426" i="1"/>
  <c r="AV426" i="1"/>
  <c r="AU426" i="1"/>
  <c r="AS426" i="1"/>
  <c r="AR426" i="1"/>
  <c r="AQ426" i="1"/>
  <c r="AP426" i="1"/>
  <c r="AO426" i="1"/>
  <c r="AM426" i="1"/>
  <c r="AL426" i="1"/>
  <c r="AK426" i="1"/>
  <c r="AJ426" i="1"/>
  <c r="AI426" i="1"/>
  <c r="AG426" i="1"/>
  <c r="AF426" i="1"/>
  <c r="AE426" i="1"/>
  <c r="AD426" i="1"/>
  <c r="AC426" i="1"/>
  <c r="AZ422" i="1"/>
  <c r="AT422" i="1"/>
  <c r="AN422" i="1"/>
  <c r="AH422" i="1"/>
  <c r="AZ419" i="1"/>
  <c r="AT419" i="1"/>
  <c r="AN419" i="1"/>
  <c r="AH419" i="1"/>
  <c r="AZ418" i="1"/>
  <c r="AT418" i="1"/>
  <c r="AN418" i="1"/>
  <c r="AH418" i="1"/>
  <c r="AZ417" i="1"/>
  <c r="AT417" i="1"/>
  <c r="AN417" i="1"/>
  <c r="AH417" i="1"/>
  <c r="AZ416" i="1"/>
  <c r="AT416" i="1"/>
  <c r="AN416" i="1"/>
  <c r="AH416" i="1"/>
  <c r="AZ415" i="1"/>
  <c r="AT415" i="1"/>
  <c r="AN415" i="1"/>
  <c r="AH415" i="1"/>
  <c r="AZ414" i="1"/>
  <c r="AT414" i="1"/>
  <c r="AN414" i="1"/>
  <c r="AH414" i="1"/>
  <c r="AZ413" i="1"/>
  <c r="AT413" i="1"/>
  <c r="AN413" i="1"/>
  <c r="AH413" i="1"/>
  <c r="AZ412" i="1"/>
  <c r="AT412" i="1"/>
  <c r="AN412" i="1"/>
  <c r="AH412" i="1"/>
  <c r="AZ411" i="1"/>
  <c r="AT411" i="1"/>
  <c r="AN411" i="1"/>
  <c r="AH411" i="1"/>
  <c r="AZ410" i="1"/>
  <c r="AT410" i="1"/>
  <c r="AN410" i="1"/>
  <c r="AH410" i="1"/>
  <c r="AZ409" i="1"/>
  <c r="AT409" i="1"/>
  <c r="AN409" i="1"/>
  <c r="AH409" i="1"/>
  <c r="AZ408" i="1"/>
  <c r="AT408" i="1"/>
  <c r="AN408" i="1"/>
  <c r="AH408" i="1"/>
  <c r="AZ407" i="1"/>
  <c r="AT407" i="1"/>
  <c r="AN407" i="1"/>
  <c r="AH407" i="1"/>
  <c r="AZ406" i="1"/>
  <c r="AT406" i="1"/>
  <c r="AN406" i="1"/>
  <c r="AH406" i="1"/>
  <c r="AZ405" i="1"/>
  <c r="AT405" i="1"/>
  <c r="AN405" i="1"/>
  <c r="AH405" i="1"/>
  <c r="AZ404" i="1"/>
  <c r="AT404" i="1"/>
  <c r="AN404" i="1"/>
  <c r="AH404" i="1"/>
  <c r="AZ403" i="1"/>
  <c r="AT403" i="1"/>
  <c r="AN403" i="1"/>
  <c r="AH403" i="1"/>
  <c r="AZ402" i="1"/>
  <c r="AT402" i="1"/>
  <c r="AN402" i="1"/>
  <c r="AH402" i="1"/>
  <c r="AZ401" i="1"/>
  <c r="AT401" i="1"/>
  <c r="AN401" i="1"/>
  <c r="AH401" i="1"/>
  <c r="AZ400" i="1"/>
  <c r="AT400" i="1"/>
  <c r="AN400" i="1"/>
  <c r="AH400" i="1"/>
  <c r="AZ398" i="1"/>
  <c r="AT398" i="1"/>
  <c r="AN398" i="1"/>
  <c r="AH398" i="1"/>
  <c r="AZ397" i="1"/>
  <c r="AT397" i="1"/>
  <c r="AN397" i="1"/>
  <c r="AH397" i="1"/>
  <c r="AZ396" i="1"/>
  <c r="AT396" i="1"/>
  <c r="AN396" i="1"/>
  <c r="AH396" i="1"/>
  <c r="AZ395" i="1"/>
  <c r="AT395" i="1"/>
  <c r="AN395" i="1"/>
  <c r="AH395" i="1"/>
  <c r="AZ381" i="1"/>
  <c r="AT381" i="1"/>
  <c r="AN381" i="1"/>
  <c r="AH381" i="1"/>
  <c r="AZ357" i="1"/>
  <c r="AT357" i="1"/>
  <c r="AN357" i="1"/>
  <c r="AH357" i="1"/>
  <c r="AY387" i="1"/>
  <c r="AX387" i="1"/>
  <c r="AW387" i="1"/>
  <c r="AV387" i="1"/>
  <c r="AU387" i="1"/>
  <c r="AS387" i="1"/>
  <c r="AR387" i="1"/>
  <c r="AQ387" i="1"/>
  <c r="AP387" i="1"/>
  <c r="AO387" i="1"/>
  <c r="AM387" i="1"/>
  <c r="AL387" i="1"/>
  <c r="AK387" i="1"/>
  <c r="AJ387" i="1"/>
  <c r="AI387" i="1"/>
  <c r="AG387" i="1"/>
  <c r="AF387" i="1"/>
  <c r="AE387" i="1"/>
  <c r="AD387" i="1"/>
  <c r="AC387" i="1"/>
  <c r="X387" i="1"/>
  <c r="W387" i="1"/>
  <c r="V387" i="1"/>
  <c r="U387" i="1"/>
  <c r="T387" i="1"/>
  <c r="R387" i="1"/>
  <c r="Q387" i="1"/>
  <c r="P387" i="1"/>
  <c r="O387" i="1"/>
  <c r="N387" i="1"/>
  <c r="L387" i="1"/>
  <c r="K387" i="1"/>
  <c r="J387" i="1"/>
  <c r="I387" i="1"/>
  <c r="H387" i="1"/>
  <c r="F387" i="1"/>
  <c r="E387" i="1"/>
  <c r="D387" i="1"/>
  <c r="C387" i="1"/>
  <c r="B387" i="1"/>
  <c r="Y386" i="1"/>
  <c r="S386" i="1"/>
  <c r="M386" i="1"/>
  <c r="G386" i="1"/>
  <c r="Y385" i="1"/>
  <c r="S385" i="1"/>
  <c r="M385" i="1"/>
  <c r="G385" i="1"/>
  <c r="Y384" i="1"/>
  <c r="S384" i="1"/>
  <c r="M384" i="1"/>
  <c r="G384" i="1"/>
  <c r="Y383" i="1"/>
  <c r="S383" i="1"/>
  <c r="M383" i="1"/>
  <c r="G383" i="1"/>
  <c r="Y382" i="1"/>
  <c r="S382" i="1"/>
  <c r="M382" i="1"/>
  <c r="G382" i="1"/>
  <c r="Y381" i="1"/>
  <c r="S381" i="1"/>
  <c r="M381" i="1"/>
  <c r="G381" i="1"/>
  <c r="AZ380" i="1"/>
  <c r="AT380" i="1"/>
  <c r="AN380" i="1"/>
  <c r="AH380" i="1"/>
  <c r="Y380" i="1"/>
  <c r="S380" i="1"/>
  <c r="M380" i="1"/>
  <c r="G380" i="1"/>
  <c r="AZ379" i="1"/>
  <c r="AT379" i="1"/>
  <c r="AN379" i="1"/>
  <c r="AH379" i="1"/>
  <c r="Y379" i="1"/>
  <c r="S379" i="1"/>
  <c r="M379" i="1"/>
  <c r="G379" i="1"/>
  <c r="AZ378" i="1"/>
  <c r="AT378" i="1"/>
  <c r="AN378" i="1"/>
  <c r="AH378" i="1"/>
  <c r="Y378" i="1"/>
  <c r="S378" i="1"/>
  <c r="M378" i="1"/>
  <c r="G378" i="1"/>
  <c r="AZ377" i="1"/>
  <c r="AT377" i="1"/>
  <c r="AN377" i="1"/>
  <c r="AH377" i="1"/>
  <c r="Y377" i="1"/>
  <c r="S377" i="1"/>
  <c r="M377" i="1"/>
  <c r="G377" i="1"/>
  <c r="AZ376" i="1"/>
  <c r="AT376" i="1"/>
  <c r="AN376" i="1"/>
  <c r="AH376" i="1"/>
  <c r="Y376" i="1"/>
  <c r="S376" i="1"/>
  <c r="M376" i="1"/>
  <c r="G376" i="1"/>
  <c r="AZ375" i="1"/>
  <c r="AT375" i="1"/>
  <c r="AN375" i="1"/>
  <c r="AH375" i="1"/>
  <c r="Y375" i="1"/>
  <c r="S375" i="1"/>
  <c r="M375" i="1"/>
  <c r="G375" i="1"/>
  <c r="AZ374" i="1"/>
  <c r="AT374" i="1"/>
  <c r="AN374" i="1"/>
  <c r="AH374" i="1"/>
  <c r="Y374" i="1"/>
  <c r="S374" i="1"/>
  <c r="M374" i="1"/>
  <c r="G374" i="1"/>
  <c r="AZ373" i="1"/>
  <c r="AT373" i="1"/>
  <c r="AN373" i="1"/>
  <c r="AH373" i="1"/>
  <c r="Y373" i="1"/>
  <c r="S373" i="1"/>
  <c r="M373" i="1"/>
  <c r="G373" i="1"/>
  <c r="AZ372" i="1"/>
  <c r="AT372" i="1"/>
  <c r="AN372" i="1"/>
  <c r="AH372" i="1"/>
  <c r="Y372" i="1"/>
  <c r="S372" i="1"/>
  <c r="M372" i="1"/>
  <c r="G372" i="1"/>
  <c r="AZ371" i="1"/>
  <c r="AT371" i="1"/>
  <c r="AN371" i="1"/>
  <c r="AH371" i="1"/>
  <c r="Y371" i="1"/>
  <c r="S371" i="1"/>
  <c r="M371" i="1"/>
  <c r="G371" i="1"/>
  <c r="AZ370" i="1"/>
  <c r="AT370" i="1"/>
  <c r="AN370" i="1"/>
  <c r="AH370" i="1"/>
  <c r="Y370" i="1"/>
  <c r="S370" i="1"/>
  <c r="M370" i="1"/>
  <c r="G370" i="1"/>
  <c r="AZ369" i="1"/>
  <c r="AT369" i="1"/>
  <c r="AN369" i="1"/>
  <c r="AH369" i="1"/>
  <c r="Y369" i="1"/>
  <c r="S369" i="1"/>
  <c r="M369" i="1"/>
  <c r="G369" i="1"/>
  <c r="AZ368" i="1"/>
  <c r="AT368" i="1"/>
  <c r="AN368" i="1"/>
  <c r="AH368" i="1"/>
  <c r="Y368" i="1"/>
  <c r="S368" i="1"/>
  <c r="M368" i="1"/>
  <c r="G368" i="1"/>
  <c r="Y367" i="1"/>
  <c r="S367" i="1"/>
  <c r="M367" i="1"/>
  <c r="G367" i="1"/>
  <c r="AZ366" i="1"/>
  <c r="AT366" i="1"/>
  <c r="AN366" i="1"/>
  <c r="AH366" i="1"/>
  <c r="Y366" i="1"/>
  <c r="S366" i="1"/>
  <c r="M366" i="1"/>
  <c r="G366" i="1"/>
  <c r="AZ365" i="1"/>
  <c r="AT365" i="1"/>
  <c r="AN365" i="1"/>
  <c r="AH365" i="1"/>
  <c r="Y365" i="1"/>
  <c r="S365" i="1"/>
  <c r="M365" i="1"/>
  <c r="G365" i="1"/>
  <c r="AZ364" i="1"/>
  <c r="AT364" i="1"/>
  <c r="AN364" i="1"/>
  <c r="AH364" i="1"/>
  <c r="Y364" i="1"/>
  <c r="S364" i="1"/>
  <c r="M364" i="1"/>
  <c r="G364" i="1"/>
  <c r="AZ363" i="1"/>
  <c r="AT363" i="1"/>
  <c r="AN363" i="1"/>
  <c r="AH363" i="1"/>
  <c r="Y363" i="1"/>
  <c r="S363" i="1"/>
  <c r="M363" i="1"/>
  <c r="G363" i="1"/>
  <c r="AZ362" i="1"/>
  <c r="AT362" i="1"/>
  <c r="AN362" i="1"/>
  <c r="AH362" i="1"/>
  <c r="Y362" i="1"/>
  <c r="S362" i="1"/>
  <c r="M362" i="1"/>
  <c r="G362" i="1"/>
  <c r="AZ361" i="1"/>
  <c r="AT361" i="1"/>
  <c r="AN361" i="1"/>
  <c r="AH361" i="1"/>
  <c r="Y361" i="1"/>
  <c r="S361" i="1"/>
  <c r="M361" i="1"/>
  <c r="G361" i="1"/>
  <c r="AZ359" i="1"/>
  <c r="AT359" i="1"/>
  <c r="AN359" i="1"/>
  <c r="AH359" i="1"/>
  <c r="Y359" i="1"/>
  <c r="S359" i="1"/>
  <c r="M359" i="1"/>
  <c r="G359" i="1"/>
  <c r="AZ358" i="1"/>
  <c r="AT358" i="1"/>
  <c r="AN358" i="1"/>
  <c r="AH358" i="1"/>
  <c r="Y358" i="1"/>
  <c r="S358" i="1"/>
  <c r="M358" i="1"/>
  <c r="G358" i="1"/>
  <c r="Y357" i="1"/>
  <c r="S357" i="1"/>
  <c r="M357" i="1"/>
  <c r="G357" i="1"/>
  <c r="AZ356" i="1"/>
  <c r="AT356" i="1"/>
  <c r="AN356" i="1"/>
  <c r="AH356" i="1"/>
  <c r="Y356" i="1"/>
  <c r="S356" i="1"/>
  <c r="M356" i="1"/>
  <c r="G356" i="1"/>
  <c r="AZ323" i="1"/>
  <c r="AT323" i="1"/>
  <c r="AN323" i="1"/>
  <c r="AH323" i="1"/>
  <c r="AZ322" i="1"/>
  <c r="AT322" i="1"/>
  <c r="AN322" i="1"/>
  <c r="AH322" i="1"/>
  <c r="AZ308" i="1"/>
  <c r="AT308" i="1"/>
  <c r="AN308" i="1"/>
  <c r="AH308" i="1"/>
  <c r="AZ346" i="1"/>
  <c r="AT346" i="1"/>
  <c r="AN346" i="1"/>
  <c r="AH346" i="1"/>
  <c r="AY348" i="1"/>
  <c r="AX348" i="1"/>
  <c r="AW348" i="1"/>
  <c r="AV348" i="1"/>
  <c r="AU348" i="1"/>
  <c r="AS348" i="1"/>
  <c r="AR348" i="1"/>
  <c r="AQ348" i="1"/>
  <c r="AP348" i="1"/>
  <c r="AO348" i="1"/>
  <c r="AM348" i="1"/>
  <c r="AL348" i="1"/>
  <c r="AK348" i="1"/>
  <c r="AJ348" i="1"/>
  <c r="AI348" i="1"/>
  <c r="AG348" i="1"/>
  <c r="AF348" i="1"/>
  <c r="AE348" i="1"/>
  <c r="AD348" i="1"/>
  <c r="AC348" i="1"/>
  <c r="X348" i="1"/>
  <c r="W348" i="1"/>
  <c r="V348" i="1"/>
  <c r="U348" i="1"/>
  <c r="T348" i="1"/>
  <c r="R348" i="1"/>
  <c r="Q348" i="1"/>
  <c r="P348" i="1"/>
  <c r="O348" i="1"/>
  <c r="N348" i="1"/>
  <c r="L348" i="1"/>
  <c r="K348" i="1"/>
  <c r="J348" i="1"/>
  <c r="I348" i="1"/>
  <c r="H348" i="1"/>
  <c r="F348" i="1"/>
  <c r="E348" i="1"/>
  <c r="D348" i="1"/>
  <c r="C348" i="1"/>
  <c r="B348" i="1"/>
  <c r="AZ347" i="1"/>
  <c r="AT347" i="1"/>
  <c r="AN347" i="1"/>
  <c r="AH347" i="1"/>
  <c r="Y347" i="1"/>
  <c r="S347" i="1"/>
  <c r="M347" i="1"/>
  <c r="G347" i="1"/>
  <c r="Y346" i="1"/>
  <c r="S346" i="1"/>
  <c r="M346" i="1"/>
  <c r="G346" i="1"/>
  <c r="AZ345" i="1"/>
  <c r="AT345" i="1"/>
  <c r="AN345" i="1"/>
  <c r="AH345" i="1"/>
  <c r="Y345" i="1"/>
  <c r="S345" i="1"/>
  <c r="M345" i="1"/>
  <c r="G345" i="1"/>
  <c r="AZ344" i="1"/>
  <c r="AT344" i="1"/>
  <c r="AN344" i="1"/>
  <c r="AH344" i="1"/>
  <c r="Y344" i="1"/>
  <c r="S344" i="1"/>
  <c r="M344" i="1"/>
  <c r="G344" i="1"/>
  <c r="AZ343" i="1"/>
  <c r="AT343" i="1"/>
  <c r="AN343" i="1"/>
  <c r="AH343" i="1"/>
  <c r="Y343" i="1"/>
  <c r="S343" i="1"/>
  <c r="M343" i="1"/>
  <c r="G343" i="1"/>
  <c r="AZ342" i="1"/>
  <c r="AT342" i="1"/>
  <c r="AN342" i="1"/>
  <c r="AH342" i="1"/>
  <c r="Y342" i="1"/>
  <c r="S342" i="1"/>
  <c r="M342" i="1"/>
  <c r="G342" i="1"/>
  <c r="AZ341" i="1"/>
  <c r="AT341" i="1"/>
  <c r="AN341" i="1"/>
  <c r="AH341" i="1"/>
  <c r="Y341" i="1"/>
  <c r="S341" i="1"/>
  <c r="M341" i="1"/>
  <c r="G341" i="1"/>
  <c r="AZ340" i="1"/>
  <c r="AT340" i="1"/>
  <c r="AN340" i="1"/>
  <c r="AH340" i="1"/>
  <c r="Y340" i="1"/>
  <c r="S340" i="1"/>
  <c r="M340" i="1"/>
  <c r="G340" i="1"/>
  <c r="AZ339" i="1"/>
  <c r="AT339" i="1"/>
  <c r="AN339" i="1"/>
  <c r="AH339" i="1"/>
  <c r="Y339" i="1"/>
  <c r="S339" i="1"/>
  <c r="M339" i="1"/>
  <c r="G339" i="1"/>
  <c r="AZ338" i="1"/>
  <c r="AT338" i="1"/>
  <c r="AN338" i="1"/>
  <c r="AH338" i="1"/>
  <c r="Y338" i="1"/>
  <c r="S338" i="1"/>
  <c r="M338" i="1"/>
  <c r="G338" i="1"/>
  <c r="AZ337" i="1"/>
  <c r="AT337" i="1"/>
  <c r="AN337" i="1"/>
  <c r="AH337" i="1"/>
  <c r="Y337" i="1"/>
  <c r="S337" i="1"/>
  <c r="M337" i="1"/>
  <c r="G337" i="1"/>
  <c r="AZ336" i="1"/>
  <c r="AT336" i="1"/>
  <c r="AN336" i="1"/>
  <c r="AH336" i="1"/>
  <c r="Y336" i="1"/>
  <c r="S336" i="1"/>
  <c r="M336" i="1"/>
  <c r="G336" i="1"/>
  <c r="AZ335" i="1"/>
  <c r="AT335" i="1"/>
  <c r="AN335" i="1"/>
  <c r="AH335" i="1"/>
  <c r="Y335" i="1"/>
  <c r="S335" i="1"/>
  <c r="M335" i="1"/>
  <c r="G335" i="1"/>
  <c r="AZ334" i="1"/>
  <c r="AT334" i="1"/>
  <c r="AN334" i="1"/>
  <c r="AH334" i="1"/>
  <c r="Y334" i="1"/>
  <c r="S334" i="1"/>
  <c r="M334" i="1"/>
  <c r="G334" i="1"/>
  <c r="AZ333" i="1"/>
  <c r="AT333" i="1"/>
  <c r="AN333" i="1"/>
  <c r="AH333" i="1"/>
  <c r="Y333" i="1"/>
  <c r="S333" i="1"/>
  <c r="M333" i="1"/>
  <c r="G333" i="1"/>
  <c r="AZ332" i="1"/>
  <c r="AT332" i="1"/>
  <c r="AN332" i="1"/>
  <c r="AH332" i="1"/>
  <c r="Y332" i="1"/>
  <c r="S332" i="1"/>
  <c r="M332" i="1"/>
  <c r="G332" i="1"/>
  <c r="AZ331" i="1"/>
  <c r="AT331" i="1"/>
  <c r="AN331" i="1"/>
  <c r="AH331" i="1"/>
  <c r="Y331" i="1"/>
  <c r="S331" i="1"/>
  <c r="M331" i="1"/>
  <c r="G331" i="1"/>
  <c r="AZ330" i="1"/>
  <c r="AT330" i="1"/>
  <c r="AN330" i="1"/>
  <c r="AH330" i="1"/>
  <c r="Y330" i="1"/>
  <c r="S330" i="1"/>
  <c r="M330" i="1"/>
  <c r="G330" i="1"/>
  <c r="AZ329" i="1"/>
  <c r="AT329" i="1"/>
  <c r="AN329" i="1"/>
  <c r="AH329" i="1"/>
  <c r="Y329" i="1"/>
  <c r="S329" i="1"/>
  <c r="M329" i="1"/>
  <c r="G329" i="1"/>
  <c r="AZ328" i="1"/>
  <c r="AT328" i="1"/>
  <c r="AN328" i="1"/>
  <c r="AH328" i="1"/>
  <c r="Y328" i="1"/>
  <c r="S328" i="1"/>
  <c r="M328" i="1"/>
  <c r="G328" i="1"/>
  <c r="AZ327" i="1"/>
  <c r="AT327" i="1"/>
  <c r="AN327" i="1"/>
  <c r="AH327" i="1"/>
  <c r="Y327" i="1"/>
  <c r="S327" i="1"/>
  <c r="M327" i="1"/>
  <c r="G327" i="1"/>
  <c r="AZ326" i="1"/>
  <c r="AT326" i="1"/>
  <c r="AN326" i="1"/>
  <c r="AH326" i="1"/>
  <c r="Y326" i="1"/>
  <c r="S326" i="1"/>
  <c r="M326" i="1"/>
  <c r="G326" i="1"/>
  <c r="AZ325" i="1"/>
  <c r="AT325" i="1"/>
  <c r="AN325" i="1"/>
  <c r="AH325" i="1"/>
  <c r="Y325" i="1"/>
  <c r="S325" i="1"/>
  <c r="M325" i="1"/>
  <c r="G325" i="1"/>
  <c r="AZ324" i="1"/>
  <c r="AT324" i="1"/>
  <c r="AN324" i="1"/>
  <c r="AH324" i="1"/>
  <c r="Y324" i="1"/>
  <c r="S324" i="1"/>
  <c r="M324" i="1"/>
  <c r="G324" i="1"/>
  <c r="Y323" i="1"/>
  <c r="S323" i="1"/>
  <c r="M323" i="1"/>
  <c r="G323" i="1"/>
  <c r="Y322" i="1"/>
  <c r="S322" i="1"/>
  <c r="M322" i="1"/>
  <c r="G322" i="1"/>
  <c r="AZ320" i="1"/>
  <c r="AT320" i="1"/>
  <c r="AN320" i="1"/>
  <c r="AH320" i="1"/>
  <c r="Y320" i="1"/>
  <c r="S320" i="1"/>
  <c r="M320" i="1"/>
  <c r="G320" i="1"/>
  <c r="AZ319" i="1"/>
  <c r="AT319" i="1"/>
  <c r="AN319" i="1"/>
  <c r="AH319" i="1"/>
  <c r="Y319" i="1"/>
  <c r="S319" i="1"/>
  <c r="M319" i="1"/>
  <c r="G319" i="1"/>
  <c r="AZ318" i="1"/>
  <c r="AT318" i="1"/>
  <c r="AN318" i="1"/>
  <c r="AH318" i="1"/>
  <c r="Y318" i="1"/>
  <c r="S318" i="1"/>
  <c r="M318" i="1"/>
  <c r="G318" i="1"/>
  <c r="Y317" i="1"/>
  <c r="S317" i="1"/>
  <c r="M317" i="1"/>
  <c r="G317" i="1"/>
  <c r="AH306" i="1"/>
  <c r="AN306" i="1"/>
  <c r="AT306" i="1"/>
  <c r="AZ306" i="1"/>
  <c r="AH307" i="1"/>
  <c r="AN307" i="1"/>
  <c r="AT307" i="1"/>
  <c r="AZ307" i="1"/>
  <c r="AZ269" i="1"/>
  <c r="AT269" i="1"/>
  <c r="AN269" i="1"/>
  <c r="AH269" i="1"/>
  <c r="AZ268" i="1"/>
  <c r="AT268" i="1"/>
  <c r="AN268" i="1"/>
  <c r="AH268" i="1"/>
  <c r="AZ283" i="1"/>
  <c r="AT283" i="1"/>
  <c r="AN283" i="1"/>
  <c r="AH283" i="1"/>
  <c r="AY309" i="1"/>
  <c r="AX309" i="1"/>
  <c r="AW309" i="1"/>
  <c r="AV309" i="1"/>
  <c r="AU309" i="1"/>
  <c r="AS309" i="1"/>
  <c r="AR309" i="1"/>
  <c r="AQ309" i="1"/>
  <c r="AP309" i="1"/>
  <c r="AO309" i="1"/>
  <c r="AM309" i="1"/>
  <c r="AL309" i="1"/>
  <c r="AK309" i="1"/>
  <c r="AJ309" i="1"/>
  <c r="AI309" i="1"/>
  <c r="AG309" i="1"/>
  <c r="AF309" i="1"/>
  <c r="AE309" i="1"/>
  <c r="AD309" i="1"/>
  <c r="AC309" i="1"/>
  <c r="X309" i="1"/>
  <c r="W309" i="1"/>
  <c r="V309" i="1"/>
  <c r="U309" i="1"/>
  <c r="T309" i="1"/>
  <c r="R309" i="1"/>
  <c r="Q309" i="1"/>
  <c r="P309" i="1"/>
  <c r="O309" i="1"/>
  <c r="N309" i="1"/>
  <c r="L309" i="1"/>
  <c r="K309" i="1"/>
  <c r="J309" i="1"/>
  <c r="I309" i="1"/>
  <c r="H309" i="1"/>
  <c r="F309" i="1"/>
  <c r="E309" i="1"/>
  <c r="D309" i="1"/>
  <c r="C309" i="1"/>
  <c r="B309" i="1"/>
  <c r="Y308" i="1"/>
  <c r="S308" i="1"/>
  <c r="M308" i="1"/>
  <c r="G308" i="1"/>
  <c r="Y307" i="1"/>
  <c r="S307" i="1"/>
  <c r="M307" i="1"/>
  <c r="G307" i="1"/>
  <c r="Y306" i="1"/>
  <c r="S306" i="1"/>
  <c r="M306" i="1"/>
  <c r="G306" i="1"/>
  <c r="AZ305" i="1"/>
  <c r="AT305" i="1"/>
  <c r="AN305" i="1"/>
  <c r="AH305" i="1"/>
  <c r="Y305" i="1"/>
  <c r="S305" i="1"/>
  <c r="M305" i="1"/>
  <c r="G305" i="1"/>
  <c r="AZ304" i="1"/>
  <c r="AT304" i="1"/>
  <c r="AN304" i="1"/>
  <c r="AH304" i="1"/>
  <c r="Y304" i="1"/>
  <c r="S304" i="1"/>
  <c r="M304" i="1"/>
  <c r="G304" i="1"/>
  <c r="AZ303" i="1"/>
  <c r="AT303" i="1"/>
  <c r="AN303" i="1"/>
  <c r="AH303" i="1"/>
  <c r="Y303" i="1"/>
  <c r="S303" i="1"/>
  <c r="M303" i="1"/>
  <c r="G303" i="1"/>
  <c r="AZ302" i="1"/>
  <c r="AT302" i="1"/>
  <c r="AN302" i="1"/>
  <c r="AH302" i="1"/>
  <c r="Y302" i="1"/>
  <c r="S302" i="1"/>
  <c r="M302" i="1"/>
  <c r="G302" i="1"/>
  <c r="AZ301" i="1"/>
  <c r="AT301" i="1"/>
  <c r="AN301" i="1"/>
  <c r="AH301" i="1"/>
  <c r="Y301" i="1"/>
  <c r="S301" i="1"/>
  <c r="M301" i="1"/>
  <c r="G301" i="1"/>
  <c r="AZ300" i="1"/>
  <c r="AT300" i="1"/>
  <c r="AN300" i="1"/>
  <c r="AH300" i="1"/>
  <c r="Y300" i="1"/>
  <c r="S300" i="1"/>
  <c r="M300" i="1"/>
  <c r="G300" i="1"/>
  <c r="AZ299" i="1"/>
  <c r="AT299" i="1"/>
  <c r="AN299" i="1"/>
  <c r="AH299" i="1"/>
  <c r="Y299" i="1"/>
  <c r="S299" i="1"/>
  <c r="M299" i="1"/>
  <c r="G299" i="1"/>
  <c r="AZ298" i="1"/>
  <c r="AT298" i="1"/>
  <c r="AN298" i="1"/>
  <c r="AH298" i="1"/>
  <c r="Y298" i="1"/>
  <c r="S298" i="1"/>
  <c r="M298" i="1"/>
  <c r="G298" i="1"/>
  <c r="AZ297" i="1"/>
  <c r="AT297" i="1"/>
  <c r="AN297" i="1"/>
  <c r="AH297" i="1"/>
  <c r="Y297" i="1"/>
  <c r="S297" i="1"/>
  <c r="M297" i="1"/>
  <c r="G297" i="1"/>
  <c r="AZ296" i="1"/>
  <c r="AT296" i="1"/>
  <c r="AN296" i="1"/>
  <c r="AH296" i="1"/>
  <c r="Y296" i="1"/>
  <c r="S296" i="1"/>
  <c r="M296" i="1"/>
  <c r="G296" i="1"/>
  <c r="AZ295" i="1"/>
  <c r="AT295" i="1"/>
  <c r="AN295" i="1"/>
  <c r="AH295" i="1"/>
  <c r="Y295" i="1"/>
  <c r="S295" i="1"/>
  <c r="M295" i="1"/>
  <c r="G295" i="1"/>
  <c r="AZ294" i="1"/>
  <c r="AT294" i="1"/>
  <c r="AN294" i="1"/>
  <c r="AH294" i="1"/>
  <c r="Y294" i="1"/>
  <c r="S294" i="1"/>
  <c r="M294" i="1"/>
  <c r="G294" i="1"/>
  <c r="AZ293" i="1"/>
  <c r="AT293" i="1"/>
  <c r="AN293" i="1"/>
  <c r="AH293" i="1"/>
  <c r="Y293" i="1"/>
  <c r="S293" i="1"/>
  <c r="M293" i="1"/>
  <c r="G293" i="1"/>
  <c r="AZ292" i="1"/>
  <c r="AT292" i="1"/>
  <c r="AN292" i="1"/>
  <c r="AH292" i="1"/>
  <c r="Y292" i="1"/>
  <c r="S292" i="1"/>
  <c r="M292" i="1"/>
  <c r="G292" i="1"/>
  <c r="AZ291" i="1"/>
  <c r="AT291" i="1"/>
  <c r="AN291" i="1"/>
  <c r="AH291" i="1"/>
  <c r="Y291" i="1"/>
  <c r="S291" i="1"/>
  <c r="M291" i="1"/>
  <c r="G291" i="1"/>
  <c r="AZ290" i="1"/>
  <c r="AT290" i="1"/>
  <c r="AN290" i="1"/>
  <c r="AH290" i="1"/>
  <c r="Y290" i="1"/>
  <c r="S290" i="1"/>
  <c r="M290" i="1"/>
  <c r="G290" i="1"/>
  <c r="AZ289" i="1"/>
  <c r="AT289" i="1"/>
  <c r="AN289" i="1"/>
  <c r="AH289" i="1"/>
  <c r="Y289" i="1"/>
  <c r="S289" i="1"/>
  <c r="M289" i="1"/>
  <c r="G289" i="1"/>
  <c r="AZ288" i="1"/>
  <c r="AT288" i="1"/>
  <c r="AN288" i="1"/>
  <c r="AH288" i="1"/>
  <c r="Y288" i="1"/>
  <c r="S288" i="1"/>
  <c r="M288" i="1"/>
  <c r="G288" i="1"/>
  <c r="AZ287" i="1"/>
  <c r="AT287" i="1"/>
  <c r="AN287" i="1"/>
  <c r="AH287" i="1"/>
  <c r="Y287" i="1"/>
  <c r="S287" i="1"/>
  <c r="M287" i="1"/>
  <c r="G287" i="1"/>
  <c r="AZ286" i="1"/>
  <c r="AT286" i="1"/>
  <c r="AN286" i="1"/>
  <c r="AH286" i="1"/>
  <c r="Y286" i="1"/>
  <c r="S286" i="1"/>
  <c r="M286" i="1"/>
  <c r="G286" i="1"/>
  <c r="AZ285" i="1"/>
  <c r="AT285" i="1"/>
  <c r="AN285" i="1"/>
  <c r="AH285" i="1"/>
  <c r="Y285" i="1"/>
  <c r="S285" i="1"/>
  <c r="M285" i="1"/>
  <c r="G285" i="1"/>
  <c r="AZ284" i="1"/>
  <c r="AT284" i="1"/>
  <c r="AN284" i="1"/>
  <c r="AH284" i="1"/>
  <c r="Y284" i="1"/>
  <c r="S284" i="1"/>
  <c r="M284" i="1"/>
  <c r="G284" i="1"/>
  <c r="Y283" i="1"/>
  <c r="S283" i="1"/>
  <c r="M283" i="1"/>
  <c r="G283" i="1"/>
  <c r="AZ281" i="1"/>
  <c r="AT281" i="1"/>
  <c r="AN281" i="1"/>
  <c r="AH281" i="1"/>
  <c r="Y281" i="1"/>
  <c r="S281" i="1"/>
  <c r="M281" i="1"/>
  <c r="G281" i="1"/>
  <c r="AZ280" i="1"/>
  <c r="AT280" i="1"/>
  <c r="AN280" i="1"/>
  <c r="AH280" i="1"/>
  <c r="Y280" i="1"/>
  <c r="S280" i="1"/>
  <c r="M280" i="1"/>
  <c r="G280" i="1"/>
  <c r="AZ279" i="1"/>
  <c r="AT279" i="1"/>
  <c r="AN279" i="1"/>
  <c r="AH279" i="1"/>
  <c r="Y279" i="1"/>
  <c r="S279" i="1"/>
  <c r="M279" i="1"/>
  <c r="G279" i="1"/>
  <c r="Y278" i="1"/>
  <c r="S278" i="1"/>
  <c r="M278" i="1"/>
  <c r="G278" i="1"/>
  <c r="Y247" i="1"/>
  <c r="S247" i="1"/>
  <c r="M247" i="1"/>
  <c r="G247" i="1"/>
  <c r="AZ255" i="1"/>
  <c r="AT255" i="1"/>
  <c r="AN255" i="1"/>
  <c r="AH255" i="1"/>
  <c r="AZ201" i="1"/>
  <c r="AT201" i="1"/>
  <c r="AN201" i="1"/>
  <c r="AH201" i="1"/>
  <c r="X270" i="1"/>
  <c r="W270" i="1"/>
  <c r="V270" i="1"/>
  <c r="U270" i="1"/>
  <c r="T270" i="1"/>
  <c r="R270" i="1"/>
  <c r="Q270" i="1"/>
  <c r="P270" i="1"/>
  <c r="O270" i="1"/>
  <c r="N270" i="1"/>
  <c r="L270" i="1"/>
  <c r="K270" i="1"/>
  <c r="J270" i="1"/>
  <c r="I270" i="1"/>
  <c r="H270" i="1"/>
  <c r="F270" i="1"/>
  <c r="E270" i="1"/>
  <c r="D270" i="1"/>
  <c r="C270" i="1"/>
  <c r="B270" i="1"/>
  <c r="Y269" i="1"/>
  <c r="S269" i="1"/>
  <c r="M269" i="1"/>
  <c r="G269" i="1"/>
  <c r="Y268" i="1"/>
  <c r="S268" i="1"/>
  <c r="M268" i="1"/>
  <c r="G268" i="1"/>
  <c r="Y267" i="1"/>
  <c r="S267" i="1"/>
  <c r="M267" i="1"/>
  <c r="G267" i="1"/>
  <c r="Y266" i="1"/>
  <c r="S266" i="1"/>
  <c r="M266" i="1"/>
  <c r="G266" i="1"/>
  <c r="Y265" i="1"/>
  <c r="S265" i="1"/>
  <c r="M265" i="1"/>
  <c r="G265" i="1"/>
  <c r="Y264" i="1"/>
  <c r="S264" i="1"/>
  <c r="M264" i="1"/>
  <c r="G264" i="1"/>
  <c r="Y263" i="1"/>
  <c r="S263" i="1"/>
  <c r="M263" i="1"/>
  <c r="G263" i="1"/>
  <c r="Y262" i="1"/>
  <c r="S262" i="1"/>
  <c r="M262" i="1"/>
  <c r="G262" i="1"/>
  <c r="Y261" i="1"/>
  <c r="S261" i="1"/>
  <c r="M261" i="1"/>
  <c r="G261" i="1"/>
  <c r="Y260" i="1"/>
  <c r="S260" i="1"/>
  <c r="M260" i="1"/>
  <c r="G260" i="1"/>
  <c r="Y259" i="1"/>
  <c r="S259" i="1"/>
  <c r="M259" i="1"/>
  <c r="G259" i="1"/>
  <c r="Y258" i="1"/>
  <c r="S258" i="1"/>
  <c r="M258" i="1"/>
  <c r="G258" i="1"/>
  <c r="Y257" i="1"/>
  <c r="S257" i="1"/>
  <c r="M257" i="1"/>
  <c r="G257" i="1"/>
  <c r="Y256" i="1"/>
  <c r="S256" i="1"/>
  <c r="M256" i="1"/>
  <c r="G256" i="1"/>
  <c r="Y255" i="1"/>
  <c r="S255" i="1"/>
  <c r="M255" i="1"/>
  <c r="G255" i="1"/>
  <c r="Y254" i="1"/>
  <c r="S254" i="1"/>
  <c r="M254" i="1"/>
  <c r="G254" i="1"/>
  <c r="Y253" i="1"/>
  <c r="S253" i="1"/>
  <c r="M253" i="1"/>
  <c r="G253" i="1"/>
  <c r="Y252" i="1"/>
  <c r="S252" i="1"/>
  <c r="M252" i="1"/>
  <c r="G252" i="1"/>
  <c r="Y251" i="1"/>
  <c r="S251" i="1"/>
  <c r="M251" i="1"/>
  <c r="G251" i="1"/>
  <c r="Y250" i="1"/>
  <c r="S250" i="1"/>
  <c r="M250" i="1"/>
  <c r="G250" i="1"/>
  <c r="Y249" i="1"/>
  <c r="S249" i="1"/>
  <c r="M249" i="1"/>
  <c r="G249" i="1"/>
  <c r="Y248" i="1"/>
  <c r="S248" i="1"/>
  <c r="M248" i="1"/>
  <c r="G248" i="1"/>
  <c r="Y246" i="1"/>
  <c r="S246" i="1"/>
  <c r="M246" i="1"/>
  <c r="G246" i="1"/>
  <c r="Y245" i="1"/>
  <c r="S245" i="1"/>
  <c r="M245" i="1"/>
  <c r="G245" i="1"/>
  <c r="Y244" i="1"/>
  <c r="S244" i="1"/>
  <c r="M244" i="1"/>
  <c r="G244" i="1"/>
  <c r="Y242" i="1"/>
  <c r="S242" i="1"/>
  <c r="M242" i="1"/>
  <c r="G242" i="1"/>
  <c r="Y241" i="1"/>
  <c r="S241" i="1"/>
  <c r="M241" i="1"/>
  <c r="G241" i="1"/>
  <c r="Y240" i="1"/>
  <c r="S240" i="1"/>
  <c r="M240" i="1"/>
  <c r="G240" i="1"/>
  <c r="Y239" i="1"/>
  <c r="S239" i="1"/>
  <c r="M239" i="1"/>
  <c r="G239" i="1"/>
  <c r="AY270" i="1"/>
  <c r="AX270" i="1"/>
  <c r="AW270" i="1"/>
  <c r="AV270" i="1"/>
  <c r="AU270" i="1"/>
  <c r="AS270" i="1"/>
  <c r="AR270" i="1"/>
  <c r="AQ270" i="1"/>
  <c r="AP270" i="1"/>
  <c r="AO270" i="1"/>
  <c r="AM270" i="1"/>
  <c r="AL270" i="1"/>
  <c r="AK270" i="1"/>
  <c r="AJ270" i="1"/>
  <c r="AI270" i="1"/>
  <c r="AG270" i="1"/>
  <c r="AF270" i="1"/>
  <c r="AE270" i="1"/>
  <c r="AD270" i="1"/>
  <c r="AC270" i="1"/>
  <c r="AZ267" i="1"/>
  <c r="AT267" i="1"/>
  <c r="AN267" i="1"/>
  <c r="AH267" i="1"/>
  <c r="AZ266" i="1"/>
  <c r="AT266" i="1"/>
  <c r="AN266" i="1"/>
  <c r="AH266" i="1"/>
  <c r="AZ265" i="1"/>
  <c r="AT265" i="1"/>
  <c r="AN265" i="1"/>
  <c r="AH265" i="1"/>
  <c r="AZ264" i="1"/>
  <c r="AT264" i="1"/>
  <c r="AN264" i="1"/>
  <c r="AH264" i="1"/>
  <c r="AZ263" i="1"/>
  <c r="AT263" i="1"/>
  <c r="AN263" i="1"/>
  <c r="AH263" i="1"/>
  <c r="AZ262" i="1"/>
  <c r="AT262" i="1"/>
  <c r="AN262" i="1"/>
  <c r="AH262" i="1"/>
  <c r="AZ261" i="1"/>
  <c r="AT261" i="1"/>
  <c r="AN261" i="1"/>
  <c r="AH261" i="1"/>
  <c r="AZ260" i="1"/>
  <c r="AT260" i="1"/>
  <c r="AN260" i="1"/>
  <c r="AH260" i="1"/>
  <c r="AZ259" i="1"/>
  <c r="AT259" i="1"/>
  <c r="AN259" i="1"/>
  <c r="AH259" i="1"/>
  <c r="AZ258" i="1"/>
  <c r="AT258" i="1"/>
  <c r="AN258" i="1"/>
  <c r="AH258" i="1"/>
  <c r="AZ257" i="1"/>
  <c r="AT257" i="1"/>
  <c r="AN257" i="1"/>
  <c r="AH257" i="1"/>
  <c r="AZ256" i="1"/>
  <c r="AT256" i="1"/>
  <c r="AN256" i="1"/>
  <c r="AH256" i="1"/>
  <c r="AZ254" i="1"/>
  <c r="AT254" i="1"/>
  <c r="AN254" i="1"/>
  <c r="AH254" i="1"/>
  <c r="AZ253" i="1"/>
  <c r="AT253" i="1"/>
  <c r="AN253" i="1"/>
  <c r="AH253" i="1"/>
  <c r="AZ252" i="1"/>
  <c r="AT252" i="1"/>
  <c r="AN252" i="1"/>
  <c r="AH252" i="1"/>
  <c r="AZ251" i="1"/>
  <c r="AT251" i="1"/>
  <c r="AN251" i="1"/>
  <c r="AH251" i="1"/>
  <c r="AZ250" i="1"/>
  <c r="AT250" i="1"/>
  <c r="AN250" i="1"/>
  <c r="AH250" i="1"/>
  <c r="AZ249" i="1"/>
  <c r="AT249" i="1"/>
  <c r="AN249" i="1"/>
  <c r="AH249" i="1"/>
  <c r="AZ248" i="1"/>
  <c r="AT248" i="1"/>
  <c r="AN248" i="1"/>
  <c r="AH248" i="1"/>
  <c r="AZ247" i="1"/>
  <c r="AT247" i="1"/>
  <c r="AN247" i="1"/>
  <c r="AH247" i="1"/>
  <c r="AZ246" i="1"/>
  <c r="AT246" i="1"/>
  <c r="AN246" i="1"/>
  <c r="AH246" i="1"/>
  <c r="AZ245" i="1"/>
  <c r="AT245" i="1"/>
  <c r="AN245" i="1"/>
  <c r="AH245" i="1"/>
  <c r="AZ244" i="1"/>
  <c r="AT244" i="1"/>
  <c r="AN244" i="1"/>
  <c r="AH244" i="1"/>
  <c r="AZ242" i="1"/>
  <c r="AT242" i="1"/>
  <c r="AN242" i="1"/>
  <c r="AH242" i="1"/>
  <c r="AZ241" i="1"/>
  <c r="AT241" i="1"/>
  <c r="AN241" i="1"/>
  <c r="AH241" i="1"/>
  <c r="AZ240" i="1"/>
  <c r="AT240" i="1"/>
  <c r="AN240" i="1"/>
  <c r="AH240" i="1"/>
  <c r="AZ239" i="1"/>
  <c r="AT239" i="1"/>
  <c r="AN239" i="1"/>
  <c r="AH239" i="1"/>
  <c r="AH186" i="1"/>
  <c r="AN186" i="1"/>
  <c r="AT186" i="1"/>
  <c r="AZ186" i="1"/>
  <c r="AH187" i="1"/>
  <c r="AN187" i="1"/>
  <c r="AT187" i="1"/>
  <c r="AZ187" i="1"/>
  <c r="AH188" i="1"/>
  <c r="AN188" i="1"/>
  <c r="AT188" i="1"/>
  <c r="AZ188" i="1"/>
  <c r="AH189" i="1"/>
  <c r="AN189" i="1"/>
  <c r="AT189" i="1"/>
  <c r="AZ189" i="1"/>
  <c r="AH190" i="1"/>
  <c r="AN190" i="1"/>
  <c r="AT190" i="1"/>
  <c r="AZ190" i="1"/>
  <c r="AZ229" i="1"/>
  <c r="AT229" i="1"/>
  <c r="AN229" i="1"/>
  <c r="AH229" i="1"/>
  <c r="AZ143" i="1"/>
  <c r="AT143" i="1"/>
  <c r="AN143" i="1"/>
  <c r="AH143" i="1"/>
  <c r="X231" i="1"/>
  <c r="W231" i="1"/>
  <c r="V231" i="1"/>
  <c r="U231" i="1"/>
  <c r="T231" i="1"/>
  <c r="R231" i="1"/>
  <c r="Q231" i="1"/>
  <c r="P231" i="1"/>
  <c r="O231" i="1"/>
  <c r="N231" i="1"/>
  <c r="L231" i="1"/>
  <c r="K231" i="1"/>
  <c r="J231" i="1"/>
  <c r="I231" i="1"/>
  <c r="H231" i="1"/>
  <c r="F231" i="1"/>
  <c r="E231" i="1"/>
  <c r="D231" i="1"/>
  <c r="C231" i="1"/>
  <c r="B231" i="1"/>
  <c r="Y230" i="1"/>
  <c r="S230" i="1"/>
  <c r="M230" i="1"/>
  <c r="G230" i="1"/>
  <c r="Y229" i="1"/>
  <c r="S229" i="1"/>
  <c r="M229" i="1"/>
  <c r="G229" i="1"/>
  <c r="Y228" i="1"/>
  <c r="S228" i="1"/>
  <c r="M228" i="1"/>
  <c r="G228" i="1"/>
  <c r="Y227" i="1"/>
  <c r="S227" i="1"/>
  <c r="M227" i="1"/>
  <c r="G227" i="1"/>
  <c r="Y226" i="1"/>
  <c r="S226" i="1"/>
  <c r="M226" i="1"/>
  <c r="G226" i="1"/>
  <c r="Y225" i="1"/>
  <c r="S225" i="1"/>
  <c r="M225" i="1"/>
  <c r="G225" i="1"/>
  <c r="Y224" i="1"/>
  <c r="S224" i="1"/>
  <c r="M224" i="1"/>
  <c r="G224" i="1"/>
  <c r="Y223" i="1"/>
  <c r="S223" i="1"/>
  <c r="M223" i="1"/>
  <c r="G223" i="1"/>
  <c r="Y222" i="1"/>
  <c r="S222" i="1"/>
  <c r="M222" i="1"/>
  <c r="G222" i="1"/>
  <c r="Y221" i="1"/>
  <c r="S221" i="1"/>
  <c r="M221" i="1"/>
  <c r="G221" i="1"/>
  <c r="Y220" i="1"/>
  <c r="S220" i="1"/>
  <c r="M220" i="1"/>
  <c r="G220" i="1"/>
  <c r="Y219" i="1"/>
  <c r="S219" i="1"/>
  <c r="M219" i="1"/>
  <c r="G219" i="1"/>
  <c r="Y218" i="1"/>
  <c r="S218" i="1"/>
  <c r="M218" i="1"/>
  <c r="G218" i="1"/>
  <c r="Y217" i="1"/>
  <c r="S217" i="1"/>
  <c r="M217" i="1"/>
  <c r="G217" i="1"/>
  <c r="Y216" i="1"/>
  <c r="S216" i="1"/>
  <c r="M216" i="1"/>
  <c r="G216" i="1"/>
  <c r="Y215" i="1"/>
  <c r="S215" i="1"/>
  <c r="M215" i="1"/>
  <c r="G215" i="1"/>
  <c r="Y214" i="1"/>
  <c r="S214" i="1"/>
  <c r="M214" i="1"/>
  <c r="G214" i="1"/>
  <c r="Y213" i="1"/>
  <c r="S213" i="1"/>
  <c r="M213" i="1"/>
  <c r="G213" i="1"/>
  <c r="Y212" i="1"/>
  <c r="S212" i="1"/>
  <c r="M212" i="1"/>
  <c r="G212" i="1"/>
  <c r="Y211" i="1"/>
  <c r="S211" i="1"/>
  <c r="M211" i="1"/>
  <c r="G211" i="1"/>
  <c r="Y210" i="1"/>
  <c r="S210" i="1"/>
  <c r="M210" i="1"/>
  <c r="G210" i="1"/>
  <c r="Y209" i="1"/>
  <c r="S209" i="1"/>
  <c r="M209" i="1"/>
  <c r="G209" i="1"/>
  <c r="Y208" i="1"/>
  <c r="S208" i="1"/>
  <c r="M208" i="1"/>
  <c r="G208" i="1"/>
  <c r="Y207" i="1"/>
  <c r="S207" i="1"/>
  <c r="M207" i="1"/>
  <c r="G207" i="1"/>
  <c r="Y206" i="1"/>
  <c r="S206" i="1"/>
  <c r="M206" i="1"/>
  <c r="G206" i="1"/>
  <c r="Y205" i="1"/>
  <c r="S205" i="1"/>
  <c r="M205" i="1"/>
  <c r="G205" i="1"/>
  <c r="Y203" i="1"/>
  <c r="S203" i="1"/>
  <c r="M203" i="1"/>
  <c r="G203" i="1"/>
  <c r="Y202" i="1"/>
  <c r="S202" i="1"/>
  <c r="M202" i="1"/>
  <c r="G202" i="1"/>
  <c r="Y201" i="1"/>
  <c r="S201" i="1"/>
  <c r="M201" i="1"/>
  <c r="G201" i="1"/>
  <c r="Y200" i="1"/>
  <c r="S200" i="1"/>
  <c r="M200" i="1"/>
  <c r="G200" i="1"/>
  <c r="AY231" i="1"/>
  <c r="AX231" i="1"/>
  <c r="AW231" i="1"/>
  <c r="AV231" i="1"/>
  <c r="AU231" i="1"/>
  <c r="AS231" i="1"/>
  <c r="AR231" i="1"/>
  <c r="AQ231" i="1"/>
  <c r="AP231" i="1"/>
  <c r="AO231" i="1"/>
  <c r="AM231" i="1"/>
  <c r="AL231" i="1"/>
  <c r="AK231" i="1"/>
  <c r="AJ231" i="1"/>
  <c r="AI231" i="1"/>
  <c r="AG231" i="1"/>
  <c r="AF231" i="1"/>
  <c r="AE231" i="1"/>
  <c r="AD231" i="1"/>
  <c r="AC231" i="1"/>
  <c r="AZ230" i="1"/>
  <c r="AT230" i="1"/>
  <c r="AN230" i="1"/>
  <c r="AH230" i="1"/>
  <c r="AZ228" i="1"/>
  <c r="AT228" i="1"/>
  <c r="AN228" i="1"/>
  <c r="AH228" i="1"/>
  <c r="AZ227" i="1"/>
  <c r="AT227" i="1"/>
  <c r="AN227" i="1"/>
  <c r="AH227" i="1"/>
  <c r="AZ226" i="1"/>
  <c r="AT226" i="1"/>
  <c r="AN226" i="1"/>
  <c r="AH226" i="1"/>
  <c r="AZ225" i="1"/>
  <c r="AT225" i="1"/>
  <c r="AN225" i="1"/>
  <c r="AH225" i="1"/>
  <c r="AZ224" i="1"/>
  <c r="AT224" i="1"/>
  <c r="AN224" i="1"/>
  <c r="AH224" i="1"/>
  <c r="AZ223" i="1"/>
  <c r="AT223" i="1"/>
  <c r="AN223" i="1"/>
  <c r="AH223" i="1"/>
  <c r="AZ222" i="1"/>
  <c r="AT222" i="1"/>
  <c r="AN222" i="1"/>
  <c r="AH222" i="1"/>
  <c r="AZ221" i="1"/>
  <c r="AT221" i="1"/>
  <c r="AN221" i="1"/>
  <c r="AH221" i="1"/>
  <c r="AZ220" i="1"/>
  <c r="AT220" i="1"/>
  <c r="AN220" i="1"/>
  <c r="AH220" i="1"/>
  <c r="AZ219" i="1"/>
  <c r="AT219" i="1"/>
  <c r="AN219" i="1"/>
  <c r="AH219" i="1"/>
  <c r="AZ218" i="1"/>
  <c r="AT218" i="1"/>
  <c r="AN218" i="1"/>
  <c r="AH218" i="1"/>
  <c r="AZ217" i="1"/>
  <c r="AT217" i="1"/>
  <c r="AN217" i="1"/>
  <c r="AH217" i="1"/>
  <c r="AZ216" i="1"/>
  <c r="AT216" i="1"/>
  <c r="AN216" i="1"/>
  <c r="AH216" i="1"/>
  <c r="AZ215" i="1"/>
  <c r="AT215" i="1"/>
  <c r="AN215" i="1"/>
  <c r="AH215" i="1"/>
  <c r="AZ214" i="1"/>
  <c r="AT214" i="1"/>
  <c r="AN214" i="1"/>
  <c r="AH214" i="1"/>
  <c r="AZ213" i="1"/>
  <c r="AT213" i="1"/>
  <c r="AN213" i="1"/>
  <c r="AH213" i="1"/>
  <c r="AZ212" i="1"/>
  <c r="AT212" i="1"/>
  <c r="AN212" i="1"/>
  <c r="AH212" i="1"/>
  <c r="AZ211" i="1"/>
  <c r="AT211" i="1"/>
  <c r="AN211" i="1"/>
  <c r="AH211" i="1"/>
  <c r="AZ210" i="1"/>
  <c r="AT210" i="1"/>
  <c r="AN210" i="1"/>
  <c r="AH210" i="1"/>
  <c r="AZ209" i="1"/>
  <c r="AT209" i="1"/>
  <c r="AN209" i="1"/>
  <c r="AH209" i="1"/>
  <c r="AZ208" i="1"/>
  <c r="AT208" i="1"/>
  <c r="AN208" i="1"/>
  <c r="AH208" i="1"/>
  <c r="AZ207" i="1"/>
  <c r="AT207" i="1"/>
  <c r="AN207" i="1"/>
  <c r="AH207" i="1"/>
  <c r="AZ205" i="1"/>
  <c r="AT205" i="1"/>
  <c r="AN205" i="1"/>
  <c r="AH205" i="1"/>
  <c r="AZ203" i="1"/>
  <c r="AT203" i="1"/>
  <c r="AN203" i="1"/>
  <c r="AH203" i="1"/>
  <c r="AZ202" i="1"/>
  <c r="AT202" i="1"/>
  <c r="AN202" i="1"/>
  <c r="AH202" i="1"/>
  <c r="AZ200" i="1"/>
  <c r="AT200" i="1"/>
  <c r="AN200" i="1"/>
  <c r="AH200" i="1"/>
  <c r="X192" i="1"/>
  <c r="W192" i="1"/>
  <c r="V192" i="1"/>
  <c r="U192" i="1"/>
  <c r="T192" i="1"/>
  <c r="R192" i="1"/>
  <c r="Q192" i="1"/>
  <c r="P192" i="1"/>
  <c r="O192" i="1"/>
  <c r="N192" i="1"/>
  <c r="L192" i="1"/>
  <c r="K192" i="1"/>
  <c r="J192" i="1"/>
  <c r="I192" i="1"/>
  <c r="H192" i="1"/>
  <c r="F192" i="1"/>
  <c r="E192" i="1"/>
  <c r="D192" i="1"/>
  <c r="C192" i="1"/>
  <c r="B192" i="1"/>
  <c r="Y191" i="1"/>
  <c r="S191" i="1"/>
  <c r="M191" i="1"/>
  <c r="G191" i="1"/>
  <c r="Y190" i="1"/>
  <c r="S190" i="1"/>
  <c r="M190" i="1"/>
  <c r="G190" i="1"/>
  <c r="Y189" i="1"/>
  <c r="S189" i="1"/>
  <c r="M189" i="1"/>
  <c r="G189" i="1"/>
  <c r="Y188" i="1"/>
  <c r="S188" i="1"/>
  <c r="M188" i="1"/>
  <c r="G188" i="1"/>
  <c r="Y187" i="1"/>
  <c r="S187" i="1"/>
  <c r="M187" i="1"/>
  <c r="G187" i="1"/>
  <c r="Y186" i="1"/>
  <c r="S186" i="1"/>
  <c r="M186" i="1"/>
  <c r="G186" i="1"/>
  <c r="Y185" i="1"/>
  <c r="S185" i="1"/>
  <c r="M185" i="1"/>
  <c r="G185" i="1"/>
  <c r="Y184" i="1"/>
  <c r="S184" i="1"/>
  <c r="M184" i="1"/>
  <c r="G184" i="1"/>
  <c r="Y183" i="1"/>
  <c r="S183" i="1"/>
  <c r="M183" i="1"/>
  <c r="G183" i="1"/>
  <c r="Y182" i="1"/>
  <c r="S182" i="1"/>
  <c r="M182" i="1"/>
  <c r="G182" i="1"/>
  <c r="Y181" i="1"/>
  <c r="S181" i="1"/>
  <c r="M181" i="1"/>
  <c r="G181" i="1"/>
  <c r="Y180" i="1"/>
  <c r="S180" i="1"/>
  <c r="M180" i="1"/>
  <c r="G180" i="1"/>
  <c r="Y179" i="1"/>
  <c r="S179" i="1"/>
  <c r="M179" i="1"/>
  <c r="G179" i="1"/>
  <c r="Y178" i="1"/>
  <c r="S178" i="1"/>
  <c r="M178" i="1"/>
  <c r="G178" i="1"/>
  <c r="Y177" i="1"/>
  <c r="S177" i="1"/>
  <c r="M177" i="1"/>
  <c r="G177" i="1"/>
  <c r="Y176" i="1"/>
  <c r="S176" i="1"/>
  <c r="M176" i="1"/>
  <c r="G176" i="1"/>
  <c r="Y175" i="1"/>
  <c r="S175" i="1"/>
  <c r="M175" i="1"/>
  <c r="G175" i="1"/>
  <c r="Y174" i="1"/>
  <c r="S174" i="1"/>
  <c r="M174" i="1"/>
  <c r="G174" i="1"/>
  <c r="Y173" i="1"/>
  <c r="S173" i="1"/>
  <c r="M173" i="1"/>
  <c r="G173" i="1"/>
  <c r="Y172" i="1"/>
  <c r="S172" i="1"/>
  <c r="M172" i="1"/>
  <c r="G172" i="1"/>
  <c r="Y171" i="1"/>
  <c r="S171" i="1"/>
  <c r="M171" i="1"/>
  <c r="G171" i="1"/>
  <c r="Y170" i="1"/>
  <c r="S170" i="1"/>
  <c r="M170" i="1"/>
  <c r="G170" i="1"/>
  <c r="Y169" i="1"/>
  <c r="S169" i="1"/>
  <c r="M169" i="1"/>
  <c r="G169" i="1"/>
  <c r="Y168" i="1"/>
  <c r="S168" i="1"/>
  <c r="M168" i="1"/>
  <c r="G168" i="1"/>
  <c r="Y167" i="1"/>
  <c r="S167" i="1"/>
  <c r="M167" i="1"/>
  <c r="G167" i="1"/>
  <c r="Y166" i="1"/>
  <c r="S166" i="1"/>
  <c r="M166" i="1"/>
  <c r="G166" i="1"/>
  <c r="Y164" i="1"/>
  <c r="S164" i="1"/>
  <c r="M164" i="1"/>
  <c r="G164" i="1"/>
  <c r="Y163" i="1"/>
  <c r="S163" i="1"/>
  <c r="M163" i="1"/>
  <c r="G163" i="1"/>
  <c r="Y162" i="1"/>
  <c r="S162" i="1"/>
  <c r="M162" i="1"/>
  <c r="G162" i="1"/>
  <c r="Y161" i="1"/>
  <c r="S161" i="1"/>
  <c r="M161" i="1"/>
  <c r="G161" i="1"/>
  <c r="AZ150" i="1"/>
  <c r="AT150" i="1"/>
  <c r="AN150" i="1"/>
  <c r="AH150" i="1"/>
  <c r="AZ151" i="1"/>
  <c r="AT151" i="1"/>
  <c r="AN151" i="1"/>
  <c r="AH151" i="1"/>
  <c r="AZ152" i="1"/>
  <c r="AT152" i="1"/>
  <c r="AN152" i="1"/>
  <c r="AH152" i="1"/>
  <c r="AY192" i="1"/>
  <c r="AX192" i="1"/>
  <c r="AW192" i="1"/>
  <c r="AV192" i="1"/>
  <c r="AU192" i="1"/>
  <c r="AS192" i="1"/>
  <c r="AR192" i="1"/>
  <c r="AQ192" i="1"/>
  <c r="AP192" i="1"/>
  <c r="AO192" i="1"/>
  <c r="AM192" i="1"/>
  <c r="AL192" i="1"/>
  <c r="AK192" i="1"/>
  <c r="AJ192" i="1"/>
  <c r="AI192" i="1"/>
  <c r="AG192" i="1"/>
  <c r="AF192" i="1"/>
  <c r="AE192" i="1"/>
  <c r="AD192" i="1"/>
  <c r="AC192" i="1"/>
  <c r="AZ191" i="1"/>
  <c r="AT191" i="1"/>
  <c r="AN191" i="1"/>
  <c r="AH191" i="1"/>
  <c r="AZ185" i="1"/>
  <c r="AT185" i="1"/>
  <c r="AN185" i="1"/>
  <c r="AH185" i="1"/>
  <c r="AZ184" i="1"/>
  <c r="AT184" i="1"/>
  <c r="AN184" i="1"/>
  <c r="AH184" i="1"/>
  <c r="AZ183" i="1"/>
  <c r="AT183" i="1"/>
  <c r="AN183" i="1"/>
  <c r="AH183" i="1"/>
  <c r="AZ182" i="1"/>
  <c r="AT182" i="1"/>
  <c r="AN182" i="1"/>
  <c r="AH182" i="1"/>
  <c r="AZ181" i="1"/>
  <c r="AT181" i="1"/>
  <c r="AN181" i="1"/>
  <c r="AH181" i="1"/>
  <c r="AZ180" i="1"/>
  <c r="AT180" i="1"/>
  <c r="AN180" i="1"/>
  <c r="AH180" i="1"/>
  <c r="AZ179" i="1"/>
  <c r="AT179" i="1"/>
  <c r="AN179" i="1"/>
  <c r="AH179" i="1"/>
  <c r="AZ178" i="1"/>
  <c r="AT178" i="1"/>
  <c r="AN178" i="1"/>
  <c r="AH178" i="1"/>
  <c r="AZ177" i="1"/>
  <c r="AT177" i="1"/>
  <c r="AN177" i="1"/>
  <c r="AH177" i="1"/>
  <c r="AZ176" i="1"/>
  <c r="AT176" i="1"/>
  <c r="AN176" i="1"/>
  <c r="AH176" i="1"/>
  <c r="AZ175" i="1"/>
  <c r="AT175" i="1"/>
  <c r="AN175" i="1"/>
  <c r="AH175" i="1"/>
  <c r="AZ174" i="1"/>
  <c r="AT174" i="1"/>
  <c r="AN174" i="1"/>
  <c r="AH174" i="1"/>
  <c r="AZ173" i="1"/>
  <c r="AT173" i="1"/>
  <c r="AN173" i="1"/>
  <c r="AH173" i="1"/>
  <c r="AZ172" i="1"/>
  <c r="AT172" i="1"/>
  <c r="AN172" i="1"/>
  <c r="AH172" i="1"/>
  <c r="AZ171" i="1"/>
  <c r="AT171" i="1"/>
  <c r="AN171" i="1"/>
  <c r="AH171" i="1"/>
  <c r="AZ170" i="1"/>
  <c r="AT170" i="1"/>
  <c r="AN170" i="1"/>
  <c r="AH170" i="1"/>
  <c r="AZ169" i="1"/>
  <c r="AT169" i="1"/>
  <c r="AN169" i="1"/>
  <c r="AH169" i="1"/>
  <c r="AZ168" i="1"/>
  <c r="AT168" i="1"/>
  <c r="AN168" i="1"/>
  <c r="AH168" i="1"/>
  <c r="AZ167" i="1"/>
  <c r="AT167" i="1"/>
  <c r="AN167" i="1"/>
  <c r="AH167" i="1"/>
  <c r="AZ166" i="1"/>
  <c r="AT166" i="1"/>
  <c r="AN166" i="1"/>
  <c r="AH166" i="1"/>
  <c r="AZ164" i="1"/>
  <c r="AT164" i="1"/>
  <c r="AN164" i="1"/>
  <c r="AH164" i="1"/>
  <c r="AZ163" i="1"/>
  <c r="AT163" i="1"/>
  <c r="AN163" i="1"/>
  <c r="AH163" i="1"/>
  <c r="AZ162" i="1"/>
  <c r="AT162" i="1"/>
  <c r="AN162" i="1"/>
  <c r="AH162" i="1"/>
  <c r="AZ161" i="1"/>
  <c r="AT161" i="1"/>
  <c r="AN161" i="1"/>
  <c r="AH161" i="1"/>
  <c r="AY114" i="1"/>
  <c r="AX114" i="1"/>
  <c r="AW114" i="1"/>
  <c r="AV114" i="1"/>
  <c r="AU114" i="1"/>
  <c r="AS114" i="1"/>
  <c r="AR114" i="1"/>
  <c r="AQ114" i="1"/>
  <c r="AP114" i="1"/>
  <c r="AO114" i="1"/>
  <c r="AM114" i="1"/>
  <c r="AL114" i="1"/>
  <c r="AK114" i="1"/>
  <c r="AJ114" i="1"/>
  <c r="AI114" i="1"/>
  <c r="AG114" i="1"/>
  <c r="AF114" i="1"/>
  <c r="AE114" i="1"/>
  <c r="AD114" i="1"/>
  <c r="AC114" i="1"/>
  <c r="Y90" i="1"/>
  <c r="S90" i="1"/>
  <c r="M90" i="1"/>
  <c r="G90" i="1"/>
  <c r="AH113" i="1"/>
  <c r="AN113" i="1"/>
  <c r="AT113" i="1"/>
  <c r="AZ113" i="1"/>
  <c r="AH149" i="1"/>
  <c r="AN149" i="1"/>
  <c r="AT149" i="1"/>
  <c r="AZ149" i="1"/>
  <c r="AY153" i="1"/>
  <c r="AX153" i="1"/>
  <c r="AW153" i="1"/>
  <c r="AV153" i="1"/>
  <c r="AU153" i="1"/>
  <c r="AS153" i="1"/>
  <c r="AR153" i="1"/>
  <c r="AQ153" i="1"/>
  <c r="AP153" i="1"/>
  <c r="AO153" i="1"/>
  <c r="AM153" i="1"/>
  <c r="AL153" i="1"/>
  <c r="AK153" i="1"/>
  <c r="AJ153" i="1"/>
  <c r="AI153" i="1"/>
  <c r="AG153" i="1"/>
  <c r="AF153" i="1"/>
  <c r="AE153" i="1"/>
  <c r="AD153" i="1"/>
  <c r="AC153" i="1"/>
  <c r="X153" i="1"/>
  <c r="W153" i="1"/>
  <c r="V153" i="1"/>
  <c r="U153" i="1"/>
  <c r="T153" i="1"/>
  <c r="R153" i="1"/>
  <c r="Q153" i="1"/>
  <c r="P153" i="1"/>
  <c r="O153" i="1"/>
  <c r="N153" i="1"/>
  <c r="L153" i="1"/>
  <c r="K153" i="1"/>
  <c r="J153" i="1"/>
  <c r="I153" i="1"/>
  <c r="H153" i="1"/>
  <c r="F153" i="1"/>
  <c r="E153" i="1"/>
  <c r="D153" i="1"/>
  <c r="C153" i="1"/>
  <c r="B153" i="1"/>
  <c r="Y152" i="1"/>
  <c r="S152" i="1"/>
  <c r="M152" i="1"/>
  <c r="G152" i="1"/>
  <c r="Y151" i="1"/>
  <c r="S151" i="1"/>
  <c r="M151" i="1"/>
  <c r="G151" i="1"/>
  <c r="Y150" i="1"/>
  <c r="S150" i="1"/>
  <c r="M150" i="1"/>
  <c r="G150" i="1"/>
  <c r="Y149" i="1"/>
  <c r="S149" i="1"/>
  <c r="M149" i="1"/>
  <c r="G149" i="1"/>
  <c r="AZ148" i="1"/>
  <c r="AT148" i="1"/>
  <c r="AN148" i="1"/>
  <c r="AH148" i="1"/>
  <c r="Y148" i="1"/>
  <c r="S148" i="1"/>
  <c r="M148" i="1"/>
  <c r="G148" i="1"/>
  <c r="AZ147" i="1"/>
  <c r="AT147" i="1"/>
  <c r="AN147" i="1"/>
  <c r="AH147" i="1"/>
  <c r="Y147" i="1"/>
  <c r="S147" i="1"/>
  <c r="M147" i="1"/>
  <c r="G147" i="1"/>
  <c r="AZ146" i="1"/>
  <c r="AT146" i="1"/>
  <c r="AN146" i="1"/>
  <c r="AH146" i="1"/>
  <c r="Y146" i="1"/>
  <c r="S146" i="1"/>
  <c r="M146" i="1"/>
  <c r="G146" i="1"/>
  <c r="AZ145" i="1"/>
  <c r="AT145" i="1"/>
  <c r="AN145" i="1"/>
  <c r="AH145" i="1"/>
  <c r="Y145" i="1"/>
  <c r="S145" i="1"/>
  <c r="M145" i="1"/>
  <c r="G145" i="1"/>
  <c r="AZ144" i="1"/>
  <c r="AT144" i="1"/>
  <c r="AN144" i="1"/>
  <c r="AH144" i="1"/>
  <c r="Y144" i="1"/>
  <c r="S144" i="1"/>
  <c r="M144" i="1"/>
  <c r="G144" i="1"/>
  <c r="Y143" i="1"/>
  <c r="S143" i="1"/>
  <c r="M143" i="1"/>
  <c r="G143" i="1"/>
  <c r="AZ142" i="1"/>
  <c r="AT142" i="1"/>
  <c r="AN142" i="1"/>
  <c r="AH142" i="1"/>
  <c r="Y142" i="1"/>
  <c r="S142" i="1"/>
  <c r="M142" i="1"/>
  <c r="G142" i="1"/>
  <c r="AZ141" i="1"/>
  <c r="AT141" i="1"/>
  <c r="AN141" i="1"/>
  <c r="AH141" i="1"/>
  <c r="Y141" i="1"/>
  <c r="S141" i="1"/>
  <c r="M141" i="1"/>
  <c r="G141" i="1"/>
  <c r="AZ140" i="1"/>
  <c r="AT140" i="1"/>
  <c r="AN140" i="1"/>
  <c r="AH140" i="1"/>
  <c r="Y140" i="1"/>
  <c r="S140" i="1"/>
  <c r="M140" i="1"/>
  <c r="G140" i="1"/>
  <c r="AZ139" i="1"/>
  <c r="AT139" i="1"/>
  <c r="AN139" i="1"/>
  <c r="AH139" i="1"/>
  <c r="Y139" i="1"/>
  <c r="S139" i="1"/>
  <c r="M139" i="1"/>
  <c r="G139" i="1"/>
  <c r="AZ138" i="1"/>
  <c r="AT138" i="1"/>
  <c r="AN138" i="1"/>
  <c r="AH138" i="1"/>
  <c r="Y138" i="1"/>
  <c r="S138" i="1"/>
  <c r="M138" i="1"/>
  <c r="G138" i="1"/>
  <c r="AZ137" i="1"/>
  <c r="AT137" i="1"/>
  <c r="AN137" i="1"/>
  <c r="AH137" i="1"/>
  <c r="Y137" i="1"/>
  <c r="S137" i="1"/>
  <c r="M137" i="1"/>
  <c r="G137" i="1"/>
  <c r="AZ136" i="1"/>
  <c r="AT136" i="1"/>
  <c r="AN136" i="1"/>
  <c r="AH136" i="1"/>
  <c r="Y136" i="1"/>
  <c r="S136" i="1"/>
  <c r="M136" i="1"/>
  <c r="G136" i="1"/>
  <c r="AZ135" i="1"/>
  <c r="AT135" i="1"/>
  <c r="AN135" i="1"/>
  <c r="AH135" i="1"/>
  <c r="Y135" i="1"/>
  <c r="S135" i="1"/>
  <c r="M135" i="1"/>
  <c r="G135" i="1"/>
  <c r="AZ134" i="1"/>
  <c r="AT134" i="1"/>
  <c r="AN134" i="1"/>
  <c r="AH134" i="1"/>
  <c r="Y134" i="1"/>
  <c r="S134" i="1"/>
  <c r="M134" i="1"/>
  <c r="G134" i="1"/>
  <c r="AZ133" i="1"/>
  <c r="AT133" i="1"/>
  <c r="AN133" i="1"/>
  <c r="AH133" i="1"/>
  <c r="Y133" i="1"/>
  <c r="S133" i="1"/>
  <c r="M133" i="1"/>
  <c r="G133" i="1"/>
  <c r="AZ132" i="1"/>
  <c r="AT132" i="1"/>
  <c r="AN132" i="1"/>
  <c r="AH132" i="1"/>
  <c r="Y132" i="1"/>
  <c r="S132" i="1"/>
  <c r="M132" i="1"/>
  <c r="G132" i="1"/>
  <c r="AZ131" i="1"/>
  <c r="AT131" i="1"/>
  <c r="AN131" i="1"/>
  <c r="AH131" i="1"/>
  <c r="Y131" i="1"/>
  <c r="S131" i="1"/>
  <c r="M131" i="1"/>
  <c r="G131" i="1"/>
  <c r="AZ130" i="1"/>
  <c r="AT130" i="1"/>
  <c r="AN130" i="1"/>
  <c r="AH130" i="1"/>
  <c r="Y130" i="1"/>
  <c r="S130" i="1"/>
  <c r="M130" i="1"/>
  <c r="G130" i="1"/>
  <c r="AZ129" i="1"/>
  <c r="AT129" i="1"/>
  <c r="AN129" i="1"/>
  <c r="AH129" i="1"/>
  <c r="Y129" i="1"/>
  <c r="S129" i="1"/>
  <c r="M129" i="1"/>
  <c r="G129" i="1"/>
  <c r="AZ128" i="1"/>
  <c r="AT128" i="1"/>
  <c r="AN128" i="1"/>
  <c r="AH128" i="1"/>
  <c r="Y128" i="1"/>
  <c r="S128" i="1"/>
  <c r="M128" i="1"/>
  <c r="G128" i="1"/>
  <c r="AZ127" i="1"/>
  <c r="AT127" i="1"/>
  <c r="AN127" i="1"/>
  <c r="AH127" i="1"/>
  <c r="Y127" i="1"/>
  <c r="S127" i="1"/>
  <c r="M127" i="1"/>
  <c r="G127" i="1"/>
  <c r="AZ125" i="1"/>
  <c r="AT125" i="1"/>
  <c r="AN125" i="1"/>
  <c r="AH125" i="1"/>
  <c r="Y125" i="1"/>
  <c r="S125" i="1"/>
  <c r="M125" i="1"/>
  <c r="G125" i="1"/>
  <c r="AZ124" i="1"/>
  <c r="AT124" i="1"/>
  <c r="AN124" i="1"/>
  <c r="AH124" i="1"/>
  <c r="Y124" i="1"/>
  <c r="S124" i="1"/>
  <c r="M124" i="1"/>
  <c r="G124" i="1"/>
  <c r="AZ123" i="1"/>
  <c r="AT123" i="1"/>
  <c r="AN123" i="1"/>
  <c r="AH123" i="1"/>
  <c r="Y123" i="1"/>
  <c r="S123" i="1"/>
  <c r="M123" i="1"/>
  <c r="G123" i="1"/>
  <c r="AZ122" i="1"/>
  <c r="AT122" i="1"/>
  <c r="AN122" i="1"/>
  <c r="AH122" i="1"/>
  <c r="Y122" i="1"/>
  <c r="S122" i="1"/>
  <c r="M122" i="1"/>
  <c r="G122" i="1"/>
  <c r="Y51" i="1"/>
  <c r="S51" i="1"/>
  <c r="M51" i="1"/>
  <c r="G51" i="1"/>
  <c r="AZ111" i="1"/>
  <c r="AT111" i="1"/>
  <c r="AN111" i="1"/>
  <c r="AH111" i="1"/>
  <c r="AZ72" i="1"/>
  <c r="AT72" i="1"/>
  <c r="AN72" i="1"/>
  <c r="AH72" i="1"/>
  <c r="AZ73" i="1"/>
  <c r="AT73" i="1"/>
  <c r="AN73" i="1"/>
  <c r="AH73" i="1"/>
  <c r="X114" i="1"/>
  <c r="W114" i="1"/>
  <c r="V114" i="1"/>
  <c r="U114" i="1"/>
  <c r="T114" i="1"/>
  <c r="R114" i="1"/>
  <c r="Q114" i="1"/>
  <c r="P114" i="1"/>
  <c r="O114" i="1"/>
  <c r="N114" i="1"/>
  <c r="L114" i="1"/>
  <c r="K114" i="1"/>
  <c r="J114" i="1"/>
  <c r="I114" i="1"/>
  <c r="H114" i="1"/>
  <c r="F114" i="1"/>
  <c r="E114" i="1"/>
  <c r="D114" i="1"/>
  <c r="C114" i="1"/>
  <c r="B114" i="1"/>
  <c r="Y113" i="1"/>
  <c r="S113" i="1"/>
  <c r="M113" i="1"/>
  <c r="G113" i="1"/>
  <c r="AZ112" i="1"/>
  <c r="AT112" i="1"/>
  <c r="AN112" i="1"/>
  <c r="AH112" i="1"/>
  <c r="Y112" i="1"/>
  <c r="S112" i="1"/>
  <c r="M112" i="1"/>
  <c r="G112" i="1"/>
  <c r="Y111" i="1"/>
  <c r="S111" i="1"/>
  <c r="M111" i="1"/>
  <c r="G111" i="1"/>
  <c r="AZ110" i="1"/>
  <c r="AT110" i="1"/>
  <c r="AN110" i="1"/>
  <c r="AH110" i="1"/>
  <c r="Y110" i="1"/>
  <c r="S110" i="1"/>
  <c r="M110" i="1"/>
  <c r="G110" i="1"/>
  <c r="AZ109" i="1"/>
  <c r="AT109" i="1"/>
  <c r="AN109" i="1"/>
  <c r="AH109" i="1"/>
  <c r="Y109" i="1"/>
  <c r="S109" i="1"/>
  <c r="M109" i="1"/>
  <c r="G109" i="1"/>
  <c r="AZ108" i="1"/>
  <c r="AT108" i="1"/>
  <c r="AN108" i="1"/>
  <c r="AH108" i="1"/>
  <c r="Y108" i="1"/>
  <c r="S108" i="1"/>
  <c r="M108" i="1"/>
  <c r="G108" i="1"/>
  <c r="AZ107" i="1"/>
  <c r="AT107" i="1"/>
  <c r="AN107" i="1"/>
  <c r="AH107" i="1"/>
  <c r="Y107" i="1"/>
  <c r="S107" i="1"/>
  <c r="M107" i="1"/>
  <c r="G107" i="1"/>
  <c r="AZ106" i="1"/>
  <c r="AT106" i="1"/>
  <c r="AN106" i="1"/>
  <c r="AH106" i="1"/>
  <c r="Y106" i="1"/>
  <c r="S106" i="1"/>
  <c r="M106" i="1"/>
  <c r="G106" i="1"/>
  <c r="AZ105" i="1"/>
  <c r="AT105" i="1"/>
  <c r="AN105" i="1"/>
  <c r="AH105" i="1"/>
  <c r="Y105" i="1"/>
  <c r="S105" i="1"/>
  <c r="M105" i="1"/>
  <c r="G105" i="1"/>
  <c r="AZ104" i="1"/>
  <c r="AT104" i="1"/>
  <c r="AN104" i="1"/>
  <c r="AH104" i="1"/>
  <c r="Y104" i="1"/>
  <c r="S104" i="1"/>
  <c r="M104" i="1"/>
  <c r="G104" i="1"/>
  <c r="AZ103" i="1"/>
  <c r="AT103" i="1"/>
  <c r="AN103" i="1"/>
  <c r="AH103" i="1"/>
  <c r="Y103" i="1"/>
  <c r="S103" i="1"/>
  <c r="M103" i="1"/>
  <c r="G103" i="1"/>
  <c r="AZ102" i="1"/>
  <c r="AT102" i="1"/>
  <c r="AN102" i="1"/>
  <c r="AH102" i="1"/>
  <c r="Y102" i="1"/>
  <c r="S102" i="1"/>
  <c r="M102" i="1"/>
  <c r="G102" i="1"/>
  <c r="AZ101" i="1"/>
  <c r="AT101" i="1"/>
  <c r="AN101" i="1"/>
  <c r="AH101" i="1"/>
  <c r="Y101" i="1"/>
  <c r="S101" i="1"/>
  <c r="M101" i="1"/>
  <c r="G101" i="1"/>
  <c r="AZ100" i="1"/>
  <c r="AT100" i="1"/>
  <c r="AN100" i="1"/>
  <c r="AH100" i="1"/>
  <c r="Y100" i="1"/>
  <c r="S100" i="1"/>
  <c r="M100" i="1"/>
  <c r="G100" i="1"/>
  <c r="AZ99" i="1"/>
  <c r="AT99" i="1"/>
  <c r="AN99" i="1"/>
  <c r="AH99" i="1"/>
  <c r="Y99" i="1"/>
  <c r="S99" i="1"/>
  <c r="M99" i="1"/>
  <c r="G99" i="1"/>
  <c r="AZ98" i="1"/>
  <c r="AT98" i="1"/>
  <c r="AN98" i="1"/>
  <c r="AH98" i="1"/>
  <c r="Y98" i="1"/>
  <c r="S98" i="1"/>
  <c r="M98" i="1"/>
  <c r="G98" i="1"/>
  <c r="AZ97" i="1"/>
  <c r="AT97" i="1"/>
  <c r="AN97" i="1"/>
  <c r="AH97" i="1"/>
  <c r="Y97" i="1"/>
  <c r="S97" i="1"/>
  <c r="M97" i="1"/>
  <c r="G97" i="1"/>
  <c r="AZ96" i="1"/>
  <c r="AT96" i="1"/>
  <c r="AN96" i="1"/>
  <c r="AH96" i="1"/>
  <c r="Y96" i="1"/>
  <c r="S96" i="1"/>
  <c r="M96" i="1"/>
  <c r="G96" i="1"/>
  <c r="AZ95" i="1"/>
  <c r="AT95" i="1"/>
  <c r="AN95" i="1"/>
  <c r="AH95" i="1"/>
  <c r="Y95" i="1"/>
  <c r="S95" i="1"/>
  <c r="M95" i="1"/>
  <c r="G95" i="1"/>
  <c r="AZ94" i="1"/>
  <c r="AT94" i="1"/>
  <c r="AN94" i="1"/>
  <c r="AH94" i="1"/>
  <c r="Y94" i="1"/>
  <c r="S94" i="1"/>
  <c r="M94" i="1"/>
  <c r="G94" i="1"/>
  <c r="AZ93" i="1"/>
  <c r="AT93" i="1"/>
  <c r="AN93" i="1"/>
  <c r="AH93" i="1"/>
  <c r="Y93" i="1"/>
  <c r="S93" i="1"/>
  <c r="M93" i="1"/>
  <c r="G93" i="1"/>
  <c r="AZ92" i="1"/>
  <c r="AT92" i="1"/>
  <c r="AN92" i="1"/>
  <c r="AH92" i="1"/>
  <c r="Y92" i="1"/>
  <c r="S92" i="1"/>
  <c r="M92" i="1"/>
  <c r="G92" i="1"/>
  <c r="AZ91" i="1"/>
  <c r="AT91" i="1"/>
  <c r="AN91" i="1"/>
  <c r="AH91" i="1"/>
  <c r="Y91" i="1"/>
  <c r="S91" i="1"/>
  <c r="M91" i="1"/>
  <c r="G91" i="1"/>
  <c r="AZ90" i="1"/>
  <c r="AT90" i="1"/>
  <c r="AN90" i="1"/>
  <c r="AH90" i="1"/>
  <c r="AZ89" i="1"/>
  <c r="AT89" i="1"/>
  <c r="AN89" i="1"/>
  <c r="AH89" i="1"/>
  <c r="Y89" i="1"/>
  <c r="S89" i="1"/>
  <c r="M89" i="1"/>
  <c r="G89" i="1"/>
  <c r="AZ88" i="1"/>
  <c r="AT88" i="1"/>
  <c r="AN88" i="1"/>
  <c r="AH88" i="1"/>
  <c r="Y88" i="1"/>
  <c r="S88" i="1"/>
  <c r="M88" i="1"/>
  <c r="G88" i="1"/>
  <c r="AZ86" i="1"/>
  <c r="AT86" i="1"/>
  <c r="AN86" i="1"/>
  <c r="AH86" i="1"/>
  <c r="Y86" i="1"/>
  <c r="S86" i="1"/>
  <c r="M86" i="1"/>
  <c r="G86" i="1"/>
  <c r="AZ85" i="1"/>
  <c r="AT85" i="1"/>
  <c r="AN85" i="1"/>
  <c r="AH85" i="1"/>
  <c r="Y85" i="1"/>
  <c r="S85" i="1"/>
  <c r="M85" i="1"/>
  <c r="G85" i="1"/>
  <c r="AZ84" i="1"/>
  <c r="AT84" i="1"/>
  <c r="AN84" i="1"/>
  <c r="AH84" i="1"/>
  <c r="Y84" i="1"/>
  <c r="S84" i="1"/>
  <c r="M84" i="1"/>
  <c r="G84" i="1"/>
  <c r="AZ83" i="1"/>
  <c r="AT83" i="1"/>
  <c r="AN83" i="1"/>
  <c r="AH83" i="1"/>
  <c r="Y83" i="1"/>
  <c r="S83" i="1"/>
  <c r="M83" i="1"/>
  <c r="G83" i="1"/>
  <c r="X75" i="1"/>
  <c r="W75" i="1"/>
  <c r="V75" i="1"/>
  <c r="U75" i="1"/>
  <c r="T75" i="1"/>
  <c r="R75" i="1"/>
  <c r="Q75" i="1"/>
  <c r="P75" i="1"/>
  <c r="O75" i="1"/>
  <c r="N75" i="1"/>
  <c r="L75" i="1"/>
  <c r="K75" i="1"/>
  <c r="J75" i="1"/>
  <c r="I75" i="1"/>
  <c r="H75" i="1"/>
  <c r="F75" i="1"/>
  <c r="E75" i="1"/>
  <c r="D75" i="1"/>
  <c r="C75" i="1"/>
  <c r="B75" i="1"/>
  <c r="Y74" i="1"/>
  <c r="S74" i="1"/>
  <c r="M74" i="1"/>
  <c r="G74" i="1"/>
  <c r="Y73" i="1"/>
  <c r="S73" i="1"/>
  <c r="M73" i="1"/>
  <c r="G73" i="1"/>
  <c r="Y72" i="1"/>
  <c r="S72" i="1"/>
  <c r="M72" i="1"/>
  <c r="G72" i="1"/>
  <c r="Y71" i="1"/>
  <c r="S71" i="1"/>
  <c r="M71" i="1"/>
  <c r="G71" i="1"/>
  <c r="Y70" i="1"/>
  <c r="S70" i="1"/>
  <c r="M70" i="1"/>
  <c r="G70" i="1"/>
  <c r="Y69" i="1"/>
  <c r="S69" i="1"/>
  <c r="M69" i="1"/>
  <c r="G69" i="1"/>
  <c r="Y68" i="1"/>
  <c r="S68" i="1"/>
  <c r="M68" i="1"/>
  <c r="G68" i="1"/>
  <c r="Y67" i="1"/>
  <c r="S67" i="1"/>
  <c r="M67" i="1"/>
  <c r="G67" i="1"/>
  <c r="Y66" i="1"/>
  <c r="S66" i="1"/>
  <c r="M66" i="1"/>
  <c r="G66" i="1"/>
  <c r="Y65" i="1"/>
  <c r="S65" i="1"/>
  <c r="M65" i="1"/>
  <c r="G65" i="1"/>
  <c r="Y64" i="1"/>
  <c r="S64" i="1"/>
  <c r="M64" i="1"/>
  <c r="G64" i="1"/>
  <c r="Y63" i="1"/>
  <c r="S63" i="1"/>
  <c r="M63" i="1"/>
  <c r="G63" i="1"/>
  <c r="Y62" i="1"/>
  <c r="S62" i="1"/>
  <c r="M62" i="1"/>
  <c r="G62" i="1"/>
  <c r="Y61" i="1"/>
  <c r="S61" i="1"/>
  <c r="M61" i="1"/>
  <c r="G61" i="1"/>
  <c r="Y60" i="1"/>
  <c r="S60" i="1"/>
  <c r="M60" i="1"/>
  <c r="G60" i="1"/>
  <c r="Y59" i="1"/>
  <c r="S59" i="1"/>
  <c r="M59" i="1"/>
  <c r="G59" i="1"/>
  <c r="Y58" i="1"/>
  <c r="S58" i="1"/>
  <c r="M58" i="1"/>
  <c r="G58" i="1"/>
  <c r="Y57" i="1"/>
  <c r="S57" i="1"/>
  <c r="M57" i="1"/>
  <c r="G57" i="1"/>
  <c r="Y56" i="1"/>
  <c r="S56" i="1"/>
  <c r="M56" i="1"/>
  <c r="G56" i="1"/>
  <c r="Y55" i="1"/>
  <c r="S55" i="1"/>
  <c r="M55" i="1"/>
  <c r="G55" i="1"/>
  <c r="Y54" i="1"/>
  <c r="S54" i="1"/>
  <c r="M54" i="1"/>
  <c r="G54" i="1"/>
  <c r="Y53" i="1"/>
  <c r="S53" i="1"/>
  <c r="M53" i="1"/>
  <c r="G53" i="1"/>
  <c r="Y52" i="1"/>
  <c r="S52" i="1"/>
  <c r="M52" i="1"/>
  <c r="G52" i="1"/>
  <c r="Y50" i="1"/>
  <c r="S50" i="1"/>
  <c r="M50" i="1"/>
  <c r="G50" i="1"/>
  <c r="Y49" i="1"/>
  <c r="S49" i="1"/>
  <c r="M49" i="1"/>
  <c r="G49" i="1"/>
  <c r="Y47" i="1"/>
  <c r="S47" i="1"/>
  <c r="M47" i="1"/>
  <c r="G47" i="1"/>
  <c r="Y46" i="1"/>
  <c r="S46" i="1"/>
  <c r="M46" i="1"/>
  <c r="G46" i="1"/>
  <c r="Y45" i="1"/>
  <c r="S45" i="1"/>
  <c r="M45" i="1"/>
  <c r="G45" i="1"/>
  <c r="Y44" i="1"/>
  <c r="S44" i="1"/>
  <c r="M44" i="1"/>
  <c r="G44" i="1"/>
  <c r="AY75" i="1"/>
  <c r="AX75" i="1"/>
  <c r="AW75" i="1"/>
  <c r="AV75" i="1"/>
  <c r="AU75" i="1"/>
  <c r="AS75" i="1"/>
  <c r="AR75" i="1"/>
  <c r="AQ75" i="1"/>
  <c r="AP75" i="1"/>
  <c r="AO75" i="1"/>
  <c r="AM75" i="1"/>
  <c r="AL75" i="1"/>
  <c r="AK75" i="1"/>
  <c r="AJ75" i="1"/>
  <c r="AI75" i="1"/>
  <c r="AG75" i="1"/>
  <c r="AF75" i="1"/>
  <c r="AE75" i="1"/>
  <c r="AD75" i="1"/>
  <c r="AC75" i="1"/>
  <c r="AZ74" i="1"/>
  <c r="AT74" i="1"/>
  <c r="AN74" i="1"/>
  <c r="AH74" i="1"/>
  <c r="AZ71" i="1"/>
  <c r="AT71" i="1"/>
  <c r="AN71" i="1"/>
  <c r="AH71" i="1"/>
  <c r="AZ70" i="1"/>
  <c r="AT70" i="1"/>
  <c r="AN70" i="1"/>
  <c r="AH70" i="1"/>
  <c r="AZ69" i="1"/>
  <c r="AT69" i="1"/>
  <c r="AN69" i="1"/>
  <c r="AH69" i="1"/>
  <c r="AZ68" i="1"/>
  <c r="AT68" i="1"/>
  <c r="AN68" i="1"/>
  <c r="AH68" i="1"/>
  <c r="AZ67" i="1"/>
  <c r="AT67" i="1"/>
  <c r="AN67" i="1"/>
  <c r="AH67" i="1"/>
  <c r="AZ66" i="1"/>
  <c r="AT66" i="1"/>
  <c r="AN66" i="1"/>
  <c r="AH66" i="1"/>
  <c r="AZ65" i="1"/>
  <c r="AT65" i="1"/>
  <c r="AN65" i="1"/>
  <c r="AH65" i="1"/>
  <c r="AZ64" i="1"/>
  <c r="AT64" i="1"/>
  <c r="AN64" i="1"/>
  <c r="AH64" i="1"/>
  <c r="AZ63" i="1"/>
  <c r="AT63" i="1"/>
  <c r="AN63" i="1"/>
  <c r="AH63" i="1"/>
  <c r="AZ62" i="1"/>
  <c r="AT62" i="1"/>
  <c r="AN62" i="1"/>
  <c r="AH62" i="1"/>
  <c r="AZ61" i="1"/>
  <c r="AT61" i="1"/>
  <c r="AN61" i="1"/>
  <c r="AH61" i="1"/>
  <c r="AZ60" i="1"/>
  <c r="AT60" i="1"/>
  <c r="AN60" i="1"/>
  <c r="AH60" i="1"/>
  <c r="AZ59" i="1"/>
  <c r="AT59" i="1"/>
  <c r="AN59" i="1"/>
  <c r="AH59" i="1"/>
  <c r="AZ58" i="1"/>
  <c r="AT58" i="1"/>
  <c r="AN58" i="1"/>
  <c r="AH58" i="1"/>
  <c r="AZ57" i="1"/>
  <c r="AT57" i="1"/>
  <c r="AN57" i="1"/>
  <c r="AH57" i="1"/>
  <c r="AZ56" i="1"/>
  <c r="AT56" i="1"/>
  <c r="AN56" i="1"/>
  <c r="AH56" i="1"/>
  <c r="AZ55" i="1"/>
  <c r="AT55" i="1"/>
  <c r="AN55" i="1"/>
  <c r="AH55" i="1"/>
  <c r="AZ54" i="1"/>
  <c r="AT54" i="1"/>
  <c r="AN54" i="1"/>
  <c r="AH54" i="1"/>
  <c r="AZ53" i="1"/>
  <c r="AT53" i="1"/>
  <c r="AN53" i="1"/>
  <c r="AH53" i="1"/>
  <c r="AZ52" i="1"/>
  <c r="AT52" i="1"/>
  <c r="AN52" i="1"/>
  <c r="AH52" i="1"/>
  <c r="AZ51" i="1"/>
  <c r="AT51" i="1"/>
  <c r="AN51" i="1"/>
  <c r="AH51" i="1"/>
  <c r="AZ50" i="1"/>
  <c r="AT50" i="1"/>
  <c r="AN50" i="1"/>
  <c r="AH50" i="1"/>
  <c r="AZ49" i="1"/>
  <c r="AT49" i="1"/>
  <c r="AN49" i="1"/>
  <c r="AH49" i="1"/>
  <c r="AZ47" i="1"/>
  <c r="AT47" i="1"/>
  <c r="AN47" i="1"/>
  <c r="AH47" i="1"/>
  <c r="AZ46" i="1"/>
  <c r="AT46" i="1"/>
  <c r="AN46" i="1"/>
  <c r="AH46" i="1"/>
  <c r="AZ45" i="1"/>
  <c r="AT45" i="1"/>
  <c r="AN45" i="1"/>
  <c r="AH45" i="1"/>
  <c r="AZ44" i="1"/>
  <c r="AT44" i="1"/>
  <c r="AN44" i="1"/>
  <c r="AH44" i="1"/>
  <c r="AZ34" i="1"/>
  <c r="AT34" i="1"/>
  <c r="Y14" i="1"/>
  <c r="S14" i="1"/>
  <c r="M14" i="1"/>
  <c r="G14" i="1"/>
  <c r="Y13" i="1"/>
  <c r="S13" i="1"/>
  <c r="M13" i="1"/>
  <c r="G13" i="1"/>
  <c r="AZ13" i="1"/>
  <c r="AT13" i="1"/>
  <c r="AY36" i="1"/>
  <c r="AX36" i="1"/>
  <c r="AW36" i="1"/>
  <c r="AV36" i="1"/>
  <c r="AU36" i="1"/>
  <c r="AS36" i="1"/>
  <c r="AR36" i="1"/>
  <c r="AQ36" i="1"/>
  <c r="AP36" i="1"/>
  <c r="AO36" i="1"/>
  <c r="AY9" i="1"/>
  <c r="AX9" i="1"/>
  <c r="AW9" i="1"/>
  <c r="AV9" i="1"/>
  <c r="AU9" i="1"/>
  <c r="AS9" i="1"/>
  <c r="AR9" i="1"/>
  <c r="AQ9" i="1"/>
  <c r="AP9" i="1"/>
  <c r="AO9" i="1"/>
  <c r="Y5" i="1"/>
  <c r="Y6" i="1"/>
  <c r="Y7" i="1"/>
  <c r="Y8" i="1"/>
  <c r="Y10" i="1"/>
  <c r="Y11" i="1"/>
  <c r="Y12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S5" i="1"/>
  <c r="S6" i="1"/>
  <c r="S7" i="1"/>
  <c r="S8" i="1"/>
  <c r="S10" i="1"/>
  <c r="S11" i="1"/>
  <c r="S12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Y4" i="1"/>
  <c r="S4" i="1"/>
  <c r="AZ5" i="1"/>
  <c r="AZ6" i="1"/>
  <c r="AZ7" i="1"/>
  <c r="AZ8" i="1"/>
  <c r="AZ10" i="1"/>
  <c r="AZ11" i="1"/>
  <c r="AZ12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5" i="1"/>
  <c r="AT5" i="1"/>
  <c r="AT6" i="1"/>
  <c r="AT7" i="1"/>
  <c r="AT8" i="1"/>
  <c r="AT10" i="1"/>
  <c r="AT11" i="1"/>
  <c r="AT12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5" i="1"/>
  <c r="AZ4" i="1"/>
  <c r="AT4" i="1"/>
  <c r="X36" i="1"/>
  <c r="W36" i="1"/>
  <c r="V36" i="1"/>
  <c r="U36" i="1"/>
  <c r="T36" i="1"/>
  <c r="R36" i="1"/>
  <c r="Q36" i="1"/>
  <c r="P36" i="1"/>
  <c r="O36" i="1"/>
  <c r="N36" i="1"/>
  <c r="X9" i="1"/>
  <c r="W9" i="1"/>
  <c r="V9" i="1"/>
  <c r="U9" i="1"/>
  <c r="T9" i="1"/>
  <c r="R9" i="1"/>
  <c r="Q9" i="1"/>
  <c r="P9" i="1"/>
  <c r="O9" i="1"/>
  <c r="N9" i="1"/>
  <c r="AL36" i="1"/>
  <c r="AF36" i="1"/>
  <c r="E36" i="1"/>
  <c r="K36" i="1"/>
  <c r="K9" i="1"/>
  <c r="E9" i="1"/>
  <c r="AL9" i="1"/>
  <c r="AF9" i="1"/>
  <c r="AM36" i="1"/>
  <c r="AK36" i="1"/>
  <c r="AJ36" i="1"/>
  <c r="AI36" i="1"/>
  <c r="AG36" i="1"/>
  <c r="AE36" i="1"/>
  <c r="AD36" i="1"/>
  <c r="AC36" i="1"/>
  <c r="L36" i="1"/>
  <c r="J36" i="1"/>
  <c r="I36" i="1"/>
  <c r="H36" i="1"/>
  <c r="F36" i="1"/>
  <c r="D36" i="1"/>
  <c r="C36" i="1"/>
  <c r="B36" i="1"/>
  <c r="AN35" i="1"/>
  <c r="AH35" i="1"/>
  <c r="M35" i="1"/>
  <c r="G35" i="1"/>
  <c r="AN34" i="1"/>
  <c r="AH34" i="1"/>
  <c r="M34" i="1"/>
  <c r="G34" i="1"/>
  <c r="AN33" i="1"/>
  <c r="AH33" i="1"/>
  <c r="M33" i="1"/>
  <c r="G33" i="1"/>
  <c r="AN32" i="1"/>
  <c r="AH32" i="1"/>
  <c r="M32" i="1"/>
  <c r="G32" i="1"/>
  <c r="AN31" i="1"/>
  <c r="AH31" i="1"/>
  <c r="M31" i="1"/>
  <c r="G31" i="1"/>
  <c r="AN30" i="1"/>
  <c r="AH30" i="1"/>
  <c r="M30" i="1"/>
  <c r="G30" i="1"/>
  <c r="AN29" i="1"/>
  <c r="AH29" i="1"/>
  <c r="M29" i="1"/>
  <c r="G29" i="1"/>
  <c r="AN28" i="1"/>
  <c r="AH28" i="1"/>
  <c r="M28" i="1"/>
  <c r="G28" i="1"/>
  <c r="AN27" i="1"/>
  <c r="AH27" i="1"/>
  <c r="M27" i="1"/>
  <c r="G27" i="1"/>
  <c r="AN26" i="1"/>
  <c r="AH26" i="1"/>
  <c r="M26" i="1"/>
  <c r="G26" i="1"/>
  <c r="AN25" i="1"/>
  <c r="AH25" i="1"/>
  <c r="M25" i="1"/>
  <c r="G25" i="1"/>
  <c r="AN24" i="1"/>
  <c r="AH24" i="1"/>
  <c r="M24" i="1"/>
  <c r="G24" i="1"/>
  <c r="AN23" i="1"/>
  <c r="AH23" i="1"/>
  <c r="M23" i="1"/>
  <c r="G23" i="1"/>
  <c r="AN22" i="1"/>
  <c r="AH22" i="1"/>
  <c r="M22" i="1"/>
  <c r="G22" i="1"/>
  <c r="AN21" i="1"/>
  <c r="AH21" i="1"/>
  <c r="M21" i="1"/>
  <c r="G21" i="1"/>
  <c r="AN20" i="1"/>
  <c r="AH20" i="1"/>
  <c r="M20" i="1"/>
  <c r="G20" i="1"/>
  <c r="AN19" i="1"/>
  <c r="AH19" i="1"/>
  <c r="M19" i="1"/>
  <c r="G19" i="1"/>
  <c r="AN18" i="1"/>
  <c r="AH18" i="1"/>
  <c r="M18" i="1"/>
  <c r="G18" i="1"/>
  <c r="AN17" i="1"/>
  <c r="AH17" i="1"/>
  <c r="M17" i="1"/>
  <c r="G17" i="1"/>
  <c r="AN16" i="1"/>
  <c r="AH16" i="1"/>
  <c r="M16" i="1"/>
  <c r="G16" i="1"/>
  <c r="AN15" i="1"/>
  <c r="AH15" i="1"/>
  <c r="M15" i="1"/>
  <c r="G15" i="1"/>
  <c r="AN14" i="1"/>
  <c r="AH14" i="1"/>
  <c r="AN13" i="1"/>
  <c r="AH13" i="1"/>
  <c r="AN12" i="1"/>
  <c r="AH12" i="1"/>
  <c r="M12" i="1"/>
  <c r="G12" i="1"/>
  <c r="AN11" i="1"/>
  <c r="AH11" i="1"/>
  <c r="M11" i="1"/>
  <c r="G11" i="1"/>
  <c r="AN10" i="1"/>
  <c r="AH10" i="1"/>
  <c r="M10" i="1"/>
  <c r="G10" i="1"/>
  <c r="AM9" i="1"/>
  <c r="AK9" i="1"/>
  <c r="AJ9" i="1"/>
  <c r="AI9" i="1"/>
  <c r="AG9" i="1"/>
  <c r="AE9" i="1"/>
  <c r="AD9" i="1"/>
  <c r="AC9" i="1"/>
  <c r="L9" i="1"/>
  <c r="J9" i="1"/>
  <c r="I9" i="1"/>
  <c r="H9" i="1"/>
  <c r="F9" i="1"/>
  <c r="D9" i="1"/>
  <c r="C9" i="1"/>
  <c r="B9" i="1"/>
  <c r="AN8" i="1"/>
  <c r="AH8" i="1"/>
  <c r="M8" i="1"/>
  <c r="G8" i="1"/>
  <c r="AN7" i="1"/>
  <c r="AH7" i="1"/>
  <c r="M7" i="1"/>
  <c r="G7" i="1"/>
  <c r="AN6" i="1"/>
  <c r="AH6" i="1"/>
  <c r="M6" i="1"/>
  <c r="G6" i="1"/>
  <c r="AN5" i="1"/>
  <c r="AH5" i="1"/>
  <c r="M5" i="1"/>
  <c r="G5" i="1"/>
  <c r="AN4" i="1"/>
  <c r="AH4" i="1"/>
  <c r="M4" i="1"/>
  <c r="G4" i="1"/>
  <c r="AL37" i="1" l="1"/>
  <c r="AL43" i="1" s="1"/>
  <c r="AL48" i="1" s="1"/>
  <c r="AL76" i="1" s="1"/>
  <c r="AL82" i="1" s="1"/>
  <c r="AL87" i="1" s="1"/>
  <c r="AL115" i="1" s="1"/>
  <c r="AL121" i="1" s="1"/>
  <c r="AL126" i="1" s="1"/>
  <c r="AL154" i="1" s="1"/>
  <c r="AL160" i="1" s="1"/>
  <c r="AL165" i="1" s="1"/>
  <c r="AL193" i="1" s="1"/>
  <c r="AL199" i="1" s="1"/>
  <c r="AL204" i="1" s="1"/>
  <c r="AL232" i="1" s="1"/>
  <c r="AL238" i="1" s="1"/>
  <c r="AL243" i="1" s="1"/>
  <c r="AL271" i="1" s="1"/>
  <c r="AL277" i="1" s="1"/>
  <c r="AL282" i="1" s="1"/>
  <c r="AL310" i="1" s="1"/>
  <c r="AL316" i="1" s="1"/>
  <c r="AL321" i="1" s="1"/>
  <c r="AL349" i="1" s="1"/>
  <c r="AL355" i="1" s="1"/>
  <c r="AL360" i="1" s="1"/>
  <c r="AL388" i="1" s="1"/>
  <c r="AL394" i="1" s="1"/>
  <c r="AL399" i="1" s="1"/>
  <c r="AL427" i="1" s="1"/>
  <c r="AL433" i="1" s="1"/>
  <c r="AL438" i="1" s="1"/>
  <c r="AL466" i="1" s="1"/>
  <c r="AL472" i="1" s="1"/>
  <c r="AL477" i="1" s="1"/>
  <c r="AL505" i="1" s="1"/>
  <c r="AL511" i="1" s="1"/>
  <c r="AL516" i="1" s="1"/>
  <c r="AL544" i="1" s="1"/>
  <c r="AL550" i="1" s="1"/>
  <c r="AL555" i="1" s="1"/>
  <c r="AL583" i="1" s="1"/>
  <c r="AL589" i="1" s="1"/>
  <c r="AL594" i="1" s="1"/>
  <c r="AL622" i="1" s="1"/>
  <c r="AL628" i="1" s="1"/>
  <c r="AL633" i="1" s="1"/>
  <c r="AL661" i="1" s="1"/>
  <c r="AL667" i="1" s="1"/>
  <c r="AL672" i="1" s="1"/>
  <c r="AL700" i="1" s="1"/>
  <c r="AL706" i="1" s="1"/>
  <c r="AL711" i="1" s="1"/>
  <c r="AL739" i="1" s="1"/>
  <c r="AL745" i="1" s="1"/>
  <c r="AL750" i="1" s="1"/>
  <c r="AL778" i="1" s="1"/>
  <c r="AL784" i="1" s="1"/>
  <c r="AL789" i="1" s="1"/>
  <c r="AL817" i="1" s="1"/>
  <c r="AL823" i="1" s="1"/>
  <c r="AL828" i="1" s="1"/>
  <c r="AL856" i="1" s="1"/>
  <c r="AL862" i="1" s="1"/>
  <c r="AL867" i="1" s="1"/>
  <c r="AL895" i="1" s="1"/>
  <c r="AL901" i="1" s="1"/>
  <c r="AL906" i="1" s="1"/>
  <c r="AL934" i="1" s="1"/>
  <c r="AL940" i="1" s="1"/>
  <c r="AL945" i="1" s="1"/>
  <c r="AL973" i="1" s="1"/>
  <c r="AL979" i="1" s="1"/>
  <c r="AL984" i="1" s="1"/>
  <c r="AL1012" i="1" s="1"/>
  <c r="AL1018" i="1" s="1"/>
  <c r="AL1023" i="1" s="1"/>
  <c r="AL1051" i="1" s="1"/>
  <c r="AL1057" i="1" s="1"/>
  <c r="AL1062" i="1" s="1"/>
  <c r="AL1090" i="1" s="1"/>
  <c r="AL1096" i="1" s="1"/>
  <c r="AL1101" i="1" s="1"/>
  <c r="AL1129" i="1" s="1"/>
  <c r="AL1135" i="1" s="1"/>
  <c r="AL1140" i="1" s="1"/>
  <c r="AL1168" i="1" s="1"/>
  <c r="AL1174" i="1" s="1"/>
  <c r="AL1179" i="1" s="1"/>
  <c r="AL1207" i="1" s="1"/>
  <c r="AL1213" i="1" s="1"/>
  <c r="AL1218" i="1" s="1"/>
  <c r="AL1246" i="1" s="1"/>
  <c r="AL1252" i="1" s="1"/>
  <c r="AL1257" i="1" s="1"/>
  <c r="AL1285" i="1" s="1"/>
  <c r="AL1291" i="1" s="1"/>
  <c r="AL1296" i="1" s="1"/>
  <c r="AL1324" i="1" s="1"/>
  <c r="AL1330" i="1" s="1"/>
  <c r="AL1335" i="1" s="1"/>
  <c r="AL1363" i="1" s="1"/>
  <c r="AL1369" i="1" s="1"/>
  <c r="AL1374" i="1" s="1"/>
  <c r="AL1402" i="1" s="1"/>
  <c r="AL1408" i="1" s="1"/>
  <c r="AL1413" i="1" s="1"/>
  <c r="AL1441" i="1" s="1"/>
  <c r="AL1447" i="1" s="1"/>
  <c r="AL1452" i="1" s="1"/>
  <c r="AL1480" i="1" s="1"/>
  <c r="AL1486" i="1" s="1"/>
  <c r="AL1491" i="1" s="1"/>
  <c r="AL1519" i="1" s="1"/>
  <c r="AL1525" i="1" s="1"/>
  <c r="AL1530" i="1" s="1"/>
  <c r="AL1558" i="1" s="1"/>
  <c r="AL1564" i="1" s="1"/>
  <c r="AL1569" i="1" s="1"/>
  <c r="AL1597" i="1" s="1"/>
  <c r="AL1603" i="1" s="1"/>
  <c r="AL1608" i="1" s="1"/>
  <c r="AL1636" i="1" s="1"/>
  <c r="AL1642" i="1" s="1"/>
  <c r="AL1647" i="1" s="1"/>
  <c r="AL1675" i="1" s="1"/>
  <c r="AL1681" i="1" s="1"/>
  <c r="AL1686" i="1" s="1"/>
  <c r="AI37" i="1"/>
  <c r="AI43" i="1" s="1"/>
  <c r="AI48" i="1" s="1"/>
  <c r="AI76" i="1" s="1"/>
  <c r="AI82" i="1" s="1"/>
  <c r="AI87" i="1" s="1"/>
  <c r="AI115" i="1" s="1"/>
  <c r="AI121" i="1" s="1"/>
  <c r="BA462" i="1"/>
  <c r="BA634" i="1"/>
  <c r="Z637" i="1"/>
  <c r="Z630" i="1"/>
  <c r="S660" i="1"/>
  <c r="Z634" i="1"/>
  <c r="Z655" i="1"/>
  <c r="AX155" i="1"/>
  <c r="AF37" i="1"/>
  <c r="AF43" i="1" s="1"/>
  <c r="AF48" i="1" s="1"/>
  <c r="AF76" i="1" s="1"/>
  <c r="AF82" i="1" s="1"/>
  <c r="AF87" i="1" s="1"/>
  <c r="AF115" i="1" s="1"/>
  <c r="AF121" i="1" s="1"/>
  <c r="AF126" i="1" s="1"/>
  <c r="AF154" i="1" s="1"/>
  <c r="AF160" i="1" s="1"/>
  <c r="AF165" i="1" s="1"/>
  <c r="AF193" i="1" s="1"/>
  <c r="AF199" i="1" s="1"/>
  <c r="AF204" i="1" s="1"/>
  <c r="AF232" i="1" s="1"/>
  <c r="AF238" i="1" s="1"/>
  <c r="AF243" i="1" s="1"/>
  <c r="AF271" i="1" s="1"/>
  <c r="AF277" i="1" s="1"/>
  <c r="AF282" i="1" s="1"/>
  <c r="AF310" i="1" s="1"/>
  <c r="AF316" i="1" s="1"/>
  <c r="AF321" i="1" s="1"/>
  <c r="AF349" i="1" s="1"/>
  <c r="AF355" i="1" s="1"/>
  <c r="AF360" i="1" s="1"/>
  <c r="AF388" i="1" s="1"/>
  <c r="AF394" i="1" s="1"/>
  <c r="AF399" i="1" s="1"/>
  <c r="AF427" i="1" s="1"/>
  <c r="AF433" i="1" s="1"/>
  <c r="AF438" i="1" s="1"/>
  <c r="AF466" i="1" s="1"/>
  <c r="AF472" i="1" s="1"/>
  <c r="AF477" i="1" s="1"/>
  <c r="AF505" i="1" s="1"/>
  <c r="AF511" i="1" s="1"/>
  <c r="AF516" i="1" s="1"/>
  <c r="AF544" i="1" s="1"/>
  <c r="AF550" i="1" s="1"/>
  <c r="AF555" i="1" s="1"/>
  <c r="AF583" i="1" s="1"/>
  <c r="AF589" i="1" s="1"/>
  <c r="AF594" i="1" s="1"/>
  <c r="AF622" i="1" s="1"/>
  <c r="AF628" i="1" s="1"/>
  <c r="AF633" i="1" s="1"/>
  <c r="AF661" i="1" s="1"/>
  <c r="AF667" i="1" s="1"/>
  <c r="AF672" i="1" s="1"/>
  <c r="AF700" i="1" s="1"/>
  <c r="AF706" i="1" s="1"/>
  <c r="AF711" i="1" s="1"/>
  <c r="AF739" i="1" s="1"/>
  <c r="AF745" i="1" s="1"/>
  <c r="AF750" i="1" s="1"/>
  <c r="AF778" i="1" s="1"/>
  <c r="AF784" i="1" s="1"/>
  <c r="AF789" i="1" s="1"/>
  <c r="AF817" i="1" s="1"/>
  <c r="AF823" i="1" s="1"/>
  <c r="AF828" i="1" s="1"/>
  <c r="AF856" i="1" s="1"/>
  <c r="AF862" i="1" s="1"/>
  <c r="AF867" i="1" s="1"/>
  <c r="AF895" i="1" s="1"/>
  <c r="AF901" i="1" s="1"/>
  <c r="AF906" i="1" s="1"/>
  <c r="AF934" i="1" s="1"/>
  <c r="AF940" i="1" s="1"/>
  <c r="AF945" i="1" s="1"/>
  <c r="AF973" i="1" s="1"/>
  <c r="AF979" i="1" s="1"/>
  <c r="AF984" i="1" s="1"/>
  <c r="AF1012" i="1" s="1"/>
  <c r="AF1018" i="1" s="1"/>
  <c r="AF1023" i="1" s="1"/>
  <c r="AF1051" i="1" s="1"/>
  <c r="AF1057" i="1" s="1"/>
  <c r="AF1062" i="1" s="1"/>
  <c r="AF1090" i="1" s="1"/>
  <c r="AF1096" i="1" s="1"/>
  <c r="AF1101" i="1" s="1"/>
  <c r="AF1129" i="1" s="1"/>
  <c r="AF1135" i="1" s="1"/>
  <c r="AF1140" i="1" s="1"/>
  <c r="AF1168" i="1" s="1"/>
  <c r="AF1174" i="1" s="1"/>
  <c r="AF1179" i="1" s="1"/>
  <c r="AF1207" i="1" s="1"/>
  <c r="AF1213" i="1" s="1"/>
  <c r="AF1218" i="1" s="1"/>
  <c r="AF1246" i="1" s="1"/>
  <c r="AF1252" i="1" s="1"/>
  <c r="AF1257" i="1" s="1"/>
  <c r="AF1285" i="1" s="1"/>
  <c r="AF1291" i="1" s="1"/>
  <c r="AF1296" i="1" s="1"/>
  <c r="AF1324" i="1" s="1"/>
  <c r="AF1330" i="1" s="1"/>
  <c r="AF1335" i="1" s="1"/>
  <c r="AF1363" i="1" s="1"/>
  <c r="AF1369" i="1" s="1"/>
  <c r="AF1374" i="1" s="1"/>
  <c r="AF1402" i="1" s="1"/>
  <c r="AF1408" i="1" s="1"/>
  <c r="AF1413" i="1" s="1"/>
  <c r="AF1441" i="1" s="1"/>
  <c r="AF1447" i="1" s="1"/>
  <c r="AF1452" i="1" s="1"/>
  <c r="AF1480" i="1" s="1"/>
  <c r="AF1486" i="1" s="1"/>
  <c r="AF1491" i="1" s="1"/>
  <c r="AF1519" i="1" s="1"/>
  <c r="AF1525" i="1" s="1"/>
  <c r="AF1530" i="1" s="1"/>
  <c r="AF1558" i="1" s="1"/>
  <c r="AF1564" i="1" s="1"/>
  <c r="AF1569" i="1" s="1"/>
  <c r="AF1597" i="1" s="1"/>
  <c r="AF1603" i="1" s="1"/>
  <c r="AF1608" i="1" s="1"/>
  <c r="AF1636" i="1" s="1"/>
  <c r="AF1642" i="1" s="1"/>
  <c r="AF1647" i="1" s="1"/>
  <c r="AF1675" i="1" s="1"/>
  <c r="AF1681" i="1" s="1"/>
  <c r="AF1686" i="1" s="1"/>
  <c r="Z652" i="1"/>
  <c r="Z553" i="1"/>
  <c r="Z653" i="1"/>
  <c r="BA18" i="1"/>
  <c r="BA30" i="1"/>
  <c r="W37" i="1"/>
  <c r="W43" i="1" s="1"/>
  <c r="W48" i="1" s="1"/>
  <c r="W76" i="1" s="1"/>
  <c r="W82" i="1" s="1"/>
  <c r="W87" i="1" s="1"/>
  <c r="W115" i="1" s="1"/>
  <c r="W121" i="1" s="1"/>
  <c r="W126" i="1" s="1"/>
  <c r="W154" i="1" s="1"/>
  <c r="W160" i="1" s="1"/>
  <c r="W165" i="1" s="1"/>
  <c r="W193" i="1" s="1"/>
  <c r="W199" i="1" s="1"/>
  <c r="W204" i="1" s="1"/>
  <c r="W232" i="1" s="1"/>
  <c r="W238" i="1" s="1"/>
  <c r="W243" i="1" s="1"/>
  <c r="W271" i="1" s="1"/>
  <c r="W277" i="1" s="1"/>
  <c r="W282" i="1" s="1"/>
  <c r="W310" i="1" s="1"/>
  <c r="W316" i="1" s="1"/>
  <c r="W321" i="1" s="1"/>
  <c r="W349" i="1" s="1"/>
  <c r="W355" i="1" s="1"/>
  <c r="W360" i="1" s="1"/>
  <c r="W388" i="1" s="1"/>
  <c r="W394" i="1" s="1"/>
  <c r="W399" i="1" s="1"/>
  <c r="W427" i="1" s="1"/>
  <c r="W433" i="1" s="1"/>
  <c r="W438" i="1" s="1"/>
  <c r="W466" i="1" s="1"/>
  <c r="W472" i="1" s="1"/>
  <c r="W477" i="1" s="1"/>
  <c r="W505" i="1" s="1"/>
  <c r="W511" i="1" s="1"/>
  <c r="W516" i="1" s="1"/>
  <c r="W544" i="1" s="1"/>
  <c r="W550" i="1" s="1"/>
  <c r="W555" i="1" s="1"/>
  <c r="W583" i="1" s="1"/>
  <c r="W589" i="1" s="1"/>
  <c r="W594" i="1" s="1"/>
  <c r="W622" i="1" s="1"/>
  <c r="W628" i="1" s="1"/>
  <c r="W633" i="1" s="1"/>
  <c r="W661" i="1" s="1"/>
  <c r="W667" i="1" s="1"/>
  <c r="W672" i="1" s="1"/>
  <c r="W700" i="1" s="1"/>
  <c r="W706" i="1" s="1"/>
  <c r="W711" i="1" s="1"/>
  <c r="W739" i="1" s="1"/>
  <c r="W745" i="1" s="1"/>
  <c r="W750" i="1" s="1"/>
  <c r="W778" i="1" s="1"/>
  <c r="W784" i="1" s="1"/>
  <c r="W789" i="1" s="1"/>
  <c r="W817" i="1" s="1"/>
  <c r="W823" i="1" s="1"/>
  <c r="W828" i="1" s="1"/>
  <c r="W856" i="1" s="1"/>
  <c r="W862" i="1" s="1"/>
  <c r="W867" i="1" s="1"/>
  <c r="W895" i="1" s="1"/>
  <c r="W901" i="1" s="1"/>
  <c r="W906" i="1" s="1"/>
  <c r="W934" i="1" s="1"/>
  <c r="W940" i="1" s="1"/>
  <c r="W945" i="1" s="1"/>
  <c r="W973" i="1" s="1"/>
  <c r="W979" i="1" s="1"/>
  <c r="W984" i="1" s="1"/>
  <c r="W1012" i="1" s="1"/>
  <c r="W1018" i="1" s="1"/>
  <c r="W1023" i="1" s="1"/>
  <c r="W1051" i="1" s="1"/>
  <c r="W1057" i="1" s="1"/>
  <c r="W1062" i="1" s="1"/>
  <c r="W1090" i="1" s="1"/>
  <c r="W1096" i="1" s="1"/>
  <c r="W1101" i="1" s="1"/>
  <c r="W1129" i="1" s="1"/>
  <c r="W1135" i="1" s="1"/>
  <c r="W1140" i="1" s="1"/>
  <c r="W1168" i="1" s="1"/>
  <c r="W1174" i="1" s="1"/>
  <c r="W1179" i="1" s="1"/>
  <c r="W1207" i="1" s="1"/>
  <c r="W1213" i="1" s="1"/>
  <c r="W1218" i="1" s="1"/>
  <c r="W1246" i="1" s="1"/>
  <c r="W1252" i="1" s="1"/>
  <c r="W1257" i="1" s="1"/>
  <c r="W1285" i="1" s="1"/>
  <c r="W1291" i="1" s="1"/>
  <c r="Z523" i="1"/>
  <c r="U37" i="1"/>
  <c r="U43" i="1" s="1"/>
  <c r="U48" i="1" s="1"/>
  <c r="AX37" i="1"/>
  <c r="AX43" i="1" s="1"/>
  <c r="AX48" i="1" s="1"/>
  <c r="AX76" i="1" s="1"/>
  <c r="AX82" i="1" s="1"/>
  <c r="AX87" i="1" s="1"/>
  <c r="AX115" i="1" s="1"/>
  <c r="AX121" i="1" s="1"/>
  <c r="AX126" i="1" s="1"/>
  <c r="AX154" i="1" s="1"/>
  <c r="AX160" i="1" s="1"/>
  <c r="AX165" i="1" s="1"/>
  <c r="AX193" i="1" s="1"/>
  <c r="AX199" i="1" s="1"/>
  <c r="AX204" i="1" s="1"/>
  <c r="AX232" i="1" s="1"/>
  <c r="AX238" i="1" s="1"/>
  <c r="AX243" i="1" s="1"/>
  <c r="AX271" i="1" s="1"/>
  <c r="AX277" i="1" s="1"/>
  <c r="AX282" i="1" s="1"/>
  <c r="AX310" i="1" s="1"/>
  <c r="AX316" i="1" s="1"/>
  <c r="AX321" i="1" s="1"/>
  <c r="AX349" i="1" s="1"/>
  <c r="AX355" i="1" s="1"/>
  <c r="AX360" i="1" s="1"/>
  <c r="AX388" i="1" s="1"/>
  <c r="AX394" i="1" s="1"/>
  <c r="AX399" i="1" s="1"/>
  <c r="AX427" i="1" s="1"/>
  <c r="AX433" i="1" s="1"/>
  <c r="AX438" i="1" s="1"/>
  <c r="AX466" i="1" s="1"/>
  <c r="AX472" i="1" s="1"/>
  <c r="AX477" i="1" s="1"/>
  <c r="AX505" i="1" s="1"/>
  <c r="AX511" i="1" s="1"/>
  <c r="AX516" i="1" s="1"/>
  <c r="AX544" i="1" s="1"/>
  <c r="AX550" i="1" s="1"/>
  <c r="AX555" i="1" s="1"/>
  <c r="AX583" i="1" s="1"/>
  <c r="AX589" i="1" s="1"/>
  <c r="AX594" i="1" s="1"/>
  <c r="AX622" i="1" s="1"/>
  <c r="AX628" i="1" s="1"/>
  <c r="AX633" i="1" s="1"/>
  <c r="AX661" i="1" s="1"/>
  <c r="AX667" i="1" s="1"/>
  <c r="AX672" i="1" s="1"/>
  <c r="AX700" i="1" s="1"/>
  <c r="AX706" i="1" s="1"/>
  <c r="AX711" i="1" s="1"/>
  <c r="AX739" i="1" s="1"/>
  <c r="AX745" i="1" s="1"/>
  <c r="AX750" i="1" s="1"/>
  <c r="AX778" i="1" s="1"/>
  <c r="AX784" i="1" s="1"/>
  <c r="AX789" i="1" s="1"/>
  <c r="AX817" i="1" s="1"/>
  <c r="AX823" i="1" s="1"/>
  <c r="AH582" i="1"/>
  <c r="BA542" i="1"/>
  <c r="Z592" i="1"/>
  <c r="Z595" i="1"/>
  <c r="BA596" i="1"/>
  <c r="BA599" i="1"/>
  <c r="Z601" i="1"/>
  <c r="BA602" i="1"/>
  <c r="Z607" i="1"/>
  <c r="Z610" i="1"/>
  <c r="BA611" i="1"/>
  <c r="Z618" i="1"/>
  <c r="G621" i="1"/>
  <c r="BA636" i="1"/>
  <c r="H37" i="1"/>
  <c r="H43" i="1" s="1"/>
  <c r="H48" i="1" s="1"/>
  <c r="H76" i="1" s="1"/>
  <c r="H82" i="1" s="1"/>
  <c r="AE37" i="1"/>
  <c r="AE43" i="1" s="1"/>
  <c r="AE48" i="1" s="1"/>
  <c r="AE76" i="1" s="1"/>
  <c r="AE82" i="1" s="1"/>
  <c r="AE87" i="1" s="1"/>
  <c r="AE115" i="1" s="1"/>
  <c r="AE121" i="1" s="1"/>
  <c r="AE126" i="1" s="1"/>
  <c r="AE154" i="1" s="1"/>
  <c r="AE160" i="1" s="1"/>
  <c r="AE165" i="1" s="1"/>
  <c r="AE193" i="1" s="1"/>
  <c r="AE199" i="1" s="1"/>
  <c r="AE204" i="1" s="1"/>
  <c r="AE232" i="1" s="1"/>
  <c r="AE238" i="1" s="1"/>
  <c r="AE243" i="1" s="1"/>
  <c r="AE271" i="1" s="1"/>
  <c r="AE277" i="1" s="1"/>
  <c r="AE282" i="1" s="1"/>
  <c r="AE310" i="1" s="1"/>
  <c r="AE316" i="1" s="1"/>
  <c r="AE321" i="1" s="1"/>
  <c r="AE349" i="1" s="1"/>
  <c r="AE355" i="1" s="1"/>
  <c r="AE360" i="1" s="1"/>
  <c r="AE388" i="1" s="1"/>
  <c r="AE394" i="1" s="1"/>
  <c r="AE399" i="1" s="1"/>
  <c r="AE427" i="1" s="1"/>
  <c r="AE433" i="1" s="1"/>
  <c r="AE438" i="1" s="1"/>
  <c r="AE466" i="1" s="1"/>
  <c r="AE472" i="1" s="1"/>
  <c r="AE477" i="1" s="1"/>
  <c r="AE505" i="1" s="1"/>
  <c r="AE511" i="1" s="1"/>
  <c r="AE516" i="1" s="1"/>
  <c r="AE544" i="1" s="1"/>
  <c r="AE550" i="1" s="1"/>
  <c r="AE555" i="1" s="1"/>
  <c r="AE583" i="1" s="1"/>
  <c r="AE589" i="1" s="1"/>
  <c r="AE594" i="1" s="1"/>
  <c r="AE622" i="1" s="1"/>
  <c r="AE628" i="1" s="1"/>
  <c r="AE633" i="1" s="1"/>
  <c r="AE661" i="1" s="1"/>
  <c r="AE667" i="1" s="1"/>
  <c r="AE672" i="1" s="1"/>
  <c r="AE700" i="1" s="1"/>
  <c r="AE706" i="1" s="1"/>
  <c r="AE711" i="1" s="1"/>
  <c r="AE739" i="1" s="1"/>
  <c r="AE745" i="1" s="1"/>
  <c r="AE750" i="1" s="1"/>
  <c r="AE778" i="1" s="1"/>
  <c r="AE784" i="1" s="1"/>
  <c r="AE789" i="1" s="1"/>
  <c r="AE817" i="1" s="1"/>
  <c r="AE823" i="1" s="1"/>
  <c r="AE828" i="1" s="1"/>
  <c r="AE856" i="1" s="1"/>
  <c r="AE862" i="1" s="1"/>
  <c r="AE867" i="1" s="1"/>
  <c r="AE895" i="1" s="1"/>
  <c r="AE901" i="1" s="1"/>
  <c r="AE906" i="1" s="1"/>
  <c r="AE934" i="1" s="1"/>
  <c r="AE940" i="1" s="1"/>
  <c r="AE945" i="1" s="1"/>
  <c r="AE973" i="1" s="1"/>
  <c r="AE979" i="1" s="1"/>
  <c r="AE984" i="1" s="1"/>
  <c r="AE1012" i="1" s="1"/>
  <c r="AE1018" i="1" s="1"/>
  <c r="AE1023" i="1" s="1"/>
  <c r="AE1051" i="1" s="1"/>
  <c r="AE1057" i="1" s="1"/>
  <c r="AE1062" i="1" s="1"/>
  <c r="AE1090" i="1" s="1"/>
  <c r="AE1096" i="1" s="1"/>
  <c r="AE1101" i="1" s="1"/>
  <c r="AE1129" i="1" s="1"/>
  <c r="AE1135" i="1" s="1"/>
  <c r="AE1140" i="1" s="1"/>
  <c r="AE1168" i="1" s="1"/>
  <c r="AE1174" i="1" s="1"/>
  <c r="AE1179" i="1" s="1"/>
  <c r="AE1207" i="1" s="1"/>
  <c r="AE1213" i="1" s="1"/>
  <c r="AE1218" i="1" s="1"/>
  <c r="AE1246" i="1" s="1"/>
  <c r="AE1252" i="1" s="1"/>
  <c r="AE1257" i="1" s="1"/>
  <c r="AE1285" i="1" s="1"/>
  <c r="AE1291" i="1" s="1"/>
  <c r="AE1296" i="1" s="1"/>
  <c r="AE1324" i="1" s="1"/>
  <c r="AE1330" i="1" s="1"/>
  <c r="AE1335" i="1" s="1"/>
  <c r="AE1363" i="1" s="1"/>
  <c r="AE1369" i="1" s="1"/>
  <c r="AE1374" i="1" s="1"/>
  <c r="AE1402" i="1" s="1"/>
  <c r="AE1408" i="1" s="1"/>
  <c r="AE1413" i="1" s="1"/>
  <c r="AE1441" i="1" s="1"/>
  <c r="AE1447" i="1" s="1"/>
  <c r="AE1452" i="1" s="1"/>
  <c r="AE1480" i="1" s="1"/>
  <c r="AE1486" i="1" s="1"/>
  <c r="AE1491" i="1" s="1"/>
  <c r="AE1519" i="1" s="1"/>
  <c r="AE1525" i="1" s="1"/>
  <c r="AE1530" i="1" s="1"/>
  <c r="AE1558" i="1" s="1"/>
  <c r="AE1564" i="1" s="1"/>
  <c r="AE1569" i="1" s="1"/>
  <c r="AE1597" i="1" s="1"/>
  <c r="AE1603" i="1" s="1"/>
  <c r="AE1608" i="1" s="1"/>
  <c r="AE1636" i="1" s="1"/>
  <c r="AE1642" i="1" s="1"/>
  <c r="AE1647" i="1" s="1"/>
  <c r="AE1675" i="1" s="1"/>
  <c r="AE1681" i="1" s="1"/>
  <c r="AE1686" i="1" s="1"/>
  <c r="AC155" i="1"/>
  <c r="R37" i="1"/>
  <c r="R43" i="1" s="1"/>
  <c r="R48" i="1" s="1"/>
  <c r="R76" i="1" s="1"/>
  <c r="R82" i="1" s="1"/>
  <c r="R87" i="1" s="1"/>
  <c r="R115" i="1" s="1"/>
  <c r="R121" i="1" s="1"/>
  <c r="R126" i="1" s="1"/>
  <c r="R154" i="1" s="1"/>
  <c r="R160" i="1" s="1"/>
  <c r="R165" i="1" s="1"/>
  <c r="R193" i="1" s="1"/>
  <c r="R199" i="1" s="1"/>
  <c r="R204" i="1" s="1"/>
  <c r="R232" i="1" s="1"/>
  <c r="R238" i="1" s="1"/>
  <c r="R243" i="1" s="1"/>
  <c r="R271" i="1" s="1"/>
  <c r="R277" i="1" s="1"/>
  <c r="R282" i="1" s="1"/>
  <c r="R310" i="1" s="1"/>
  <c r="R316" i="1" s="1"/>
  <c r="R321" i="1" s="1"/>
  <c r="R349" i="1" s="1"/>
  <c r="R355" i="1" s="1"/>
  <c r="R360" i="1" s="1"/>
  <c r="R388" i="1" s="1"/>
  <c r="R394" i="1" s="1"/>
  <c r="R399" i="1" s="1"/>
  <c r="R427" i="1" s="1"/>
  <c r="R433" i="1" s="1"/>
  <c r="R438" i="1" s="1"/>
  <c r="R466" i="1" s="1"/>
  <c r="R472" i="1" s="1"/>
  <c r="R477" i="1" s="1"/>
  <c r="R505" i="1" s="1"/>
  <c r="R511" i="1" s="1"/>
  <c r="R516" i="1" s="1"/>
  <c r="R544" i="1" s="1"/>
  <c r="R550" i="1" s="1"/>
  <c r="R555" i="1" s="1"/>
  <c r="R583" i="1" s="1"/>
  <c r="R589" i="1" s="1"/>
  <c r="R594" i="1" s="1"/>
  <c r="R622" i="1" s="1"/>
  <c r="R628" i="1" s="1"/>
  <c r="R633" i="1" s="1"/>
  <c r="R661" i="1" s="1"/>
  <c r="R667" i="1" s="1"/>
  <c r="R672" i="1" s="1"/>
  <c r="R700" i="1" s="1"/>
  <c r="R706" i="1" s="1"/>
  <c r="R711" i="1" s="1"/>
  <c r="R739" i="1" s="1"/>
  <c r="R745" i="1" s="1"/>
  <c r="R750" i="1" s="1"/>
  <c r="R778" i="1" s="1"/>
  <c r="R784" i="1" s="1"/>
  <c r="R789" i="1" s="1"/>
  <c r="R817" i="1" s="1"/>
  <c r="R823" i="1" s="1"/>
  <c r="R828" i="1" s="1"/>
  <c r="R856" i="1" s="1"/>
  <c r="R862" i="1" s="1"/>
  <c r="R867" i="1" s="1"/>
  <c r="R895" i="1" s="1"/>
  <c r="R901" i="1" s="1"/>
  <c r="R906" i="1" s="1"/>
  <c r="R934" i="1" s="1"/>
  <c r="R940" i="1" s="1"/>
  <c r="R945" i="1" s="1"/>
  <c r="R973" i="1" s="1"/>
  <c r="R979" i="1" s="1"/>
  <c r="R984" i="1" s="1"/>
  <c r="R1012" i="1" s="1"/>
  <c r="R1018" i="1" s="1"/>
  <c r="R1023" i="1" s="1"/>
  <c r="R1051" i="1" s="1"/>
  <c r="R1057" i="1" s="1"/>
  <c r="R1062" i="1" s="1"/>
  <c r="R1090" i="1" s="1"/>
  <c r="R1096" i="1" s="1"/>
  <c r="R1101" i="1" s="1"/>
  <c r="R1129" i="1" s="1"/>
  <c r="R1135" i="1" s="1"/>
  <c r="R1140" i="1" s="1"/>
  <c r="R1168" i="1" s="1"/>
  <c r="R1174" i="1" s="1"/>
  <c r="R1179" i="1" s="1"/>
  <c r="R1207" i="1" s="1"/>
  <c r="R1213" i="1" s="1"/>
  <c r="R1218" i="1" s="1"/>
  <c r="R1246" i="1" s="1"/>
  <c r="R1252" i="1" s="1"/>
  <c r="R1257" i="1" s="1"/>
  <c r="R1285" i="1" s="1"/>
  <c r="R1291" i="1" s="1"/>
  <c r="R1296" i="1" s="1"/>
  <c r="R1324" i="1" s="1"/>
  <c r="R1330" i="1" s="1"/>
  <c r="R1335" i="1" s="1"/>
  <c r="R1363" i="1" s="1"/>
  <c r="R1369" i="1" s="1"/>
  <c r="R1374" i="1" s="1"/>
  <c r="R1402" i="1" s="1"/>
  <c r="R1408" i="1" s="1"/>
  <c r="R1413" i="1" s="1"/>
  <c r="R1441" i="1" s="1"/>
  <c r="R1447" i="1" s="1"/>
  <c r="R1452" i="1" s="1"/>
  <c r="R1480" i="1" s="1"/>
  <c r="R1486" i="1" s="1"/>
  <c r="R1491" i="1" s="1"/>
  <c r="R1519" i="1" s="1"/>
  <c r="R1525" i="1" s="1"/>
  <c r="AV37" i="1"/>
  <c r="AV43" i="1" s="1"/>
  <c r="AV48" i="1" s="1"/>
  <c r="AV76" i="1" s="1"/>
  <c r="AV82" i="1" s="1"/>
  <c r="AV87" i="1" s="1"/>
  <c r="AV115" i="1" s="1"/>
  <c r="AV121" i="1" s="1"/>
  <c r="AV126" i="1" s="1"/>
  <c r="AV154" i="1" s="1"/>
  <c r="AV160" i="1" s="1"/>
  <c r="AV165" i="1" s="1"/>
  <c r="AV193" i="1" s="1"/>
  <c r="AV199" i="1" s="1"/>
  <c r="AV204" i="1" s="1"/>
  <c r="AV232" i="1" s="1"/>
  <c r="AV238" i="1" s="1"/>
  <c r="AV243" i="1" s="1"/>
  <c r="AV271" i="1" s="1"/>
  <c r="AV277" i="1" s="1"/>
  <c r="AV282" i="1" s="1"/>
  <c r="AV310" i="1" s="1"/>
  <c r="AV316" i="1" s="1"/>
  <c r="AV321" i="1" s="1"/>
  <c r="AV349" i="1" s="1"/>
  <c r="AV355" i="1" s="1"/>
  <c r="AV360" i="1" s="1"/>
  <c r="AV388" i="1" s="1"/>
  <c r="AV394" i="1" s="1"/>
  <c r="AV399" i="1" s="1"/>
  <c r="AV427" i="1" s="1"/>
  <c r="AV433" i="1" s="1"/>
  <c r="AV438" i="1" s="1"/>
  <c r="AV466" i="1" s="1"/>
  <c r="AV472" i="1" s="1"/>
  <c r="AV477" i="1" s="1"/>
  <c r="AV505" i="1" s="1"/>
  <c r="AV511" i="1" s="1"/>
  <c r="AV516" i="1" s="1"/>
  <c r="AV544" i="1" s="1"/>
  <c r="AV550" i="1" s="1"/>
  <c r="AV555" i="1" s="1"/>
  <c r="AV583" i="1" s="1"/>
  <c r="AV589" i="1" s="1"/>
  <c r="AV594" i="1" s="1"/>
  <c r="AV622" i="1" s="1"/>
  <c r="AV628" i="1" s="1"/>
  <c r="AV633" i="1" s="1"/>
  <c r="AV661" i="1" s="1"/>
  <c r="AV667" i="1" s="1"/>
  <c r="AV672" i="1" s="1"/>
  <c r="AV700" i="1" s="1"/>
  <c r="AV706" i="1" s="1"/>
  <c r="AV711" i="1" s="1"/>
  <c r="AV739" i="1" s="1"/>
  <c r="AV745" i="1" s="1"/>
  <c r="AV750" i="1" s="1"/>
  <c r="AV778" i="1" s="1"/>
  <c r="AV784" i="1" s="1"/>
  <c r="AV789" i="1" s="1"/>
  <c r="AV817" i="1" s="1"/>
  <c r="AV823" i="1" s="1"/>
  <c r="AV828" i="1" s="1"/>
  <c r="AV856" i="1" s="1"/>
  <c r="AV862" i="1" s="1"/>
  <c r="AV867" i="1" s="1"/>
  <c r="AV895" i="1" s="1"/>
  <c r="AV901" i="1" s="1"/>
  <c r="AV906" i="1" s="1"/>
  <c r="AV934" i="1" s="1"/>
  <c r="AV940" i="1" s="1"/>
  <c r="AV945" i="1" s="1"/>
  <c r="AV973" i="1" s="1"/>
  <c r="AV979" i="1" s="1"/>
  <c r="AE155" i="1"/>
  <c r="AU155" i="1"/>
  <c r="BA654" i="1"/>
  <c r="BA651" i="1"/>
  <c r="K37" i="1"/>
  <c r="K43" i="1" s="1"/>
  <c r="K48" i="1" s="1"/>
  <c r="K76" i="1" s="1"/>
  <c r="K82" i="1" s="1"/>
  <c r="K87" i="1" s="1"/>
  <c r="K115" i="1" s="1"/>
  <c r="K121" i="1" s="1"/>
  <c r="K126" i="1" s="1"/>
  <c r="K154" i="1" s="1"/>
  <c r="K160" i="1" s="1"/>
  <c r="K165" i="1" s="1"/>
  <c r="K193" i="1" s="1"/>
  <c r="K199" i="1" s="1"/>
  <c r="K204" i="1" s="1"/>
  <c r="K232" i="1" s="1"/>
  <c r="K238" i="1" s="1"/>
  <c r="K243" i="1" s="1"/>
  <c r="K271" i="1" s="1"/>
  <c r="K277" i="1" s="1"/>
  <c r="K282" i="1" s="1"/>
  <c r="K310" i="1" s="1"/>
  <c r="K316" i="1" s="1"/>
  <c r="K321" i="1" s="1"/>
  <c r="K349" i="1" s="1"/>
  <c r="K355" i="1" s="1"/>
  <c r="K360" i="1" s="1"/>
  <c r="K388" i="1" s="1"/>
  <c r="K394" i="1" s="1"/>
  <c r="K399" i="1" s="1"/>
  <c r="K427" i="1" s="1"/>
  <c r="K433" i="1" s="1"/>
  <c r="K438" i="1" s="1"/>
  <c r="K466" i="1" s="1"/>
  <c r="K472" i="1" s="1"/>
  <c r="K477" i="1" s="1"/>
  <c r="K505" i="1" s="1"/>
  <c r="K511" i="1" s="1"/>
  <c r="K516" i="1" s="1"/>
  <c r="K544" i="1" s="1"/>
  <c r="K550" i="1" s="1"/>
  <c r="K555" i="1" s="1"/>
  <c r="K583" i="1" s="1"/>
  <c r="K589" i="1" s="1"/>
  <c r="K594" i="1" s="1"/>
  <c r="K622" i="1" s="1"/>
  <c r="K628" i="1" s="1"/>
  <c r="K633" i="1" s="1"/>
  <c r="K661" i="1" s="1"/>
  <c r="K667" i="1" s="1"/>
  <c r="K672" i="1" s="1"/>
  <c r="K700" i="1" s="1"/>
  <c r="K706" i="1" s="1"/>
  <c r="K711" i="1" s="1"/>
  <c r="K739" i="1" s="1"/>
  <c r="K745" i="1" s="1"/>
  <c r="K750" i="1" s="1"/>
  <c r="K778" i="1" s="1"/>
  <c r="K784" i="1" s="1"/>
  <c r="K789" i="1" s="1"/>
  <c r="K817" i="1" s="1"/>
  <c r="K823" i="1" s="1"/>
  <c r="K828" i="1" s="1"/>
  <c r="K856" i="1" s="1"/>
  <c r="K862" i="1" s="1"/>
  <c r="K867" i="1" s="1"/>
  <c r="K895" i="1" s="1"/>
  <c r="K901" i="1" s="1"/>
  <c r="K906" i="1" s="1"/>
  <c r="K934" i="1" s="1"/>
  <c r="K940" i="1" s="1"/>
  <c r="K945" i="1" s="1"/>
  <c r="K973" i="1" s="1"/>
  <c r="K979" i="1" s="1"/>
  <c r="K984" i="1" s="1"/>
  <c r="K1012" i="1" s="1"/>
  <c r="K1018" i="1" s="1"/>
  <c r="K1023" i="1" s="1"/>
  <c r="K1051" i="1" s="1"/>
  <c r="K1057" i="1" s="1"/>
  <c r="K1062" i="1" s="1"/>
  <c r="K1090" i="1" s="1"/>
  <c r="K1096" i="1" s="1"/>
  <c r="K1101" i="1" s="1"/>
  <c r="K1129" i="1" s="1"/>
  <c r="K1135" i="1" s="1"/>
  <c r="K1140" i="1" s="1"/>
  <c r="K1168" i="1" s="1"/>
  <c r="K1174" i="1" s="1"/>
  <c r="K1179" i="1" s="1"/>
  <c r="K1207" i="1" s="1"/>
  <c r="K1213" i="1" s="1"/>
  <c r="K1218" i="1" s="1"/>
  <c r="K1246" i="1" s="1"/>
  <c r="K1252" i="1" s="1"/>
  <c r="K1257" i="1" s="1"/>
  <c r="K1285" i="1" s="1"/>
  <c r="K1291" i="1" s="1"/>
  <c r="K1296" i="1" s="1"/>
  <c r="K1324" i="1" s="1"/>
  <c r="K1330" i="1" s="1"/>
  <c r="K1335" i="1" s="1"/>
  <c r="K1363" i="1" s="1"/>
  <c r="K1369" i="1" s="1"/>
  <c r="K1374" i="1" s="1"/>
  <c r="K1402" i="1" s="1"/>
  <c r="K1408" i="1" s="1"/>
  <c r="K1413" i="1" s="1"/>
  <c r="K1441" i="1" s="1"/>
  <c r="K1447" i="1" s="1"/>
  <c r="K1452" i="1" s="1"/>
  <c r="K1480" i="1" s="1"/>
  <c r="K1486" i="1" s="1"/>
  <c r="K1491" i="1" s="1"/>
  <c r="K1519" i="1" s="1"/>
  <c r="K1525" i="1" s="1"/>
  <c r="K1530" i="1" s="1"/>
  <c r="K1558" i="1" s="1"/>
  <c r="K1564" i="1" s="1"/>
  <c r="K1569" i="1" s="1"/>
  <c r="K1597" i="1" s="1"/>
  <c r="K1603" i="1" s="1"/>
  <c r="K1608" i="1" s="1"/>
  <c r="K1636" i="1" s="1"/>
  <c r="K1642" i="1" s="1"/>
  <c r="K1647" i="1" s="1"/>
  <c r="K1675" i="1" s="1"/>
  <c r="K1681" i="1" s="1"/>
  <c r="K1686" i="1" s="1"/>
  <c r="K1714" i="1" s="1"/>
  <c r="K1720" i="1" s="1"/>
  <c r="K1725" i="1" s="1"/>
  <c r="K1753" i="1" s="1"/>
  <c r="K1759" i="1" s="1"/>
  <c r="K1764" i="1" s="1"/>
  <c r="K1792" i="1" s="1"/>
  <c r="K1798" i="1" s="1"/>
  <c r="K1803" i="1" s="1"/>
  <c r="K1831" i="1" s="1"/>
  <c r="K1837" i="1" s="1"/>
  <c r="K1842" i="1" s="1"/>
  <c r="K1870" i="1" s="1"/>
  <c r="K1876" i="1" s="1"/>
  <c r="K1881" i="1" s="1"/>
  <c r="K1909" i="1" s="1"/>
  <c r="K1915" i="1" s="1"/>
  <c r="K1920" i="1" s="1"/>
  <c r="K1948" i="1" s="1"/>
  <c r="K1954" i="1" s="1"/>
  <c r="K1959" i="1" s="1"/>
  <c r="K1987" i="1" s="1"/>
  <c r="K1993" i="1" s="1"/>
  <c r="K1998" i="1" s="1"/>
  <c r="K2026" i="1" s="1"/>
  <c r="K2032" i="1" s="1"/>
  <c r="K2037" i="1" s="1"/>
  <c r="K2065" i="1" s="1"/>
  <c r="K2071" i="1" s="1"/>
  <c r="K2076" i="1" s="1"/>
  <c r="K2104" i="1" s="1"/>
  <c r="K2110" i="1" s="1"/>
  <c r="K2115" i="1" s="1"/>
  <c r="K2143" i="1" s="1"/>
  <c r="K2149" i="1" s="1"/>
  <c r="K2154" i="1" s="1"/>
  <c r="K2182" i="1" s="1"/>
  <c r="K2188" i="1" s="1"/>
  <c r="K2193" i="1" s="1"/>
  <c r="K2221" i="1" s="1"/>
  <c r="K2227" i="1" s="1"/>
  <c r="K2232" i="1" s="1"/>
  <c r="K2260" i="1" s="1"/>
  <c r="BA44" i="1"/>
  <c r="Z139" i="1"/>
  <c r="Z144" i="1"/>
  <c r="BA217" i="1"/>
  <c r="G231" i="1"/>
  <c r="BA256" i="1"/>
  <c r="BA262" i="1"/>
  <c r="Z248" i="1"/>
  <c r="Z251" i="1"/>
  <c r="Z254" i="1"/>
  <c r="Z260" i="1"/>
  <c r="Z263" i="1"/>
  <c r="Z266" i="1"/>
  <c r="Z269" i="1"/>
  <c r="BA201" i="1"/>
  <c r="BA281" i="1"/>
  <c r="BA284" i="1"/>
  <c r="BA290" i="1"/>
  <c r="Z292" i="1"/>
  <c r="Z295" i="1"/>
  <c r="BA296" i="1"/>
  <c r="Z298" i="1"/>
  <c r="Z301" i="1"/>
  <c r="Z308" i="1"/>
  <c r="Z320" i="1"/>
  <c r="Z323" i="1"/>
  <c r="Z325" i="1"/>
  <c r="Z328" i="1"/>
  <c r="Z334" i="1"/>
  <c r="BA335" i="1"/>
  <c r="Z340" i="1"/>
  <c r="BA344" i="1"/>
  <c r="Z346" i="1"/>
  <c r="G348" i="1"/>
  <c r="BA322" i="1"/>
  <c r="BA356" i="1"/>
  <c r="BA365" i="1"/>
  <c r="BA370" i="1"/>
  <c r="Z372" i="1"/>
  <c r="BA57" i="1"/>
  <c r="BA13" i="1"/>
  <c r="S9" i="1"/>
  <c r="Z33" i="1"/>
  <c r="Z142" i="1"/>
  <c r="Z169" i="1"/>
  <c r="BA265" i="1"/>
  <c r="Z123" i="1"/>
  <c r="BA84" i="1"/>
  <c r="BA93" i="1"/>
  <c r="BA373" i="1"/>
  <c r="Z378" i="1"/>
  <c r="BA379" i="1"/>
  <c r="Z381" i="1"/>
  <c r="Z384" i="1"/>
  <c r="G387" i="1"/>
  <c r="AT387" i="1"/>
  <c r="BA395" i="1"/>
  <c r="BA398" i="1"/>
  <c r="BA405" i="1"/>
  <c r="BA414" i="1"/>
  <c r="BA417" i="1"/>
  <c r="BA422" i="1"/>
  <c r="BA386" i="1"/>
  <c r="Z400" i="1"/>
  <c r="Z403" i="1"/>
  <c r="Z406" i="1"/>
  <c r="Z415" i="1"/>
  <c r="Z418" i="1"/>
  <c r="Z421" i="1"/>
  <c r="S426" i="1"/>
  <c r="BA436" i="1"/>
  <c r="BA441" i="1"/>
  <c r="BA444" i="1"/>
  <c r="BA447" i="1"/>
  <c r="BA450" i="1"/>
  <c r="BA453" i="1"/>
  <c r="BA459" i="1"/>
  <c r="Z441" i="1"/>
  <c r="Z444" i="1"/>
  <c r="Z450" i="1"/>
  <c r="Z453" i="1"/>
  <c r="Z456" i="1"/>
  <c r="Z459" i="1"/>
  <c r="Z462" i="1"/>
  <c r="BA460" i="1"/>
  <c r="BA473" i="1"/>
  <c r="BA476" i="1"/>
  <c r="BA483" i="1"/>
  <c r="BA486" i="1"/>
  <c r="BA489" i="1"/>
  <c r="BA492" i="1"/>
  <c r="BA495" i="1"/>
  <c r="BA498" i="1"/>
  <c r="BA501" i="1"/>
  <c r="AT504" i="1"/>
  <c r="BA463" i="1"/>
  <c r="Z488" i="1"/>
  <c r="Z503" i="1"/>
  <c r="BA424" i="1"/>
  <c r="Z512" i="1"/>
  <c r="BA513" i="1"/>
  <c r="BA515" i="1"/>
  <c r="BA517" i="1"/>
  <c r="Z519" i="1"/>
  <c r="Z520" i="1"/>
  <c r="BA521" i="1"/>
  <c r="BA523" i="1"/>
  <c r="Z525" i="1"/>
  <c r="Z526" i="1"/>
  <c r="BA527" i="1"/>
  <c r="BA529" i="1"/>
  <c r="Z531" i="1"/>
  <c r="Z532" i="1"/>
  <c r="BA533" i="1"/>
  <c r="BA535" i="1"/>
  <c r="Z537" i="1"/>
  <c r="Z538" i="1"/>
  <c r="BA539" i="1"/>
  <c r="M543" i="1"/>
  <c r="AZ543" i="1"/>
  <c r="Z552" i="1"/>
  <c r="Z557" i="1"/>
  <c r="BA558" i="1"/>
  <c r="Z560" i="1"/>
  <c r="BA561" i="1"/>
  <c r="Z563" i="1"/>
  <c r="BA564" i="1"/>
  <c r="Z566" i="1"/>
  <c r="BA567" i="1"/>
  <c r="Z569" i="1"/>
  <c r="BA570" i="1"/>
  <c r="BA573" i="1"/>
  <c r="BA576" i="1"/>
  <c r="Z578" i="1"/>
  <c r="BA102" i="1"/>
  <c r="BA108" i="1"/>
  <c r="Z110" i="1"/>
  <c r="BA72" i="1"/>
  <c r="BA123" i="1"/>
  <c r="Z125" i="1"/>
  <c r="Z135" i="1"/>
  <c r="Z138" i="1"/>
  <c r="Z141" i="1"/>
  <c r="BA142" i="1"/>
  <c r="BA163" i="1"/>
  <c r="BA176" i="1"/>
  <c r="Z167" i="1"/>
  <c r="Z416" i="1"/>
  <c r="BA454" i="1"/>
  <c r="BA384" i="1"/>
  <c r="BA425" i="1"/>
  <c r="BA478" i="1"/>
  <c r="BA484" i="1"/>
  <c r="BA487" i="1"/>
  <c r="BA493" i="1"/>
  <c r="BA496" i="1"/>
  <c r="BA499" i="1"/>
  <c r="BA503" i="1"/>
  <c r="BA502" i="1"/>
  <c r="Z475" i="1"/>
  <c r="Z480" i="1"/>
  <c r="Z486" i="1"/>
  <c r="Z501" i="1"/>
  <c r="BA423" i="1"/>
  <c r="BA512" i="1"/>
  <c r="Z514" i="1"/>
  <c r="Z517" i="1"/>
  <c r="BA520" i="1"/>
  <c r="Z529" i="1"/>
  <c r="BA532" i="1"/>
  <c r="Z535" i="1"/>
  <c r="Z556" i="1"/>
  <c r="BA557" i="1"/>
  <c r="Z559" i="1"/>
  <c r="BA560" i="1"/>
  <c r="Z562" i="1"/>
  <c r="BA563" i="1"/>
  <c r="Z565" i="1"/>
  <c r="BA566" i="1"/>
  <c r="Z568" i="1"/>
  <c r="BA569" i="1"/>
  <c r="Z571" i="1"/>
  <c r="BA572" i="1"/>
  <c r="Z574" i="1"/>
  <c r="BA575" i="1"/>
  <c r="Z577" i="1"/>
  <c r="BA578" i="1"/>
  <c r="Z590" i="1"/>
  <c r="Z593" i="1"/>
  <c r="BA595" i="1"/>
  <c r="Z597" i="1"/>
  <c r="BA598" i="1"/>
  <c r="BA601" i="1"/>
  <c r="Z603" i="1"/>
  <c r="Z606" i="1"/>
  <c r="Z609" i="1"/>
  <c r="Z635" i="1"/>
  <c r="Z638" i="1"/>
  <c r="Z641" i="1"/>
  <c r="Z647" i="1"/>
  <c r="Z656" i="1"/>
  <c r="C37" i="1"/>
  <c r="C43" i="1" s="1"/>
  <c r="C48" i="1" s="1"/>
  <c r="C76" i="1" s="1"/>
  <c r="C82" i="1" s="1"/>
  <c r="C87" i="1" s="1"/>
  <c r="C115" i="1" s="1"/>
  <c r="C121" i="1" s="1"/>
  <c r="C126" i="1" s="1"/>
  <c r="C154" i="1" s="1"/>
  <c r="C160" i="1" s="1"/>
  <c r="C165" i="1" s="1"/>
  <c r="C193" i="1" s="1"/>
  <c r="C199" i="1" s="1"/>
  <c r="C204" i="1" s="1"/>
  <c r="C232" i="1" s="1"/>
  <c r="C238" i="1" s="1"/>
  <c r="C243" i="1" s="1"/>
  <c r="C271" i="1" s="1"/>
  <c r="C277" i="1" s="1"/>
  <c r="C282" i="1" s="1"/>
  <c r="C310" i="1" s="1"/>
  <c r="C316" i="1" s="1"/>
  <c r="C321" i="1" s="1"/>
  <c r="C349" i="1" s="1"/>
  <c r="C355" i="1" s="1"/>
  <c r="C360" i="1" s="1"/>
  <c r="C388" i="1" s="1"/>
  <c r="C394" i="1" s="1"/>
  <c r="C399" i="1" s="1"/>
  <c r="C427" i="1" s="1"/>
  <c r="C433" i="1" s="1"/>
  <c r="C438" i="1" s="1"/>
  <c r="C466" i="1" s="1"/>
  <c r="C472" i="1" s="1"/>
  <c r="C477" i="1" s="1"/>
  <c r="C505" i="1" s="1"/>
  <c r="C511" i="1" s="1"/>
  <c r="C516" i="1" s="1"/>
  <c r="C544" i="1" s="1"/>
  <c r="C550" i="1" s="1"/>
  <c r="C555" i="1" s="1"/>
  <c r="C583" i="1" s="1"/>
  <c r="C589" i="1" s="1"/>
  <c r="C594" i="1" s="1"/>
  <c r="C622" i="1" s="1"/>
  <c r="C628" i="1" s="1"/>
  <c r="C633" i="1" s="1"/>
  <c r="C661" i="1" s="1"/>
  <c r="C667" i="1" s="1"/>
  <c r="C672" i="1" s="1"/>
  <c r="C700" i="1" s="1"/>
  <c r="C706" i="1" s="1"/>
  <c r="C711" i="1" s="1"/>
  <c r="C739" i="1" s="1"/>
  <c r="C745" i="1" s="1"/>
  <c r="C750" i="1" s="1"/>
  <c r="C778" i="1" s="1"/>
  <c r="C784" i="1" s="1"/>
  <c r="C789" i="1" s="1"/>
  <c r="C817" i="1" s="1"/>
  <c r="C823" i="1" s="1"/>
  <c r="C828" i="1" s="1"/>
  <c r="C856" i="1" s="1"/>
  <c r="C862" i="1" s="1"/>
  <c r="C867" i="1" s="1"/>
  <c r="C895" i="1" s="1"/>
  <c r="C901" i="1" s="1"/>
  <c r="C906" i="1" s="1"/>
  <c r="C934" i="1" s="1"/>
  <c r="C940" i="1" s="1"/>
  <c r="C945" i="1" s="1"/>
  <c r="C973" i="1" s="1"/>
  <c r="C979" i="1" s="1"/>
  <c r="C984" i="1" s="1"/>
  <c r="C1012" i="1" s="1"/>
  <c r="C1018" i="1" s="1"/>
  <c r="C1023" i="1" s="1"/>
  <c r="C1051" i="1" s="1"/>
  <c r="C1057" i="1" s="1"/>
  <c r="C1062" i="1" s="1"/>
  <c r="C1090" i="1" s="1"/>
  <c r="C1096" i="1" s="1"/>
  <c r="C1101" i="1" s="1"/>
  <c r="C1129" i="1" s="1"/>
  <c r="C1135" i="1" s="1"/>
  <c r="C1140" i="1" s="1"/>
  <c r="C1168" i="1" s="1"/>
  <c r="C1174" i="1" s="1"/>
  <c r="C1179" i="1" s="1"/>
  <c r="C1207" i="1" s="1"/>
  <c r="C1213" i="1" s="1"/>
  <c r="C1218" i="1" s="1"/>
  <c r="C1246" i="1" s="1"/>
  <c r="C1252" i="1" s="1"/>
  <c r="C1257" i="1" s="1"/>
  <c r="C1285" i="1" s="1"/>
  <c r="C1291" i="1" s="1"/>
  <c r="AJ37" i="1"/>
  <c r="AJ43" i="1" s="1"/>
  <c r="AJ48" i="1" s="1"/>
  <c r="AJ76" i="1" s="1"/>
  <c r="AJ82" i="1" s="1"/>
  <c r="AJ87" i="1" s="1"/>
  <c r="AJ115" i="1" s="1"/>
  <c r="AJ121" i="1" s="1"/>
  <c r="AJ126" i="1" s="1"/>
  <c r="AJ154" i="1" s="1"/>
  <c r="AJ160" i="1" s="1"/>
  <c r="AJ165" i="1" s="1"/>
  <c r="AJ193" i="1" s="1"/>
  <c r="AJ199" i="1" s="1"/>
  <c r="AJ204" i="1" s="1"/>
  <c r="AJ232" i="1" s="1"/>
  <c r="AJ238" i="1" s="1"/>
  <c r="AJ243" i="1" s="1"/>
  <c r="AJ271" i="1" s="1"/>
  <c r="AJ277" i="1" s="1"/>
  <c r="AJ282" i="1" s="1"/>
  <c r="AJ310" i="1" s="1"/>
  <c r="AJ316" i="1" s="1"/>
  <c r="AJ321" i="1" s="1"/>
  <c r="AJ349" i="1" s="1"/>
  <c r="AJ355" i="1" s="1"/>
  <c r="AJ360" i="1" s="1"/>
  <c r="AJ388" i="1" s="1"/>
  <c r="AJ394" i="1" s="1"/>
  <c r="AJ399" i="1" s="1"/>
  <c r="AJ427" i="1" s="1"/>
  <c r="AJ433" i="1" s="1"/>
  <c r="AJ438" i="1" s="1"/>
  <c r="AJ466" i="1" s="1"/>
  <c r="AJ472" i="1" s="1"/>
  <c r="AJ477" i="1" s="1"/>
  <c r="AJ505" i="1" s="1"/>
  <c r="AJ511" i="1" s="1"/>
  <c r="AJ516" i="1" s="1"/>
  <c r="AJ544" i="1" s="1"/>
  <c r="AJ550" i="1" s="1"/>
  <c r="AJ555" i="1" s="1"/>
  <c r="AJ583" i="1" s="1"/>
  <c r="AJ589" i="1" s="1"/>
  <c r="AJ594" i="1" s="1"/>
  <c r="AJ622" i="1" s="1"/>
  <c r="AJ628" i="1" s="1"/>
  <c r="AJ633" i="1" s="1"/>
  <c r="AJ661" i="1" s="1"/>
  <c r="AJ667" i="1" s="1"/>
  <c r="AJ672" i="1" s="1"/>
  <c r="AJ700" i="1" s="1"/>
  <c r="AJ706" i="1" s="1"/>
  <c r="AJ711" i="1" s="1"/>
  <c r="AJ739" i="1" s="1"/>
  <c r="AJ745" i="1" s="1"/>
  <c r="AJ750" i="1" s="1"/>
  <c r="AJ778" i="1" s="1"/>
  <c r="AJ784" i="1" s="1"/>
  <c r="AJ789" i="1" s="1"/>
  <c r="AJ817" i="1" s="1"/>
  <c r="AJ823" i="1" s="1"/>
  <c r="AJ828" i="1" s="1"/>
  <c r="AJ856" i="1" s="1"/>
  <c r="AJ862" i="1" s="1"/>
  <c r="AJ867" i="1" s="1"/>
  <c r="AJ895" i="1" s="1"/>
  <c r="AJ901" i="1" s="1"/>
  <c r="AJ906" i="1" s="1"/>
  <c r="AJ934" i="1" s="1"/>
  <c r="AJ940" i="1" s="1"/>
  <c r="AJ945" i="1" s="1"/>
  <c r="AJ973" i="1" s="1"/>
  <c r="AJ979" i="1" s="1"/>
  <c r="Z25" i="1"/>
  <c r="BA26" i="1"/>
  <c r="BA32" i="1"/>
  <c r="BA45" i="1"/>
  <c r="BA49" i="1"/>
  <c r="BA52" i="1"/>
  <c r="BA67" i="1"/>
  <c r="Z45" i="1"/>
  <c r="Z619" i="1"/>
  <c r="BA649" i="1"/>
  <c r="Z261" i="1"/>
  <c r="BA295" i="1"/>
  <c r="BA518" i="1"/>
  <c r="Z522" i="1"/>
  <c r="BA524" i="1"/>
  <c r="BA530" i="1"/>
  <c r="BA536" i="1"/>
  <c r="Y621" i="1"/>
  <c r="Z644" i="1"/>
  <c r="BA646" i="1"/>
  <c r="Z643" i="1"/>
  <c r="Z106" i="1"/>
  <c r="Z332" i="1"/>
  <c r="Z69" i="1"/>
  <c r="BA19" i="1"/>
  <c r="AQ155" i="1"/>
  <c r="Z164" i="1"/>
  <c r="Z30" i="1"/>
  <c r="AJ155" i="1"/>
  <c r="Z170" i="1"/>
  <c r="Z191" i="1"/>
  <c r="BA200" i="1"/>
  <c r="BA205" i="1"/>
  <c r="BA212" i="1"/>
  <c r="BA215" i="1"/>
  <c r="BA224" i="1"/>
  <c r="Z205" i="1"/>
  <c r="Z214" i="1"/>
  <c r="Z217" i="1"/>
  <c r="Z223" i="1"/>
  <c r="Z229" i="1"/>
  <c r="S231" i="1"/>
  <c r="BA240" i="1"/>
  <c r="BA244" i="1"/>
  <c r="BA247" i="1"/>
  <c r="BA250" i="1"/>
  <c r="BA253" i="1"/>
  <c r="BA260" i="1"/>
  <c r="BA263" i="1"/>
  <c r="BA266" i="1"/>
  <c r="Z258" i="1"/>
  <c r="Z264" i="1"/>
  <c r="BA255" i="1"/>
  <c r="Z279" i="1"/>
  <c r="BA280" i="1"/>
  <c r="Z283" i="1"/>
  <c r="BA286" i="1"/>
  <c r="Z288" i="1"/>
  <c r="Z291" i="1"/>
  <c r="Z294" i="1"/>
  <c r="Z300" i="1"/>
  <c r="BA301" i="1"/>
  <c r="Z303" i="1"/>
  <c r="BA304" i="1"/>
  <c r="Z306" i="1"/>
  <c r="BA320" i="1"/>
  <c r="Z324" i="1"/>
  <c r="BA325" i="1"/>
  <c r="Z330" i="1"/>
  <c r="BA331" i="1"/>
  <c r="Z336" i="1"/>
  <c r="Z339" i="1"/>
  <c r="BA343" i="1"/>
  <c r="Z345" i="1"/>
  <c r="BA346" i="1"/>
  <c r="BA323" i="1"/>
  <c r="Z363" i="1"/>
  <c r="BA364" i="1"/>
  <c r="Z371" i="1"/>
  <c r="BA372" i="1"/>
  <c r="Z374" i="1"/>
  <c r="BA375" i="1"/>
  <c r="Z377" i="1"/>
  <c r="BA378" i="1"/>
  <c r="Z380" i="1"/>
  <c r="Z382" i="1"/>
  <c r="Z385" i="1"/>
  <c r="BA357" i="1"/>
  <c r="BA400" i="1"/>
  <c r="BA403" i="1"/>
  <c r="BA406" i="1"/>
  <c r="BA415" i="1"/>
  <c r="BA418" i="1"/>
  <c r="Z404" i="1"/>
  <c r="Z407" i="1"/>
  <c r="Z425" i="1"/>
  <c r="BA382" i="1"/>
  <c r="BA437" i="1"/>
  <c r="BA445" i="1"/>
  <c r="BA448" i="1"/>
  <c r="BA451" i="1"/>
  <c r="BA435" i="1"/>
  <c r="Z435" i="1"/>
  <c r="Z439" i="1"/>
  <c r="Z442" i="1"/>
  <c r="Z448" i="1"/>
  <c r="Z451" i="1"/>
  <c r="Z454" i="1"/>
  <c r="Z457" i="1"/>
  <c r="Z460" i="1"/>
  <c r="BA537" i="1"/>
  <c r="BA531" i="1"/>
  <c r="BA525" i="1"/>
  <c r="BA519" i="1"/>
  <c r="Z134" i="1"/>
  <c r="AH153" i="1"/>
  <c r="AT114" i="1"/>
  <c r="Z161" i="1"/>
  <c r="Z168" i="1"/>
  <c r="AH231" i="1"/>
  <c r="BA264" i="1"/>
  <c r="BA267" i="1"/>
  <c r="Z239" i="1"/>
  <c r="Z246" i="1"/>
  <c r="Z250" i="1"/>
  <c r="Z265" i="1"/>
  <c r="S270" i="1"/>
  <c r="BA291" i="1"/>
  <c r="BA294" i="1"/>
  <c r="Z341" i="1"/>
  <c r="S348" i="1"/>
  <c r="AN348" i="1"/>
  <c r="Z356" i="1"/>
  <c r="Z358" i="1"/>
  <c r="BA359" i="1"/>
  <c r="BA368" i="1"/>
  <c r="Z373" i="1"/>
  <c r="BA377" i="1"/>
  <c r="Z386" i="1"/>
  <c r="M387" i="1"/>
  <c r="BA381" i="1"/>
  <c r="BA397" i="1"/>
  <c r="BA401" i="1"/>
  <c r="BA404" i="1"/>
  <c r="BA410" i="1"/>
  <c r="BA419" i="1"/>
  <c r="AH426" i="1"/>
  <c r="AT426" i="1"/>
  <c r="AZ426" i="1"/>
  <c r="Z395" i="1"/>
  <c r="Z398" i="1"/>
  <c r="Z402" i="1"/>
  <c r="Z405" i="1"/>
  <c r="Z408" i="1"/>
  <c r="Z411" i="1"/>
  <c r="Z420" i="1"/>
  <c r="Z423" i="1"/>
  <c r="G426" i="1"/>
  <c r="BA440" i="1"/>
  <c r="BA443" i="1"/>
  <c r="BA446" i="1"/>
  <c r="BA452" i="1"/>
  <c r="BA455" i="1"/>
  <c r="BA458" i="1"/>
  <c r="AH465" i="1"/>
  <c r="AZ465" i="1"/>
  <c r="BA482" i="1"/>
  <c r="AR155" i="1"/>
  <c r="AT9" i="1"/>
  <c r="BA86" i="1"/>
  <c r="BA110" i="1"/>
  <c r="Z148" i="1"/>
  <c r="AV155" i="1"/>
  <c r="AL155" i="1"/>
  <c r="BA216" i="1"/>
  <c r="AV350" i="1"/>
  <c r="AV740" i="1" s="1"/>
  <c r="AV779" i="1" s="1"/>
  <c r="AV818" i="1" s="1"/>
  <c r="Z202" i="1"/>
  <c r="BA261" i="1"/>
  <c r="Z242" i="1"/>
  <c r="Z262" i="1"/>
  <c r="G270" i="1"/>
  <c r="Z284" i="1"/>
  <c r="Z290" i="1"/>
  <c r="BA297" i="1"/>
  <c r="Z307" i="1"/>
  <c r="S309" i="1"/>
  <c r="AT309" i="1"/>
  <c r="BA319" i="1"/>
  <c r="Z322" i="1"/>
  <c r="BA324" i="1"/>
  <c r="Z335" i="1"/>
  <c r="Z338" i="1"/>
  <c r="BA342" i="1"/>
  <c r="BA308" i="1"/>
  <c r="Z145" i="1"/>
  <c r="Y270" i="1"/>
  <c r="Z293" i="1"/>
  <c r="Z318" i="1"/>
  <c r="BA330" i="1"/>
  <c r="AH348" i="1"/>
  <c r="AN387" i="1"/>
  <c r="Z24" i="1"/>
  <c r="BA25" i="1"/>
  <c r="BA421" i="1"/>
  <c r="Z436" i="1"/>
  <c r="Z446" i="1"/>
  <c r="Z449" i="1"/>
  <c r="Z455" i="1"/>
  <c r="Z461" i="1"/>
  <c r="S465" i="1"/>
  <c r="BA461" i="1"/>
  <c r="BA475" i="1"/>
  <c r="BA485" i="1"/>
  <c r="BA488" i="1"/>
  <c r="BA494" i="1"/>
  <c r="BA497" i="1"/>
  <c r="AH504" i="1"/>
  <c r="AZ504" i="1"/>
  <c r="BA464" i="1"/>
  <c r="Z473" i="1"/>
  <c r="Z476" i="1"/>
  <c r="Z481" i="1"/>
  <c r="Z493" i="1"/>
  <c r="Z499" i="1"/>
  <c r="G504" i="1"/>
  <c r="S504" i="1"/>
  <c r="Z513" i="1"/>
  <c r="Z515" i="1"/>
  <c r="Z518" i="1"/>
  <c r="Z521" i="1"/>
  <c r="Z524" i="1"/>
  <c r="Z527" i="1"/>
  <c r="Z530" i="1"/>
  <c r="Z533" i="1"/>
  <c r="Z536" i="1"/>
  <c r="BA541" i="1"/>
  <c r="G543" i="1"/>
  <c r="S543" i="1"/>
  <c r="Y543" i="1"/>
  <c r="AN543" i="1"/>
  <c r="AT543" i="1"/>
  <c r="Z551" i="1"/>
  <c r="BA556" i="1"/>
  <c r="Z558" i="1"/>
  <c r="BA559" i="1"/>
  <c r="Z561" i="1"/>
  <c r="BA562" i="1"/>
  <c r="Z564" i="1"/>
  <c r="BA565" i="1"/>
  <c r="Z567" i="1"/>
  <c r="BA568" i="1"/>
  <c r="Z570" i="1"/>
  <c r="BA571" i="1"/>
  <c r="BA574" i="1"/>
  <c r="Z576" i="1"/>
  <c r="Z581" i="1"/>
  <c r="G582" i="1"/>
  <c r="S582" i="1"/>
  <c r="Y582" i="1"/>
  <c r="AN582" i="1"/>
  <c r="AT582" i="1"/>
  <c r="BA579" i="1"/>
  <c r="Z591" i="1"/>
  <c r="BA593" i="1"/>
  <c r="Z596" i="1"/>
  <c r="BA597" i="1"/>
  <c r="Z599" i="1"/>
  <c r="BA600" i="1"/>
  <c r="BA603" i="1"/>
  <c r="Z605" i="1"/>
  <c r="Z611" i="1"/>
  <c r="BA612" i="1"/>
  <c r="Z616" i="1"/>
  <c r="BA617" i="1"/>
  <c r="S621" i="1"/>
  <c r="AH621" i="1"/>
  <c r="AN621" i="1"/>
  <c r="AZ621" i="1"/>
  <c r="BA514" i="1"/>
  <c r="BA638" i="1"/>
  <c r="BA644" i="1"/>
  <c r="Z629" i="1"/>
  <c r="Z632" i="1"/>
  <c r="Z636" i="1"/>
  <c r="Z639" i="1"/>
  <c r="Z645" i="1"/>
  <c r="Z651" i="1"/>
  <c r="G660" i="1"/>
  <c r="F37" i="1"/>
  <c r="F43" i="1" s="1"/>
  <c r="F48" i="1" s="1"/>
  <c r="F76" i="1" s="1"/>
  <c r="F82" i="1" s="1"/>
  <c r="F87" i="1" s="1"/>
  <c r="F115" i="1" s="1"/>
  <c r="F121" i="1" s="1"/>
  <c r="F126" i="1" s="1"/>
  <c r="F154" i="1" s="1"/>
  <c r="F160" i="1" s="1"/>
  <c r="F165" i="1" s="1"/>
  <c r="F193" i="1" s="1"/>
  <c r="F199" i="1" s="1"/>
  <c r="F204" i="1" s="1"/>
  <c r="F232" i="1" s="1"/>
  <c r="F238" i="1" s="1"/>
  <c r="F243" i="1" s="1"/>
  <c r="F271" i="1" s="1"/>
  <c r="F277" i="1" s="1"/>
  <c r="F282" i="1" s="1"/>
  <c r="F310" i="1" s="1"/>
  <c r="F316" i="1" s="1"/>
  <c r="F321" i="1" s="1"/>
  <c r="F349" i="1" s="1"/>
  <c r="F355" i="1" s="1"/>
  <c r="F360" i="1" s="1"/>
  <c r="F388" i="1" s="1"/>
  <c r="F394" i="1" s="1"/>
  <c r="F399" i="1" s="1"/>
  <c r="F427" i="1" s="1"/>
  <c r="F433" i="1" s="1"/>
  <c r="F438" i="1" s="1"/>
  <c r="F466" i="1" s="1"/>
  <c r="F472" i="1" s="1"/>
  <c r="F477" i="1" s="1"/>
  <c r="F505" i="1" s="1"/>
  <c r="F511" i="1" s="1"/>
  <c r="F516" i="1" s="1"/>
  <c r="F544" i="1" s="1"/>
  <c r="F550" i="1" s="1"/>
  <c r="F555" i="1" s="1"/>
  <c r="F583" i="1" s="1"/>
  <c r="F589" i="1" s="1"/>
  <c r="F594" i="1" s="1"/>
  <c r="F622" i="1" s="1"/>
  <c r="F628" i="1" s="1"/>
  <c r="F633" i="1" s="1"/>
  <c r="F661" i="1" s="1"/>
  <c r="F667" i="1" s="1"/>
  <c r="F672" i="1" s="1"/>
  <c r="F700" i="1" s="1"/>
  <c r="F706" i="1" s="1"/>
  <c r="F711" i="1" s="1"/>
  <c r="F739" i="1" s="1"/>
  <c r="F745" i="1" s="1"/>
  <c r="F750" i="1" s="1"/>
  <c r="F778" i="1" s="1"/>
  <c r="F784" i="1" s="1"/>
  <c r="F789" i="1" s="1"/>
  <c r="F817" i="1" s="1"/>
  <c r="F823" i="1" s="1"/>
  <c r="F828" i="1" s="1"/>
  <c r="F856" i="1" s="1"/>
  <c r="F862" i="1" s="1"/>
  <c r="F867" i="1" s="1"/>
  <c r="F895" i="1" s="1"/>
  <c r="F901" i="1" s="1"/>
  <c r="F906" i="1" s="1"/>
  <c r="F934" i="1" s="1"/>
  <c r="F940" i="1" s="1"/>
  <c r="F945" i="1" s="1"/>
  <c r="F973" i="1" s="1"/>
  <c r="F979" i="1" s="1"/>
  <c r="F984" i="1" s="1"/>
  <c r="F1012" i="1" s="1"/>
  <c r="F1018" i="1" s="1"/>
  <c r="F1023" i="1" s="1"/>
  <c r="F1051" i="1" s="1"/>
  <c r="F1057" i="1" s="1"/>
  <c r="F1062" i="1" s="1"/>
  <c r="F1090" i="1" s="1"/>
  <c r="F1096" i="1" s="1"/>
  <c r="F1101" i="1" s="1"/>
  <c r="F1129" i="1" s="1"/>
  <c r="F1135" i="1" s="1"/>
  <c r="F1140" i="1" s="1"/>
  <c r="F1168" i="1" s="1"/>
  <c r="F1174" i="1" s="1"/>
  <c r="F1179" i="1" s="1"/>
  <c r="F1207" i="1" s="1"/>
  <c r="F1213" i="1" s="1"/>
  <c r="F1218" i="1" s="1"/>
  <c r="F1246" i="1" s="1"/>
  <c r="F1252" i="1" s="1"/>
  <c r="F1257" i="1" s="1"/>
  <c r="F1285" i="1" s="1"/>
  <c r="F1291" i="1" s="1"/>
  <c r="F1296" i="1" s="1"/>
  <c r="F1324" i="1" s="1"/>
  <c r="F1330" i="1" s="1"/>
  <c r="F1335" i="1" s="1"/>
  <c r="F1363" i="1" s="1"/>
  <c r="F1369" i="1" s="1"/>
  <c r="F1374" i="1" s="1"/>
  <c r="F1402" i="1" s="1"/>
  <c r="F1408" i="1" s="1"/>
  <c r="F1413" i="1" s="1"/>
  <c r="F1441" i="1" s="1"/>
  <c r="F1447" i="1" s="1"/>
  <c r="F1452" i="1" s="1"/>
  <c r="F1480" i="1" s="1"/>
  <c r="F1486" i="1" s="1"/>
  <c r="F1491" i="1" s="1"/>
  <c r="F1519" i="1" s="1"/>
  <c r="F1525" i="1" s="1"/>
  <c r="F1530" i="1" s="1"/>
  <c r="F1558" i="1" s="1"/>
  <c r="F1564" i="1" s="1"/>
  <c r="F1569" i="1" s="1"/>
  <c r="F1597" i="1" s="1"/>
  <c r="F1603" i="1" s="1"/>
  <c r="F1608" i="1" s="1"/>
  <c r="F1636" i="1" s="1"/>
  <c r="F1642" i="1" s="1"/>
  <c r="F1647" i="1" s="1"/>
  <c r="F1675" i="1" s="1"/>
  <c r="F1681" i="1" s="1"/>
  <c r="F1686" i="1" s="1"/>
  <c r="F1714" i="1" s="1"/>
  <c r="F1720" i="1" s="1"/>
  <c r="F1725" i="1" s="1"/>
  <c r="F1753" i="1" s="1"/>
  <c r="F1759" i="1" s="1"/>
  <c r="F1764" i="1" s="1"/>
  <c r="F1792" i="1" s="1"/>
  <c r="F1798" i="1" s="1"/>
  <c r="F1803" i="1" s="1"/>
  <c r="F1831" i="1" s="1"/>
  <c r="F1837" i="1" s="1"/>
  <c r="F1842" i="1" s="1"/>
  <c r="F1870" i="1" s="1"/>
  <c r="F1876" i="1" s="1"/>
  <c r="F1881" i="1" s="1"/>
  <c r="F1909" i="1" s="1"/>
  <c r="F1915" i="1" s="1"/>
  <c r="F1920" i="1" s="1"/>
  <c r="F1948" i="1" s="1"/>
  <c r="F1954" i="1" s="1"/>
  <c r="F1959" i="1" s="1"/>
  <c r="F1987" i="1" s="1"/>
  <c r="F1993" i="1" s="1"/>
  <c r="F1998" i="1" s="1"/>
  <c r="F2026" i="1" s="1"/>
  <c r="F2032" i="1" s="1"/>
  <c r="F2037" i="1" s="1"/>
  <c r="F2065" i="1" s="1"/>
  <c r="F2071" i="1" s="1"/>
  <c r="F2076" i="1" s="1"/>
  <c r="F2104" i="1" s="1"/>
  <c r="F2110" i="1" s="1"/>
  <c r="F2115" i="1" s="1"/>
  <c r="F2143" i="1" s="1"/>
  <c r="F2149" i="1" s="1"/>
  <c r="F2154" i="1" s="1"/>
  <c r="F2182" i="1" s="1"/>
  <c r="F2188" i="1" s="1"/>
  <c r="F2193" i="1" s="1"/>
  <c r="F2221" i="1" s="1"/>
  <c r="F2227" i="1" s="1"/>
  <c r="F2232" i="1" s="1"/>
  <c r="F2260" i="1" s="1"/>
  <c r="Q37" i="1"/>
  <c r="Q43" i="1" s="1"/>
  <c r="Q48" i="1" s="1"/>
  <c r="Q76" i="1" s="1"/>
  <c r="Q82" i="1" s="1"/>
  <c r="Q87" i="1" s="1"/>
  <c r="Q115" i="1" s="1"/>
  <c r="Q121" i="1" s="1"/>
  <c r="Q126" i="1" s="1"/>
  <c r="Q154" i="1" s="1"/>
  <c r="Q160" i="1" s="1"/>
  <c r="Q165" i="1" s="1"/>
  <c r="Q193" i="1" s="1"/>
  <c r="Q199" i="1" s="1"/>
  <c r="Q204" i="1" s="1"/>
  <c r="Q232" i="1" s="1"/>
  <c r="Q238" i="1" s="1"/>
  <c r="Q243" i="1" s="1"/>
  <c r="Q271" i="1" s="1"/>
  <c r="Q277" i="1" s="1"/>
  <c r="Q282" i="1" s="1"/>
  <c r="Q310" i="1" s="1"/>
  <c r="Q316" i="1" s="1"/>
  <c r="Q321" i="1" s="1"/>
  <c r="Q349" i="1" s="1"/>
  <c r="Q355" i="1" s="1"/>
  <c r="Q360" i="1" s="1"/>
  <c r="Q388" i="1" s="1"/>
  <c r="Q394" i="1" s="1"/>
  <c r="Q399" i="1" s="1"/>
  <c r="Q427" i="1" s="1"/>
  <c r="Q433" i="1" s="1"/>
  <c r="Q438" i="1" s="1"/>
  <c r="Q466" i="1" s="1"/>
  <c r="Q472" i="1" s="1"/>
  <c r="Q477" i="1" s="1"/>
  <c r="Q505" i="1" s="1"/>
  <c r="Q511" i="1" s="1"/>
  <c r="Q516" i="1" s="1"/>
  <c r="Q544" i="1" s="1"/>
  <c r="Q550" i="1" s="1"/>
  <c r="Q555" i="1" s="1"/>
  <c r="Q583" i="1" s="1"/>
  <c r="Q589" i="1" s="1"/>
  <c r="Q594" i="1" s="1"/>
  <c r="Q622" i="1" s="1"/>
  <c r="Q628" i="1" s="1"/>
  <c r="Q633" i="1" s="1"/>
  <c r="Q661" i="1" s="1"/>
  <c r="Q667" i="1" s="1"/>
  <c r="Q672" i="1" s="1"/>
  <c r="Q700" i="1" s="1"/>
  <c r="Q706" i="1" s="1"/>
  <c r="Q711" i="1" s="1"/>
  <c r="Q739" i="1" s="1"/>
  <c r="Q745" i="1" s="1"/>
  <c r="Q750" i="1" s="1"/>
  <c r="Q778" i="1" s="1"/>
  <c r="Q784" i="1" s="1"/>
  <c r="Q789" i="1" s="1"/>
  <c r="Q817" i="1" s="1"/>
  <c r="Q823" i="1" s="1"/>
  <c r="Q828" i="1" s="1"/>
  <c r="Q856" i="1" s="1"/>
  <c r="Q862" i="1" s="1"/>
  <c r="Q867" i="1" s="1"/>
  <c r="Q895" i="1" s="1"/>
  <c r="Q901" i="1" s="1"/>
  <c r="Q906" i="1" s="1"/>
  <c r="Q934" i="1" s="1"/>
  <c r="Q940" i="1" s="1"/>
  <c r="Q945" i="1" s="1"/>
  <c r="Q973" i="1" s="1"/>
  <c r="Q979" i="1" s="1"/>
  <c r="Q984" i="1" s="1"/>
  <c r="Q1012" i="1" s="1"/>
  <c r="Q1018" i="1" s="1"/>
  <c r="Q1023" i="1" s="1"/>
  <c r="Q1051" i="1" s="1"/>
  <c r="Q1057" i="1" s="1"/>
  <c r="Q1062" i="1" s="1"/>
  <c r="Q1090" i="1" s="1"/>
  <c r="Q1096" i="1" s="1"/>
  <c r="Q1101" i="1" s="1"/>
  <c r="Q1129" i="1" s="1"/>
  <c r="Q1135" i="1" s="1"/>
  <c r="Q1140" i="1" s="1"/>
  <c r="Q1168" i="1" s="1"/>
  <c r="Q1174" i="1" s="1"/>
  <c r="Q1179" i="1" s="1"/>
  <c r="Q1207" i="1" s="1"/>
  <c r="Q1213" i="1" s="1"/>
  <c r="Q1218" i="1" s="1"/>
  <c r="Q1246" i="1" s="1"/>
  <c r="Q1252" i="1" s="1"/>
  <c r="Q1257" i="1" s="1"/>
  <c r="Q1285" i="1" s="1"/>
  <c r="Q1291" i="1" s="1"/>
  <c r="Q1296" i="1" s="1"/>
  <c r="Q1324" i="1" s="1"/>
  <c r="Q1330" i="1" s="1"/>
  <c r="Q1335" i="1" s="1"/>
  <c r="Q1363" i="1" s="1"/>
  <c r="Q1369" i="1" s="1"/>
  <c r="Q1374" i="1" s="1"/>
  <c r="Q1402" i="1" s="1"/>
  <c r="Q1408" i="1" s="1"/>
  <c r="Q1413" i="1" s="1"/>
  <c r="Q1441" i="1" s="1"/>
  <c r="Q1447" i="1" s="1"/>
  <c r="Q1452" i="1" s="1"/>
  <c r="Q1480" i="1" s="1"/>
  <c r="Q1486" i="1" s="1"/>
  <c r="Q1491" i="1" s="1"/>
  <c r="Q1519" i="1" s="1"/>
  <c r="Q1525" i="1" s="1"/>
  <c r="Q1530" i="1" s="1"/>
  <c r="Q1558" i="1" s="1"/>
  <c r="Q1564" i="1" s="1"/>
  <c r="Q1569" i="1" s="1"/>
  <c r="Q1597" i="1" s="1"/>
  <c r="Q1603" i="1" s="1"/>
  <c r="Q1608" i="1" s="1"/>
  <c r="Q1636" i="1" s="1"/>
  <c r="Q1642" i="1" s="1"/>
  <c r="Q1647" i="1" s="1"/>
  <c r="Q1675" i="1" s="1"/>
  <c r="Q1681" i="1" s="1"/>
  <c r="Q1686" i="1" s="1"/>
  <c r="Q1714" i="1" s="1"/>
  <c r="Q1720" i="1" s="1"/>
  <c r="Q1725" i="1" s="1"/>
  <c r="Q1753" i="1" s="1"/>
  <c r="Q1759" i="1" s="1"/>
  <c r="Q1764" i="1" s="1"/>
  <c r="Q1792" i="1" s="1"/>
  <c r="Q1798" i="1" s="1"/>
  <c r="Q1803" i="1" s="1"/>
  <c r="Q1831" i="1" s="1"/>
  <c r="Q1837" i="1" s="1"/>
  <c r="Q1842" i="1" s="1"/>
  <c r="Q1870" i="1" s="1"/>
  <c r="Q1876" i="1" s="1"/>
  <c r="Q1881" i="1" s="1"/>
  <c r="Q1909" i="1" s="1"/>
  <c r="Q1915" i="1" s="1"/>
  <c r="Q1920" i="1" s="1"/>
  <c r="Q1948" i="1" s="1"/>
  <c r="Q1954" i="1" s="1"/>
  <c r="Q1959" i="1" s="1"/>
  <c r="Q1987" i="1" s="1"/>
  <c r="Q1993" i="1" s="1"/>
  <c r="Q1998" i="1" s="1"/>
  <c r="Q2026" i="1" s="1"/>
  <c r="Q2032" i="1" s="1"/>
  <c r="Q2037" i="1" s="1"/>
  <c r="Q2065" i="1" s="1"/>
  <c r="Q2071" i="1" s="1"/>
  <c r="Q2076" i="1" s="1"/>
  <c r="Q2104" i="1" s="1"/>
  <c r="Q2110" i="1" s="1"/>
  <c r="X37" i="1"/>
  <c r="X43" i="1" s="1"/>
  <c r="X48" i="1" s="1"/>
  <c r="X76" i="1" s="1"/>
  <c r="X82" i="1" s="1"/>
  <c r="X87" i="1" s="1"/>
  <c r="X115" i="1" s="1"/>
  <c r="X121" i="1" s="1"/>
  <c r="X126" i="1" s="1"/>
  <c r="X154" i="1" s="1"/>
  <c r="X160" i="1" s="1"/>
  <c r="X165" i="1" s="1"/>
  <c r="X193" i="1" s="1"/>
  <c r="X199" i="1" s="1"/>
  <c r="X204" i="1" s="1"/>
  <c r="X232" i="1" s="1"/>
  <c r="X238" i="1" s="1"/>
  <c r="X243" i="1" s="1"/>
  <c r="X271" i="1" s="1"/>
  <c r="X277" i="1" s="1"/>
  <c r="X282" i="1" s="1"/>
  <c r="X310" i="1" s="1"/>
  <c r="X316" i="1" s="1"/>
  <c r="X321" i="1" s="1"/>
  <c r="X349" i="1" s="1"/>
  <c r="X355" i="1" s="1"/>
  <c r="X360" i="1" s="1"/>
  <c r="X388" i="1" s="1"/>
  <c r="X394" i="1" s="1"/>
  <c r="X399" i="1" s="1"/>
  <c r="X427" i="1" s="1"/>
  <c r="X433" i="1" s="1"/>
  <c r="X438" i="1" s="1"/>
  <c r="X466" i="1" s="1"/>
  <c r="X472" i="1" s="1"/>
  <c r="X477" i="1" s="1"/>
  <c r="X505" i="1" s="1"/>
  <c r="X511" i="1" s="1"/>
  <c r="Y36" i="1"/>
  <c r="AU37" i="1"/>
  <c r="AU43" i="1" s="1"/>
  <c r="AU48" i="1" s="1"/>
  <c r="AU76" i="1" s="1"/>
  <c r="AU82" i="1" s="1"/>
  <c r="AP37" i="1"/>
  <c r="AP43" i="1" s="1"/>
  <c r="AP48" i="1" s="1"/>
  <c r="AP76" i="1" s="1"/>
  <c r="AP82" i="1" s="1"/>
  <c r="AP87" i="1" s="1"/>
  <c r="AW37" i="1"/>
  <c r="AW43" i="1" s="1"/>
  <c r="AW48" i="1" s="1"/>
  <c r="AW76" i="1" s="1"/>
  <c r="AW82" i="1" s="1"/>
  <c r="AW87" i="1" s="1"/>
  <c r="AW115" i="1" s="1"/>
  <c r="AW121" i="1" s="1"/>
  <c r="AW126" i="1" s="1"/>
  <c r="AW154" i="1" s="1"/>
  <c r="AW160" i="1" s="1"/>
  <c r="AW165" i="1" s="1"/>
  <c r="AW193" i="1" s="1"/>
  <c r="AW199" i="1" s="1"/>
  <c r="AW204" i="1" s="1"/>
  <c r="AW232" i="1" s="1"/>
  <c r="AW238" i="1" s="1"/>
  <c r="AW243" i="1" s="1"/>
  <c r="AW271" i="1" s="1"/>
  <c r="AW277" i="1" s="1"/>
  <c r="AW282" i="1" s="1"/>
  <c r="AW310" i="1" s="1"/>
  <c r="AW316" i="1" s="1"/>
  <c r="AW321" i="1" s="1"/>
  <c r="AW349" i="1" s="1"/>
  <c r="AW355" i="1" s="1"/>
  <c r="AW360" i="1" s="1"/>
  <c r="AW388" i="1" s="1"/>
  <c r="AW394" i="1" s="1"/>
  <c r="AW399" i="1" s="1"/>
  <c r="AW427" i="1" s="1"/>
  <c r="AW433" i="1" s="1"/>
  <c r="AW438" i="1" s="1"/>
  <c r="AW466" i="1" s="1"/>
  <c r="AW472" i="1" s="1"/>
  <c r="AW477" i="1" s="1"/>
  <c r="AW505" i="1" s="1"/>
  <c r="AW511" i="1" s="1"/>
  <c r="AW516" i="1" s="1"/>
  <c r="AW544" i="1" s="1"/>
  <c r="AW550" i="1" s="1"/>
  <c r="AW555" i="1" s="1"/>
  <c r="AW583" i="1" s="1"/>
  <c r="AW589" i="1" s="1"/>
  <c r="AW594" i="1" s="1"/>
  <c r="AW622" i="1" s="1"/>
  <c r="AW628" i="1" s="1"/>
  <c r="AW633" i="1" s="1"/>
  <c r="AW661" i="1" s="1"/>
  <c r="AW667" i="1" s="1"/>
  <c r="AW672" i="1" s="1"/>
  <c r="AW700" i="1" s="1"/>
  <c r="AW706" i="1" s="1"/>
  <c r="AW711" i="1" s="1"/>
  <c r="AW739" i="1" s="1"/>
  <c r="AW745" i="1" s="1"/>
  <c r="AW750" i="1" s="1"/>
  <c r="AW778" i="1" s="1"/>
  <c r="AW784" i="1" s="1"/>
  <c r="AW789" i="1" s="1"/>
  <c r="AW817" i="1" s="1"/>
  <c r="AW823" i="1" s="1"/>
  <c r="AW828" i="1" s="1"/>
  <c r="AW856" i="1" s="1"/>
  <c r="AW862" i="1" s="1"/>
  <c r="AW867" i="1" s="1"/>
  <c r="AW895" i="1" s="1"/>
  <c r="AW901" i="1" s="1"/>
  <c r="AW906" i="1" s="1"/>
  <c r="AW934" i="1" s="1"/>
  <c r="AW940" i="1" s="1"/>
  <c r="AW945" i="1" s="1"/>
  <c r="AW973" i="1" s="1"/>
  <c r="AW979" i="1" s="1"/>
  <c r="AW984" i="1" s="1"/>
  <c r="AW1012" i="1" s="1"/>
  <c r="AW1018" i="1" s="1"/>
  <c r="AW1023" i="1" s="1"/>
  <c r="AW1051" i="1" s="1"/>
  <c r="AW1057" i="1" s="1"/>
  <c r="AW1062" i="1" s="1"/>
  <c r="AW1090" i="1" s="1"/>
  <c r="AW1096" i="1" s="1"/>
  <c r="AW1101" i="1" s="1"/>
  <c r="AW1129" i="1" s="1"/>
  <c r="AW1135" i="1" s="1"/>
  <c r="AW1140" i="1" s="1"/>
  <c r="AW1168" i="1" s="1"/>
  <c r="AW1174" i="1" s="1"/>
  <c r="AW1179" i="1" s="1"/>
  <c r="AW1207" i="1" s="1"/>
  <c r="AW1213" i="1" s="1"/>
  <c r="AW1218" i="1" s="1"/>
  <c r="AW1246" i="1" s="1"/>
  <c r="AW1252" i="1" s="1"/>
  <c r="AW1257" i="1" s="1"/>
  <c r="AW1285" i="1" s="1"/>
  <c r="AW1291" i="1" s="1"/>
  <c r="AW1296" i="1" s="1"/>
  <c r="AW1324" i="1" s="1"/>
  <c r="AW1330" i="1" s="1"/>
  <c r="AW1335" i="1" s="1"/>
  <c r="AW1363" i="1" s="1"/>
  <c r="AW1369" i="1" s="1"/>
  <c r="AW1374" i="1" s="1"/>
  <c r="AW1402" i="1" s="1"/>
  <c r="AW1408" i="1" s="1"/>
  <c r="AW1413" i="1" s="1"/>
  <c r="AW1441" i="1" s="1"/>
  <c r="AW1447" i="1" s="1"/>
  <c r="AW1452" i="1" s="1"/>
  <c r="AW1480" i="1" s="1"/>
  <c r="AW1486" i="1" s="1"/>
  <c r="AW1491" i="1" s="1"/>
  <c r="AW1519" i="1" s="1"/>
  <c r="AW1525" i="1" s="1"/>
  <c r="AW1530" i="1" s="1"/>
  <c r="AW1558" i="1" s="1"/>
  <c r="AW1564" i="1" s="1"/>
  <c r="AW1569" i="1" s="1"/>
  <c r="AW1597" i="1" s="1"/>
  <c r="AW1603" i="1" s="1"/>
  <c r="AW1608" i="1" s="1"/>
  <c r="AW1636" i="1" s="1"/>
  <c r="AW1642" i="1" s="1"/>
  <c r="AW1647" i="1" s="1"/>
  <c r="AW1675" i="1" s="1"/>
  <c r="AW1681" i="1" s="1"/>
  <c r="AW1686" i="1" s="1"/>
  <c r="AN75" i="1"/>
  <c r="M114" i="1"/>
  <c r="AZ114" i="1"/>
  <c r="AN231" i="1"/>
  <c r="AZ270" i="1"/>
  <c r="M309" i="1"/>
  <c r="AU350" i="1"/>
  <c r="AU740" i="1" s="1"/>
  <c r="AU779" i="1" s="1"/>
  <c r="AU818" i="1" s="1"/>
  <c r="Y387" i="1"/>
  <c r="AN426" i="1"/>
  <c r="AN465" i="1"/>
  <c r="Y465" i="1"/>
  <c r="M504" i="1"/>
  <c r="Z528" i="1"/>
  <c r="Z534" i="1"/>
  <c r="AH543" i="1"/>
  <c r="M582" i="1"/>
  <c r="AZ582" i="1"/>
  <c r="BA632" i="1"/>
  <c r="Z640" i="1"/>
  <c r="BA63" i="1"/>
  <c r="BA71" i="1"/>
  <c r="Z85" i="1"/>
  <c r="Z97" i="1"/>
  <c r="Z100" i="1"/>
  <c r="Z105" i="1"/>
  <c r="Z109" i="1"/>
  <c r="Z111" i="1"/>
  <c r="S114" i="1"/>
  <c r="Z130" i="1"/>
  <c r="Z140" i="1"/>
  <c r="Z143" i="1"/>
  <c r="Z147" i="1"/>
  <c r="G153" i="1"/>
  <c r="AH114" i="1"/>
  <c r="BA174" i="1"/>
  <c r="BA183" i="1"/>
  <c r="Z183" i="1"/>
  <c r="Z187" i="1"/>
  <c r="BA208" i="1"/>
  <c r="BA214" i="1"/>
  <c r="BA220" i="1"/>
  <c r="BA228" i="1"/>
  <c r="BA188" i="1"/>
  <c r="BA242" i="1"/>
  <c r="AO37" i="1"/>
  <c r="AO43" i="1" s="1"/>
  <c r="AO48" i="1" s="1"/>
  <c r="AO76" i="1" s="1"/>
  <c r="AO82" i="1" s="1"/>
  <c r="AO87" i="1" s="1"/>
  <c r="AO115" i="1" s="1"/>
  <c r="AO121" i="1" s="1"/>
  <c r="AO126" i="1" s="1"/>
  <c r="AO154" i="1" s="1"/>
  <c r="AO160" i="1" s="1"/>
  <c r="BA65" i="1"/>
  <c r="AZ75" i="1"/>
  <c r="Z88" i="1"/>
  <c r="BA104" i="1"/>
  <c r="BA107" i="1"/>
  <c r="BA112" i="1"/>
  <c r="BA122" i="1"/>
  <c r="Z131" i="1"/>
  <c r="BA146" i="1"/>
  <c r="Z90" i="1"/>
  <c r="BA161" i="1"/>
  <c r="BA168" i="1"/>
  <c r="BA211" i="1"/>
  <c r="AT231" i="1"/>
  <c r="Z203" i="1"/>
  <c r="Z210" i="1"/>
  <c r="Z216" i="1"/>
  <c r="Z221" i="1"/>
  <c r="BA229" i="1"/>
  <c r="Z34" i="1"/>
  <c r="AG155" i="1"/>
  <c r="BA409" i="1"/>
  <c r="BA522" i="1"/>
  <c r="BA631" i="1"/>
  <c r="Z7" i="1"/>
  <c r="BA8" i="1"/>
  <c r="BA62" i="1"/>
  <c r="Z94" i="1"/>
  <c r="BA98" i="1"/>
  <c r="BA111" i="1"/>
  <c r="Z124" i="1"/>
  <c r="BA128" i="1"/>
  <c r="BA145" i="1"/>
  <c r="Z150" i="1"/>
  <c r="BA169" i="1"/>
  <c r="BA180" i="1"/>
  <c r="BA151" i="1"/>
  <c r="Z180" i="1"/>
  <c r="G192" i="1"/>
  <c r="BA222" i="1"/>
  <c r="BA230" i="1"/>
  <c r="Z227" i="1"/>
  <c r="BA252" i="1"/>
  <c r="AF350" i="1"/>
  <c r="AF740" i="1" s="1"/>
  <c r="AF779" i="1" s="1"/>
  <c r="AF818" i="1" s="1"/>
  <c r="BA173" i="1"/>
  <c r="BA182" i="1"/>
  <c r="BA150" i="1"/>
  <c r="Z163" i="1"/>
  <c r="Z173" i="1"/>
  <c r="Z179" i="1"/>
  <c r="BA187" i="1"/>
  <c r="AL350" i="1"/>
  <c r="AL740" i="1" s="1"/>
  <c r="AL779" i="1" s="1"/>
  <c r="AL818" i="1" s="1"/>
  <c r="Z44" i="1"/>
  <c r="Z54" i="1"/>
  <c r="Z66" i="1"/>
  <c r="Z91" i="1"/>
  <c r="BA95" i="1"/>
  <c r="Z103" i="1"/>
  <c r="Z113" i="1"/>
  <c r="BA73" i="1"/>
  <c r="BA124" i="1"/>
  <c r="BA129" i="1"/>
  <c r="BA135" i="1"/>
  <c r="BA138" i="1"/>
  <c r="BA141" i="1"/>
  <c r="Y153" i="1"/>
  <c r="BA149" i="1"/>
  <c r="BA164" i="1"/>
  <c r="BA172" i="1"/>
  <c r="Z177" i="1"/>
  <c r="Z186" i="1"/>
  <c r="BA213" i="1"/>
  <c r="BA219" i="1"/>
  <c r="AZ231" i="1"/>
  <c r="Z206" i="1"/>
  <c r="Z215" i="1"/>
  <c r="Z222" i="1"/>
  <c r="BA189" i="1"/>
  <c r="BA241" i="1"/>
  <c r="BA254" i="1"/>
  <c r="AZ36" i="1"/>
  <c r="AR37" i="1"/>
  <c r="AR43" i="1" s="1"/>
  <c r="AR48" i="1" s="1"/>
  <c r="AR76" i="1" s="1"/>
  <c r="AR82" i="1" s="1"/>
  <c r="AR87" i="1" s="1"/>
  <c r="AR115" i="1" s="1"/>
  <c r="AR121" i="1" s="1"/>
  <c r="AR126" i="1" s="1"/>
  <c r="AR154" i="1" s="1"/>
  <c r="AR160" i="1" s="1"/>
  <c r="AR165" i="1" s="1"/>
  <c r="AR193" i="1" s="1"/>
  <c r="AR199" i="1" s="1"/>
  <c r="AR204" i="1" s="1"/>
  <c r="AR232" i="1" s="1"/>
  <c r="AR238" i="1" s="1"/>
  <c r="AR243" i="1" s="1"/>
  <c r="AR271" i="1" s="1"/>
  <c r="AR277" i="1" s="1"/>
  <c r="AR282" i="1" s="1"/>
  <c r="AR310" i="1" s="1"/>
  <c r="AR316" i="1" s="1"/>
  <c r="AR321" i="1" s="1"/>
  <c r="AR349" i="1" s="1"/>
  <c r="AR355" i="1" s="1"/>
  <c r="AR360" i="1" s="1"/>
  <c r="AR388" i="1" s="1"/>
  <c r="AR394" i="1" s="1"/>
  <c r="AR399" i="1" s="1"/>
  <c r="AR427" i="1" s="1"/>
  <c r="AR433" i="1" s="1"/>
  <c r="AR438" i="1" s="1"/>
  <c r="AR466" i="1" s="1"/>
  <c r="AR472" i="1" s="1"/>
  <c r="AR477" i="1" s="1"/>
  <c r="AR505" i="1" s="1"/>
  <c r="AR511" i="1" s="1"/>
  <c r="AR516" i="1" s="1"/>
  <c r="AR544" i="1" s="1"/>
  <c r="AR550" i="1" s="1"/>
  <c r="AR555" i="1" s="1"/>
  <c r="AR583" i="1" s="1"/>
  <c r="AR589" i="1" s="1"/>
  <c r="AR594" i="1" s="1"/>
  <c r="AR622" i="1" s="1"/>
  <c r="AR628" i="1" s="1"/>
  <c r="AR633" i="1" s="1"/>
  <c r="AR661" i="1" s="1"/>
  <c r="AR667" i="1" s="1"/>
  <c r="AR672" i="1" s="1"/>
  <c r="AR700" i="1" s="1"/>
  <c r="AR706" i="1" s="1"/>
  <c r="AR711" i="1" s="1"/>
  <c r="AR739" i="1" s="1"/>
  <c r="AR745" i="1" s="1"/>
  <c r="AR750" i="1" s="1"/>
  <c r="AR778" i="1" s="1"/>
  <c r="AR784" i="1" s="1"/>
  <c r="AR789" i="1" s="1"/>
  <c r="AR817" i="1" s="1"/>
  <c r="AR823" i="1" s="1"/>
  <c r="AW155" i="1"/>
  <c r="BA413" i="1"/>
  <c r="BA416" i="1"/>
  <c r="BA528" i="1"/>
  <c r="AI155" i="1"/>
  <c r="AK350" i="1"/>
  <c r="AK740" i="1" s="1"/>
  <c r="AK779" i="1" s="1"/>
  <c r="AK818" i="1" s="1"/>
  <c r="AP350" i="1"/>
  <c r="AP740" i="1" s="1"/>
  <c r="AP779" i="1" s="1"/>
  <c r="AP818" i="1" s="1"/>
  <c r="BA23" i="1"/>
  <c r="BA29" i="1"/>
  <c r="AN309" i="1"/>
  <c r="B37" i="1"/>
  <c r="B43" i="1" s="1"/>
  <c r="B48" i="1" s="1"/>
  <c r="B76" i="1" s="1"/>
  <c r="B82" i="1" s="1"/>
  <c r="B87" i="1" s="1"/>
  <c r="B115" i="1" s="1"/>
  <c r="B121" i="1" s="1"/>
  <c r="G9" i="1"/>
  <c r="AZ9" i="1"/>
  <c r="AC350" i="1"/>
  <c r="AC740" i="1" s="1"/>
  <c r="AC779" i="1" s="1"/>
  <c r="AC818" i="1" s="1"/>
  <c r="AJ350" i="1"/>
  <c r="AJ740" i="1" s="1"/>
  <c r="AJ779" i="1" s="1"/>
  <c r="AJ818" i="1" s="1"/>
  <c r="AN9" i="1"/>
  <c r="BA10" i="1"/>
  <c r="BA14" i="1"/>
  <c r="BA55" i="1"/>
  <c r="BA58" i="1"/>
  <c r="Z71" i="1"/>
  <c r="BA90" i="1"/>
  <c r="Z122" i="1"/>
  <c r="Z129" i="1"/>
  <c r="Z146" i="1"/>
  <c r="BA209" i="1"/>
  <c r="BA221" i="1"/>
  <c r="BA66" i="1"/>
  <c r="Z84" i="1"/>
  <c r="BA85" i="1"/>
  <c r="BA89" i="1"/>
  <c r="Z93" i="1"/>
  <c r="BA106" i="1"/>
  <c r="BA109" i="1"/>
  <c r="Z51" i="1"/>
  <c r="Z133" i="1"/>
  <c r="Z136" i="1"/>
  <c r="BA162" i="1"/>
  <c r="BA178" i="1"/>
  <c r="BA181" i="1"/>
  <c r="BA184" i="1"/>
  <c r="AZ192" i="1"/>
  <c r="Z213" i="1"/>
  <c r="Z219" i="1"/>
  <c r="Z14" i="1"/>
  <c r="BA97" i="1"/>
  <c r="BA100" i="1"/>
  <c r="Z127" i="1"/>
  <c r="BA127" i="1"/>
  <c r="BA131" i="1"/>
  <c r="BA134" i="1"/>
  <c r="BA137" i="1"/>
  <c r="BA140" i="1"/>
  <c r="BA148" i="1"/>
  <c r="Z151" i="1"/>
  <c r="M153" i="1"/>
  <c r="AF155" i="1"/>
  <c r="Z414" i="1"/>
  <c r="BA449" i="1"/>
  <c r="Z447" i="1"/>
  <c r="Z452" i="1"/>
  <c r="Z539" i="1"/>
  <c r="BA540" i="1"/>
  <c r="Z542" i="1"/>
  <c r="BA650" i="1"/>
  <c r="D37" i="1"/>
  <c r="D43" i="1" s="1"/>
  <c r="D48" i="1" s="1"/>
  <c r="D76" i="1" s="1"/>
  <c r="D82" i="1" s="1"/>
  <c r="D87" i="1" s="1"/>
  <c r="D115" i="1" s="1"/>
  <c r="D121" i="1" s="1"/>
  <c r="D126" i="1" s="1"/>
  <c r="D154" i="1" s="1"/>
  <c r="D160" i="1" s="1"/>
  <c r="D165" i="1" s="1"/>
  <c r="D193" i="1" s="1"/>
  <c r="D199" i="1" s="1"/>
  <c r="D204" i="1" s="1"/>
  <c r="D232" i="1" s="1"/>
  <c r="D238" i="1" s="1"/>
  <c r="D243" i="1" s="1"/>
  <c r="D271" i="1" s="1"/>
  <c r="D277" i="1" s="1"/>
  <c r="D282" i="1" s="1"/>
  <c r="D310" i="1" s="1"/>
  <c r="D316" i="1" s="1"/>
  <c r="D321" i="1" s="1"/>
  <c r="D349" i="1" s="1"/>
  <c r="D355" i="1" s="1"/>
  <c r="D360" i="1" s="1"/>
  <c r="D388" i="1" s="1"/>
  <c r="D394" i="1" s="1"/>
  <c r="D399" i="1" s="1"/>
  <c r="D427" i="1" s="1"/>
  <c r="D433" i="1" s="1"/>
  <c r="D438" i="1" s="1"/>
  <c r="D466" i="1" s="1"/>
  <c r="D472" i="1" s="1"/>
  <c r="D477" i="1" s="1"/>
  <c r="D505" i="1" s="1"/>
  <c r="D511" i="1" s="1"/>
  <c r="D516" i="1" s="1"/>
  <c r="D544" i="1" s="1"/>
  <c r="D550" i="1" s="1"/>
  <c r="D555" i="1" s="1"/>
  <c r="D583" i="1" s="1"/>
  <c r="D589" i="1" s="1"/>
  <c r="D594" i="1" s="1"/>
  <c r="D622" i="1" s="1"/>
  <c r="D628" i="1" s="1"/>
  <c r="D633" i="1" s="1"/>
  <c r="D661" i="1" s="1"/>
  <c r="D667" i="1" s="1"/>
  <c r="D672" i="1" s="1"/>
  <c r="D700" i="1" s="1"/>
  <c r="D706" i="1" s="1"/>
  <c r="D711" i="1" s="1"/>
  <c r="D739" i="1" s="1"/>
  <c r="D745" i="1" s="1"/>
  <c r="D750" i="1" s="1"/>
  <c r="D778" i="1" s="1"/>
  <c r="D784" i="1" s="1"/>
  <c r="D789" i="1" s="1"/>
  <c r="D817" i="1" s="1"/>
  <c r="D823" i="1" s="1"/>
  <c r="D828" i="1" s="1"/>
  <c r="D856" i="1" s="1"/>
  <c r="D862" i="1" s="1"/>
  <c r="D867" i="1" s="1"/>
  <c r="D895" i="1" s="1"/>
  <c r="D901" i="1" s="1"/>
  <c r="D906" i="1" s="1"/>
  <c r="D934" i="1" s="1"/>
  <c r="D940" i="1" s="1"/>
  <c r="D945" i="1" s="1"/>
  <c r="D973" i="1" s="1"/>
  <c r="D979" i="1" s="1"/>
  <c r="D984" i="1" s="1"/>
  <c r="D1012" i="1" s="1"/>
  <c r="D1018" i="1" s="1"/>
  <c r="D1023" i="1" s="1"/>
  <c r="D1051" i="1" s="1"/>
  <c r="D1057" i="1" s="1"/>
  <c r="D1062" i="1" s="1"/>
  <c r="D1090" i="1" s="1"/>
  <c r="D1096" i="1" s="1"/>
  <c r="D1101" i="1" s="1"/>
  <c r="D1129" i="1" s="1"/>
  <c r="D1135" i="1" s="1"/>
  <c r="D1140" i="1" s="1"/>
  <c r="D1168" i="1" s="1"/>
  <c r="D1174" i="1" s="1"/>
  <c r="D1179" i="1" s="1"/>
  <c r="D1207" i="1" s="1"/>
  <c r="D1213" i="1" s="1"/>
  <c r="AC37" i="1"/>
  <c r="AC43" i="1" s="1"/>
  <c r="AC48" i="1" s="1"/>
  <c r="BA12" i="1"/>
  <c r="T37" i="1"/>
  <c r="T43" i="1" s="1"/>
  <c r="T48" i="1" s="1"/>
  <c r="T76" i="1" s="1"/>
  <c r="T82" i="1" s="1"/>
  <c r="T87" i="1" s="1"/>
  <c r="T115" i="1" s="1"/>
  <c r="T121" i="1" s="1"/>
  <c r="T126" i="1" s="1"/>
  <c r="T154" i="1" s="1"/>
  <c r="T160" i="1" s="1"/>
  <c r="T165" i="1" s="1"/>
  <c r="O37" i="1"/>
  <c r="O43" i="1" s="1"/>
  <c r="O48" i="1" s="1"/>
  <c r="O76" i="1" s="1"/>
  <c r="O82" i="1" s="1"/>
  <c r="O87" i="1" s="1"/>
  <c r="O115" i="1" s="1"/>
  <c r="O121" i="1" s="1"/>
  <c r="O126" i="1" s="1"/>
  <c r="O154" i="1" s="1"/>
  <c r="O160" i="1" s="1"/>
  <c r="O165" i="1" s="1"/>
  <c r="O193" i="1" s="1"/>
  <c r="O199" i="1" s="1"/>
  <c r="O204" i="1" s="1"/>
  <c r="O232" i="1" s="1"/>
  <c r="O238" i="1" s="1"/>
  <c r="O243" i="1" s="1"/>
  <c r="O271" i="1" s="1"/>
  <c r="O277" i="1" s="1"/>
  <c r="O282" i="1" s="1"/>
  <c r="O310" i="1" s="1"/>
  <c r="O316" i="1" s="1"/>
  <c r="O321" i="1" s="1"/>
  <c r="O349" i="1" s="1"/>
  <c r="O355" i="1" s="1"/>
  <c r="O360" i="1" s="1"/>
  <c r="O388" i="1" s="1"/>
  <c r="O394" i="1" s="1"/>
  <c r="O399" i="1" s="1"/>
  <c r="O427" i="1" s="1"/>
  <c r="O433" i="1" s="1"/>
  <c r="O438" i="1" s="1"/>
  <c r="O466" i="1" s="1"/>
  <c r="O472" i="1" s="1"/>
  <c r="O477" i="1" s="1"/>
  <c r="O505" i="1" s="1"/>
  <c r="O511" i="1" s="1"/>
  <c r="O516" i="1" s="1"/>
  <c r="O544" i="1" s="1"/>
  <c r="O550" i="1" s="1"/>
  <c r="O555" i="1" s="1"/>
  <c r="O583" i="1" s="1"/>
  <c r="O589" i="1" s="1"/>
  <c r="O594" i="1" s="1"/>
  <c r="O622" i="1" s="1"/>
  <c r="O628" i="1" s="1"/>
  <c r="O633" i="1" s="1"/>
  <c r="O661" i="1" s="1"/>
  <c r="O667" i="1" s="1"/>
  <c r="O672" i="1" s="1"/>
  <c r="O700" i="1" s="1"/>
  <c r="O706" i="1" s="1"/>
  <c r="O711" i="1" s="1"/>
  <c r="O739" i="1" s="1"/>
  <c r="O745" i="1" s="1"/>
  <c r="O750" i="1" s="1"/>
  <c r="O778" i="1" s="1"/>
  <c r="O784" i="1" s="1"/>
  <c r="O789" i="1" s="1"/>
  <c r="O817" i="1" s="1"/>
  <c r="O823" i="1" s="1"/>
  <c r="O828" i="1" s="1"/>
  <c r="O856" i="1" s="1"/>
  <c r="O862" i="1" s="1"/>
  <c r="O867" i="1" s="1"/>
  <c r="O895" i="1" s="1"/>
  <c r="O901" i="1" s="1"/>
  <c r="O906" i="1" s="1"/>
  <c r="O934" i="1" s="1"/>
  <c r="O940" i="1" s="1"/>
  <c r="O945" i="1" s="1"/>
  <c r="O973" i="1" s="1"/>
  <c r="O979" i="1" s="1"/>
  <c r="O984" i="1" s="1"/>
  <c r="O1012" i="1" s="1"/>
  <c r="O1018" i="1" s="1"/>
  <c r="O1023" i="1" s="1"/>
  <c r="O1051" i="1" s="1"/>
  <c r="O1057" i="1" s="1"/>
  <c r="O1062" i="1" s="1"/>
  <c r="O1090" i="1" s="1"/>
  <c r="O1096" i="1" s="1"/>
  <c r="O1101" i="1" s="1"/>
  <c r="O1129" i="1" s="1"/>
  <c r="O1135" i="1" s="1"/>
  <c r="O1140" i="1" s="1"/>
  <c r="O1168" i="1" s="1"/>
  <c r="O1174" i="1" s="1"/>
  <c r="O1179" i="1" s="1"/>
  <c r="O1207" i="1" s="1"/>
  <c r="O1213" i="1" s="1"/>
  <c r="O1218" i="1" s="1"/>
  <c r="O1246" i="1" s="1"/>
  <c r="O1252" i="1" s="1"/>
  <c r="O1257" i="1" s="1"/>
  <c r="O1285" i="1" s="1"/>
  <c r="O1291" i="1" s="1"/>
  <c r="O1296" i="1" s="1"/>
  <c r="O1324" i="1" s="1"/>
  <c r="O1330" i="1" s="1"/>
  <c r="O1335" i="1" s="1"/>
  <c r="O1363" i="1" s="1"/>
  <c r="O1369" i="1" s="1"/>
  <c r="O1374" i="1" s="1"/>
  <c r="O1402" i="1" s="1"/>
  <c r="O1408" i="1" s="1"/>
  <c r="Z182" i="1"/>
  <c r="Z224" i="1"/>
  <c r="Z230" i="1"/>
  <c r="BA251" i="1"/>
  <c r="BA258" i="1"/>
  <c r="Z241" i="1"/>
  <c r="Z245" i="1"/>
  <c r="Z249" i="1"/>
  <c r="Z252" i="1"/>
  <c r="Z255" i="1"/>
  <c r="M270" i="1"/>
  <c r="BA279" i="1"/>
  <c r="BA289" i="1"/>
  <c r="BA292" i="1"/>
  <c r="Z302" i="1"/>
  <c r="BA303" i="1"/>
  <c r="BA283" i="1"/>
  <c r="BA307" i="1"/>
  <c r="BA337" i="1"/>
  <c r="BA339" i="1"/>
  <c r="BA347" i="1"/>
  <c r="Z357" i="1"/>
  <c r="BA361" i="1"/>
  <c r="BA363" i="1"/>
  <c r="Z365" i="1"/>
  <c r="BA366" i="1"/>
  <c r="Z370" i="1"/>
  <c r="BA374" i="1"/>
  <c r="Z376" i="1"/>
  <c r="BA380" i="1"/>
  <c r="S387" i="1"/>
  <c r="AH387" i="1"/>
  <c r="BA166" i="1"/>
  <c r="Z225" i="1"/>
  <c r="BA442" i="1"/>
  <c r="Z495" i="1"/>
  <c r="Z658" i="1"/>
  <c r="Z6" i="1"/>
  <c r="I37" i="1"/>
  <c r="I43" i="1" s="1"/>
  <c r="I48" i="1" s="1"/>
  <c r="I76" i="1" s="1"/>
  <c r="I82" i="1" s="1"/>
  <c r="I87" i="1" s="1"/>
  <c r="I115" i="1" s="1"/>
  <c r="I121" i="1" s="1"/>
  <c r="I126" i="1" s="1"/>
  <c r="I154" i="1" s="1"/>
  <c r="I160" i="1" s="1"/>
  <c r="I165" i="1" s="1"/>
  <c r="I193" i="1" s="1"/>
  <c r="I199" i="1" s="1"/>
  <c r="I204" i="1" s="1"/>
  <c r="I232" i="1" s="1"/>
  <c r="I238" i="1" s="1"/>
  <c r="I243" i="1" s="1"/>
  <c r="I271" i="1" s="1"/>
  <c r="I277" i="1" s="1"/>
  <c r="I282" i="1" s="1"/>
  <c r="I310" i="1" s="1"/>
  <c r="I316" i="1" s="1"/>
  <c r="I321" i="1" s="1"/>
  <c r="I349" i="1" s="1"/>
  <c r="I355" i="1" s="1"/>
  <c r="I360" i="1" s="1"/>
  <c r="I388" i="1" s="1"/>
  <c r="I394" i="1" s="1"/>
  <c r="I399" i="1" s="1"/>
  <c r="I427" i="1" s="1"/>
  <c r="I433" i="1" s="1"/>
  <c r="I438" i="1" s="1"/>
  <c r="I466" i="1" s="1"/>
  <c r="I472" i="1" s="1"/>
  <c r="I477" i="1" s="1"/>
  <c r="I505" i="1" s="1"/>
  <c r="I511" i="1" s="1"/>
  <c r="I516" i="1" s="1"/>
  <c r="I544" i="1" s="1"/>
  <c r="I550" i="1" s="1"/>
  <c r="I555" i="1" s="1"/>
  <c r="I583" i="1" s="1"/>
  <c r="I589" i="1" s="1"/>
  <c r="I594" i="1" s="1"/>
  <c r="I622" i="1" s="1"/>
  <c r="I628" i="1" s="1"/>
  <c r="I633" i="1" s="1"/>
  <c r="I661" i="1" s="1"/>
  <c r="I667" i="1" s="1"/>
  <c r="I672" i="1" s="1"/>
  <c r="I700" i="1" s="1"/>
  <c r="I706" i="1" s="1"/>
  <c r="I711" i="1" s="1"/>
  <c r="I739" i="1" s="1"/>
  <c r="I745" i="1" s="1"/>
  <c r="I750" i="1" s="1"/>
  <c r="I778" i="1" s="1"/>
  <c r="I784" i="1" s="1"/>
  <c r="I789" i="1" s="1"/>
  <c r="I817" i="1" s="1"/>
  <c r="I823" i="1" s="1"/>
  <c r="I828" i="1" s="1"/>
  <c r="I856" i="1" s="1"/>
  <c r="I862" i="1" s="1"/>
  <c r="I867" i="1" s="1"/>
  <c r="I895" i="1" s="1"/>
  <c r="I901" i="1" s="1"/>
  <c r="I906" i="1" s="1"/>
  <c r="I934" i="1" s="1"/>
  <c r="I940" i="1" s="1"/>
  <c r="I945" i="1" s="1"/>
  <c r="I973" i="1" s="1"/>
  <c r="I979" i="1" s="1"/>
  <c r="I984" i="1" s="1"/>
  <c r="I1012" i="1" s="1"/>
  <c r="I1018" i="1" s="1"/>
  <c r="I1023" i="1" s="1"/>
  <c r="I1051" i="1" s="1"/>
  <c r="I1057" i="1" s="1"/>
  <c r="I1062" i="1" s="1"/>
  <c r="I1090" i="1" s="1"/>
  <c r="I1096" i="1" s="1"/>
  <c r="I1101" i="1" s="1"/>
  <c r="I1129" i="1" s="1"/>
  <c r="I1135" i="1" s="1"/>
  <c r="I1140" i="1" s="1"/>
  <c r="I1168" i="1" s="1"/>
  <c r="I1174" i="1" s="1"/>
  <c r="I1179" i="1" s="1"/>
  <c r="I1207" i="1" s="1"/>
  <c r="I1213" i="1" s="1"/>
  <c r="I1218" i="1" s="1"/>
  <c r="I1246" i="1" s="1"/>
  <c r="I1252" i="1" s="1"/>
  <c r="I1257" i="1" s="1"/>
  <c r="I1285" i="1" s="1"/>
  <c r="I1291" i="1" s="1"/>
  <c r="Z17" i="1"/>
  <c r="Z26" i="1"/>
  <c r="BA27" i="1"/>
  <c r="BA33" i="1"/>
  <c r="AD350" i="1"/>
  <c r="AD740" i="1" s="1"/>
  <c r="AD779" i="1" s="1"/>
  <c r="AD818" i="1" s="1"/>
  <c r="AN36" i="1"/>
  <c r="G36" i="1"/>
  <c r="BA11" i="1"/>
  <c r="Z27" i="1"/>
  <c r="AS37" i="1"/>
  <c r="AS43" i="1" s="1"/>
  <c r="AS48" i="1" s="1"/>
  <c r="AS76" i="1" s="1"/>
  <c r="AS82" i="1" s="1"/>
  <c r="AS87" i="1" s="1"/>
  <c r="AS115" i="1" s="1"/>
  <c r="AS121" i="1" s="1"/>
  <c r="AS126" i="1" s="1"/>
  <c r="AS154" i="1" s="1"/>
  <c r="AS160" i="1" s="1"/>
  <c r="AS165" i="1" s="1"/>
  <c r="AS193" i="1" s="1"/>
  <c r="AS199" i="1" s="1"/>
  <c r="AS204" i="1" s="1"/>
  <c r="AS232" i="1" s="1"/>
  <c r="AS238" i="1" s="1"/>
  <c r="AS243" i="1" s="1"/>
  <c r="AS271" i="1" s="1"/>
  <c r="AS277" i="1" s="1"/>
  <c r="AS282" i="1" s="1"/>
  <c r="AS310" i="1" s="1"/>
  <c r="AS316" i="1" s="1"/>
  <c r="AS321" i="1" s="1"/>
  <c r="AS349" i="1" s="1"/>
  <c r="AS355" i="1" s="1"/>
  <c r="AS360" i="1" s="1"/>
  <c r="AS388" i="1" s="1"/>
  <c r="AS394" i="1" s="1"/>
  <c r="AS399" i="1" s="1"/>
  <c r="AS427" i="1" s="1"/>
  <c r="AS433" i="1" s="1"/>
  <c r="AS438" i="1" s="1"/>
  <c r="AS466" i="1" s="1"/>
  <c r="AS472" i="1" s="1"/>
  <c r="AS477" i="1" s="1"/>
  <c r="AS505" i="1" s="1"/>
  <c r="AS511" i="1" s="1"/>
  <c r="AS516" i="1" s="1"/>
  <c r="AS544" i="1" s="1"/>
  <c r="AS550" i="1" s="1"/>
  <c r="AS555" i="1" s="1"/>
  <c r="AS583" i="1" s="1"/>
  <c r="AS589" i="1" s="1"/>
  <c r="AS594" i="1" s="1"/>
  <c r="AS622" i="1" s="1"/>
  <c r="AS628" i="1" s="1"/>
  <c r="AS633" i="1" s="1"/>
  <c r="AS661" i="1" s="1"/>
  <c r="AS667" i="1" s="1"/>
  <c r="AS672" i="1" s="1"/>
  <c r="AS700" i="1" s="1"/>
  <c r="AS706" i="1" s="1"/>
  <c r="AS711" i="1" s="1"/>
  <c r="AS739" i="1" s="1"/>
  <c r="AS745" i="1" s="1"/>
  <c r="AS750" i="1" s="1"/>
  <c r="AS778" i="1" s="1"/>
  <c r="AS784" i="1" s="1"/>
  <c r="AS789" i="1" s="1"/>
  <c r="AS817" i="1" s="1"/>
  <c r="AS823" i="1" s="1"/>
  <c r="AS828" i="1" s="1"/>
  <c r="AS856" i="1" s="1"/>
  <c r="AS862" i="1" s="1"/>
  <c r="AS867" i="1" s="1"/>
  <c r="AS895" i="1" s="1"/>
  <c r="AS901" i="1" s="1"/>
  <c r="AS906" i="1" s="1"/>
  <c r="AS934" i="1" s="1"/>
  <c r="AS940" i="1" s="1"/>
  <c r="AS945" i="1" s="1"/>
  <c r="AS973" i="1" s="1"/>
  <c r="AS979" i="1" s="1"/>
  <c r="AS984" i="1" s="1"/>
  <c r="AS1012" i="1" s="1"/>
  <c r="AS1018" i="1" s="1"/>
  <c r="AS1023" i="1" s="1"/>
  <c r="AS1051" i="1" s="1"/>
  <c r="AS1057" i="1" s="1"/>
  <c r="AS1062" i="1" s="1"/>
  <c r="AS1090" i="1" s="1"/>
  <c r="AS1096" i="1" s="1"/>
  <c r="AS1101" i="1" s="1"/>
  <c r="AS1129" i="1" s="1"/>
  <c r="AS1135" i="1" s="1"/>
  <c r="AS1140" i="1" s="1"/>
  <c r="AS1168" i="1" s="1"/>
  <c r="AS1174" i="1" s="1"/>
  <c r="AS1179" i="1" s="1"/>
  <c r="AS1207" i="1" s="1"/>
  <c r="AS1213" i="1" s="1"/>
  <c r="AS1218" i="1" s="1"/>
  <c r="AS1246" i="1" s="1"/>
  <c r="AS1252" i="1" s="1"/>
  <c r="AS1257" i="1" s="1"/>
  <c r="AS1285" i="1" s="1"/>
  <c r="AS1291" i="1" s="1"/>
  <c r="AS1296" i="1" s="1"/>
  <c r="AS1324" i="1" s="1"/>
  <c r="AS1330" i="1" s="1"/>
  <c r="AS1335" i="1" s="1"/>
  <c r="AS1363" i="1" s="1"/>
  <c r="AS1369" i="1" s="1"/>
  <c r="AS1374" i="1" s="1"/>
  <c r="AS1402" i="1" s="1"/>
  <c r="AS1408" i="1" s="1"/>
  <c r="AS1413" i="1" s="1"/>
  <c r="AS1441" i="1" s="1"/>
  <c r="AS1447" i="1" s="1"/>
  <c r="AS1452" i="1" s="1"/>
  <c r="AS1480" i="1" s="1"/>
  <c r="AS1486" i="1" s="1"/>
  <c r="AS1491" i="1" s="1"/>
  <c r="AS1519" i="1" s="1"/>
  <c r="AS1525" i="1" s="1"/>
  <c r="AS1530" i="1" s="1"/>
  <c r="AS1558" i="1" s="1"/>
  <c r="AS1564" i="1" s="1"/>
  <c r="AS1569" i="1" s="1"/>
  <c r="AS1597" i="1" s="1"/>
  <c r="AS1603" i="1" s="1"/>
  <c r="AS1608" i="1" s="1"/>
  <c r="AS1636" i="1" s="1"/>
  <c r="AS1642" i="1" s="1"/>
  <c r="AS1647" i="1" s="1"/>
  <c r="AS1675" i="1" s="1"/>
  <c r="AS1681" i="1" s="1"/>
  <c r="AS1686" i="1" s="1"/>
  <c r="Z278" i="1"/>
  <c r="Z280" i="1"/>
  <c r="Z286" i="1"/>
  <c r="BA642" i="1"/>
  <c r="BA648" i="1"/>
  <c r="BA5" i="1"/>
  <c r="BA17" i="1"/>
  <c r="Z22" i="1"/>
  <c r="Z28" i="1"/>
  <c r="AP155" i="1"/>
  <c r="AZ153" i="1"/>
  <c r="BA35" i="1"/>
  <c r="BA28" i="1"/>
  <c r="BA6" i="1"/>
  <c r="AH9" i="1"/>
  <c r="AM155" i="1"/>
  <c r="AD37" i="1"/>
  <c r="AD43" i="1" s="1"/>
  <c r="AD48" i="1" s="1"/>
  <c r="AD76" i="1" s="1"/>
  <c r="AD82" i="1" s="1"/>
  <c r="AM37" i="1"/>
  <c r="AM43" i="1" s="1"/>
  <c r="AM48" i="1" s="1"/>
  <c r="AM76" i="1" s="1"/>
  <c r="AM82" i="1" s="1"/>
  <c r="AM87" i="1" s="1"/>
  <c r="AM115" i="1" s="1"/>
  <c r="AM121" i="1" s="1"/>
  <c r="AM126" i="1" s="1"/>
  <c r="AM154" i="1" s="1"/>
  <c r="AM160" i="1" s="1"/>
  <c r="AM165" i="1" s="1"/>
  <c r="AM193" i="1" s="1"/>
  <c r="AM199" i="1" s="1"/>
  <c r="AM204" i="1" s="1"/>
  <c r="AM232" i="1" s="1"/>
  <c r="AM238" i="1" s="1"/>
  <c r="AM243" i="1" s="1"/>
  <c r="AM271" i="1" s="1"/>
  <c r="AM277" i="1" s="1"/>
  <c r="AM282" i="1" s="1"/>
  <c r="AM310" i="1" s="1"/>
  <c r="AM316" i="1" s="1"/>
  <c r="AM321" i="1" s="1"/>
  <c r="AM349" i="1" s="1"/>
  <c r="AM355" i="1" s="1"/>
  <c r="AM360" i="1" s="1"/>
  <c r="AM388" i="1" s="1"/>
  <c r="AM394" i="1" s="1"/>
  <c r="AM399" i="1" s="1"/>
  <c r="AM427" i="1" s="1"/>
  <c r="AM433" i="1" s="1"/>
  <c r="AM438" i="1" s="1"/>
  <c r="AM466" i="1" s="1"/>
  <c r="AM472" i="1" s="1"/>
  <c r="AM477" i="1" s="1"/>
  <c r="AM505" i="1" s="1"/>
  <c r="AM511" i="1" s="1"/>
  <c r="AM516" i="1" s="1"/>
  <c r="AM544" i="1" s="1"/>
  <c r="AM550" i="1" s="1"/>
  <c r="AM555" i="1" s="1"/>
  <c r="AM583" i="1" s="1"/>
  <c r="AM589" i="1" s="1"/>
  <c r="AM594" i="1" s="1"/>
  <c r="AM622" i="1" s="1"/>
  <c r="AM628" i="1" s="1"/>
  <c r="AM633" i="1" s="1"/>
  <c r="AM661" i="1" s="1"/>
  <c r="AM667" i="1" s="1"/>
  <c r="AM672" i="1" s="1"/>
  <c r="AM700" i="1" s="1"/>
  <c r="AM706" i="1" s="1"/>
  <c r="AM711" i="1" s="1"/>
  <c r="AM739" i="1" s="1"/>
  <c r="AM745" i="1" s="1"/>
  <c r="AM750" i="1" s="1"/>
  <c r="AM778" i="1" s="1"/>
  <c r="AM784" i="1" s="1"/>
  <c r="AM789" i="1" s="1"/>
  <c r="AM817" i="1" s="1"/>
  <c r="AM823" i="1" s="1"/>
  <c r="AM828" i="1" s="1"/>
  <c r="AM856" i="1" s="1"/>
  <c r="AM862" i="1" s="1"/>
  <c r="AM867" i="1" s="1"/>
  <c r="AM895" i="1" s="1"/>
  <c r="AM901" i="1" s="1"/>
  <c r="AM906" i="1" s="1"/>
  <c r="AM934" i="1" s="1"/>
  <c r="AM940" i="1" s="1"/>
  <c r="AM945" i="1" s="1"/>
  <c r="AM973" i="1" s="1"/>
  <c r="AM979" i="1" s="1"/>
  <c r="AM984" i="1" s="1"/>
  <c r="AM1012" i="1" s="1"/>
  <c r="AM1018" i="1" s="1"/>
  <c r="AM1023" i="1" s="1"/>
  <c r="AM1051" i="1" s="1"/>
  <c r="AM1057" i="1" s="1"/>
  <c r="AM1062" i="1" s="1"/>
  <c r="AM1090" i="1" s="1"/>
  <c r="AM1096" i="1" s="1"/>
  <c r="AM1101" i="1" s="1"/>
  <c r="AM1129" i="1" s="1"/>
  <c r="AM1135" i="1" s="1"/>
  <c r="AM1140" i="1" s="1"/>
  <c r="AM1168" i="1" s="1"/>
  <c r="AM1174" i="1" s="1"/>
  <c r="AM1179" i="1" s="1"/>
  <c r="AM1207" i="1" s="1"/>
  <c r="AM1213" i="1" s="1"/>
  <c r="AM1218" i="1" s="1"/>
  <c r="AM1246" i="1" s="1"/>
  <c r="AM1252" i="1" s="1"/>
  <c r="AM1257" i="1" s="1"/>
  <c r="AM1285" i="1" s="1"/>
  <c r="AM1291" i="1" s="1"/>
  <c r="AM1296" i="1" s="1"/>
  <c r="AM1324" i="1" s="1"/>
  <c r="AM1330" i="1" s="1"/>
  <c r="AM1335" i="1" s="1"/>
  <c r="AM1363" i="1" s="1"/>
  <c r="AM1369" i="1" s="1"/>
  <c r="AM1374" i="1" s="1"/>
  <c r="AM1402" i="1" s="1"/>
  <c r="AM1408" i="1" s="1"/>
  <c r="AM1413" i="1" s="1"/>
  <c r="AM1441" i="1" s="1"/>
  <c r="AM1447" i="1" s="1"/>
  <c r="AM1452" i="1" s="1"/>
  <c r="AM1480" i="1" s="1"/>
  <c r="AM1486" i="1" s="1"/>
  <c r="AM1491" i="1" s="1"/>
  <c r="AM1519" i="1" s="1"/>
  <c r="AM1525" i="1" s="1"/>
  <c r="AM1530" i="1" s="1"/>
  <c r="AM1558" i="1" s="1"/>
  <c r="AM1564" i="1" s="1"/>
  <c r="AM1569" i="1" s="1"/>
  <c r="AM1597" i="1" s="1"/>
  <c r="AM1603" i="1" s="1"/>
  <c r="AM1608" i="1" s="1"/>
  <c r="AM1636" i="1" s="1"/>
  <c r="AM1642" i="1" s="1"/>
  <c r="AM1647" i="1" s="1"/>
  <c r="AM1675" i="1" s="1"/>
  <c r="AM1681" i="1" s="1"/>
  <c r="AM1686" i="1" s="1"/>
  <c r="E37" i="1"/>
  <c r="E43" i="1" s="1"/>
  <c r="E48" i="1" s="1"/>
  <c r="E76" i="1" s="1"/>
  <c r="E82" i="1" s="1"/>
  <c r="E87" i="1" s="1"/>
  <c r="E115" i="1" s="1"/>
  <c r="E121" i="1" s="1"/>
  <c r="E126" i="1" s="1"/>
  <c r="E154" i="1" s="1"/>
  <c r="E160" i="1" s="1"/>
  <c r="E165" i="1" s="1"/>
  <c r="E193" i="1" s="1"/>
  <c r="E199" i="1" s="1"/>
  <c r="E204" i="1" s="1"/>
  <c r="E232" i="1" s="1"/>
  <c r="E238" i="1" s="1"/>
  <c r="E243" i="1" s="1"/>
  <c r="E271" i="1" s="1"/>
  <c r="E277" i="1" s="1"/>
  <c r="E282" i="1" s="1"/>
  <c r="E310" i="1" s="1"/>
  <c r="E316" i="1" s="1"/>
  <c r="E321" i="1" s="1"/>
  <c r="E349" i="1" s="1"/>
  <c r="E355" i="1" s="1"/>
  <c r="E360" i="1" s="1"/>
  <c r="E388" i="1" s="1"/>
  <c r="E394" i="1" s="1"/>
  <c r="E399" i="1" s="1"/>
  <c r="E427" i="1" s="1"/>
  <c r="E433" i="1" s="1"/>
  <c r="E438" i="1" s="1"/>
  <c r="E466" i="1" s="1"/>
  <c r="E472" i="1" s="1"/>
  <c r="E477" i="1" s="1"/>
  <c r="E505" i="1" s="1"/>
  <c r="E511" i="1" s="1"/>
  <c r="E516" i="1" s="1"/>
  <c r="E544" i="1" s="1"/>
  <c r="E550" i="1" s="1"/>
  <c r="E555" i="1" s="1"/>
  <c r="E583" i="1" s="1"/>
  <c r="E589" i="1" s="1"/>
  <c r="E594" i="1" s="1"/>
  <c r="E622" i="1" s="1"/>
  <c r="E628" i="1" s="1"/>
  <c r="E633" i="1" s="1"/>
  <c r="E661" i="1" s="1"/>
  <c r="E667" i="1" s="1"/>
  <c r="E672" i="1" s="1"/>
  <c r="E700" i="1" s="1"/>
  <c r="E706" i="1" s="1"/>
  <c r="E711" i="1" s="1"/>
  <c r="E739" i="1" s="1"/>
  <c r="E745" i="1" s="1"/>
  <c r="E750" i="1" s="1"/>
  <c r="E778" i="1" s="1"/>
  <c r="E784" i="1" s="1"/>
  <c r="E789" i="1" s="1"/>
  <c r="E817" i="1" s="1"/>
  <c r="E823" i="1" s="1"/>
  <c r="N37" i="1"/>
  <c r="N43" i="1" s="1"/>
  <c r="BA615" i="1"/>
  <c r="AG37" i="1"/>
  <c r="AG43" i="1" s="1"/>
  <c r="AG48" i="1" s="1"/>
  <c r="AG76" i="1" s="1"/>
  <c r="AG82" i="1" s="1"/>
  <c r="AG87" i="1" s="1"/>
  <c r="AG115" i="1" s="1"/>
  <c r="AG121" i="1" s="1"/>
  <c r="AG126" i="1" s="1"/>
  <c r="AG154" i="1" s="1"/>
  <c r="AG160" i="1" s="1"/>
  <c r="AG165" i="1" s="1"/>
  <c r="AG193" i="1" s="1"/>
  <c r="AG199" i="1" s="1"/>
  <c r="AG204" i="1" s="1"/>
  <c r="AG232" i="1" s="1"/>
  <c r="AG238" i="1" s="1"/>
  <c r="AG243" i="1" s="1"/>
  <c r="AG271" i="1" s="1"/>
  <c r="AG277" i="1" s="1"/>
  <c r="AG282" i="1" s="1"/>
  <c r="AG310" i="1" s="1"/>
  <c r="AG316" i="1" s="1"/>
  <c r="AG321" i="1" s="1"/>
  <c r="AG349" i="1" s="1"/>
  <c r="AG355" i="1" s="1"/>
  <c r="AG360" i="1" s="1"/>
  <c r="AG388" i="1" s="1"/>
  <c r="AG394" i="1" s="1"/>
  <c r="AG399" i="1" s="1"/>
  <c r="AG427" i="1" s="1"/>
  <c r="AG433" i="1" s="1"/>
  <c r="AG438" i="1" s="1"/>
  <c r="AG466" i="1" s="1"/>
  <c r="AG472" i="1" s="1"/>
  <c r="AG477" i="1" s="1"/>
  <c r="AG505" i="1" s="1"/>
  <c r="AG511" i="1" s="1"/>
  <c r="AG516" i="1" s="1"/>
  <c r="AG544" i="1" s="1"/>
  <c r="AG550" i="1" s="1"/>
  <c r="AG555" i="1" s="1"/>
  <c r="AG583" i="1" s="1"/>
  <c r="AG589" i="1" s="1"/>
  <c r="AG594" i="1" s="1"/>
  <c r="AG622" i="1" s="1"/>
  <c r="AG628" i="1" s="1"/>
  <c r="AG633" i="1" s="1"/>
  <c r="AG661" i="1" s="1"/>
  <c r="AG667" i="1" s="1"/>
  <c r="AG672" i="1" s="1"/>
  <c r="AG700" i="1" s="1"/>
  <c r="AG706" i="1" s="1"/>
  <c r="AG711" i="1" s="1"/>
  <c r="AG739" i="1" s="1"/>
  <c r="AG745" i="1" s="1"/>
  <c r="AG750" i="1" s="1"/>
  <c r="AG778" i="1" s="1"/>
  <c r="AG784" i="1" s="1"/>
  <c r="AG789" i="1" s="1"/>
  <c r="AG817" i="1" s="1"/>
  <c r="AG823" i="1" s="1"/>
  <c r="AG828" i="1" s="1"/>
  <c r="AG856" i="1" s="1"/>
  <c r="AG862" i="1" s="1"/>
  <c r="AG867" i="1" s="1"/>
  <c r="AG895" i="1" s="1"/>
  <c r="AG901" i="1" s="1"/>
  <c r="AG906" i="1" s="1"/>
  <c r="AG934" i="1" s="1"/>
  <c r="AG940" i="1" s="1"/>
  <c r="AG945" i="1" s="1"/>
  <c r="AG973" i="1" s="1"/>
  <c r="AG979" i="1" s="1"/>
  <c r="AG984" i="1" s="1"/>
  <c r="AG1012" i="1" s="1"/>
  <c r="AG1018" i="1" s="1"/>
  <c r="AG1023" i="1" s="1"/>
  <c r="AG1051" i="1" s="1"/>
  <c r="AG1057" i="1" s="1"/>
  <c r="AG1062" i="1" s="1"/>
  <c r="AG1090" i="1" s="1"/>
  <c r="AG1096" i="1" s="1"/>
  <c r="AG1101" i="1" s="1"/>
  <c r="AG1129" i="1" s="1"/>
  <c r="AG1135" i="1" s="1"/>
  <c r="AG1140" i="1" s="1"/>
  <c r="AG1168" i="1" s="1"/>
  <c r="AG1174" i="1" s="1"/>
  <c r="AG1179" i="1" s="1"/>
  <c r="AG1207" i="1" s="1"/>
  <c r="AG1213" i="1" s="1"/>
  <c r="AG1218" i="1" s="1"/>
  <c r="AG1246" i="1" s="1"/>
  <c r="AG1252" i="1" s="1"/>
  <c r="AG1257" i="1" s="1"/>
  <c r="AG1285" i="1" s="1"/>
  <c r="AG1291" i="1" s="1"/>
  <c r="AG1296" i="1" s="1"/>
  <c r="AG1324" i="1" s="1"/>
  <c r="AG1330" i="1" s="1"/>
  <c r="AG1335" i="1" s="1"/>
  <c r="AG1363" i="1" s="1"/>
  <c r="AG1369" i="1" s="1"/>
  <c r="AG1374" i="1" s="1"/>
  <c r="AG1402" i="1" s="1"/>
  <c r="AG1408" i="1" s="1"/>
  <c r="AG1413" i="1" s="1"/>
  <c r="AG1441" i="1" s="1"/>
  <c r="AG1447" i="1" s="1"/>
  <c r="AG1452" i="1" s="1"/>
  <c r="AG1480" i="1" s="1"/>
  <c r="AG1486" i="1" s="1"/>
  <c r="AG1491" i="1" s="1"/>
  <c r="AG1519" i="1" s="1"/>
  <c r="AG1525" i="1" s="1"/>
  <c r="AG1530" i="1" s="1"/>
  <c r="AG1558" i="1" s="1"/>
  <c r="AG1564" i="1" s="1"/>
  <c r="AG1569" i="1" s="1"/>
  <c r="AG1597" i="1" s="1"/>
  <c r="AG1603" i="1" s="1"/>
  <c r="AG1608" i="1" s="1"/>
  <c r="AG1636" i="1" s="1"/>
  <c r="AG1642" i="1" s="1"/>
  <c r="AG1647" i="1" s="1"/>
  <c r="AG1675" i="1" s="1"/>
  <c r="AG1681" i="1" s="1"/>
  <c r="AG1686" i="1" s="1"/>
  <c r="AX350" i="1"/>
  <c r="AX740" i="1" s="1"/>
  <c r="AX779" i="1" s="1"/>
  <c r="AX818" i="1" s="1"/>
  <c r="BA408" i="1"/>
  <c r="Z613" i="1"/>
  <c r="Z166" i="1"/>
  <c r="Z112" i="1"/>
  <c r="BA132" i="1"/>
  <c r="BA175" i="1"/>
  <c r="AH192" i="1"/>
  <c r="Z189" i="1"/>
  <c r="S192" i="1"/>
  <c r="BA202" i="1"/>
  <c r="BA207" i="1"/>
  <c r="BA225" i="1"/>
  <c r="Z212" i="1"/>
  <c r="Z218" i="1"/>
  <c r="M231" i="1"/>
  <c r="BA143" i="1"/>
  <c r="BA186" i="1"/>
  <c r="BA245" i="1"/>
  <c r="AH270" i="1"/>
  <c r="Z244" i="1"/>
  <c r="Z297" i="1"/>
  <c r="Y309" i="1"/>
  <c r="BA334" i="1"/>
  <c r="Z412" i="1"/>
  <c r="BA420" i="1"/>
  <c r="Z478" i="1"/>
  <c r="Z485" i="1"/>
  <c r="Z615" i="1"/>
  <c r="M9" i="1"/>
  <c r="Z10" i="1"/>
  <c r="Z15" i="1"/>
  <c r="Z21" i="1"/>
  <c r="L37" i="1"/>
  <c r="L43" i="1" s="1"/>
  <c r="L48" i="1" s="1"/>
  <c r="L76" i="1" s="1"/>
  <c r="L82" i="1" s="1"/>
  <c r="L87" i="1" s="1"/>
  <c r="L115" i="1" s="1"/>
  <c r="L121" i="1" s="1"/>
  <c r="L126" i="1" s="1"/>
  <c r="L154" i="1" s="1"/>
  <c r="L160" i="1" s="1"/>
  <c r="L165" i="1" s="1"/>
  <c r="L193" i="1" s="1"/>
  <c r="L199" i="1" s="1"/>
  <c r="L204" i="1" s="1"/>
  <c r="L232" i="1" s="1"/>
  <c r="L238" i="1" s="1"/>
  <c r="L243" i="1" s="1"/>
  <c r="L271" i="1" s="1"/>
  <c r="L277" i="1" s="1"/>
  <c r="L282" i="1" s="1"/>
  <c r="L310" i="1" s="1"/>
  <c r="L316" i="1" s="1"/>
  <c r="L321" i="1" s="1"/>
  <c r="L349" i="1" s="1"/>
  <c r="L355" i="1" s="1"/>
  <c r="L360" i="1" s="1"/>
  <c r="L388" i="1" s="1"/>
  <c r="L394" i="1" s="1"/>
  <c r="L399" i="1" s="1"/>
  <c r="L427" i="1" s="1"/>
  <c r="L433" i="1" s="1"/>
  <c r="L438" i="1" s="1"/>
  <c r="L466" i="1" s="1"/>
  <c r="L472" i="1" s="1"/>
  <c r="L477" i="1" s="1"/>
  <c r="L505" i="1" s="1"/>
  <c r="L511" i="1" s="1"/>
  <c r="L516" i="1" s="1"/>
  <c r="L544" i="1" s="1"/>
  <c r="L550" i="1" s="1"/>
  <c r="L555" i="1" s="1"/>
  <c r="L583" i="1" s="1"/>
  <c r="L589" i="1" s="1"/>
  <c r="L594" i="1" s="1"/>
  <c r="L622" i="1" s="1"/>
  <c r="L628" i="1" s="1"/>
  <c r="L633" i="1" s="1"/>
  <c r="L661" i="1" s="1"/>
  <c r="L667" i="1" s="1"/>
  <c r="L672" i="1" s="1"/>
  <c r="L700" i="1" s="1"/>
  <c r="L706" i="1" s="1"/>
  <c r="L711" i="1" s="1"/>
  <c r="L739" i="1" s="1"/>
  <c r="L745" i="1" s="1"/>
  <c r="L750" i="1" s="1"/>
  <c r="L778" i="1" s="1"/>
  <c r="L784" i="1" s="1"/>
  <c r="L789" i="1" s="1"/>
  <c r="L817" i="1" s="1"/>
  <c r="L823" i="1" s="1"/>
  <c r="L828" i="1" s="1"/>
  <c r="L856" i="1" s="1"/>
  <c r="L862" i="1" s="1"/>
  <c r="L867" i="1" s="1"/>
  <c r="L895" i="1" s="1"/>
  <c r="L901" i="1" s="1"/>
  <c r="L906" i="1" s="1"/>
  <c r="L934" i="1" s="1"/>
  <c r="L940" i="1" s="1"/>
  <c r="L945" i="1" s="1"/>
  <c r="L973" i="1" s="1"/>
  <c r="L979" i="1" s="1"/>
  <c r="L984" i="1" s="1"/>
  <c r="L1012" i="1" s="1"/>
  <c r="L1018" i="1" s="1"/>
  <c r="L1023" i="1" s="1"/>
  <c r="L1051" i="1" s="1"/>
  <c r="L1057" i="1" s="1"/>
  <c r="L1062" i="1" s="1"/>
  <c r="L1090" i="1" s="1"/>
  <c r="L1096" i="1" s="1"/>
  <c r="L1101" i="1" s="1"/>
  <c r="L1129" i="1" s="1"/>
  <c r="L1135" i="1" s="1"/>
  <c r="L1140" i="1" s="1"/>
  <c r="L1168" i="1" s="1"/>
  <c r="L1174" i="1" s="1"/>
  <c r="L1179" i="1" s="1"/>
  <c r="L1207" i="1" s="1"/>
  <c r="L1213" i="1" s="1"/>
  <c r="L1218" i="1" s="1"/>
  <c r="L1246" i="1" s="1"/>
  <c r="L1252" i="1" s="1"/>
  <c r="L1257" i="1" s="1"/>
  <c r="L1285" i="1" s="1"/>
  <c r="L1291" i="1" s="1"/>
  <c r="L1296" i="1" s="1"/>
  <c r="L1324" i="1" s="1"/>
  <c r="L1330" i="1" s="1"/>
  <c r="L1335" i="1" s="1"/>
  <c r="L1363" i="1" s="1"/>
  <c r="L1369" i="1" s="1"/>
  <c r="L1374" i="1" s="1"/>
  <c r="L1402" i="1" s="1"/>
  <c r="L1408" i="1" s="1"/>
  <c r="L1413" i="1" s="1"/>
  <c r="L1441" i="1" s="1"/>
  <c r="L1447" i="1" s="1"/>
  <c r="L1452" i="1" s="1"/>
  <c r="L1480" i="1" s="1"/>
  <c r="L1486" i="1" s="1"/>
  <c r="L1491" i="1" s="1"/>
  <c r="L1519" i="1" s="1"/>
  <c r="L1525" i="1" s="1"/>
  <c r="L1530" i="1" s="1"/>
  <c r="L1558" i="1" s="1"/>
  <c r="L1564" i="1" s="1"/>
  <c r="L1569" i="1" s="1"/>
  <c r="L1597" i="1" s="1"/>
  <c r="L1603" i="1" s="1"/>
  <c r="L1608" i="1" s="1"/>
  <c r="L1636" i="1" s="1"/>
  <c r="L1642" i="1" s="1"/>
  <c r="L1647" i="1" s="1"/>
  <c r="L1675" i="1" s="1"/>
  <c r="L1681" i="1" s="1"/>
  <c r="L1686" i="1" s="1"/>
  <c r="L1714" i="1" s="1"/>
  <c r="L1720" i="1" s="1"/>
  <c r="L1725" i="1" s="1"/>
  <c r="L1753" i="1" s="1"/>
  <c r="L1759" i="1" s="1"/>
  <c r="L1764" i="1" s="1"/>
  <c r="L1792" i="1" s="1"/>
  <c r="L1798" i="1" s="1"/>
  <c r="L1803" i="1" s="1"/>
  <c r="L1831" i="1" s="1"/>
  <c r="L1837" i="1" s="1"/>
  <c r="L1842" i="1" s="1"/>
  <c r="L1870" i="1" s="1"/>
  <c r="L1876" i="1" s="1"/>
  <c r="L1881" i="1" s="1"/>
  <c r="L1909" i="1" s="1"/>
  <c r="L1915" i="1" s="1"/>
  <c r="L1920" i="1" s="1"/>
  <c r="L1948" i="1" s="1"/>
  <c r="L1954" i="1" s="1"/>
  <c r="L1959" i="1" s="1"/>
  <c r="L1987" i="1" s="1"/>
  <c r="L1993" i="1" s="1"/>
  <c r="L1998" i="1" s="1"/>
  <c r="L2026" i="1" s="1"/>
  <c r="L2032" i="1" s="1"/>
  <c r="L2037" i="1" s="1"/>
  <c r="L2065" i="1" s="1"/>
  <c r="L2071" i="1" s="1"/>
  <c r="L2076" i="1" s="1"/>
  <c r="L2104" i="1" s="1"/>
  <c r="L2110" i="1" s="1"/>
  <c r="L2115" i="1" s="1"/>
  <c r="L2143" i="1" s="1"/>
  <c r="L2149" i="1" s="1"/>
  <c r="L2154" i="1" s="1"/>
  <c r="L2182" i="1" s="1"/>
  <c r="L2188" i="1" s="1"/>
  <c r="L2193" i="1" s="1"/>
  <c r="L2221" i="1" s="1"/>
  <c r="L2227" i="1" s="1"/>
  <c r="L2232" i="1" s="1"/>
  <c r="L2260" i="1" s="1"/>
  <c r="L2266" i="1" s="1"/>
  <c r="S36" i="1"/>
  <c r="BA20" i="1"/>
  <c r="Z35" i="1"/>
  <c r="BA46" i="1"/>
  <c r="BA53" i="1"/>
  <c r="AY155" i="1"/>
  <c r="Z89" i="1"/>
  <c r="BA96" i="1"/>
  <c r="BA99" i="1"/>
  <c r="BA105" i="1"/>
  <c r="Y114" i="1"/>
  <c r="Z128" i="1"/>
  <c r="BA139" i="1"/>
  <c r="BA144" i="1"/>
  <c r="AT153" i="1"/>
  <c r="BA170" i="1"/>
  <c r="BA259" i="1"/>
  <c r="Z253" i="1"/>
  <c r="Z247" i="1"/>
  <c r="BA288" i="1"/>
  <c r="Z296" i="1"/>
  <c r="BA268" i="1"/>
  <c r="BA306" i="1"/>
  <c r="BA338" i="1"/>
  <c r="BA341" i="1"/>
  <c r="AZ348" i="1"/>
  <c r="Z361" i="1"/>
  <c r="Z364" i="1"/>
  <c r="Z367" i="1"/>
  <c r="Z375" i="1"/>
  <c r="BA376" i="1"/>
  <c r="AZ387" i="1"/>
  <c r="BA411" i="1"/>
  <c r="Z409" i="1"/>
  <c r="Z419" i="1"/>
  <c r="BA479" i="1"/>
  <c r="BA534" i="1"/>
  <c r="Z580" i="1"/>
  <c r="BA604" i="1"/>
  <c r="BA640" i="1"/>
  <c r="BA658" i="1"/>
  <c r="BA15" i="1"/>
  <c r="BA21" i="1"/>
  <c r="Z29" i="1"/>
  <c r="Z32" i="1"/>
  <c r="AH36" i="1"/>
  <c r="AQ37" i="1"/>
  <c r="AQ43" i="1" s="1"/>
  <c r="AQ48" i="1" s="1"/>
  <c r="AQ76" i="1" s="1"/>
  <c r="AQ82" i="1" s="1"/>
  <c r="AQ87" i="1" s="1"/>
  <c r="AQ115" i="1" s="1"/>
  <c r="AQ121" i="1" s="1"/>
  <c r="AQ126" i="1" s="1"/>
  <c r="AQ154" i="1" s="1"/>
  <c r="AQ160" i="1" s="1"/>
  <c r="AQ165" i="1" s="1"/>
  <c r="AQ193" i="1" s="1"/>
  <c r="AQ199" i="1" s="1"/>
  <c r="AQ204" i="1" s="1"/>
  <c r="AQ232" i="1" s="1"/>
  <c r="AQ238" i="1" s="1"/>
  <c r="AQ243" i="1" s="1"/>
  <c r="AQ271" i="1" s="1"/>
  <c r="AQ277" i="1" s="1"/>
  <c r="AQ282" i="1" s="1"/>
  <c r="AQ310" i="1" s="1"/>
  <c r="AQ316" i="1" s="1"/>
  <c r="AQ321" i="1" s="1"/>
  <c r="AQ349" i="1" s="1"/>
  <c r="AQ355" i="1" s="1"/>
  <c r="AQ360" i="1" s="1"/>
  <c r="AQ388" i="1" s="1"/>
  <c r="AQ394" i="1" s="1"/>
  <c r="AQ399" i="1" s="1"/>
  <c r="AQ427" i="1" s="1"/>
  <c r="AQ433" i="1" s="1"/>
  <c r="AQ438" i="1" s="1"/>
  <c r="AQ466" i="1" s="1"/>
  <c r="AQ472" i="1" s="1"/>
  <c r="AQ477" i="1" s="1"/>
  <c r="AQ505" i="1" s="1"/>
  <c r="AQ511" i="1" s="1"/>
  <c r="AQ516" i="1" s="1"/>
  <c r="AQ544" i="1" s="1"/>
  <c r="AQ550" i="1" s="1"/>
  <c r="AQ555" i="1" s="1"/>
  <c r="AQ583" i="1" s="1"/>
  <c r="AQ589" i="1" s="1"/>
  <c r="AQ594" i="1" s="1"/>
  <c r="AQ622" i="1" s="1"/>
  <c r="AQ628" i="1" s="1"/>
  <c r="AQ633" i="1" s="1"/>
  <c r="AQ661" i="1" s="1"/>
  <c r="AQ667" i="1" s="1"/>
  <c r="AQ672" i="1" s="1"/>
  <c r="AQ700" i="1" s="1"/>
  <c r="AQ706" i="1" s="1"/>
  <c r="AQ711" i="1" s="1"/>
  <c r="AQ739" i="1" s="1"/>
  <c r="AQ745" i="1" s="1"/>
  <c r="AQ750" i="1" s="1"/>
  <c r="AQ778" i="1" s="1"/>
  <c r="AQ784" i="1" s="1"/>
  <c r="AQ789" i="1" s="1"/>
  <c r="AQ817" i="1" s="1"/>
  <c r="AQ823" i="1" s="1"/>
  <c r="AQ828" i="1" s="1"/>
  <c r="AQ856" i="1" s="1"/>
  <c r="AQ862" i="1" s="1"/>
  <c r="AQ867" i="1" s="1"/>
  <c r="AQ895" i="1" s="1"/>
  <c r="AQ901" i="1" s="1"/>
  <c r="AQ906" i="1" s="1"/>
  <c r="AQ934" i="1" s="1"/>
  <c r="AQ940" i="1" s="1"/>
  <c r="AQ945" i="1" s="1"/>
  <c r="AQ973" i="1" s="1"/>
  <c r="AQ979" i="1" s="1"/>
  <c r="AQ984" i="1" s="1"/>
  <c r="AQ1012" i="1" s="1"/>
  <c r="AQ1018" i="1" s="1"/>
  <c r="AQ1023" i="1" s="1"/>
  <c r="AQ1051" i="1" s="1"/>
  <c r="AQ1057" i="1" s="1"/>
  <c r="AQ1062" i="1" s="1"/>
  <c r="AQ1090" i="1" s="1"/>
  <c r="AQ1096" i="1" s="1"/>
  <c r="AQ1101" i="1" s="1"/>
  <c r="AQ1129" i="1" s="1"/>
  <c r="AQ1135" i="1" s="1"/>
  <c r="AQ1140" i="1" s="1"/>
  <c r="AQ1168" i="1" s="1"/>
  <c r="AQ1174" i="1" s="1"/>
  <c r="AQ1179" i="1" s="1"/>
  <c r="AQ1207" i="1" s="1"/>
  <c r="AQ1213" i="1" s="1"/>
  <c r="AQ1218" i="1" s="1"/>
  <c r="AQ1246" i="1" s="1"/>
  <c r="AQ1252" i="1" s="1"/>
  <c r="AQ1257" i="1" s="1"/>
  <c r="AQ1285" i="1" s="1"/>
  <c r="AQ1291" i="1" s="1"/>
  <c r="AQ1296" i="1" s="1"/>
  <c r="AQ1324" i="1" s="1"/>
  <c r="AQ1330" i="1" s="1"/>
  <c r="AQ1335" i="1" s="1"/>
  <c r="AQ1363" i="1" s="1"/>
  <c r="AQ1369" i="1" s="1"/>
  <c r="AQ1374" i="1" s="1"/>
  <c r="AQ1402" i="1" s="1"/>
  <c r="AQ1408" i="1" s="1"/>
  <c r="AQ1413" i="1" s="1"/>
  <c r="AQ1441" i="1" s="1"/>
  <c r="AQ1447" i="1" s="1"/>
  <c r="AQ1452" i="1" s="1"/>
  <c r="AQ1480" i="1" s="1"/>
  <c r="AQ1486" i="1" s="1"/>
  <c r="AQ1491" i="1" s="1"/>
  <c r="AQ1519" i="1" s="1"/>
  <c r="AQ1525" i="1" s="1"/>
  <c r="AQ1530" i="1" s="1"/>
  <c r="AQ1558" i="1" s="1"/>
  <c r="AQ1564" i="1" s="1"/>
  <c r="AQ1569" i="1" s="1"/>
  <c r="AQ1597" i="1" s="1"/>
  <c r="AQ1603" i="1" s="1"/>
  <c r="AQ1608" i="1" s="1"/>
  <c r="AQ1636" i="1" s="1"/>
  <c r="AQ1642" i="1" s="1"/>
  <c r="AQ1647" i="1" s="1"/>
  <c r="AQ1675" i="1" s="1"/>
  <c r="AQ1681" i="1" s="1"/>
  <c r="AQ1686" i="1" s="1"/>
  <c r="BA47" i="1"/>
  <c r="BA54" i="1"/>
  <c r="BA61" i="1"/>
  <c r="AH75" i="1"/>
  <c r="Z132" i="1"/>
  <c r="BA133" i="1"/>
  <c r="BA136" i="1"/>
  <c r="BA191" i="1"/>
  <c r="AT192" i="1"/>
  <c r="Z185" i="1"/>
  <c r="M192" i="1"/>
  <c r="BA227" i="1"/>
  <c r="AQ350" i="1"/>
  <c r="AQ740" i="1" s="1"/>
  <c r="AQ779" i="1" s="1"/>
  <c r="AQ818" i="1" s="1"/>
  <c r="Z208" i="1"/>
  <c r="Z220" i="1"/>
  <c r="Z226" i="1"/>
  <c r="Y231" i="1"/>
  <c r="BA190" i="1"/>
  <c r="Z281" i="1"/>
  <c r="Z287" i="1"/>
  <c r="BA302" i="1"/>
  <c r="Z326" i="1"/>
  <c r="BA327" i="1"/>
  <c r="Z337" i="1"/>
  <c r="Z424" i="1"/>
  <c r="M426" i="1"/>
  <c r="Z464" i="1"/>
  <c r="Z484" i="1"/>
  <c r="BA618" i="1"/>
  <c r="Z96" i="1"/>
  <c r="Z137" i="1"/>
  <c r="BA171" i="1"/>
  <c r="BA179" i="1"/>
  <c r="Z172" i="1"/>
  <c r="Z181" i="1"/>
  <c r="Z190" i="1"/>
  <c r="Y192" i="1"/>
  <c r="BA203" i="1"/>
  <c r="BA226" i="1"/>
  <c r="Z207" i="1"/>
  <c r="Z228" i="1"/>
  <c r="Z256" i="1"/>
  <c r="Z259" i="1"/>
  <c r="Z299" i="1"/>
  <c r="Z319" i="1"/>
  <c r="BA333" i="1"/>
  <c r="Z410" i="1"/>
  <c r="Z413" i="1"/>
  <c r="Z463" i="1"/>
  <c r="BA474" i="1"/>
  <c r="Z489" i="1"/>
  <c r="BA480" i="1"/>
  <c r="BA606" i="1"/>
  <c r="Z608" i="1"/>
  <c r="BA609" i="1"/>
  <c r="Z614" i="1"/>
  <c r="Z649" i="1"/>
  <c r="Z267" i="1"/>
  <c r="BA287" i="1"/>
  <c r="Z289" i="1"/>
  <c r="BA293" i="1"/>
  <c r="AZ309" i="1"/>
  <c r="BA269" i="1"/>
  <c r="Z317" i="1"/>
  <c r="BA318" i="1"/>
  <c r="Z331" i="1"/>
  <c r="BA340" i="1"/>
  <c r="Z347" i="1"/>
  <c r="M348" i="1"/>
  <c r="Y348" i="1"/>
  <c r="Z366" i="1"/>
  <c r="Z368" i="1"/>
  <c r="BA412" i="1"/>
  <c r="BA383" i="1"/>
  <c r="Z397" i="1"/>
  <c r="Z401" i="1"/>
  <c r="Z417" i="1"/>
  <c r="Z445" i="1"/>
  <c r="Z490" i="1"/>
  <c r="BA526" i="1"/>
  <c r="Z573" i="1"/>
  <c r="Z600" i="1"/>
  <c r="BA641" i="1"/>
  <c r="BA653" i="1"/>
  <c r="Z648" i="1"/>
  <c r="BA619" i="1"/>
  <c r="AN660" i="1"/>
  <c r="Z631" i="1"/>
  <c r="AZ660" i="1"/>
  <c r="AT660" i="1"/>
  <c r="BA659" i="1"/>
  <c r="AH660" i="1"/>
  <c r="AR350" i="1"/>
  <c r="AR740" i="1" s="1"/>
  <c r="AR779" i="1" s="1"/>
  <c r="AR818" i="1" s="1"/>
  <c r="J37" i="1"/>
  <c r="J43" i="1" s="1"/>
  <c r="J48" i="1" s="1"/>
  <c r="J76" i="1" s="1"/>
  <c r="J82" i="1" s="1"/>
  <c r="J87" i="1" s="1"/>
  <c r="J115" i="1" s="1"/>
  <c r="J121" i="1" s="1"/>
  <c r="J126" i="1" s="1"/>
  <c r="J154" i="1" s="1"/>
  <c r="J160" i="1" s="1"/>
  <c r="J165" i="1" s="1"/>
  <c r="J193" i="1" s="1"/>
  <c r="J199" i="1" s="1"/>
  <c r="J204" i="1" s="1"/>
  <c r="J232" i="1" s="1"/>
  <c r="J238" i="1" s="1"/>
  <c r="J243" i="1" s="1"/>
  <c r="J271" i="1" s="1"/>
  <c r="J277" i="1" s="1"/>
  <c r="J282" i="1" s="1"/>
  <c r="J310" i="1" s="1"/>
  <c r="J316" i="1" s="1"/>
  <c r="J321" i="1" s="1"/>
  <c r="J349" i="1" s="1"/>
  <c r="J355" i="1" s="1"/>
  <c r="J360" i="1" s="1"/>
  <c r="J388" i="1" s="1"/>
  <c r="J394" i="1" s="1"/>
  <c r="J399" i="1" s="1"/>
  <c r="J427" i="1" s="1"/>
  <c r="J433" i="1" s="1"/>
  <c r="J438" i="1" s="1"/>
  <c r="J466" i="1" s="1"/>
  <c r="J472" i="1" s="1"/>
  <c r="J477" i="1" s="1"/>
  <c r="J505" i="1" s="1"/>
  <c r="J511" i="1" s="1"/>
  <c r="J516" i="1" s="1"/>
  <c r="J544" i="1" s="1"/>
  <c r="J550" i="1" s="1"/>
  <c r="J555" i="1" s="1"/>
  <c r="J583" i="1" s="1"/>
  <c r="J589" i="1" s="1"/>
  <c r="J594" i="1" s="1"/>
  <c r="J622" i="1" s="1"/>
  <c r="J628" i="1" s="1"/>
  <c r="J633" i="1" s="1"/>
  <c r="J661" i="1" s="1"/>
  <c r="J667" i="1" s="1"/>
  <c r="J672" i="1" s="1"/>
  <c r="J700" i="1" s="1"/>
  <c r="J706" i="1" s="1"/>
  <c r="J711" i="1" s="1"/>
  <c r="J739" i="1" s="1"/>
  <c r="J745" i="1" s="1"/>
  <c r="J750" i="1" s="1"/>
  <c r="J778" i="1" s="1"/>
  <c r="J784" i="1" s="1"/>
  <c r="J789" i="1" s="1"/>
  <c r="J817" i="1" s="1"/>
  <c r="J823" i="1" s="1"/>
  <c r="J828" i="1" s="1"/>
  <c r="J856" i="1" s="1"/>
  <c r="J862" i="1" s="1"/>
  <c r="J867" i="1" s="1"/>
  <c r="J895" i="1" s="1"/>
  <c r="J901" i="1" s="1"/>
  <c r="J906" i="1" s="1"/>
  <c r="J934" i="1" s="1"/>
  <c r="J940" i="1" s="1"/>
  <c r="J945" i="1" s="1"/>
  <c r="J973" i="1" s="1"/>
  <c r="J979" i="1" s="1"/>
  <c r="J984" i="1" s="1"/>
  <c r="J1012" i="1" s="1"/>
  <c r="J1018" i="1" s="1"/>
  <c r="J1023" i="1" s="1"/>
  <c r="J1051" i="1" s="1"/>
  <c r="J1057" i="1" s="1"/>
  <c r="J1062" i="1" s="1"/>
  <c r="J1090" i="1" s="1"/>
  <c r="J1096" i="1" s="1"/>
  <c r="J1101" i="1" s="1"/>
  <c r="J1129" i="1" s="1"/>
  <c r="J1135" i="1" s="1"/>
  <c r="J1140" i="1" s="1"/>
  <c r="J1168" i="1" s="1"/>
  <c r="J1174" i="1" s="1"/>
  <c r="J1179" i="1" s="1"/>
  <c r="J1207" i="1" s="1"/>
  <c r="J1213" i="1" s="1"/>
  <c r="AK37" i="1"/>
  <c r="AK43" i="1" s="1"/>
  <c r="AK48" i="1" s="1"/>
  <c r="AK76" i="1" s="1"/>
  <c r="AK82" i="1" s="1"/>
  <c r="AK87" i="1" s="1"/>
  <c r="AK115" i="1" s="1"/>
  <c r="AK121" i="1" s="1"/>
  <c r="AK126" i="1" s="1"/>
  <c r="AK154" i="1" s="1"/>
  <c r="AK160" i="1" s="1"/>
  <c r="AK165" i="1" s="1"/>
  <c r="AK193" i="1" s="1"/>
  <c r="AK199" i="1" s="1"/>
  <c r="AK204" i="1" s="1"/>
  <c r="AK232" i="1" s="1"/>
  <c r="AK238" i="1" s="1"/>
  <c r="AK243" i="1" s="1"/>
  <c r="AK271" i="1" s="1"/>
  <c r="AK277" i="1" s="1"/>
  <c r="AK282" i="1" s="1"/>
  <c r="AK310" i="1" s="1"/>
  <c r="AK316" i="1" s="1"/>
  <c r="AK321" i="1" s="1"/>
  <c r="AK349" i="1" s="1"/>
  <c r="AK355" i="1" s="1"/>
  <c r="AK360" i="1" s="1"/>
  <c r="AK388" i="1" s="1"/>
  <c r="AK394" i="1" s="1"/>
  <c r="AK399" i="1" s="1"/>
  <c r="AK427" i="1" s="1"/>
  <c r="AK433" i="1" s="1"/>
  <c r="AK438" i="1" s="1"/>
  <c r="AK466" i="1" s="1"/>
  <c r="AK472" i="1" s="1"/>
  <c r="AK477" i="1" s="1"/>
  <c r="AK505" i="1" s="1"/>
  <c r="AK511" i="1" s="1"/>
  <c r="AK516" i="1" s="1"/>
  <c r="AK544" i="1" s="1"/>
  <c r="AK550" i="1" s="1"/>
  <c r="AK555" i="1" s="1"/>
  <c r="AK583" i="1" s="1"/>
  <c r="AK589" i="1" s="1"/>
  <c r="AK594" i="1" s="1"/>
  <c r="AK622" i="1" s="1"/>
  <c r="AK628" i="1" s="1"/>
  <c r="AK633" i="1" s="1"/>
  <c r="AK661" i="1" s="1"/>
  <c r="AK667" i="1" s="1"/>
  <c r="AK672" i="1" s="1"/>
  <c r="AK700" i="1" s="1"/>
  <c r="AK706" i="1" s="1"/>
  <c r="AK711" i="1" s="1"/>
  <c r="AK739" i="1" s="1"/>
  <c r="AK745" i="1" s="1"/>
  <c r="AK750" i="1" s="1"/>
  <c r="AK778" i="1" s="1"/>
  <c r="AK784" i="1" s="1"/>
  <c r="AK789" i="1" s="1"/>
  <c r="AK817" i="1" s="1"/>
  <c r="AK823" i="1" s="1"/>
  <c r="AK828" i="1" s="1"/>
  <c r="AK856" i="1" s="1"/>
  <c r="AK862" i="1" s="1"/>
  <c r="AK867" i="1" s="1"/>
  <c r="AK895" i="1" s="1"/>
  <c r="AK901" i="1" s="1"/>
  <c r="AK906" i="1" s="1"/>
  <c r="AK934" i="1" s="1"/>
  <c r="AK940" i="1" s="1"/>
  <c r="AK945" i="1" s="1"/>
  <c r="AK973" i="1" s="1"/>
  <c r="AK979" i="1" s="1"/>
  <c r="AK984" i="1" s="1"/>
  <c r="AK1012" i="1" s="1"/>
  <c r="AK1018" i="1" s="1"/>
  <c r="AK1023" i="1" s="1"/>
  <c r="AK1051" i="1" s="1"/>
  <c r="AK1057" i="1" s="1"/>
  <c r="AK1062" i="1" s="1"/>
  <c r="AK1090" i="1" s="1"/>
  <c r="AK1096" i="1" s="1"/>
  <c r="AK1101" i="1" s="1"/>
  <c r="AK1129" i="1" s="1"/>
  <c r="AK1135" i="1" s="1"/>
  <c r="AK1140" i="1" s="1"/>
  <c r="AK1168" i="1" s="1"/>
  <c r="AK1174" i="1" s="1"/>
  <c r="AK1179" i="1" s="1"/>
  <c r="AK1207" i="1" s="1"/>
  <c r="AK1213" i="1" s="1"/>
  <c r="AK1218" i="1" s="1"/>
  <c r="AK1246" i="1" s="1"/>
  <c r="AK1252" i="1" s="1"/>
  <c r="AK1257" i="1" s="1"/>
  <c r="AK1285" i="1" s="1"/>
  <c r="AK1291" i="1" s="1"/>
  <c r="AK1296" i="1" s="1"/>
  <c r="AK1324" i="1" s="1"/>
  <c r="AK1330" i="1" s="1"/>
  <c r="AK1335" i="1" s="1"/>
  <c r="AK1363" i="1" s="1"/>
  <c r="AK1369" i="1" s="1"/>
  <c r="AK1374" i="1" s="1"/>
  <c r="AK1402" i="1" s="1"/>
  <c r="AK1408" i="1" s="1"/>
  <c r="AK1413" i="1" s="1"/>
  <c r="AK1441" i="1" s="1"/>
  <c r="AK1447" i="1" s="1"/>
  <c r="AK1452" i="1" s="1"/>
  <c r="AK1480" i="1" s="1"/>
  <c r="AK1486" i="1" s="1"/>
  <c r="AK1491" i="1" s="1"/>
  <c r="AK1519" i="1" s="1"/>
  <c r="AK1525" i="1" s="1"/>
  <c r="AK1530" i="1" s="1"/>
  <c r="AK1558" i="1" s="1"/>
  <c r="AK1564" i="1" s="1"/>
  <c r="AK1569" i="1" s="1"/>
  <c r="AK1597" i="1" s="1"/>
  <c r="AK1603" i="1" s="1"/>
  <c r="AK1608" i="1" s="1"/>
  <c r="AK1636" i="1" s="1"/>
  <c r="AK1642" i="1" s="1"/>
  <c r="AK1647" i="1" s="1"/>
  <c r="AK1675" i="1" s="1"/>
  <c r="AK1681" i="1" s="1"/>
  <c r="AK1686" i="1" s="1"/>
  <c r="Z20" i="1"/>
  <c r="Y9" i="1"/>
  <c r="BA64" i="1"/>
  <c r="BA70" i="1"/>
  <c r="Z49" i="1"/>
  <c r="Z56" i="1"/>
  <c r="Z60" i="1"/>
  <c r="Z62" i="1"/>
  <c r="Z68" i="1"/>
  <c r="Z72" i="1"/>
  <c r="Z74" i="1"/>
  <c r="M75" i="1"/>
  <c r="Z83" i="1"/>
  <c r="BA91" i="1"/>
  <c r="BA92" i="1"/>
  <c r="BA94" i="1"/>
  <c r="BA16" i="1"/>
  <c r="AK155" i="1"/>
  <c r="AE350" i="1"/>
  <c r="AE740" i="1" s="1"/>
  <c r="AE779" i="1" s="1"/>
  <c r="AE818" i="1" s="1"/>
  <c r="AT348" i="1"/>
  <c r="AY37" i="1"/>
  <c r="AY43" i="1" s="1"/>
  <c r="AY48" i="1" s="1"/>
  <c r="AY76" i="1" s="1"/>
  <c r="AY82" i="1" s="1"/>
  <c r="AY87" i="1" s="1"/>
  <c r="AY115" i="1" s="1"/>
  <c r="AY121" i="1" s="1"/>
  <c r="AY126" i="1" s="1"/>
  <c r="AY154" i="1" s="1"/>
  <c r="AY160" i="1" s="1"/>
  <c r="AY165" i="1" s="1"/>
  <c r="AY193" i="1" s="1"/>
  <c r="AY199" i="1" s="1"/>
  <c r="AY204" i="1" s="1"/>
  <c r="AY232" i="1" s="1"/>
  <c r="AY238" i="1" s="1"/>
  <c r="AY243" i="1" s="1"/>
  <c r="AY271" i="1" s="1"/>
  <c r="AY277" i="1" s="1"/>
  <c r="AY282" i="1" s="1"/>
  <c r="AY310" i="1" s="1"/>
  <c r="AY316" i="1" s="1"/>
  <c r="AY321" i="1" s="1"/>
  <c r="AY349" i="1" s="1"/>
  <c r="AY355" i="1" s="1"/>
  <c r="AY360" i="1" s="1"/>
  <c r="AY388" i="1" s="1"/>
  <c r="AY394" i="1" s="1"/>
  <c r="AY399" i="1" s="1"/>
  <c r="AY427" i="1" s="1"/>
  <c r="AY433" i="1" s="1"/>
  <c r="AY438" i="1" s="1"/>
  <c r="AY466" i="1" s="1"/>
  <c r="AY472" i="1" s="1"/>
  <c r="AY477" i="1" s="1"/>
  <c r="AY505" i="1" s="1"/>
  <c r="AY511" i="1" s="1"/>
  <c r="AY516" i="1" s="1"/>
  <c r="AY544" i="1" s="1"/>
  <c r="AY550" i="1" s="1"/>
  <c r="AY555" i="1" s="1"/>
  <c r="AY583" i="1" s="1"/>
  <c r="AY589" i="1" s="1"/>
  <c r="AY594" i="1" s="1"/>
  <c r="AY622" i="1" s="1"/>
  <c r="AY628" i="1" s="1"/>
  <c r="AY633" i="1" s="1"/>
  <c r="AY661" i="1" s="1"/>
  <c r="AY667" i="1" s="1"/>
  <c r="AY672" i="1" s="1"/>
  <c r="AY700" i="1" s="1"/>
  <c r="AY706" i="1" s="1"/>
  <c r="AY711" i="1" s="1"/>
  <c r="AY739" i="1" s="1"/>
  <c r="AY745" i="1" s="1"/>
  <c r="AY750" i="1" s="1"/>
  <c r="AY778" i="1" s="1"/>
  <c r="AY784" i="1" s="1"/>
  <c r="AY789" i="1" s="1"/>
  <c r="AY817" i="1" s="1"/>
  <c r="AY823" i="1" s="1"/>
  <c r="AY828" i="1" s="1"/>
  <c r="AY856" i="1" s="1"/>
  <c r="AY862" i="1" s="1"/>
  <c r="AY867" i="1" s="1"/>
  <c r="AY895" i="1" s="1"/>
  <c r="AY901" i="1" s="1"/>
  <c r="AY906" i="1" s="1"/>
  <c r="AY934" i="1" s="1"/>
  <c r="AY940" i="1" s="1"/>
  <c r="AY945" i="1" s="1"/>
  <c r="AY973" i="1" s="1"/>
  <c r="AY979" i="1" s="1"/>
  <c r="AY984" i="1" s="1"/>
  <c r="AY1012" i="1" s="1"/>
  <c r="AY1018" i="1" s="1"/>
  <c r="AY1023" i="1" s="1"/>
  <c r="AY1051" i="1" s="1"/>
  <c r="AY1057" i="1" s="1"/>
  <c r="AY1062" i="1" s="1"/>
  <c r="AY1090" i="1" s="1"/>
  <c r="AY1096" i="1" s="1"/>
  <c r="AY1101" i="1" s="1"/>
  <c r="AY1129" i="1" s="1"/>
  <c r="AY1135" i="1" s="1"/>
  <c r="AY1140" i="1" s="1"/>
  <c r="AY1168" i="1" s="1"/>
  <c r="AY1174" i="1" s="1"/>
  <c r="AY1179" i="1" s="1"/>
  <c r="AY1207" i="1" s="1"/>
  <c r="AY1213" i="1" s="1"/>
  <c r="AY1218" i="1" s="1"/>
  <c r="AY1246" i="1" s="1"/>
  <c r="AY1252" i="1" s="1"/>
  <c r="AY1257" i="1" s="1"/>
  <c r="AY1285" i="1" s="1"/>
  <c r="AY1291" i="1" s="1"/>
  <c r="AY1296" i="1" s="1"/>
  <c r="AY1324" i="1" s="1"/>
  <c r="AY1330" i="1" s="1"/>
  <c r="AY1335" i="1" s="1"/>
  <c r="AY1363" i="1" s="1"/>
  <c r="AY1369" i="1" s="1"/>
  <c r="AY1374" i="1" s="1"/>
  <c r="AY1402" i="1" s="1"/>
  <c r="AY1408" i="1" s="1"/>
  <c r="AY1413" i="1" s="1"/>
  <c r="AY1441" i="1" s="1"/>
  <c r="AY1447" i="1" s="1"/>
  <c r="AY1452" i="1" s="1"/>
  <c r="AY1480" i="1" s="1"/>
  <c r="AY1486" i="1" s="1"/>
  <c r="AY1491" i="1" s="1"/>
  <c r="AY1519" i="1" s="1"/>
  <c r="AY1525" i="1" s="1"/>
  <c r="AY1530" i="1" s="1"/>
  <c r="AY1558" i="1" s="1"/>
  <c r="AY1564" i="1" s="1"/>
  <c r="AY1569" i="1" s="1"/>
  <c r="AY1597" i="1" s="1"/>
  <c r="AY1603" i="1" s="1"/>
  <c r="AY1608" i="1" s="1"/>
  <c r="AY1636" i="1" s="1"/>
  <c r="AY1642" i="1" s="1"/>
  <c r="AY1647" i="1" s="1"/>
  <c r="AY1675" i="1" s="1"/>
  <c r="AY1681" i="1" s="1"/>
  <c r="AY1686" i="1" s="1"/>
  <c r="BA51" i="1"/>
  <c r="BA59" i="1"/>
  <c r="Z95" i="1"/>
  <c r="Z108" i="1"/>
  <c r="G114" i="1"/>
  <c r="BA125" i="1"/>
  <c r="BA130" i="1"/>
  <c r="AY350" i="1"/>
  <c r="AY740" i="1" s="1"/>
  <c r="AY779" i="1" s="1"/>
  <c r="AY818" i="1" s="1"/>
  <c r="AM350" i="1"/>
  <c r="AM740" i="1" s="1"/>
  <c r="AM779" i="1" s="1"/>
  <c r="AM818" i="1" s="1"/>
  <c r="AH309" i="1"/>
  <c r="Z500" i="1"/>
  <c r="AT75" i="1"/>
  <c r="Z19" i="1"/>
  <c r="Z23" i="1"/>
  <c r="Z31" i="1"/>
  <c r="AO155" i="1"/>
  <c r="AT36" i="1"/>
  <c r="Z98" i="1"/>
  <c r="Z102" i="1"/>
  <c r="AN153" i="1"/>
  <c r="BA152" i="1"/>
  <c r="Z171" i="1"/>
  <c r="Z604" i="1"/>
  <c r="Z50" i="1"/>
  <c r="Z53" i="1"/>
  <c r="Z57" i="1"/>
  <c r="Z59" i="1"/>
  <c r="Z63" i="1"/>
  <c r="Z65" i="1"/>
  <c r="S75" i="1"/>
  <c r="BA88" i="1"/>
  <c r="Z92" i="1"/>
  <c r="BA246" i="1"/>
  <c r="Z440" i="1"/>
  <c r="AS155" i="1"/>
  <c r="Z176" i="1"/>
  <c r="Z188" i="1"/>
  <c r="BA218" i="1"/>
  <c r="Z201" i="1"/>
  <c r="AT270" i="1"/>
  <c r="Z305" i="1"/>
  <c r="G309" i="1"/>
  <c r="Z333" i="1"/>
  <c r="Y426" i="1"/>
  <c r="G465" i="1"/>
  <c r="BA491" i="1"/>
  <c r="Z482" i="1"/>
  <c r="Z494" i="1"/>
  <c r="Z540" i="1"/>
  <c r="BA580" i="1"/>
  <c r="BA581" i="1"/>
  <c r="Z598" i="1"/>
  <c r="BA608" i="1"/>
  <c r="BA613" i="1"/>
  <c r="Z620" i="1"/>
  <c r="M621" i="1"/>
  <c r="Z8" i="1"/>
  <c r="Z18" i="1"/>
  <c r="BA69" i="1"/>
  <c r="Z47" i="1"/>
  <c r="Z55" i="1"/>
  <c r="Z61" i="1"/>
  <c r="Z67" i="1"/>
  <c r="Z73" i="1"/>
  <c r="Y75" i="1"/>
  <c r="Z149" i="1"/>
  <c r="Z162" i="1"/>
  <c r="AO350" i="1"/>
  <c r="AO740" i="1" s="1"/>
  <c r="AO779" i="1" s="1"/>
  <c r="AO818" i="1" s="1"/>
  <c r="BA249" i="1"/>
  <c r="AN270" i="1"/>
  <c r="Z257" i="1"/>
  <c r="Z285" i="1"/>
  <c r="Z342" i="1"/>
  <c r="BA369" i="1"/>
  <c r="BA371" i="1"/>
  <c r="BA396" i="1"/>
  <c r="BA407" i="1"/>
  <c r="BA367" i="1"/>
  <c r="BA457" i="1"/>
  <c r="BA434" i="1"/>
  <c r="Z492" i="1"/>
  <c r="Z496" i="1"/>
  <c r="Z498" i="1"/>
  <c r="BA554" i="1"/>
  <c r="BA635" i="1"/>
  <c r="BA639" i="1"/>
  <c r="Z646" i="1"/>
  <c r="BA4" i="1"/>
  <c r="BA22" i="1"/>
  <c r="BA24" i="1"/>
  <c r="BA34" i="1"/>
  <c r="AD155" i="1"/>
  <c r="AW350" i="1"/>
  <c r="AW740" i="1" s="1"/>
  <c r="AW779" i="1" s="1"/>
  <c r="AW818" i="1" s="1"/>
  <c r="BA83" i="1"/>
  <c r="Z99" i="1"/>
  <c r="Z175" i="1"/>
  <c r="BA285" i="1"/>
  <c r="Z304" i="1"/>
  <c r="BA326" i="1"/>
  <c r="BA329" i="1"/>
  <c r="Z344" i="1"/>
  <c r="Z396" i="1"/>
  <c r="AT465" i="1"/>
  <c r="BA577" i="1"/>
  <c r="BA614" i="1"/>
  <c r="AT621" i="1"/>
  <c r="BA553" i="1"/>
  <c r="BA637" i="1"/>
  <c r="BA645" i="1"/>
  <c r="BA647" i="1"/>
  <c r="Z642" i="1"/>
  <c r="Z659" i="1"/>
  <c r="M660" i="1"/>
  <c r="Y660" i="1"/>
  <c r="BA620" i="1"/>
  <c r="BA167" i="1"/>
  <c r="BA177" i="1"/>
  <c r="Z211" i="1"/>
  <c r="BA248" i="1"/>
  <c r="Z240" i="1"/>
  <c r="BA298" i="1"/>
  <c r="BA300" i="1"/>
  <c r="BA336" i="1"/>
  <c r="Z362" i="1"/>
  <c r="Z458" i="1"/>
  <c r="BA385" i="1"/>
  <c r="BA500" i="1"/>
  <c r="Z487" i="1"/>
  <c r="Z491" i="1"/>
  <c r="Z554" i="1"/>
  <c r="BA616" i="1"/>
  <c r="BA655" i="1"/>
  <c r="BA657" i="1"/>
  <c r="Z654" i="1"/>
  <c r="Z11" i="1"/>
  <c r="V37" i="1"/>
  <c r="BA56" i="1"/>
  <c r="BA68" i="1"/>
  <c r="BA74" i="1"/>
  <c r="Z46" i="1"/>
  <c r="Z52" i="1"/>
  <c r="Z58" i="1"/>
  <c r="Z64" i="1"/>
  <c r="Z70" i="1"/>
  <c r="G75" i="1"/>
  <c r="Z86" i="1"/>
  <c r="Z152" i="1"/>
  <c r="BA113" i="1"/>
  <c r="Z200" i="1"/>
  <c r="Z268" i="1"/>
  <c r="BA328" i="1"/>
  <c r="BA358" i="1"/>
  <c r="BA362" i="1"/>
  <c r="Z379" i="1"/>
  <c r="AN504" i="1"/>
  <c r="Z572" i="1"/>
  <c r="Z612" i="1"/>
  <c r="BA592" i="1"/>
  <c r="Z16" i="1"/>
  <c r="BA31" i="1"/>
  <c r="Z13" i="1"/>
  <c r="BA60" i="1"/>
  <c r="BA101" i="1"/>
  <c r="AG350" i="1"/>
  <c r="AG740" i="1" s="1"/>
  <c r="AG779" i="1" s="1"/>
  <c r="AG818" i="1" s="1"/>
  <c r="BA185" i="1"/>
  <c r="Z174" i="1"/>
  <c r="Z178" i="1"/>
  <c r="BA299" i="1"/>
  <c r="BA305" i="1"/>
  <c r="Z327" i="1"/>
  <c r="Z329" i="1"/>
  <c r="BA345" i="1"/>
  <c r="Z383" i="1"/>
  <c r="BA456" i="1"/>
  <c r="Z443" i="1"/>
  <c r="Z497" i="1"/>
  <c r="Z479" i="1"/>
  <c r="Z579" i="1"/>
  <c r="BA607" i="1"/>
  <c r="BA610" i="1"/>
  <c r="Z657" i="1"/>
  <c r="AN192" i="1"/>
  <c r="AI350" i="1"/>
  <c r="AI740" i="1" s="1"/>
  <c r="AI779" i="1" s="1"/>
  <c r="AI818" i="1" s="1"/>
  <c r="Z4" i="1"/>
  <c r="BA210" i="1"/>
  <c r="BA103" i="1"/>
  <c r="Z5" i="1"/>
  <c r="BA50" i="1"/>
  <c r="Z12" i="1"/>
  <c r="Z209" i="1"/>
  <c r="Z343" i="1"/>
  <c r="Z369" i="1"/>
  <c r="BA402" i="1"/>
  <c r="Z422" i="1"/>
  <c r="Z474" i="1"/>
  <c r="BA481" i="1"/>
  <c r="Z541" i="1"/>
  <c r="Z575" i="1"/>
  <c r="BA439" i="1"/>
  <c r="BA147" i="1"/>
  <c r="AN114" i="1"/>
  <c r="BA257" i="1"/>
  <c r="BA332" i="1"/>
  <c r="AS350" i="1"/>
  <c r="AS740" i="1" s="1"/>
  <c r="AS779" i="1" s="1"/>
  <c r="AS818" i="1" s="1"/>
  <c r="Z359" i="1"/>
  <c r="Z434" i="1"/>
  <c r="Z437" i="1"/>
  <c r="Z483" i="1"/>
  <c r="Y504" i="1"/>
  <c r="BA605" i="1"/>
  <c r="Z617" i="1"/>
  <c r="BA656" i="1"/>
  <c r="BA7" i="1"/>
  <c r="M36" i="1"/>
  <c r="P37" i="1"/>
  <c r="P43" i="1" s="1"/>
  <c r="P48" i="1" s="1"/>
  <c r="P76" i="1" s="1"/>
  <c r="P82" i="1" s="1"/>
  <c r="P87" i="1" s="1"/>
  <c r="P115" i="1" s="1"/>
  <c r="P121" i="1" s="1"/>
  <c r="P126" i="1" s="1"/>
  <c r="P154" i="1" s="1"/>
  <c r="P160" i="1" s="1"/>
  <c r="P165" i="1" s="1"/>
  <c r="P193" i="1" s="1"/>
  <c r="P199" i="1" s="1"/>
  <c r="P204" i="1" s="1"/>
  <c r="P232" i="1" s="1"/>
  <c r="P238" i="1" s="1"/>
  <c r="P243" i="1" s="1"/>
  <c r="P271" i="1" s="1"/>
  <c r="P277" i="1" s="1"/>
  <c r="P282" i="1" s="1"/>
  <c r="P310" i="1" s="1"/>
  <c r="P316" i="1" s="1"/>
  <c r="P321" i="1" s="1"/>
  <c r="P349" i="1" s="1"/>
  <c r="P355" i="1" s="1"/>
  <c r="P360" i="1" s="1"/>
  <c r="P388" i="1" s="1"/>
  <c r="P394" i="1" s="1"/>
  <c r="P399" i="1" s="1"/>
  <c r="P427" i="1" s="1"/>
  <c r="P433" i="1" s="1"/>
  <c r="P438" i="1" s="1"/>
  <c r="P466" i="1" s="1"/>
  <c r="P472" i="1" s="1"/>
  <c r="P477" i="1" s="1"/>
  <c r="P505" i="1" s="1"/>
  <c r="P511" i="1" s="1"/>
  <c r="P516" i="1" s="1"/>
  <c r="P544" i="1" s="1"/>
  <c r="P550" i="1" s="1"/>
  <c r="P555" i="1" s="1"/>
  <c r="P583" i="1" s="1"/>
  <c r="P589" i="1" s="1"/>
  <c r="P594" i="1" s="1"/>
  <c r="P622" i="1" s="1"/>
  <c r="P628" i="1" s="1"/>
  <c r="P633" i="1" s="1"/>
  <c r="P661" i="1" s="1"/>
  <c r="P667" i="1" s="1"/>
  <c r="P672" i="1" s="1"/>
  <c r="P700" i="1" s="1"/>
  <c r="P706" i="1" s="1"/>
  <c r="P711" i="1" s="1"/>
  <c r="P739" i="1" s="1"/>
  <c r="P745" i="1" s="1"/>
  <c r="P750" i="1" s="1"/>
  <c r="P778" i="1" s="1"/>
  <c r="P784" i="1" s="1"/>
  <c r="P789" i="1" s="1"/>
  <c r="P817" i="1" s="1"/>
  <c r="P823" i="1" s="1"/>
  <c r="P828" i="1" s="1"/>
  <c r="P856" i="1" s="1"/>
  <c r="P862" i="1" s="1"/>
  <c r="P867" i="1" s="1"/>
  <c r="P895" i="1" s="1"/>
  <c r="P901" i="1" s="1"/>
  <c r="P906" i="1" s="1"/>
  <c r="P934" i="1" s="1"/>
  <c r="P940" i="1" s="1"/>
  <c r="P945" i="1" s="1"/>
  <c r="P973" i="1" s="1"/>
  <c r="P979" i="1" s="1"/>
  <c r="P984" i="1" s="1"/>
  <c r="P1012" i="1" s="1"/>
  <c r="P1018" i="1" s="1"/>
  <c r="P1023" i="1" s="1"/>
  <c r="P1051" i="1" s="1"/>
  <c r="P1057" i="1" s="1"/>
  <c r="P1062" i="1" s="1"/>
  <c r="P1090" i="1" s="1"/>
  <c r="P1096" i="1" s="1"/>
  <c r="P1101" i="1" s="1"/>
  <c r="P1129" i="1" s="1"/>
  <c r="P1135" i="1" s="1"/>
  <c r="P1140" i="1" s="1"/>
  <c r="P1168" i="1" s="1"/>
  <c r="P1174" i="1" s="1"/>
  <c r="P1179" i="1" s="1"/>
  <c r="P1207" i="1" s="1"/>
  <c r="P1213" i="1" s="1"/>
  <c r="P1218" i="1" s="1"/>
  <c r="P1246" i="1" s="1"/>
  <c r="P1252" i="1" s="1"/>
  <c r="P1257" i="1" s="1"/>
  <c r="P1285" i="1" s="1"/>
  <c r="P1291" i="1" s="1"/>
  <c r="P1296" i="1" s="1"/>
  <c r="P1324" i="1" s="1"/>
  <c r="P1330" i="1" s="1"/>
  <c r="P1335" i="1" s="1"/>
  <c r="P1363" i="1" s="1"/>
  <c r="P1369" i="1" s="1"/>
  <c r="Z101" i="1"/>
  <c r="Z104" i="1"/>
  <c r="Z107" i="1"/>
  <c r="S153" i="1"/>
  <c r="Z184" i="1"/>
  <c r="BA223" i="1"/>
  <c r="BA239" i="1"/>
  <c r="M465" i="1"/>
  <c r="BA490" i="1"/>
  <c r="Z502" i="1"/>
  <c r="BA538" i="1"/>
  <c r="Z602" i="1"/>
  <c r="BA643" i="1"/>
  <c r="Z650" i="1"/>
  <c r="L2271" i="1" l="1"/>
  <c r="Q2115" i="1"/>
  <c r="AG1714" i="1"/>
  <c r="AG1720" i="1" s="1"/>
  <c r="AG1725" i="1" s="1"/>
  <c r="AG1753" i="1" s="1"/>
  <c r="AG1759" i="1" s="1"/>
  <c r="AG1764" i="1" s="1"/>
  <c r="AG1792" i="1" s="1"/>
  <c r="AE1714" i="1"/>
  <c r="AE1720" i="1" s="1"/>
  <c r="AE1725" i="1" s="1"/>
  <c r="AE1753" i="1" s="1"/>
  <c r="AE1759" i="1" s="1"/>
  <c r="AE1764" i="1" s="1"/>
  <c r="AE1792" i="1" s="1"/>
  <c r="AY1714" i="1"/>
  <c r="AY1720" i="1" s="1"/>
  <c r="AY1725" i="1" s="1"/>
  <c r="AY1753" i="1" s="1"/>
  <c r="AY1759" i="1" s="1"/>
  <c r="AY1764" i="1" s="1"/>
  <c r="AY1792" i="1" s="1"/>
  <c r="AF1714" i="1"/>
  <c r="AF1720" i="1" s="1"/>
  <c r="AF1725" i="1" s="1"/>
  <c r="AF1753" i="1" s="1"/>
  <c r="AF1759" i="1" s="1"/>
  <c r="AF1764" i="1" s="1"/>
  <c r="AF1792" i="1" s="1"/>
  <c r="AQ1714" i="1"/>
  <c r="AQ1720" i="1" s="1"/>
  <c r="AQ1725" i="1" s="1"/>
  <c r="AQ1753" i="1" s="1"/>
  <c r="AQ1759" i="1" s="1"/>
  <c r="AQ1764" i="1" s="1"/>
  <c r="AQ1792" i="1" s="1"/>
  <c r="AK1714" i="1"/>
  <c r="AK1720" i="1" s="1"/>
  <c r="AK1725" i="1" s="1"/>
  <c r="AK1753" i="1" s="1"/>
  <c r="AK1759" i="1" s="1"/>
  <c r="AK1764" i="1" s="1"/>
  <c r="AK1792" i="1" s="1"/>
  <c r="AM1714" i="1"/>
  <c r="AM1720" i="1" s="1"/>
  <c r="AM1725" i="1" s="1"/>
  <c r="AM1753" i="1" s="1"/>
  <c r="AM1759" i="1" s="1"/>
  <c r="AM1764" i="1" s="1"/>
  <c r="AM1792" i="1" s="1"/>
  <c r="AW1714" i="1"/>
  <c r="AW1720" i="1" s="1"/>
  <c r="AW1725" i="1" s="1"/>
  <c r="AW1753" i="1" s="1"/>
  <c r="AW1759" i="1" s="1"/>
  <c r="AW1764" i="1" s="1"/>
  <c r="AW1792" i="1" s="1"/>
  <c r="AS1714" i="1"/>
  <c r="AS1720" i="1" s="1"/>
  <c r="AS1725" i="1" s="1"/>
  <c r="AS1753" i="1" s="1"/>
  <c r="AS1759" i="1" s="1"/>
  <c r="AS1764" i="1" s="1"/>
  <c r="AS1792" i="1" s="1"/>
  <c r="AL1714" i="1"/>
  <c r="AL1720" i="1" s="1"/>
  <c r="AL1725" i="1" s="1"/>
  <c r="AL1753" i="1" s="1"/>
  <c r="AL1759" i="1" s="1"/>
  <c r="AL1764" i="1" s="1"/>
  <c r="AL1792" i="1" s="1"/>
  <c r="R1530" i="1"/>
  <c r="O1413" i="1"/>
  <c r="P1374" i="1"/>
  <c r="W1296" i="1"/>
  <c r="I1296" i="1"/>
  <c r="C1296" i="1"/>
  <c r="J1218" i="1"/>
  <c r="J1246" i="1" s="1"/>
  <c r="J1252" i="1" s="1"/>
  <c r="J1257" i="1" s="1"/>
  <c r="J1285" i="1" s="1"/>
  <c r="J1291" i="1" s="1"/>
  <c r="J1296" i="1" s="1"/>
  <c r="J1324" i="1" s="1"/>
  <c r="J1330" i="1" s="1"/>
  <c r="J1335" i="1" s="1"/>
  <c r="J1363" i="1" s="1"/>
  <c r="J1369" i="1" s="1"/>
  <c r="J1374" i="1" s="1"/>
  <c r="J1402" i="1" s="1"/>
  <c r="J1408" i="1" s="1"/>
  <c r="J1413" i="1" s="1"/>
  <c r="J1441" i="1" s="1"/>
  <c r="J1447" i="1" s="1"/>
  <c r="J1452" i="1" s="1"/>
  <c r="J1480" i="1" s="1"/>
  <c r="J1486" i="1" s="1"/>
  <c r="J1491" i="1" s="1"/>
  <c r="J1519" i="1" s="1"/>
  <c r="J1525" i="1" s="1"/>
  <c r="J1530" i="1" s="1"/>
  <c r="J1558" i="1" s="1"/>
  <c r="J1564" i="1" s="1"/>
  <c r="J1569" i="1" s="1"/>
  <c r="J1597" i="1" s="1"/>
  <c r="J1603" i="1" s="1"/>
  <c r="J1608" i="1" s="1"/>
  <c r="J1636" i="1" s="1"/>
  <c r="J1642" i="1" s="1"/>
  <c r="J1647" i="1" s="1"/>
  <c r="J1675" i="1" s="1"/>
  <c r="J1681" i="1" s="1"/>
  <c r="J1686" i="1" s="1"/>
  <c r="J1714" i="1" s="1"/>
  <c r="J1720" i="1" s="1"/>
  <c r="J1725" i="1" s="1"/>
  <c r="J1753" i="1" s="1"/>
  <c r="J1759" i="1" s="1"/>
  <c r="D1218" i="1"/>
  <c r="AF935" i="1"/>
  <c r="AP935" i="1"/>
  <c r="AW935" i="1"/>
  <c r="AI935" i="1"/>
  <c r="AG935" i="1"/>
  <c r="AV935" i="1"/>
  <c r="AO935" i="1"/>
  <c r="AY935" i="1"/>
  <c r="AX935" i="1"/>
  <c r="AS935" i="1"/>
  <c r="AR935" i="1"/>
  <c r="AQ935" i="1"/>
  <c r="AU935" i="1"/>
  <c r="AL935" i="1"/>
  <c r="AK935" i="1"/>
  <c r="AJ935" i="1"/>
  <c r="AM935" i="1"/>
  <c r="AE935" i="1"/>
  <c r="AD935" i="1"/>
  <c r="AC935" i="1"/>
  <c r="AV984" i="1"/>
  <c r="AV1012" i="1" s="1"/>
  <c r="AV1018" i="1" s="1"/>
  <c r="AV1023" i="1" s="1"/>
  <c r="AV1051" i="1" s="1"/>
  <c r="AV1057" i="1" s="1"/>
  <c r="AV1062" i="1" s="1"/>
  <c r="AV1090" i="1" s="1"/>
  <c r="AV1096" i="1" s="1"/>
  <c r="AV1101" i="1" s="1"/>
  <c r="AV1129" i="1" s="1"/>
  <c r="AV1135" i="1" s="1"/>
  <c r="AV1140" i="1" s="1"/>
  <c r="AV1168" i="1" s="1"/>
  <c r="AV1174" i="1" s="1"/>
  <c r="AV1179" i="1" s="1"/>
  <c r="AV1207" i="1" s="1"/>
  <c r="AV1213" i="1" s="1"/>
  <c r="AV1218" i="1" s="1"/>
  <c r="AV1246" i="1" s="1"/>
  <c r="AV1252" i="1" s="1"/>
  <c r="AV1257" i="1" s="1"/>
  <c r="AV1285" i="1" s="1"/>
  <c r="AV1291" i="1" s="1"/>
  <c r="AJ984" i="1"/>
  <c r="AJ1012" i="1" s="1"/>
  <c r="AJ1018" i="1" s="1"/>
  <c r="AJ1023" i="1" s="1"/>
  <c r="AJ1051" i="1" s="1"/>
  <c r="AJ1057" i="1" s="1"/>
  <c r="AJ1062" i="1" s="1"/>
  <c r="AJ1090" i="1" s="1"/>
  <c r="AJ1096" i="1" s="1"/>
  <c r="AJ1101" i="1" s="1"/>
  <c r="AJ1129" i="1" s="1"/>
  <c r="AJ1135" i="1" s="1"/>
  <c r="AJ1140" i="1" s="1"/>
  <c r="AJ1168" i="1" s="1"/>
  <c r="AJ1174" i="1" s="1"/>
  <c r="AJ1179" i="1" s="1"/>
  <c r="AJ1207" i="1" s="1"/>
  <c r="AJ1213" i="1" s="1"/>
  <c r="AJ1218" i="1" s="1"/>
  <c r="AJ1246" i="1" s="1"/>
  <c r="AJ1252" i="1" s="1"/>
  <c r="AR828" i="1"/>
  <c r="AR856" i="1" s="1"/>
  <c r="AR862" i="1" s="1"/>
  <c r="AR867" i="1" s="1"/>
  <c r="AR895" i="1" s="1"/>
  <c r="AR901" i="1" s="1"/>
  <c r="AR906" i="1" s="1"/>
  <c r="AR934" i="1" s="1"/>
  <c r="AR940" i="1" s="1"/>
  <c r="AR945" i="1" s="1"/>
  <c r="AR973" i="1" s="1"/>
  <c r="AR979" i="1" s="1"/>
  <c r="AR984" i="1" s="1"/>
  <c r="AR1012" i="1" s="1"/>
  <c r="AR1018" i="1" s="1"/>
  <c r="AR1023" i="1" s="1"/>
  <c r="AR1051" i="1" s="1"/>
  <c r="AR1057" i="1" s="1"/>
  <c r="AR1062" i="1" s="1"/>
  <c r="AR1090" i="1" s="1"/>
  <c r="AR1096" i="1" s="1"/>
  <c r="AR1101" i="1" s="1"/>
  <c r="AR1129" i="1" s="1"/>
  <c r="AR1135" i="1" s="1"/>
  <c r="AR1140" i="1" s="1"/>
  <c r="AR1168" i="1" s="1"/>
  <c r="AR1174" i="1" s="1"/>
  <c r="AR1179" i="1" s="1"/>
  <c r="AR1207" i="1" s="1"/>
  <c r="AR1213" i="1" s="1"/>
  <c r="AR1218" i="1" s="1"/>
  <c r="AR1246" i="1" s="1"/>
  <c r="AR1252" i="1" s="1"/>
  <c r="AR1257" i="1" s="1"/>
  <c r="AR1285" i="1" s="1"/>
  <c r="AR1291" i="1" s="1"/>
  <c r="AR1296" i="1" s="1"/>
  <c r="AR1324" i="1" s="1"/>
  <c r="AR1330" i="1" s="1"/>
  <c r="AR1335" i="1" s="1"/>
  <c r="AR1363" i="1" s="1"/>
  <c r="AR1369" i="1" s="1"/>
  <c r="AR1374" i="1" s="1"/>
  <c r="AR1402" i="1" s="1"/>
  <c r="AR1408" i="1" s="1"/>
  <c r="AR1413" i="1" s="1"/>
  <c r="AR1441" i="1" s="1"/>
  <c r="AR1447" i="1" s="1"/>
  <c r="AR1452" i="1" s="1"/>
  <c r="AR1480" i="1" s="1"/>
  <c r="AR1486" i="1" s="1"/>
  <c r="AR1491" i="1" s="1"/>
  <c r="AR1519" i="1" s="1"/>
  <c r="AR1525" i="1" s="1"/>
  <c r="AR1530" i="1" s="1"/>
  <c r="AR1558" i="1" s="1"/>
  <c r="AR1564" i="1" s="1"/>
  <c r="AR1569" i="1" s="1"/>
  <c r="AR1597" i="1" s="1"/>
  <c r="AR1603" i="1" s="1"/>
  <c r="AR1608" i="1" s="1"/>
  <c r="AR1636" i="1" s="1"/>
  <c r="AR1642" i="1" s="1"/>
  <c r="AR1647" i="1" s="1"/>
  <c r="AR1675" i="1" s="1"/>
  <c r="AR1681" i="1" s="1"/>
  <c r="AR1686" i="1" s="1"/>
  <c r="AX828" i="1"/>
  <c r="AX856" i="1" s="1"/>
  <c r="AX862" i="1" s="1"/>
  <c r="AX867" i="1" s="1"/>
  <c r="AX895" i="1" s="1"/>
  <c r="AX901" i="1" s="1"/>
  <c r="AX906" i="1" s="1"/>
  <c r="AX934" i="1" s="1"/>
  <c r="AX940" i="1" s="1"/>
  <c r="AX945" i="1" s="1"/>
  <c r="AX973" i="1" s="1"/>
  <c r="AX979" i="1" s="1"/>
  <c r="AX984" i="1" s="1"/>
  <c r="AX1012" i="1" s="1"/>
  <c r="AX1018" i="1" s="1"/>
  <c r="AX1023" i="1" s="1"/>
  <c r="AX1051" i="1" s="1"/>
  <c r="AX1057" i="1" s="1"/>
  <c r="AX1062" i="1" s="1"/>
  <c r="AX1090" i="1" s="1"/>
  <c r="AX1096" i="1" s="1"/>
  <c r="AX1101" i="1" s="1"/>
  <c r="AX1129" i="1" s="1"/>
  <c r="AX1135" i="1" s="1"/>
  <c r="AX1140" i="1" s="1"/>
  <c r="AX1168" i="1" s="1"/>
  <c r="AX1174" i="1" s="1"/>
  <c r="AX1179" i="1" s="1"/>
  <c r="AX1207" i="1" s="1"/>
  <c r="AX1213" i="1" s="1"/>
  <c r="AX1218" i="1" s="1"/>
  <c r="AX1246" i="1" s="1"/>
  <c r="AX1252" i="1" s="1"/>
  <c r="E828" i="1"/>
  <c r="X516" i="1"/>
  <c r="X544" i="1" s="1"/>
  <c r="X550" i="1" s="1"/>
  <c r="X555" i="1" s="1"/>
  <c r="X583" i="1" s="1"/>
  <c r="X589" i="1" s="1"/>
  <c r="X594" i="1" s="1"/>
  <c r="X622" i="1" s="1"/>
  <c r="X628" i="1" s="1"/>
  <c r="X633" i="1" s="1"/>
  <c r="X661" i="1" s="1"/>
  <c r="X667" i="1" s="1"/>
  <c r="X672" i="1" s="1"/>
  <c r="X700" i="1" s="1"/>
  <c r="X706" i="1" s="1"/>
  <c r="X711" i="1" s="1"/>
  <c r="X739" i="1" s="1"/>
  <c r="X745" i="1" s="1"/>
  <c r="X750" i="1" s="1"/>
  <c r="X778" i="1" s="1"/>
  <c r="X784" i="1" s="1"/>
  <c r="X789" i="1" s="1"/>
  <c r="X817" i="1" s="1"/>
  <c r="X823" i="1" s="1"/>
  <c r="G37" i="1"/>
  <c r="Z153" i="1"/>
  <c r="AT37" i="1"/>
  <c r="Z270" i="1"/>
  <c r="BA543" i="1"/>
  <c r="BA309" i="1"/>
  <c r="BA426" i="1"/>
  <c r="BA582" i="1"/>
  <c r="BA504" i="1"/>
  <c r="BA621" i="1"/>
  <c r="Z582" i="1"/>
  <c r="Z543" i="1"/>
  <c r="Z504" i="1"/>
  <c r="BA465" i="1"/>
  <c r="BA9" i="1"/>
  <c r="BA75" i="1"/>
  <c r="AZ350" i="1"/>
  <c r="AV351" i="1" s="1"/>
  <c r="BA387" i="1"/>
  <c r="BA231" i="1"/>
  <c r="Z387" i="1"/>
  <c r="Z621" i="1"/>
  <c r="Z426" i="1"/>
  <c r="AT48" i="1"/>
  <c r="AT76" i="1" s="1"/>
  <c r="AH155" i="1"/>
  <c r="AE156" i="1" s="1"/>
  <c r="AZ155" i="1"/>
  <c r="AX156" i="1" s="1"/>
  <c r="AZ48" i="1"/>
  <c r="AZ76" i="1" s="1"/>
  <c r="G43" i="1"/>
  <c r="Z9" i="1"/>
  <c r="AZ37" i="1"/>
  <c r="BA153" i="1"/>
  <c r="AZ43" i="1"/>
  <c r="AH37" i="1"/>
  <c r="Z231" i="1"/>
  <c r="AC76" i="1"/>
  <c r="AC82" i="1" s="1"/>
  <c r="AC87" i="1" s="1"/>
  <c r="AC115" i="1" s="1"/>
  <c r="AC121" i="1" s="1"/>
  <c r="AC126" i="1" s="1"/>
  <c r="AC154" i="1" s="1"/>
  <c r="AC160" i="1" s="1"/>
  <c r="AC165" i="1" s="1"/>
  <c r="AC193" i="1" s="1"/>
  <c r="AC199" i="1" s="1"/>
  <c r="AH48" i="1"/>
  <c r="AH76" i="1" s="1"/>
  <c r="Z309" i="1"/>
  <c r="Z192" i="1"/>
  <c r="AT82" i="1"/>
  <c r="AT43" i="1"/>
  <c r="BA348" i="1"/>
  <c r="AH43" i="1"/>
  <c r="AN37" i="1"/>
  <c r="BA660" i="1"/>
  <c r="AT155" i="1"/>
  <c r="AS156" i="1" s="1"/>
  <c r="BA36" i="1"/>
  <c r="AN350" i="1"/>
  <c r="AK351" i="1" s="1"/>
  <c r="Z660" i="1"/>
  <c r="Z114" i="1"/>
  <c r="Z348" i="1"/>
  <c r="Z465" i="1"/>
  <c r="S37" i="1"/>
  <c r="M48" i="1"/>
  <c r="M76" i="1" s="1"/>
  <c r="AN82" i="1"/>
  <c r="Z75" i="1"/>
  <c r="AN87" i="1"/>
  <c r="AN115" i="1" s="1"/>
  <c r="V43" i="1"/>
  <c r="Y37" i="1"/>
  <c r="AT350" i="1"/>
  <c r="AT740" i="1" s="1"/>
  <c r="AT779" i="1" s="1"/>
  <c r="AT818" i="1" s="1"/>
  <c r="AN48" i="1"/>
  <c r="AN76" i="1" s="1"/>
  <c r="AH350" i="1"/>
  <c r="AG351" i="1" s="1"/>
  <c r="M43" i="1"/>
  <c r="BA270" i="1"/>
  <c r="AN43" i="1"/>
  <c r="H87" i="1"/>
  <c r="M82" i="1"/>
  <c r="S43" i="1"/>
  <c r="N48" i="1"/>
  <c r="G48" i="1"/>
  <c r="AZ82" i="1"/>
  <c r="AU87" i="1"/>
  <c r="AN121" i="1"/>
  <c r="AI126" i="1"/>
  <c r="BA114" i="1"/>
  <c r="AN155" i="1"/>
  <c r="AO165" i="1"/>
  <c r="T193" i="1"/>
  <c r="T199" i="1" s="1"/>
  <c r="Z36" i="1"/>
  <c r="M37" i="1"/>
  <c r="BA192" i="1"/>
  <c r="AP115" i="1"/>
  <c r="AP121" i="1" s="1"/>
  <c r="AT87" i="1"/>
  <c r="AT115" i="1" s="1"/>
  <c r="AD87" i="1"/>
  <c r="U76" i="1"/>
  <c r="U82" i="1" s="1"/>
  <c r="B126" i="1"/>
  <c r="G121" i="1"/>
  <c r="G82" i="1"/>
  <c r="G87" i="1"/>
  <c r="L2299" i="1" l="1"/>
  <c r="Q2143" i="1"/>
  <c r="Q2149" i="1" s="1"/>
  <c r="Q2154" i="1" s="1"/>
  <c r="Q2182" i="1" s="1"/>
  <c r="Q2188" i="1" s="1"/>
  <c r="Q2193" i="1" s="1"/>
  <c r="Q2221" i="1" s="1"/>
  <c r="Q2227" i="1" s="1"/>
  <c r="Q2232" i="1" s="1"/>
  <c r="Q2260" i="1" s="1"/>
  <c r="AQ1798" i="1"/>
  <c r="AQ1803" i="1" s="1"/>
  <c r="AQ1831" i="1" s="1"/>
  <c r="AQ1837" i="1" s="1"/>
  <c r="AQ1842" i="1" s="1"/>
  <c r="AK1798" i="1"/>
  <c r="AK1803" i="1" s="1"/>
  <c r="AK1831" i="1" s="1"/>
  <c r="AK1837" i="1" s="1"/>
  <c r="AK1842" i="1" s="1"/>
  <c r="AK1870" i="1" s="1"/>
  <c r="AL1798" i="1"/>
  <c r="AL1803" i="1" s="1"/>
  <c r="AL1831" i="1" s="1"/>
  <c r="AL1837" i="1" s="1"/>
  <c r="AL1842" i="1" s="1"/>
  <c r="AL1870" i="1" s="1"/>
  <c r="AF1798" i="1"/>
  <c r="AF1803" i="1" s="1"/>
  <c r="AF1831" i="1" s="1"/>
  <c r="AF1837" i="1" s="1"/>
  <c r="AF1842" i="1" s="1"/>
  <c r="AS1798" i="1"/>
  <c r="AS1803" i="1" s="1"/>
  <c r="AS1831" i="1" s="1"/>
  <c r="AS1837" i="1" s="1"/>
  <c r="AS1842" i="1" s="1"/>
  <c r="AS1870" i="1" s="1"/>
  <c r="AY1798" i="1"/>
  <c r="AY1803" i="1" s="1"/>
  <c r="AY1831" i="1" s="1"/>
  <c r="AY1837" i="1" s="1"/>
  <c r="AY1842" i="1" s="1"/>
  <c r="AY1870" i="1" s="1"/>
  <c r="AW1798" i="1"/>
  <c r="AW1803" i="1" s="1"/>
  <c r="AW1831" i="1" s="1"/>
  <c r="AW1837" i="1" s="1"/>
  <c r="AW1842" i="1" s="1"/>
  <c r="AW1870" i="1" s="1"/>
  <c r="AE1798" i="1"/>
  <c r="AE1803" i="1" s="1"/>
  <c r="AE1831" i="1" s="1"/>
  <c r="AE1837" i="1" s="1"/>
  <c r="AE1842" i="1" s="1"/>
  <c r="AE1870" i="1" s="1"/>
  <c r="AM1798" i="1"/>
  <c r="AM1803" i="1" s="1"/>
  <c r="AM1831" i="1" s="1"/>
  <c r="AM1837" i="1" s="1"/>
  <c r="AM1842" i="1" s="1"/>
  <c r="AM1870" i="1" s="1"/>
  <c r="AG1798" i="1"/>
  <c r="AG1803" i="1" s="1"/>
  <c r="AG1831" i="1" s="1"/>
  <c r="AG1837" i="1" s="1"/>
  <c r="AG1842" i="1" s="1"/>
  <c r="AG1870" i="1" s="1"/>
  <c r="AR1714" i="1"/>
  <c r="AR1720" i="1" s="1"/>
  <c r="AR1725" i="1" s="1"/>
  <c r="AR1753" i="1" s="1"/>
  <c r="AR1759" i="1" s="1"/>
  <c r="AR1764" i="1" s="1"/>
  <c r="AR1792" i="1" s="1"/>
  <c r="J1764" i="1"/>
  <c r="R1558" i="1"/>
  <c r="R1564" i="1" s="1"/>
  <c r="R1569" i="1" s="1"/>
  <c r="R1597" i="1" s="1"/>
  <c r="R1603" i="1" s="1"/>
  <c r="R1608" i="1" s="1"/>
  <c r="R1636" i="1" s="1"/>
  <c r="R1642" i="1" s="1"/>
  <c r="R1647" i="1" s="1"/>
  <c r="R1675" i="1" s="1"/>
  <c r="R1681" i="1" s="1"/>
  <c r="R1686" i="1" s="1"/>
  <c r="R1714" i="1" s="1"/>
  <c r="R1720" i="1" s="1"/>
  <c r="R1725" i="1" s="1"/>
  <c r="R1753" i="1" s="1"/>
  <c r="R1759" i="1" s="1"/>
  <c r="R1764" i="1" s="1"/>
  <c r="R1792" i="1" s="1"/>
  <c r="R1798" i="1" s="1"/>
  <c r="R1803" i="1" s="1"/>
  <c r="R1831" i="1" s="1"/>
  <c r="R1837" i="1" s="1"/>
  <c r="R1842" i="1" s="1"/>
  <c r="R1870" i="1" s="1"/>
  <c r="R1876" i="1" s="1"/>
  <c r="R1881" i="1" s="1"/>
  <c r="R1909" i="1" s="1"/>
  <c r="R1915" i="1" s="1"/>
  <c r="R1920" i="1" s="1"/>
  <c r="R1948" i="1" s="1"/>
  <c r="R1954" i="1" s="1"/>
  <c r="R1959" i="1" s="1"/>
  <c r="R1987" i="1" s="1"/>
  <c r="R1993" i="1" s="1"/>
  <c r="R1998" i="1" s="1"/>
  <c r="R2026" i="1" s="1"/>
  <c r="R2032" i="1" s="1"/>
  <c r="R2037" i="1" s="1"/>
  <c r="R2065" i="1" s="1"/>
  <c r="R2071" i="1" s="1"/>
  <c r="R2076" i="1" s="1"/>
  <c r="R2104" i="1" s="1"/>
  <c r="R2110" i="1" s="1"/>
  <c r="R2115" i="1" s="1"/>
  <c r="R2143" i="1" s="1"/>
  <c r="R2149" i="1" s="1"/>
  <c r="R2154" i="1" s="1"/>
  <c r="R2182" i="1" s="1"/>
  <c r="R2188" i="1" s="1"/>
  <c r="R2193" i="1" s="1"/>
  <c r="R2221" i="1" s="1"/>
  <c r="R2227" i="1" s="1"/>
  <c r="R2232" i="1" s="1"/>
  <c r="R2260" i="1" s="1"/>
  <c r="O1441" i="1"/>
  <c r="O1447" i="1" s="1"/>
  <c r="O1452" i="1" s="1"/>
  <c r="O1480" i="1" s="1"/>
  <c r="O1486" i="1" s="1"/>
  <c r="O1491" i="1" s="1"/>
  <c r="O1519" i="1" s="1"/>
  <c r="O1525" i="1" s="1"/>
  <c r="O1530" i="1" s="1"/>
  <c r="O1558" i="1" s="1"/>
  <c r="O1564" i="1" s="1"/>
  <c r="O1569" i="1" s="1"/>
  <c r="O1597" i="1" s="1"/>
  <c r="O1603" i="1" s="1"/>
  <c r="O1608" i="1" s="1"/>
  <c r="O1636" i="1" s="1"/>
  <c r="O1642" i="1" s="1"/>
  <c r="O1647" i="1" s="1"/>
  <c r="O1675" i="1" s="1"/>
  <c r="O1681" i="1" s="1"/>
  <c r="O1686" i="1" s="1"/>
  <c r="O1714" i="1" s="1"/>
  <c r="O1720" i="1" s="1"/>
  <c r="O1725" i="1" s="1"/>
  <c r="O1753" i="1" s="1"/>
  <c r="O1759" i="1" s="1"/>
  <c r="O1764" i="1" s="1"/>
  <c r="O1792" i="1" s="1"/>
  <c r="O1798" i="1" s="1"/>
  <c r="O1803" i="1" s="1"/>
  <c r="O1831" i="1" s="1"/>
  <c r="O1837" i="1" s="1"/>
  <c r="O1842" i="1" s="1"/>
  <c r="O1870" i="1" s="1"/>
  <c r="O1876" i="1" s="1"/>
  <c r="O1881" i="1" s="1"/>
  <c r="O1909" i="1" s="1"/>
  <c r="O1915" i="1" s="1"/>
  <c r="O1920" i="1" s="1"/>
  <c r="O1948" i="1" s="1"/>
  <c r="O1954" i="1" s="1"/>
  <c r="O1959" i="1" s="1"/>
  <c r="O1987" i="1" s="1"/>
  <c r="O1993" i="1" s="1"/>
  <c r="O1998" i="1" s="1"/>
  <c r="O2026" i="1" s="1"/>
  <c r="O2032" i="1" s="1"/>
  <c r="O2037" i="1" s="1"/>
  <c r="O2065" i="1" s="1"/>
  <c r="O2071" i="1" s="1"/>
  <c r="O2076" i="1" s="1"/>
  <c r="O2104" i="1" s="1"/>
  <c r="O2110" i="1" s="1"/>
  <c r="O2115" i="1" s="1"/>
  <c r="O2143" i="1" s="1"/>
  <c r="O2149" i="1" s="1"/>
  <c r="O2154" i="1" s="1"/>
  <c r="O2182" i="1" s="1"/>
  <c r="O2188" i="1" s="1"/>
  <c r="O2193" i="1" s="1"/>
  <c r="O2221" i="1" s="1"/>
  <c r="O2227" i="1" s="1"/>
  <c r="O2232" i="1" s="1"/>
  <c r="O2260" i="1" s="1"/>
  <c r="O2266" i="1" s="1"/>
  <c r="P1402" i="1"/>
  <c r="P1408" i="1" s="1"/>
  <c r="W1324" i="1"/>
  <c r="W1330" i="1" s="1"/>
  <c r="W1335" i="1" s="1"/>
  <c r="W1363" i="1" s="1"/>
  <c r="W1369" i="1" s="1"/>
  <c r="W1374" i="1" s="1"/>
  <c r="W1402" i="1" s="1"/>
  <c r="W1408" i="1" s="1"/>
  <c r="I1324" i="1"/>
  <c r="I1330" i="1" s="1"/>
  <c r="I1335" i="1" s="1"/>
  <c r="I1363" i="1" s="1"/>
  <c r="I1369" i="1" s="1"/>
  <c r="I1374" i="1" s="1"/>
  <c r="I1402" i="1" s="1"/>
  <c r="I1408" i="1" s="1"/>
  <c r="I1413" i="1" s="1"/>
  <c r="I1441" i="1" s="1"/>
  <c r="I1447" i="1" s="1"/>
  <c r="I1452" i="1" s="1"/>
  <c r="I1480" i="1" s="1"/>
  <c r="I1486" i="1" s="1"/>
  <c r="I1491" i="1" s="1"/>
  <c r="I1519" i="1" s="1"/>
  <c r="I1525" i="1" s="1"/>
  <c r="I1530" i="1" s="1"/>
  <c r="I1558" i="1" s="1"/>
  <c r="I1564" i="1" s="1"/>
  <c r="I1569" i="1" s="1"/>
  <c r="I1597" i="1" s="1"/>
  <c r="I1603" i="1" s="1"/>
  <c r="I1608" i="1" s="1"/>
  <c r="I1636" i="1" s="1"/>
  <c r="I1642" i="1" s="1"/>
  <c r="I1647" i="1" s="1"/>
  <c r="I1675" i="1" s="1"/>
  <c r="I1681" i="1" s="1"/>
  <c r="I1686" i="1" s="1"/>
  <c r="I1714" i="1" s="1"/>
  <c r="I1720" i="1" s="1"/>
  <c r="I1725" i="1" s="1"/>
  <c r="I1753" i="1" s="1"/>
  <c r="I1759" i="1" s="1"/>
  <c r="I1764" i="1" s="1"/>
  <c r="I1792" i="1" s="1"/>
  <c r="I1798" i="1" s="1"/>
  <c r="I1803" i="1" s="1"/>
  <c r="I1831" i="1" s="1"/>
  <c r="I1837" i="1" s="1"/>
  <c r="I1842" i="1" s="1"/>
  <c r="I1870" i="1" s="1"/>
  <c r="I1876" i="1" s="1"/>
  <c r="I1881" i="1" s="1"/>
  <c r="I1909" i="1" s="1"/>
  <c r="I1915" i="1" s="1"/>
  <c r="I1920" i="1" s="1"/>
  <c r="I1948" i="1" s="1"/>
  <c r="I1954" i="1" s="1"/>
  <c r="I1959" i="1" s="1"/>
  <c r="I1987" i="1" s="1"/>
  <c r="I1993" i="1" s="1"/>
  <c r="I1998" i="1" s="1"/>
  <c r="I2026" i="1" s="1"/>
  <c r="I2032" i="1" s="1"/>
  <c r="I2037" i="1" s="1"/>
  <c r="I2065" i="1" s="1"/>
  <c r="I2071" i="1" s="1"/>
  <c r="I2076" i="1" s="1"/>
  <c r="I2104" i="1" s="1"/>
  <c r="I2110" i="1" s="1"/>
  <c r="I2115" i="1" s="1"/>
  <c r="I2143" i="1" s="1"/>
  <c r="I2149" i="1" s="1"/>
  <c r="I2154" i="1" s="1"/>
  <c r="I2182" i="1" s="1"/>
  <c r="I2188" i="1" s="1"/>
  <c r="I2193" i="1" s="1"/>
  <c r="I2221" i="1" s="1"/>
  <c r="I2227" i="1" s="1"/>
  <c r="I2232" i="1" s="1"/>
  <c r="I2260" i="1" s="1"/>
  <c r="C1324" i="1"/>
  <c r="C1330" i="1" s="1"/>
  <c r="AV1296" i="1"/>
  <c r="AV1324" i="1" s="1"/>
  <c r="AV1330" i="1" s="1"/>
  <c r="AV1335" i="1" s="1"/>
  <c r="AV1363" i="1" s="1"/>
  <c r="AV1369" i="1" s="1"/>
  <c r="AV1374" i="1" s="1"/>
  <c r="AV1402" i="1" s="1"/>
  <c r="AV1408" i="1" s="1"/>
  <c r="AJ1257" i="1"/>
  <c r="AJ1285" i="1" s="1"/>
  <c r="AJ1291" i="1" s="1"/>
  <c r="AX1257" i="1"/>
  <c r="D1246" i="1"/>
  <c r="D1252" i="1" s="1"/>
  <c r="D1257" i="1" s="1"/>
  <c r="D1285" i="1" s="1"/>
  <c r="D1291" i="1" s="1"/>
  <c r="AZ935" i="1"/>
  <c r="AZ936" i="1" s="1"/>
  <c r="AT935" i="1"/>
  <c r="BA935" i="1"/>
  <c r="AN935" i="1"/>
  <c r="AH935" i="1"/>
  <c r="AD936" i="1" s="1"/>
  <c r="X828" i="1"/>
  <c r="X856" i="1" s="1"/>
  <c r="X862" i="1" s="1"/>
  <c r="E856" i="1"/>
  <c r="E862" i="1" s="1"/>
  <c r="E867" i="1" s="1"/>
  <c r="E895" i="1" s="1"/>
  <c r="E901" i="1" s="1"/>
  <c r="BA740" i="1"/>
  <c r="BA779" i="1" s="1"/>
  <c r="BA818" i="1" s="1"/>
  <c r="AZ740" i="1"/>
  <c r="AZ779" i="1" s="1"/>
  <c r="AZ818" i="1" s="1"/>
  <c r="AH740" i="1"/>
  <c r="AH779" i="1" s="1"/>
  <c r="AH818" i="1" s="1"/>
  <c r="AN740" i="1"/>
  <c r="AN779" i="1" s="1"/>
  <c r="AN818" i="1" s="1"/>
  <c r="AZ156" i="1"/>
  <c r="AV156" i="1"/>
  <c r="AU351" i="1"/>
  <c r="AX351" i="1"/>
  <c r="AW351" i="1"/>
  <c r="AU156" i="1"/>
  <c r="AY156" i="1"/>
  <c r="AW156" i="1"/>
  <c r="AH82" i="1"/>
  <c r="BA82" i="1" s="1"/>
  <c r="AG156" i="1"/>
  <c r="AC156" i="1"/>
  <c r="AY351" i="1"/>
  <c r="AH156" i="1"/>
  <c r="AD156" i="1"/>
  <c r="AF156" i="1"/>
  <c r="AZ351" i="1"/>
  <c r="AQ156" i="1"/>
  <c r="BA37" i="1"/>
  <c r="AT156" i="1"/>
  <c r="BA48" i="1"/>
  <c r="AR156" i="1"/>
  <c r="AP156" i="1"/>
  <c r="AO156" i="1"/>
  <c r="AJ351" i="1"/>
  <c r="BA43" i="1"/>
  <c r="AM351" i="1"/>
  <c r="Z37" i="1"/>
  <c r="AN351" i="1"/>
  <c r="AL351" i="1"/>
  <c r="AI351" i="1"/>
  <c r="AP351" i="1"/>
  <c r="AT351" i="1"/>
  <c r="AR351" i="1"/>
  <c r="AQ351" i="1"/>
  <c r="V48" i="1"/>
  <c r="Y43" i="1"/>
  <c r="Z43" i="1" s="1"/>
  <c r="AO351" i="1"/>
  <c r="BA76" i="1"/>
  <c r="AC351" i="1"/>
  <c r="AD351" i="1"/>
  <c r="AF351" i="1"/>
  <c r="AH351" i="1"/>
  <c r="AS351" i="1"/>
  <c r="AE351" i="1"/>
  <c r="AO193" i="1"/>
  <c r="AO199" i="1" s="1"/>
  <c r="H115" i="1"/>
  <c r="H121" i="1" s="1"/>
  <c r="M87" i="1"/>
  <c r="M115" i="1" s="1"/>
  <c r="AM156" i="1"/>
  <c r="AN156" i="1"/>
  <c r="AK156" i="1"/>
  <c r="AI156" i="1"/>
  <c r="AL156" i="1"/>
  <c r="AJ156" i="1"/>
  <c r="U87" i="1"/>
  <c r="G76" i="1"/>
  <c r="AD115" i="1"/>
  <c r="AD121" i="1" s="1"/>
  <c r="AH87" i="1"/>
  <c r="AC204" i="1"/>
  <c r="AU115" i="1"/>
  <c r="AU121" i="1" s="1"/>
  <c r="AZ87" i="1"/>
  <c r="AZ115" i="1" s="1"/>
  <c r="G115" i="1"/>
  <c r="B154" i="1"/>
  <c r="B160" i="1" s="1"/>
  <c r="G126" i="1"/>
  <c r="AP126" i="1"/>
  <c r="AT121" i="1"/>
  <c r="AI154" i="1"/>
  <c r="AI160" i="1" s="1"/>
  <c r="AN126" i="1"/>
  <c r="AN154" i="1" s="1"/>
  <c r="N76" i="1"/>
  <c r="N82" i="1" s="1"/>
  <c r="S48" i="1"/>
  <c r="S76" i="1" s="1"/>
  <c r="T204" i="1"/>
  <c r="O2271" i="1" l="1"/>
  <c r="S2266" i="1"/>
  <c r="AR1798" i="1"/>
  <c r="AR1803" i="1" s="1"/>
  <c r="AR1831" i="1" s="1"/>
  <c r="AR1837" i="1" s="1"/>
  <c r="AR1842" i="1" s="1"/>
  <c r="AR1870" i="1" s="1"/>
  <c r="AE1876" i="1"/>
  <c r="AE1881" i="1" s="1"/>
  <c r="AE1909" i="1" s="1"/>
  <c r="AE1915" i="1" s="1"/>
  <c r="AE1920" i="1" s="1"/>
  <c r="AE1948" i="1" s="1"/>
  <c r="AE1954" i="1" s="1"/>
  <c r="AE1959" i="1" s="1"/>
  <c r="AE1987" i="1" s="1"/>
  <c r="AE1993" i="1" s="1"/>
  <c r="AE1998" i="1" s="1"/>
  <c r="AE2026" i="1" s="1"/>
  <c r="AE2032" i="1" s="1"/>
  <c r="AE2037" i="1" s="1"/>
  <c r="AE2065" i="1" s="1"/>
  <c r="AE2071" i="1" s="1"/>
  <c r="AW1876" i="1"/>
  <c r="AW1881" i="1" s="1"/>
  <c r="AW1909" i="1" s="1"/>
  <c r="AW1915" i="1" s="1"/>
  <c r="AM1876" i="1"/>
  <c r="AM1881" i="1" s="1"/>
  <c r="AM1909" i="1" s="1"/>
  <c r="AM1915" i="1" s="1"/>
  <c r="AM1920" i="1" s="1"/>
  <c r="AM1948" i="1" s="1"/>
  <c r="AM1954" i="1" s="1"/>
  <c r="AM1959" i="1" s="1"/>
  <c r="AM1987" i="1" s="1"/>
  <c r="AM1993" i="1" s="1"/>
  <c r="AM1998" i="1" s="1"/>
  <c r="AM2026" i="1" s="1"/>
  <c r="AM2032" i="1" s="1"/>
  <c r="AM2037" i="1" s="1"/>
  <c r="AM2065" i="1" s="1"/>
  <c r="AM2071" i="1" s="1"/>
  <c r="AM2076" i="1" s="1"/>
  <c r="AM2104" i="1" s="1"/>
  <c r="AM2110" i="1" s="1"/>
  <c r="AM2115" i="1" s="1"/>
  <c r="AM2143" i="1" s="1"/>
  <c r="AM2149" i="1" s="1"/>
  <c r="AK1876" i="1"/>
  <c r="AK1881" i="1" s="1"/>
  <c r="AK1909" i="1" s="1"/>
  <c r="AK1915" i="1" s="1"/>
  <c r="AK1920" i="1" s="1"/>
  <c r="AK1948" i="1" s="1"/>
  <c r="AK1954" i="1" s="1"/>
  <c r="AK1959" i="1" s="1"/>
  <c r="AK1987" i="1" s="1"/>
  <c r="AK1993" i="1" s="1"/>
  <c r="AK1998" i="1" s="1"/>
  <c r="AK2026" i="1" s="1"/>
  <c r="AK2032" i="1" s="1"/>
  <c r="AK2037" i="1" s="1"/>
  <c r="AK2065" i="1" s="1"/>
  <c r="AK2071" i="1" s="1"/>
  <c r="AY1876" i="1"/>
  <c r="AY1881" i="1" s="1"/>
  <c r="AY1909" i="1" s="1"/>
  <c r="AY1915" i="1" s="1"/>
  <c r="AY1920" i="1" s="1"/>
  <c r="AY1948" i="1" s="1"/>
  <c r="AY1954" i="1" s="1"/>
  <c r="AY1959" i="1" s="1"/>
  <c r="AY1987" i="1" s="1"/>
  <c r="AY1993" i="1" s="1"/>
  <c r="AY1998" i="1" s="1"/>
  <c r="AY2026" i="1" s="1"/>
  <c r="AY2032" i="1" s="1"/>
  <c r="AY2037" i="1" s="1"/>
  <c r="AY2065" i="1" s="1"/>
  <c r="AY2071" i="1" s="1"/>
  <c r="AY2076" i="1" s="1"/>
  <c r="AY2104" i="1" s="1"/>
  <c r="AY2110" i="1" s="1"/>
  <c r="AY2115" i="1" s="1"/>
  <c r="AY2143" i="1" s="1"/>
  <c r="AY2149" i="1" s="1"/>
  <c r="AG1876" i="1"/>
  <c r="AG1881" i="1" s="1"/>
  <c r="AG1909" i="1" s="1"/>
  <c r="AG1915" i="1" s="1"/>
  <c r="AG1920" i="1" s="1"/>
  <c r="AG1948" i="1" s="1"/>
  <c r="AG1954" i="1" s="1"/>
  <c r="AG1959" i="1" s="1"/>
  <c r="AG1987" i="1" s="1"/>
  <c r="AG1993" i="1" s="1"/>
  <c r="AG1998" i="1" s="1"/>
  <c r="AG2026" i="1" s="1"/>
  <c r="AG2032" i="1" s="1"/>
  <c r="AS1876" i="1"/>
  <c r="AS1881" i="1" s="1"/>
  <c r="AS1909" i="1" s="1"/>
  <c r="AS1915" i="1" s="1"/>
  <c r="AS1920" i="1" s="1"/>
  <c r="AS1948" i="1" s="1"/>
  <c r="AS1954" i="1" s="1"/>
  <c r="AS1959" i="1" s="1"/>
  <c r="AS1987" i="1" s="1"/>
  <c r="AS1993" i="1" s="1"/>
  <c r="AS1998" i="1" s="1"/>
  <c r="AS2026" i="1" s="1"/>
  <c r="AS2032" i="1" s="1"/>
  <c r="AS2037" i="1" s="1"/>
  <c r="AS2065" i="1" s="1"/>
  <c r="AS2071" i="1" s="1"/>
  <c r="AS2076" i="1" s="1"/>
  <c r="AS2104" i="1" s="1"/>
  <c r="AS2110" i="1" s="1"/>
  <c r="AS2115" i="1" s="1"/>
  <c r="AS2143" i="1" s="1"/>
  <c r="AS2149" i="1" s="1"/>
  <c r="AS2154" i="1" s="1"/>
  <c r="AS2182" i="1" s="1"/>
  <c r="AL1876" i="1"/>
  <c r="AL1881" i="1" s="1"/>
  <c r="AL1909" i="1" s="1"/>
  <c r="AL1915" i="1" s="1"/>
  <c r="AL1920" i="1" s="1"/>
  <c r="AL1948" i="1" s="1"/>
  <c r="AL1954" i="1" s="1"/>
  <c r="AL1959" i="1" s="1"/>
  <c r="AL1987" i="1" s="1"/>
  <c r="AL1993" i="1" s="1"/>
  <c r="AL1998" i="1" s="1"/>
  <c r="AL2026" i="1" s="1"/>
  <c r="AL2032" i="1" s="1"/>
  <c r="AL2037" i="1" s="1"/>
  <c r="AL2065" i="1" s="1"/>
  <c r="AL2071" i="1" s="1"/>
  <c r="AL2076" i="1" s="1"/>
  <c r="AL2104" i="1" s="1"/>
  <c r="AL2110" i="1" s="1"/>
  <c r="AL2115" i="1" s="1"/>
  <c r="AL2143" i="1" s="1"/>
  <c r="AL2149" i="1" s="1"/>
  <c r="AL2154" i="1" s="1"/>
  <c r="AL2182" i="1" s="1"/>
  <c r="AQ1870" i="1"/>
  <c r="AQ1876" i="1" s="1"/>
  <c r="AF1870" i="1"/>
  <c r="AF1876" i="1" s="1"/>
  <c r="J1792" i="1"/>
  <c r="J1798" i="1" s="1"/>
  <c r="W1413" i="1"/>
  <c r="AV1413" i="1"/>
  <c r="AV1441" i="1" s="1"/>
  <c r="AV1447" i="1" s="1"/>
  <c r="P1413" i="1"/>
  <c r="C1335" i="1"/>
  <c r="D1296" i="1"/>
  <c r="AJ1296" i="1"/>
  <c r="AJ1324" i="1" s="1"/>
  <c r="AJ1330" i="1" s="1"/>
  <c r="AJ1335" i="1" s="1"/>
  <c r="AJ1363" i="1" s="1"/>
  <c r="AJ1369" i="1" s="1"/>
  <c r="AJ1374" i="1" s="1"/>
  <c r="AJ1402" i="1" s="1"/>
  <c r="AJ1408" i="1" s="1"/>
  <c r="AX1285" i="1"/>
  <c r="AX1291" i="1" s="1"/>
  <c r="AX1296" i="1" s="1"/>
  <c r="AX1324" i="1" s="1"/>
  <c r="AX1330" i="1" s="1"/>
  <c r="AX1335" i="1" s="1"/>
  <c r="AX1363" i="1" s="1"/>
  <c r="AX1369" i="1" s="1"/>
  <c r="AX1374" i="1" s="1"/>
  <c r="AX1402" i="1" s="1"/>
  <c r="AX1408" i="1" s="1"/>
  <c r="AX1413" i="1" s="1"/>
  <c r="AX1441" i="1" s="1"/>
  <c r="AX1447" i="1" s="1"/>
  <c r="AX1452" i="1" s="1"/>
  <c r="AX1480" i="1" s="1"/>
  <c r="AX1486" i="1" s="1"/>
  <c r="AX1491" i="1" s="1"/>
  <c r="AX1519" i="1" s="1"/>
  <c r="AX1525" i="1" s="1"/>
  <c r="AX1530" i="1" s="1"/>
  <c r="AX1558" i="1" s="1"/>
  <c r="AX1564" i="1" s="1"/>
  <c r="AX1569" i="1" s="1"/>
  <c r="AX1597" i="1" s="1"/>
  <c r="AX1603" i="1" s="1"/>
  <c r="AX1608" i="1" s="1"/>
  <c r="AX1636" i="1" s="1"/>
  <c r="AX1642" i="1" s="1"/>
  <c r="AX1647" i="1" s="1"/>
  <c r="AX1675" i="1" s="1"/>
  <c r="AX1681" i="1" s="1"/>
  <c r="AX1686" i="1" s="1"/>
  <c r="AX936" i="1"/>
  <c r="AU936" i="1"/>
  <c r="AW936" i="1"/>
  <c r="AV936" i="1"/>
  <c r="AY936" i="1"/>
  <c r="AG936" i="1"/>
  <c r="AH936" i="1"/>
  <c r="AF936" i="1"/>
  <c r="AE936" i="1"/>
  <c r="AC936" i="1"/>
  <c r="E906" i="1"/>
  <c r="X867" i="1"/>
  <c r="V76" i="1"/>
  <c r="V82" i="1" s="1"/>
  <c r="Y48" i="1"/>
  <c r="Y76" i="1" s="1"/>
  <c r="Z76" i="1" s="1"/>
  <c r="B165" i="1"/>
  <c r="G160" i="1"/>
  <c r="AC232" i="1"/>
  <c r="AC238" i="1" s="1"/>
  <c r="U115" i="1"/>
  <c r="U121" i="1" s="1"/>
  <c r="G154" i="1"/>
  <c r="N87" i="1"/>
  <c r="S82" i="1"/>
  <c r="AU126" i="1"/>
  <c r="AZ121" i="1"/>
  <c r="AO204" i="1"/>
  <c r="AN160" i="1"/>
  <c r="AI165" i="1"/>
  <c r="T232" i="1"/>
  <c r="T238" i="1" s="1"/>
  <c r="BA87" i="1"/>
  <c r="AH115" i="1"/>
  <c r="BA115" i="1" s="1"/>
  <c r="AP154" i="1"/>
  <c r="AP160" i="1" s="1"/>
  <c r="AT126" i="1"/>
  <c r="AT154" i="1" s="1"/>
  <c r="AD126" i="1"/>
  <c r="AH121" i="1"/>
  <c r="H126" i="1"/>
  <c r="M121" i="1"/>
  <c r="O2299" i="1" l="1"/>
  <c r="S2271" i="1"/>
  <c r="S2299" i="1" s="1"/>
  <c r="AS2183" i="1"/>
  <c r="AS2188" i="1"/>
  <c r="AS2193" i="1" s="1"/>
  <c r="AS2221" i="1" s="1"/>
  <c r="AS2227" i="1" s="1"/>
  <c r="AS2232" i="1" s="1"/>
  <c r="AS2260" i="1" s="1"/>
  <c r="AS2266" i="1" s="1"/>
  <c r="AS2271" i="1" s="1"/>
  <c r="AS2299" i="1" s="1"/>
  <c r="AL2183" i="1"/>
  <c r="AL2188" i="1"/>
  <c r="AL2193" i="1" s="1"/>
  <c r="AL2221" i="1" s="1"/>
  <c r="AL2227" i="1" s="1"/>
  <c r="AL2232" i="1" s="1"/>
  <c r="AL2260" i="1" s="1"/>
  <c r="AL2266" i="1" s="1"/>
  <c r="AL2271" i="1" s="1"/>
  <c r="AL2299" i="1" s="1"/>
  <c r="AY2154" i="1"/>
  <c r="AM2154" i="1"/>
  <c r="AX1714" i="1"/>
  <c r="AX1720" i="1" s="1"/>
  <c r="AX1725" i="1" s="1"/>
  <c r="AX1753" i="1" s="1"/>
  <c r="AX1759" i="1" s="1"/>
  <c r="AX1764" i="1" s="1"/>
  <c r="AX1792" i="1" s="1"/>
  <c r="AK2076" i="1"/>
  <c r="AK2104" i="1" s="1"/>
  <c r="AK2110" i="1" s="1"/>
  <c r="AK2115" i="1" s="1"/>
  <c r="AK2143" i="1" s="1"/>
  <c r="AK2149" i="1" s="1"/>
  <c r="AK2154" i="1" s="1"/>
  <c r="AK2182" i="1" s="1"/>
  <c r="AK2188" i="1" s="1"/>
  <c r="AK2193" i="1" s="1"/>
  <c r="AK2221" i="1" s="1"/>
  <c r="AK2227" i="1" s="1"/>
  <c r="AK2232" i="1" s="1"/>
  <c r="AK2260" i="1" s="1"/>
  <c r="AK2266" i="1" s="1"/>
  <c r="AK2271" i="1" s="1"/>
  <c r="AK2299" i="1" s="1"/>
  <c r="AE2076" i="1"/>
  <c r="AE2104" i="1" s="1"/>
  <c r="AE2110" i="1" s="1"/>
  <c r="AE2115" i="1" s="1"/>
  <c r="AE2143" i="1" s="1"/>
  <c r="AE2149" i="1" s="1"/>
  <c r="AR1876" i="1"/>
  <c r="AR1881" i="1" s="1"/>
  <c r="AR1909" i="1" s="1"/>
  <c r="AR1915" i="1" s="1"/>
  <c r="AR1920" i="1" s="1"/>
  <c r="AR1948" i="1" s="1"/>
  <c r="AR1954" i="1" s="1"/>
  <c r="AR1959" i="1" s="1"/>
  <c r="AR1987" i="1" s="1"/>
  <c r="AR1993" i="1" s="1"/>
  <c r="AR1998" i="1" s="1"/>
  <c r="AR2026" i="1" s="1"/>
  <c r="AR2032" i="1" s="1"/>
  <c r="AR2037" i="1" s="1"/>
  <c r="AR2065" i="1" s="1"/>
  <c r="AR2071" i="1" s="1"/>
  <c r="AR2076" i="1" s="1"/>
  <c r="AR2104" i="1" s="1"/>
  <c r="AR2110" i="1" s="1"/>
  <c r="AR2115" i="1" s="1"/>
  <c r="AR2143" i="1" s="1"/>
  <c r="AR2149" i="1" s="1"/>
  <c r="AQ1881" i="1"/>
  <c r="AQ1909" i="1" s="1"/>
  <c r="AW1920" i="1"/>
  <c r="AW1948" i="1" s="1"/>
  <c r="AG2037" i="1"/>
  <c r="AG2065" i="1" s="1"/>
  <c r="AG2071" i="1" s="1"/>
  <c r="AG2076" i="1" s="1"/>
  <c r="AG2104" i="1" s="1"/>
  <c r="AG2110" i="1" s="1"/>
  <c r="AG2115" i="1" s="1"/>
  <c r="AG2143" i="1" s="1"/>
  <c r="AG2149" i="1" s="1"/>
  <c r="AG2154" i="1" s="1"/>
  <c r="AG2182" i="1" s="1"/>
  <c r="AF1881" i="1"/>
  <c r="J1803" i="1"/>
  <c r="AV1452" i="1"/>
  <c r="AV1480" i="1" s="1"/>
  <c r="AV1486" i="1" s="1"/>
  <c r="AV1491" i="1" s="1"/>
  <c r="AV1519" i="1" s="1"/>
  <c r="AV1525" i="1" s="1"/>
  <c r="W1441" i="1"/>
  <c r="W1447" i="1" s="1"/>
  <c r="W1452" i="1" s="1"/>
  <c r="W1480" i="1" s="1"/>
  <c r="W1486" i="1" s="1"/>
  <c r="W1491" i="1" s="1"/>
  <c r="W1519" i="1" s="1"/>
  <c r="W1525" i="1" s="1"/>
  <c r="W1530" i="1" s="1"/>
  <c r="W1558" i="1" s="1"/>
  <c r="W1564" i="1" s="1"/>
  <c r="W1569" i="1" s="1"/>
  <c r="W1597" i="1" s="1"/>
  <c r="W1603" i="1" s="1"/>
  <c r="W1608" i="1" s="1"/>
  <c r="W1636" i="1" s="1"/>
  <c r="W1642" i="1" s="1"/>
  <c r="W1647" i="1" s="1"/>
  <c r="W1675" i="1" s="1"/>
  <c r="W1681" i="1" s="1"/>
  <c r="W1686" i="1" s="1"/>
  <c r="W1714" i="1" s="1"/>
  <c r="W1720" i="1" s="1"/>
  <c r="W1725" i="1" s="1"/>
  <c r="W1753" i="1" s="1"/>
  <c r="W1759" i="1" s="1"/>
  <c r="W1764" i="1" s="1"/>
  <c r="W1792" i="1" s="1"/>
  <c r="W1798" i="1" s="1"/>
  <c r="W1803" i="1" s="1"/>
  <c r="W1831" i="1" s="1"/>
  <c r="W1837" i="1" s="1"/>
  <c r="W1842" i="1" s="1"/>
  <c r="W1870" i="1" s="1"/>
  <c r="W1876" i="1" s="1"/>
  <c r="W1881" i="1" s="1"/>
  <c r="W1909" i="1" s="1"/>
  <c r="W1915" i="1" s="1"/>
  <c r="W1920" i="1" s="1"/>
  <c r="W1948" i="1" s="1"/>
  <c r="W1954" i="1" s="1"/>
  <c r="W1959" i="1" s="1"/>
  <c r="W1987" i="1" s="1"/>
  <c r="W1993" i="1" s="1"/>
  <c r="W1998" i="1" s="1"/>
  <c r="W2026" i="1" s="1"/>
  <c r="W2032" i="1" s="1"/>
  <c r="W2037" i="1" s="1"/>
  <c r="W2065" i="1" s="1"/>
  <c r="W2071" i="1" s="1"/>
  <c r="W2076" i="1" s="1"/>
  <c r="W2104" i="1" s="1"/>
  <c r="W2110" i="1" s="1"/>
  <c r="W2115" i="1" s="1"/>
  <c r="W2143" i="1" s="1"/>
  <c r="W2149" i="1" s="1"/>
  <c r="W2154" i="1" s="1"/>
  <c r="W2182" i="1" s="1"/>
  <c r="W2188" i="1" s="1"/>
  <c r="W2193" i="1" s="1"/>
  <c r="W2221" i="1" s="1"/>
  <c r="W2227" i="1" s="1"/>
  <c r="W2232" i="1" s="1"/>
  <c r="W2260" i="1" s="1"/>
  <c r="AJ1413" i="1"/>
  <c r="AJ1441" i="1" s="1"/>
  <c r="AJ1447" i="1" s="1"/>
  <c r="P1441" i="1"/>
  <c r="P1447" i="1" s="1"/>
  <c r="C1363" i="1"/>
  <c r="C1369" i="1" s="1"/>
  <c r="C1374" i="1" s="1"/>
  <c r="C1402" i="1" s="1"/>
  <c r="C1408" i="1" s="1"/>
  <c r="C1413" i="1" s="1"/>
  <c r="C1441" i="1" s="1"/>
  <c r="C1447" i="1" s="1"/>
  <c r="C1452" i="1" s="1"/>
  <c r="C1480" i="1" s="1"/>
  <c r="C1486" i="1" s="1"/>
  <c r="C1491" i="1" s="1"/>
  <c r="C1519" i="1" s="1"/>
  <c r="C1525" i="1" s="1"/>
  <c r="C1530" i="1" s="1"/>
  <c r="C1558" i="1" s="1"/>
  <c r="C1564" i="1" s="1"/>
  <c r="D1324" i="1"/>
  <c r="D1330" i="1" s="1"/>
  <c r="D1335" i="1" s="1"/>
  <c r="D1363" i="1" s="1"/>
  <c r="D1369" i="1" s="1"/>
  <c r="E934" i="1"/>
  <c r="E940" i="1" s="1"/>
  <c r="E945" i="1" s="1"/>
  <c r="E973" i="1" s="1"/>
  <c r="E979" i="1" s="1"/>
  <c r="E984" i="1" s="1"/>
  <c r="E1012" i="1" s="1"/>
  <c r="E1018" i="1" s="1"/>
  <c r="E1023" i="1" s="1"/>
  <c r="E1051" i="1" s="1"/>
  <c r="E1057" i="1" s="1"/>
  <c r="E1062" i="1" s="1"/>
  <c r="E1090" i="1" s="1"/>
  <c r="E1096" i="1" s="1"/>
  <c r="E1101" i="1" s="1"/>
  <c r="E1129" i="1" s="1"/>
  <c r="E1135" i="1" s="1"/>
  <c r="E1140" i="1" s="1"/>
  <c r="E1168" i="1" s="1"/>
  <c r="E1174" i="1" s="1"/>
  <c r="X895" i="1"/>
  <c r="X901" i="1" s="1"/>
  <c r="X906" i="1" s="1"/>
  <c r="X934" i="1" s="1"/>
  <c r="X940" i="1" s="1"/>
  <c r="X945" i="1" s="1"/>
  <c r="X973" i="1" s="1"/>
  <c r="X979" i="1" s="1"/>
  <c r="X984" i="1" s="1"/>
  <c r="X1012" i="1" s="1"/>
  <c r="X1018" i="1" s="1"/>
  <c r="X1023" i="1" s="1"/>
  <c r="X1051" i="1" s="1"/>
  <c r="X1057" i="1" s="1"/>
  <c r="Z48" i="1"/>
  <c r="BA121" i="1"/>
  <c r="V87" i="1"/>
  <c r="Y82" i="1"/>
  <c r="Z82" i="1" s="1"/>
  <c r="AP165" i="1"/>
  <c r="AT160" i="1"/>
  <c r="AN165" i="1"/>
  <c r="AN193" i="1" s="1"/>
  <c r="AI193" i="1"/>
  <c r="AI199" i="1" s="1"/>
  <c r="S87" i="1"/>
  <c r="N115" i="1"/>
  <c r="N121" i="1" s="1"/>
  <c r="AD154" i="1"/>
  <c r="AD160" i="1" s="1"/>
  <c r="AH126" i="1"/>
  <c r="T243" i="1"/>
  <c r="AU154" i="1"/>
  <c r="AU160" i="1" s="1"/>
  <c r="AZ126" i="1"/>
  <c r="AZ154" i="1" s="1"/>
  <c r="B193" i="1"/>
  <c r="B199" i="1" s="1"/>
  <c r="G165" i="1"/>
  <c r="U126" i="1"/>
  <c r="H154" i="1"/>
  <c r="H160" i="1" s="1"/>
  <c r="M126" i="1"/>
  <c r="AO232" i="1"/>
  <c r="AO238" i="1" s="1"/>
  <c r="AC243" i="1"/>
  <c r="AG2183" i="1" l="1"/>
  <c r="AG2188" i="1"/>
  <c r="AG2193" i="1" s="1"/>
  <c r="AG2221" i="1" s="1"/>
  <c r="AG2227" i="1" s="1"/>
  <c r="AG2232" i="1" s="1"/>
  <c r="AG2260" i="1" s="1"/>
  <c r="AG2266" i="1" s="1"/>
  <c r="AG2271" i="1" s="1"/>
  <c r="AG2299" i="1" s="1"/>
  <c r="AY2182" i="1"/>
  <c r="AY2188" i="1" s="1"/>
  <c r="AY2193" i="1" s="1"/>
  <c r="AY2221" i="1" s="1"/>
  <c r="AY2227" i="1" s="1"/>
  <c r="AY2232" i="1" s="1"/>
  <c r="AY2260" i="1" s="1"/>
  <c r="AY2266" i="1" s="1"/>
  <c r="AY2271" i="1" s="1"/>
  <c r="AY2299" i="1" s="1"/>
  <c r="AY2305" i="1" s="1"/>
  <c r="AR2154" i="1"/>
  <c r="AM2182" i="1"/>
  <c r="AE2154" i="1"/>
  <c r="AX1798" i="1"/>
  <c r="AX1803" i="1" s="1"/>
  <c r="AX1831" i="1" s="1"/>
  <c r="AX1837" i="1" s="1"/>
  <c r="AX1842" i="1" s="1"/>
  <c r="AQ1915" i="1"/>
  <c r="AQ1920" i="1" s="1"/>
  <c r="AQ1948" i="1" s="1"/>
  <c r="AQ1954" i="1" s="1"/>
  <c r="AQ1959" i="1" s="1"/>
  <c r="AQ1987" i="1" s="1"/>
  <c r="AQ1993" i="1" s="1"/>
  <c r="AQ1998" i="1" s="1"/>
  <c r="AQ2026" i="1" s="1"/>
  <c r="AQ2032" i="1" s="1"/>
  <c r="AQ2037" i="1" s="1"/>
  <c r="AQ2065" i="1" s="1"/>
  <c r="AQ2071" i="1" s="1"/>
  <c r="AQ2076" i="1" s="1"/>
  <c r="AQ2104" i="1" s="1"/>
  <c r="AQ2110" i="1" s="1"/>
  <c r="AQ2115" i="1" s="1"/>
  <c r="AQ2143" i="1" s="1"/>
  <c r="AQ2149" i="1" s="1"/>
  <c r="AQ2154" i="1" s="1"/>
  <c r="AQ2182" i="1" s="1"/>
  <c r="AQ2188" i="1" s="1"/>
  <c r="AW1954" i="1"/>
  <c r="AW1959" i="1" s="1"/>
  <c r="AW1987" i="1" s="1"/>
  <c r="AW1993" i="1" s="1"/>
  <c r="AW1998" i="1" s="1"/>
  <c r="AW2026" i="1" s="1"/>
  <c r="AW2032" i="1" s="1"/>
  <c r="AW2037" i="1" s="1"/>
  <c r="AW2065" i="1" s="1"/>
  <c r="AW2071" i="1" s="1"/>
  <c r="AF1909" i="1"/>
  <c r="AF1915" i="1" s="1"/>
  <c r="J1831" i="1"/>
  <c r="J1837" i="1" s="1"/>
  <c r="J1842" i="1" s="1"/>
  <c r="J1870" i="1" s="1"/>
  <c r="J1876" i="1" s="1"/>
  <c r="J1881" i="1" s="1"/>
  <c r="J1909" i="1" s="1"/>
  <c r="J1915" i="1" s="1"/>
  <c r="J1920" i="1" s="1"/>
  <c r="J1948" i="1" s="1"/>
  <c r="J1954" i="1" s="1"/>
  <c r="J1959" i="1" s="1"/>
  <c r="J1987" i="1" s="1"/>
  <c r="J1993" i="1" s="1"/>
  <c r="J1998" i="1" s="1"/>
  <c r="J2026" i="1" s="1"/>
  <c r="J2032" i="1" s="1"/>
  <c r="J2037" i="1" s="1"/>
  <c r="J2065" i="1" s="1"/>
  <c r="J2071" i="1" s="1"/>
  <c r="J2076" i="1" s="1"/>
  <c r="J2104" i="1" s="1"/>
  <c r="J2110" i="1" s="1"/>
  <c r="C1569" i="1"/>
  <c r="AV1530" i="1"/>
  <c r="AV1558" i="1" s="1"/>
  <c r="AV1564" i="1" s="1"/>
  <c r="AV1569" i="1" s="1"/>
  <c r="AV1597" i="1" s="1"/>
  <c r="AV1603" i="1" s="1"/>
  <c r="AV1608" i="1" s="1"/>
  <c r="AV1636" i="1" s="1"/>
  <c r="AV1642" i="1" s="1"/>
  <c r="AV1647" i="1" s="1"/>
  <c r="AV1675" i="1" s="1"/>
  <c r="AV1681" i="1" s="1"/>
  <c r="AV1686" i="1" s="1"/>
  <c r="AJ1452" i="1"/>
  <c r="AJ1480" i="1" s="1"/>
  <c r="AJ1486" i="1" s="1"/>
  <c r="AJ1491" i="1" s="1"/>
  <c r="AJ1519" i="1" s="1"/>
  <c r="AJ1525" i="1" s="1"/>
  <c r="P1452" i="1"/>
  <c r="D1374" i="1"/>
  <c r="E1179" i="1"/>
  <c r="X1062" i="1"/>
  <c r="V115" i="1"/>
  <c r="V121" i="1" s="1"/>
  <c r="Y87" i="1"/>
  <c r="Y115" i="1" s="1"/>
  <c r="M154" i="1"/>
  <c r="AP193" i="1"/>
  <c r="AP199" i="1" s="1"/>
  <c r="AT165" i="1"/>
  <c r="AT193" i="1" s="1"/>
  <c r="N126" i="1"/>
  <c r="S121" i="1"/>
  <c r="S115" i="1"/>
  <c r="G193" i="1"/>
  <c r="B204" i="1"/>
  <c r="G199" i="1"/>
  <c r="AH154" i="1"/>
  <c r="BA154" i="1" s="1"/>
  <c r="BA126" i="1"/>
  <c r="M160" i="1"/>
  <c r="H165" i="1"/>
  <c r="AD165" i="1"/>
  <c r="AH160" i="1"/>
  <c r="AC271" i="1"/>
  <c r="AC277" i="1" s="1"/>
  <c r="AZ160" i="1"/>
  <c r="AU165" i="1"/>
  <c r="AO243" i="1"/>
  <c r="U154" i="1"/>
  <c r="U160" i="1" s="1"/>
  <c r="T271" i="1"/>
  <c r="T277" i="1" s="1"/>
  <c r="AI204" i="1"/>
  <c r="AN199" i="1"/>
  <c r="AY2310" i="1" l="1"/>
  <c r="AZ2305" i="1"/>
  <c r="BA2305" i="1" s="1"/>
  <c r="AQ2193" i="1"/>
  <c r="AM2183" i="1"/>
  <c r="AM2188" i="1"/>
  <c r="AR2182" i="1"/>
  <c r="AE2182" i="1"/>
  <c r="AE2188" i="1" s="1"/>
  <c r="AE2193" i="1" s="1"/>
  <c r="AE2221" i="1" s="1"/>
  <c r="AE2227" i="1" s="1"/>
  <c r="AE2232" i="1" s="1"/>
  <c r="AE2260" i="1" s="1"/>
  <c r="AE2266" i="1" s="1"/>
  <c r="AE2271" i="1" s="1"/>
  <c r="AE2299" i="1" s="1"/>
  <c r="J2115" i="1"/>
  <c r="AV1714" i="1"/>
  <c r="AV1720" i="1" s="1"/>
  <c r="AV1725" i="1" s="1"/>
  <c r="AV1753" i="1" s="1"/>
  <c r="AV1759" i="1" s="1"/>
  <c r="AV1764" i="1" s="1"/>
  <c r="AV1792" i="1" s="1"/>
  <c r="AW2076" i="1"/>
  <c r="AW2104" i="1" s="1"/>
  <c r="AW2110" i="1" s="1"/>
  <c r="AW2115" i="1" s="1"/>
  <c r="AW2143" i="1" s="1"/>
  <c r="AW2149" i="1" s="1"/>
  <c r="AW2154" i="1" s="1"/>
  <c r="AW2182" i="1" s="1"/>
  <c r="AW2188" i="1" s="1"/>
  <c r="AW2193" i="1" s="1"/>
  <c r="AW2221" i="1" s="1"/>
  <c r="AW2227" i="1" s="1"/>
  <c r="AW2232" i="1" s="1"/>
  <c r="AW2260" i="1" s="1"/>
  <c r="AW2266" i="1" s="1"/>
  <c r="AW2271" i="1" s="1"/>
  <c r="AW2299" i="1" s="1"/>
  <c r="AF1920" i="1"/>
  <c r="AF1948" i="1" s="1"/>
  <c r="AX1870" i="1"/>
  <c r="AX1876" i="1" s="1"/>
  <c r="C1597" i="1"/>
  <c r="C1603" i="1" s="1"/>
  <c r="C1608" i="1" s="1"/>
  <c r="C1636" i="1" s="1"/>
  <c r="C1642" i="1" s="1"/>
  <c r="C1647" i="1" s="1"/>
  <c r="C1675" i="1" s="1"/>
  <c r="C1681" i="1" s="1"/>
  <c r="C1686" i="1" s="1"/>
  <c r="C1714" i="1" s="1"/>
  <c r="C1720" i="1" s="1"/>
  <c r="C1725" i="1" s="1"/>
  <c r="C1753" i="1" s="1"/>
  <c r="C1759" i="1" s="1"/>
  <c r="C1764" i="1" s="1"/>
  <c r="C1792" i="1" s="1"/>
  <c r="C1798" i="1" s="1"/>
  <c r="AJ1530" i="1"/>
  <c r="AJ1558" i="1" s="1"/>
  <c r="AJ1564" i="1" s="1"/>
  <c r="AJ1569" i="1" s="1"/>
  <c r="AJ1597" i="1" s="1"/>
  <c r="AJ1603" i="1" s="1"/>
  <c r="AJ1608" i="1" s="1"/>
  <c r="AJ1636" i="1" s="1"/>
  <c r="AJ1642" i="1" s="1"/>
  <c r="AJ1647" i="1" s="1"/>
  <c r="AJ1675" i="1" s="1"/>
  <c r="AJ1681" i="1" s="1"/>
  <c r="AJ1686" i="1" s="1"/>
  <c r="P1480" i="1"/>
  <c r="P1486" i="1" s="1"/>
  <c r="P1491" i="1" s="1"/>
  <c r="P1519" i="1" s="1"/>
  <c r="P1525" i="1" s="1"/>
  <c r="P1530" i="1" s="1"/>
  <c r="P1558" i="1" s="1"/>
  <c r="P1564" i="1" s="1"/>
  <c r="P1569" i="1" s="1"/>
  <c r="P1597" i="1" s="1"/>
  <c r="P1603" i="1" s="1"/>
  <c r="P1608" i="1" s="1"/>
  <c r="P1636" i="1" s="1"/>
  <c r="P1642" i="1" s="1"/>
  <c r="P1647" i="1" s="1"/>
  <c r="P1675" i="1" s="1"/>
  <c r="P1681" i="1" s="1"/>
  <c r="P1686" i="1" s="1"/>
  <c r="P1714" i="1" s="1"/>
  <c r="P1720" i="1" s="1"/>
  <c r="P1725" i="1" s="1"/>
  <c r="P1753" i="1" s="1"/>
  <c r="P1759" i="1" s="1"/>
  <c r="P1764" i="1" s="1"/>
  <c r="P1792" i="1" s="1"/>
  <c r="P1798" i="1" s="1"/>
  <c r="P1803" i="1" s="1"/>
  <c r="P1831" i="1" s="1"/>
  <c r="P1837" i="1" s="1"/>
  <c r="P1842" i="1" s="1"/>
  <c r="P1870" i="1" s="1"/>
  <c r="P1876" i="1" s="1"/>
  <c r="P1881" i="1" s="1"/>
  <c r="P1909" i="1" s="1"/>
  <c r="P1915" i="1" s="1"/>
  <c r="P1920" i="1" s="1"/>
  <c r="P1948" i="1" s="1"/>
  <c r="P1954" i="1" s="1"/>
  <c r="P1959" i="1" s="1"/>
  <c r="P1987" i="1" s="1"/>
  <c r="P1993" i="1" s="1"/>
  <c r="P1998" i="1" s="1"/>
  <c r="P2026" i="1" s="1"/>
  <c r="P2032" i="1" s="1"/>
  <c r="P2037" i="1" s="1"/>
  <c r="P2065" i="1" s="1"/>
  <c r="P2071" i="1" s="1"/>
  <c r="P2076" i="1" s="1"/>
  <c r="P2104" i="1" s="1"/>
  <c r="P2110" i="1" s="1"/>
  <c r="P2115" i="1" s="1"/>
  <c r="P2143" i="1" s="1"/>
  <c r="P2149" i="1" s="1"/>
  <c r="P2154" i="1" s="1"/>
  <c r="P2182" i="1" s="1"/>
  <c r="D1402" i="1"/>
  <c r="D1408" i="1" s="1"/>
  <c r="E1207" i="1"/>
  <c r="E1213" i="1" s="1"/>
  <c r="E1218" i="1" s="1"/>
  <c r="E1246" i="1" s="1"/>
  <c r="E1252" i="1" s="1"/>
  <c r="E1257" i="1" s="1"/>
  <c r="E1285" i="1" s="1"/>
  <c r="E1291" i="1" s="1"/>
  <c r="E1296" i="1" s="1"/>
  <c r="E1324" i="1" s="1"/>
  <c r="E1330" i="1" s="1"/>
  <c r="X1090" i="1"/>
  <c r="X1096" i="1" s="1"/>
  <c r="X1101" i="1" s="1"/>
  <c r="X1129" i="1" s="1"/>
  <c r="X1135" i="1" s="1"/>
  <c r="X1140" i="1" s="1"/>
  <c r="X1168" i="1" s="1"/>
  <c r="X1174" i="1" s="1"/>
  <c r="X1179" i="1" s="1"/>
  <c r="X1207" i="1" s="1"/>
  <c r="X1213" i="1" s="1"/>
  <c r="X1218" i="1" s="1"/>
  <c r="X1246" i="1" s="1"/>
  <c r="X1252" i="1" s="1"/>
  <c r="X1257" i="1" s="1"/>
  <c r="X1285" i="1" s="1"/>
  <c r="X1291" i="1" s="1"/>
  <c r="X1296" i="1" s="1"/>
  <c r="X1324" i="1" s="1"/>
  <c r="X1330" i="1" s="1"/>
  <c r="X1335" i="1" s="1"/>
  <c r="X1363" i="1" s="1"/>
  <c r="X1369" i="1" s="1"/>
  <c r="X1374" i="1" s="1"/>
  <c r="X1402" i="1" s="1"/>
  <c r="X1408" i="1" s="1"/>
  <c r="X1413" i="1" s="1"/>
  <c r="X1441" i="1" s="1"/>
  <c r="X1447" i="1" s="1"/>
  <c r="X1452" i="1" s="1"/>
  <c r="X1480" i="1" s="1"/>
  <c r="X1486" i="1" s="1"/>
  <c r="X1491" i="1" s="1"/>
  <c r="X1519" i="1" s="1"/>
  <c r="X1525" i="1" s="1"/>
  <c r="X1530" i="1" s="1"/>
  <c r="X1558" i="1" s="1"/>
  <c r="X1564" i="1" s="1"/>
  <c r="X1569" i="1" s="1"/>
  <c r="X1597" i="1" s="1"/>
  <c r="X1603" i="1" s="1"/>
  <c r="X1608" i="1" s="1"/>
  <c r="X1636" i="1" s="1"/>
  <c r="X1642" i="1" s="1"/>
  <c r="X1647" i="1" s="1"/>
  <c r="X1675" i="1" s="1"/>
  <c r="X1681" i="1" s="1"/>
  <c r="X1686" i="1" s="1"/>
  <c r="X1714" i="1" s="1"/>
  <c r="X1720" i="1" s="1"/>
  <c r="X1725" i="1" s="1"/>
  <c r="X1753" i="1" s="1"/>
  <c r="X1759" i="1" s="1"/>
  <c r="X1764" i="1" s="1"/>
  <c r="X1792" i="1" s="1"/>
  <c r="X1798" i="1" s="1"/>
  <c r="X1803" i="1" s="1"/>
  <c r="X1831" i="1" s="1"/>
  <c r="X1837" i="1" s="1"/>
  <c r="X1842" i="1" s="1"/>
  <c r="X1870" i="1" s="1"/>
  <c r="X1876" i="1" s="1"/>
  <c r="X1881" i="1" s="1"/>
  <c r="X1909" i="1" s="1"/>
  <c r="X1915" i="1" s="1"/>
  <c r="X1920" i="1" s="1"/>
  <c r="X1948" i="1" s="1"/>
  <c r="X1954" i="1" s="1"/>
  <c r="X1959" i="1" s="1"/>
  <c r="X1987" i="1" s="1"/>
  <c r="X1993" i="1" s="1"/>
  <c r="X1998" i="1" s="1"/>
  <c r="X2026" i="1" s="1"/>
  <c r="X2032" i="1" s="1"/>
  <c r="X2037" i="1" s="1"/>
  <c r="X2065" i="1" s="1"/>
  <c r="X2071" i="1" s="1"/>
  <c r="X2076" i="1" s="1"/>
  <c r="X2104" i="1" s="1"/>
  <c r="X2110" i="1" s="1"/>
  <c r="X2115" i="1" s="1"/>
  <c r="X2143" i="1" s="1"/>
  <c r="X2149" i="1" s="1"/>
  <c r="X2154" i="1" s="1"/>
  <c r="X2182" i="1" s="1"/>
  <c r="Z115" i="1"/>
  <c r="BA160" i="1"/>
  <c r="Z87" i="1"/>
  <c r="V126" i="1"/>
  <c r="Y121" i="1"/>
  <c r="Z121" i="1" s="1"/>
  <c r="AI232" i="1"/>
  <c r="AI238" i="1" s="1"/>
  <c r="AN204" i="1"/>
  <c r="AN232" i="1" s="1"/>
  <c r="AD193" i="1"/>
  <c r="AD199" i="1" s="1"/>
  <c r="AH165" i="1"/>
  <c r="B232" i="1"/>
  <c r="B238" i="1" s="1"/>
  <c r="G204" i="1"/>
  <c r="N154" i="1"/>
  <c r="N160" i="1" s="1"/>
  <c r="S126" i="1"/>
  <c r="AU193" i="1"/>
  <c r="AU199" i="1" s="1"/>
  <c r="AZ165" i="1"/>
  <c r="AZ193" i="1" s="1"/>
  <c r="AC282" i="1"/>
  <c r="AO271" i="1"/>
  <c r="AO277" i="1" s="1"/>
  <c r="T282" i="1"/>
  <c r="H193" i="1"/>
  <c r="H199" i="1" s="1"/>
  <c r="M165" i="1"/>
  <c r="AP204" i="1"/>
  <c r="AT199" i="1"/>
  <c r="U165" i="1"/>
  <c r="AY2338" i="1" l="1"/>
  <c r="AZ2310" i="1"/>
  <c r="AY2183" i="1"/>
  <c r="X2188" i="1"/>
  <c r="X2193" i="1" s="1"/>
  <c r="X2221" i="1" s="1"/>
  <c r="X2227" i="1" s="1"/>
  <c r="X2232" i="1" s="1"/>
  <c r="X2260" i="1" s="1"/>
  <c r="X2266" i="1" s="1"/>
  <c r="X2271" i="1" s="1"/>
  <c r="X2299" i="1" s="1"/>
  <c r="AQ2183" i="1"/>
  <c r="P2188" i="1"/>
  <c r="P2193" i="1" s="1"/>
  <c r="P2221" i="1" s="1"/>
  <c r="P2227" i="1" s="1"/>
  <c r="P2232" i="1" s="1"/>
  <c r="P2260" i="1" s="1"/>
  <c r="AR2183" i="1"/>
  <c r="AR2188" i="1"/>
  <c r="AQ2221" i="1"/>
  <c r="AQ2227" i="1" s="1"/>
  <c r="AQ2232" i="1" s="1"/>
  <c r="AQ2260" i="1" s="1"/>
  <c r="AQ2266" i="1" s="1"/>
  <c r="AQ2271" i="1" s="1"/>
  <c r="AQ2299" i="1" s="1"/>
  <c r="AM2193" i="1"/>
  <c r="J2143" i="1"/>
  <c r="J2149" i="1" s="1"/>
  <c r="J2154" i="1" s="1"/>
  <c r="J2182" i="1" s="1"/>
  <c r="AV1798" i="1"/>
  <c r="AV1803" i="1" s="1"/>
  <c r="AV1831" i="1" s="1"/>
  <c r="AV1837" i="1" s="1"/>
  <c r="AV1842" i="1" s="1"/>
  <c r="AJ1714" i="1"/>
  <c r="AJ1720" i="1" s="1"/>
  <c r="AJ1725" i="1" s="1"/>
  <c r="AJ1753" i="1" s="1"/>
  <c r="AJ1759" i="1" s="1"/>
  <c r="AJ1764" i="1" s="1"/>
  <c r="AF1954" i="1"/>
  <c r="AF1959" i="1" s="1"/>
  <c r="AF1987" i="1" s="1"/>
  <c r="AF1993" i="1" s="1"/>
  <c r="AF1998" i="1" s="1"/>
  <c r="AF2026" i="1" s="1"/>
  <c r="AF2032" i="1" s="1"/>
  <c r="AX1881" i="1"/>
  <c r="AX1909" i="1" s="1"/>
  <c r="C1803" i="1"/>
  <c r="D1413" i="1"/>
  <c r="E1335" i="1"/>
  <c r="V154" i="1"/>
  <c r="V160" i="1" s="1"/>
  <c r="Y126" i="1"/>
  <c r="Y154" i="1" s="1"/>
  <c r="T310" i="1"/>
  <c r="T316" i="1" s="1"/>
  <c r="AD204" i="1"/>
  <c r="AH199" i="1"/>
  <c r="B243" i="1"/>
  <c r="G238" i="1"/>
  <c r="AH193" i="1"/>
  <c r="BA193" i="1" s="1"/>
  <c r="BA165" i="1"/>
  <c r="AZ199" i="1"/>
  <c r="AU204" i="1"/>
  <c r="AO282" i="1"/>
  <c r="AC310" i="1"/>
  <c r="AC316" i="1" s="1"/>
  <c r="N165" i="1"/>
  <c r="S160" i="1"/>
  <c r="AN238" i="1"/>
  <c r="AI243" i="1"/>
  <c r="U193" i="1"/>
  <c r="U199" i="1" s="1"/>
  <c r="AP232" i="1"/>
  <c r="AP238" i="1" s="1"/>
  <c r="AT204" i="1"/>
  <c r="AT232" i="1" s="1"/>
  <c r="S154" i="1"/>
  <c r="M193" i="1"/>
  <c r="H204" i="1"/>
  <c r="M199" i="1"/>
  <c r="G232" i="1"/>
  <c r="AZ2338" i="1" l="1"/>
  <c r="BA2338" i="1" s="1"/>
  <c r="BA2310" i="1"/>
  <c r="AK2183" i="1"/>
  <c r="J2188" i="1"/>
  <c r="J2193" i="1" s="1"/>
  <c r="J2221" i="1" s="1"/>
  <c r="J2227" i="1" s="1"/>
  <c r="J2232" i="1" s="1"/>
  <c r="J2260" i="1" s="1"/>
  <c r="J2266" i="1" s="1"/>
  <c r="AR2193" i="1"/>
  <c r="AM2221" i="1"/>
  <c r="AM2227" i="1" s="1"/>
  <c r="AM2232" i="1" s="1"/>
  <c r="AM2260" i="1" s="1"/>
  <c r="AM2266" i="1" s="1"/>
  <c r="AM2271" i="1" s="1"/>
  <c r="AM2299" i="1" s="1"/>
  <c r="AX1915" i="1"/>
  <c r="AX1920" i="1" s="1"/>
  <c r="AX1948" i="1" s="1"/>
  <c r="AX1954" i="1" s="1"/>
  <c r="AX1959" i="1" s="1"/>
  <c r="AX1987" i="1" s="1"/>
  <c r="AX1993" i="1" s="1"/>
  <c r="AX1998" i="1" s="1"/>
  <c r="AX2026" i="1" s="1"/>
  <c r="AX2032" i="1" s="1"/>
  <c r="AX2037" i="1" s="1"/>
  <c r="AX2065" i="1" s="1"/>
  <c r="AX2071" i="1" s="1"/>
  <c r="AX2076" i="1" s="1"/>
  <c r="AX2104" i="1" s="1"/>
  <c r="AX2110" i="1" s="1"/>
  <c r="AX2115" i="1" s="1"/>
  <c r="AX2143" i="1" s="1"/>
  <c r="AX2149" i="1" s="1"/>
  <c r="AX2154" i="1" s="1"/>
  <c r="AX2182" i="1" s="1"/>
  <c r="AV1870" i="1"/>
  <c r="AF2037" i="1"/>
  <c r="AF2065" i="1" s="1"/>
  <c r="AF2071" i="1" s="1"/>
  <c r="AF2076" i="1" s="1"/>
  <c r="AF2104" i="1" s="1"/>
  <c r="AF2110" i="1" s="1"/>
  <c r="AF2115" i="1" s="1"/>
  <c r="AF2143" i="1" s="1"/>
  <c r="AF2149" i="1" s="1"/>
  <c r="AF2154" i="1" s="1"/>
  <c r="AF2182" i="1" s="1"/>
  <c r="AF2188" i="1" s="1"/>
  <c r="AF2193" i="1" s="1"/>
  <c r="AF2221" i="1" s="1"/>
  <c r="AF2227" i="1" s="1"/>
  <c r="AF2232" i="1" s="1"/>
  <c r="AF2260" i="1" s="1"/>
  <c r="AF2266" i="1" s="1"/>
  <c r="AF2271" i="1" s="1"/>
  <c r="AF2299" i="1" s="1"/>
  <c r="AJ1792" i="1"/>
  <c r="C1831" i="1"/>
  <c r="C1837" i="1" s="1"/>
  <c r="C1842" i="1" s="1"/>
  <c r="C1870" i="1" s="1"/>
  <c r="C1876" i="1" s="1"/>
  <c r="C1881" i="1" s="1"/>
  <c r="C1909" i="1" s="1"/>
  <c r="C1915" i="1" s="1"/>
  <c r="C1920" i="1" s="1"/>
  <c r="C1948" i="1" s="1"/>
  <c r="C1954" i="1" s="1"/>
  <c r="D1441" i="1"/>
  <c r="D1447" i="1" s="1"/>
  <c r="D1452" i="1" s="1"/>
  <c r="D1480" i="1" s="1"/>
  <c r="D1486" i="1" s="1"/>
  <c r="D1491" i="1" s="1"/>
  <c r="D1519" i="1" s="1"/>
  <c r="D1525" i="1" s="1"/>
  <c r="D1530" i="1" s="1"/>
  <c r="D1558" i="1" s="1"/>
  <c r="D1564" i="1" s="1"/>
  <c r="E1363" i="1"/>
  <c r="E1369" i="1" s="1"/>
  <c r="E1374" i="1" s="1"/>
  <c r="E1402" i="1" s="1"/>
  <c r="E1408" i="1" s="1"/>
  <c r="E1413" i="1" s="1"/>
  <c r="E1441" i="1" s="1"/>
  <c r="E1447" i="1" s="1"/>
  <c r="E1452" i="1" s="1"/>
  <c r="E1480" i="1" s="1"/>
  <c r="E1486" i="1" s="1"/>
  <c r="E1491" i="1" s="1"/>
  <c r="E1519" i="1" s="1"/>
  <c r="E1525" i="1" s="1"/>
  <c r="E1530" i="1" s="1"/>
  <c r="E1558" i="1" s="1"/>
  <c r="E1564" i="1" s="1"/>
  <c r="E1569" i="1" s="1"/>
  <c r="E1597" i="1" s="1"/>
  <c r="E1603" i="1" s="1"/>
  <c r="E1608" i="1" s="1"/>
  <c r="E1636" i="1" s="1"/>
  <c r="E1642" i="1" s="1"/>
  <c r="E1647" i="1" s="1"/>
  <c r="E1675" i="1" s="1"/>
  <c r="E1681" i="1" s="1"/>
  <c r="E1686" i="1" s="1"/>
  <c r="E1714" i="1" s="1"/>
  <c r="E1720" i="1" s="1"/>
  <c r="E1725" i="1" s="1"/>
  <c r="E1753" i="1" s="1"/>
  <c r="E1759" i="1" s="1"/>
  <c r="E1764" i="1" s="1"/>
  <c r="E1792" i="1" s="1"/>
  <c r="E1798" i="1" s="1"/>
  <c r="E1803" i="1" s="1"/>
  <c r="E1831" i="1" s="1"/>
  <c r="E1837" i="1" s="1"/>
  <c r="E1842" i="1" s="1"/>
  <c r="E1870" i="1" s="1"/>
  <c r="E1876" i="1" s="1"/>
  <c r="E1881" i="1" s="1"/>
  <c r="E1909" i="1" s="1"/>
  <c r="E1915" i="1" s="1"/>
  <c r="E1920" i="1" s="1"/>
  <c r="E1948" i="1" s="1"/>
  <c r="E1954" i="1" s="1"/>
  <c r="E1959" i="1" s="1"/>
  <c r="E1987" i="1" s="1"/>
  <c r="E1993" i="1" s="1"/>
  <c r="E1998" i="1" s="1"/>
  <c r="E2026" i="1" s="1"/>
  <c r="E2032" i="1" s="1"/>
  <c r="E2037" i="1" s="1"/>
  <c r="E2065" i="1" s="1"/>
  <c r="E2071" i="1" s="1"/>
  <c r="E2076" i="1" s="1"/>
  <c r="E2104" i="1" s="1"/>
  <c r="E2110" i="1" s="1"/>
  <c r="E2115" i="1" s="1"/>
  <c r="E2143" i="1" s="1"/>
  <c r="E2149" i="1" s="1"/>
  <c r="E2154" i="1" s="1"/>
  <c r="E2182" i="1" s="1"/>
  <c r="E2188" i="1" s="1"/>
  <c r="E2193" i="1" s="1"/>
  <c r="E2221" i="1" s="1"/>
  <c r="E2227" i="1" s="1"/>
  <c r="E2232" i="1" s="1"/>
  <c r="E2260" i="1" s="1"/>
  <c r="Z154" i="1"/>
  <c r="Z126" i="1"/>
  <c r="BA199" i="1"/>
  <c r="V165" i="1"/>
  <c r="Y160" i="1"/>
  <c r="Z160" i="1" s="1"/>
  <c r="G243" i="1"/>
  <c r="B271" i="1"/>
  <c r="B277" i="1" s="1"/>
  <c r="AZ204" i="1"/>
  <c r="AZ232" i="1" s="1"/>
  <c r="AU232" i="1"/>
  <c r="AU238" i="1" s="1"/>
  <c r="H232" i="1"/>
  <c r="H238" i="1" s="1"/>
  <c r="M204" i="1"/>
  <c r="S165" i="1"/>
  <c r="N193" i="1"/>
  <c r="N199" i="1" s="1"/>
  <c r="AC321" i="1"/>
  <c r="AI271" i="1"/>
  <c r="AI277" i="1" s="1"/>
  <c r="AN243" i="1"/>
  <c r="AN271" i="1" s="1"/>
  <c r="AO310" i="1"/>
  <c r="AO316" i="1" s="1"/>
  <c r="AP243" i="1"/>
  <c r="AT238" i="1"/>
  <c r="AD232" i="1"/>
  <c r="AD238" i="1" s="1"/>
  <c r="AH204" i="1"/>
  <c r="U204" i="1"/>
  <c r="T321" i="1"/>
  <c r="J2271" i="1" l="1"/>
  <c r="M2266" i="1"/>
  <c r="AX2183" i="1"/>
  <c r="AX2188" i="1"/>
  <c r="AX2193" i="1" s="1"/>
  <c r="AX2221" i="1" s="1"/>
  <c r="AX2227" i="1" s="1"/>
  <c r="AX2232" i="1" s="1"/>
  <c r="AX2260" i="1" s="1"/>
  <c r="AX2266" i="1" s="1"/>
  <c r="AX2271" i="1" s="1"/>
  <c r="AX2299" i="1" s="1"/>
  <c r="AR2221" i="1"/>
  <c r="AR2227" i="1" s="1"/>
  <c r="AR2232" i="1" s="1"/>
  <c r="AR2260" i="1" s="1"/>
  <c r="AR2266" i="1" s="1"/>
  <c r="AR2271" i="1" s="1"/>
  <c r="AR2299" i="1" s="1"/>
  <c r="AF2183" i="1"/>
  <c r="AJ1798" i="1"/>
  <c r="AJ1803" i="1" s="1"/>
  <c r="AV1876" i="1"/>
  <c r="AV1881" i="1" s="1"/>
  <c r="AV1909" i="1" s="1"/>
  <c r="AV1915" i="1" s="1"/>
  <c r="C1959" i="1"/>
  <c r="D1569" i="1"/>
  <c r="V193" i="1"/>
  <c r="V199" i="1" s="1"/>
  <c r="Y165" i="1"/>
  <c r="Y193" i="1" s="1"/>
  <c r="U232" i="1"/>
  <c r="U238" i="1" s="1"/>
  <c r="AP271" i="1"/>
  <c r="AP277" i="1" s="1"/>
  <c r="AT243" i="1"/>
  <c r="AT271" i="1" s="1"/>
  <c r="S199" i="1"/>
  <c r="N204" i="1"/>
  <c r="G277" i="1"/>
  <c r="B282" i="1"/>
  <c r="S193" i="1"/>
  <c r="BA204" i="1"/>
  <c r="AH232" i="1"/>
  <c r="BA232" i="1" s="1"/>
  <c r="AD243" i="1"/>
  <c r="AH238" i="1"/>
  <c r="M238" i="1"/>
  <c r="H243" i="1"/>
  <c r="G271" i="1"/>
  <c r="AO321" i="1"/>
  <c r="M232" i="1"/>
  <c r="AI282" i="1"/>
  <c r="AN277" i="1"/>
  <c r="T349" i="1"/>
  <c r="T355" i="1" s="1"/>
  <c r="AC349" i="1"/>
  <c r="AC355" i="1" s="1"/>
  <c r="AZ238" i="1"/>
  <c r="AU243" i="1"/>
  <c r="J2299" i="1" l="1"/>
  <c r="M2271" i="1"/>
  <c r="M2299" i="1" s="1"/>
  <c r="AJ1831" i="1"/>
  <c r="AJ1837" i="1" s="1"/>
  <c r="AJ1842" i="1" s="1"/>
  <c r="AV1920" i="1"/>
  <c r="AV1948" i="1" s="1"/>
  <c r="AV1954" i="1" s="1"/>
  <c r="AV1959" i="1" s="1"/>
  <c r="AV1987" i="1" s="1"/>
  <c r="AV1993" i="1" s="1"/>
  <c r="AV1998" i="1" s="1"/>
  <c r="AV2026" i="1" s="1"/>
  <c r="AV2032" i="1" s="1"/>
  <c r="AV2037" i="1" s="1"/>
  <c r="AV2065" i="1" s="1"/>
  <c r="AV2071" i="1" s="1"/>
  <c r="AV2076" i="1" s="1"/>
  <c r="AV2104" i="1" s="1"/>
  <c r="AV2110" i="1" s="1"/>
  <c r="AV2115" i="1" s="1"/>
  <c r="AV2143" i="1" s="1"/>
  <c r="AV2149" i="1" s="1"/>
  <c r="AV2154" i="1" s="1"/>
  <c r="AV2182" i="1" s="1"/>
  <c r="AV2188" i="1" s="1"/>
  <c r="AV2193" i="1" s="1"/>
  <c r="AV2221" i="1" s="1"/>
  <c r="AV2227" i="1" s="1"/>
  <c r="AV2232" i="1" s="1"/>
  <c r="AV2260" i="1" s="1"/>
  <c r="AV2266" i="1" s="1"/>
  <c r="AV2271" i="1" s="1"/>
  <c r="AV2299" i="1" s="1"/>
  <c r="C1987" i="1"/>
  <c r="C1993" i="1" s="1"/>
  <c r="C1998" i="1" s="1"/>
  <c r="C2026" i="1" s="1"/>
  <c r="C2032" i="1" s="1"/>
  <c r="C2037" i="1" s="1"/>
  <c r="C2065" i="1" s="1"/>
  <c r="C2071" i="1" s="1"/>
  <c r="C2076" i="1" s="1"/>
  <c r="C2104" i="1" s="1"/>
  <c r="C2110" i="1" s="1"/>
  <c r="C2115" i="1" s="1"/>
  <c r="C2143" i="1" s="1"/>
  <c r="C2149" i="1" s="1"/>
  <c r="C2154" i="1" s="1"/>
  <c r="C2182" i="1" s="1"/>
  <c r="C2188" i="1" s="1"/>
  <c r="C2193" i="1" s="1"/>
  <c r="C2221" i="1" s="1"/>
  <c r="C2227" i="1" s="1"/>
  <c r="C2232" i="1" s="1"/>
  <c r="C2260" i="1" s="1"/>
  <c r="C2266" i="1" s="1"/>
  <c r="D1597" i="1"/>
  <c r="D1603" i="1" s="1"/>
  <c r="D1608" i="1" s="1"/>
  <c r="D1636" i="1" s="1"/>
  <c r="D1642" i="1" s="1"/>
  <c r="D1647" i="1" s="1"/>
  <c r="D1675" i="1" s="1"/>
  <c r="D1681" i="1" s="1"/>
  <c r="D1686" i="1" s="1"/>
  <c r="D1714" i="1" s="1"/>
  <c r="D1720" i="1" s="1"/>
  <c r="D1725" i="1" s="1"/>
  <c r="D1753" i="1" s="1"/>
  <c r="D1759" i="1" s="1"/>
  <c r="D1764" i="1" s="1"/>
  <c r="D1792" i="1" s="1"/>
  <c r="D1798" i="1" s="1"/>
  <c r="D1803" i="1" s="1"/>
  <c r="D1831" i="1" s="1"/>
  <c r="D1837" i="1" s="1"/>
  <c r="D1842" i="1" s="1"/>
  <c r="D1870" i="1" s="1"/>
  <c r="D1876" i="1" s="1"/>
  <c r="D1881" i="1" s="1"/>
  <c r="D1909" i="1" s="1"/>
  <c r="D1915" i="1" s="1"/>
  <c r="D1920" i="1" s="1"/>
  <c r="D1948" i="1" s="1"/>
  <c r="D1954" i="1" s="1"/>
  <c r="D1959" i="1" s="1"/>
  <c r="D1987" i="1" s="1"/>
  <c r="D1993" i="1" s="1"/>
  <c r="D1998" i="1" s="1"/>
  <c r="D2026" i="1" s="1"/>
  <c r="D2032" i="1" s="1"/>
  <c r="D2037" i="1" s="1"/>
  <c r="D2065" i="1" s="1"/>
  <c r="D2071" i="1" s="1"/>
  <c r="D2076" i="1" s="1"/>
  <c r="D2104" i="1" s="1"/>
  <c r="D2110" i="1" s="1"/>
  <c r="D2115" i="1" s="1"/>
  <c r="D2143" i="1" s="1"/>
  <c r="D2149" i="1" s="1"/>
  <c r="D2154" i="1" s="1"/>
  <c r="D2182" i="1" s="1"/>
  <c r="Z193" i="1"/>
  <c r="Z165" i="1"/>
  <c r="V204" i="1"/>
  <c r="Y199" i="1"/>
  <c r="Z199" i="1" s="1"/>
  <c r="AN282" i="1"/>
  <c r="AN310" i="1" s="1"/>
  <c r="AI310" i="1"/>
  <c r="AI316" i="1" s="1"/>
  <c r="AP282" i="1"/>
  <c r="AT277" i="1"/>
  <c r="BA238" i="1"/>
  <c r="B310" i="1"/>
  <c r="B316" i="1" s="1"/>
  <c r="G282" i="1"/>
  <c r="AZ243" i="1"/>
  <c r="AZ271" i="1" s="1"/>
  <c r="AU271" i="1"/>
  <c r="AU277" i="1" s="1"/>
  <c r="N232" i="1"/>
  <c r="N238" i="1" s="1"/>
  <c r="S204" i="1"/>
  <c r="H271" i="1"/>
  <c r="H277" i="1" s="1"/>
  <c r="M243" i="1"/>
  <c r="AC360" i="1"/>
  <c r="AO349" i="1"/>
  <c r="AO355" i="1" s="1"/>
  <c r="T360" i="1"/>
  <c r="AD271" i="1"/>
  <c r="AD277" i="1" s="1"/>
  <c r="AH243" i="1"/>
  <c r="U243" i="1"/>
  <c r="C2271" i="1" l="1"/>
  <c r="G2266" i="1"/>
  <c r="AE2183" i="1"/>
  <c r="D2188" i="1"/>
  <c r="D2193" i="1" s="1"/>
  <c r="D2221" i="1" s="1"/>
  <c r="D2227" i="1" s="1"/>
  <c r="D2232" i="1" s="1"/>
  <c r="D2260" i="1" s="1"/>
  <c r="AJ1870" i="1"/>
  <c r="AJ1876" i="1" s="1"/>
  <c r="V232" i="1"/>
  <c r="V238" i="1" s="1"/>
  <c r="Y204" i="1"/>
  <c r="Y232" i="1" s="1"/>
  <c r="AP310" i="1"/>
  <c r="AP316" i="1" s="1"/>
  <c r="AT282" i="1"/>
  <c r="AT310" i="1" s="1"/>
  <c r="S238" i="1"/>
  <c r="N243" i="1"/>
  <c r="AU282" i="1"/>
  <c r="AZ277" i="1"/>
  <c r="M271" i="1"/>
  <c r="AN316" i="1"/>
  <c r="AI321" i="1"/>
  <c r="AH271" i="1"/>
  <c r="BA271" i="1" s="1"/>
  <c r="BA243" i="1"/>
  <c r="AD282" i="1"/>
  <c r="AH277" i="1"/>
  <c r="AC388" i="1"/>
  <c r="AC394" i="1" s="1"/>
  <c r="U271" i="1"/>
  <c r="U277" i="1" s="1"/>
  <c r="G316" i="1"/>
  <c r="B321" i="1"/>
  <c r="T388" i="1"/>
  <c r="T394" i="1" s="1"/>
  <c r="G310" i="1"/>
  <c r="H282" i="1"/>
  <c r="M277" i="1"/>
  <c r="AO360" i="1"/>
  <c r="S232" i="1"/>
  <c r="C2299" i="1" l="1"/>
  <c r="G2271" i="1"/>
  <c r="AJ1881" i="1"/>
  <c r="AJ1909" i="1" s="1"/>
  <c r="Z204" i="1"/>
  <c r="Z232" i="1"/>
  <c r="V243" i="1"/>
  <c r="Y238" i="1"/>
  <c r="Z238" i="1" s="1"/>
  <c r="T399" i="1"/>
  <c r="N271" i="1"/>
  <c r="N277" i="1" s="1"/>
  <c r="S243" i="1"/>
  <c r="U282" i="1"/>
  <c r="AC399" i="1"/>
  <c r="AO388" i="1"/>
  <c r="AO394" i="1" s="1"/>
  <c r="B349" i="1"/>
  <c r="B355" i="1" s="1"/>
  <c r="G321" i="1"/>
  <c r="AZ282" i="1"/>
  <c r="AZ310" i="1" s="1"/>
  <c r="AU310" i="1"/>
  <c r="AU316" i="1" s="1"/>
  <c r="AI349" i="1"/>
  <c r="AI355" i="1" s="1"/>
  <c r="AN321" i="1"/>
  <c r="AN349" i="1" s="1"/>
  <c r="BA277" i="1"/>
  <c r="M282" i="1"/>
  <c r="H310" i="1"/>
  <c r="H316" i="1" s="1"/>
  <c r="AD310" i="1"/>
  <c r="AD316" i="1" s="1"/>
  <c r="AH282" i="1"/>
  <c r="AP321" i="1"/>
  <c r="AT316" i="1"/>
  <c r="G2299" i="1" l="1"/>
  <c r="AJ1915" i="1"/>
  <c r="V271" i="1"/>
  <c r="V277" i="1" s="1"/>
  <c r="Y243" i="1"/>
  <c r="Y271" i="1" s="1"/>
  <c r="AH310" i="1"/>
  <c r="BA310" i="1" s="1"/>
  <c r="BA282" i="1"/>
  <c r="AD321" i="1"/>
  <c r="AH316" i="1"/>
  <c r="S271" i="1"/>
  <c r="G349" i="1"/>
  <c r="U310" i="1"/>
  <c r="U316" i="1" s="1"/>
  <c r="H321" i="1"/>
  <c r="M316" i="1"/>
  <c r="N282" i="1"/>
  <c r="S277" i="1"/>
  <c r="AI360" i="1"/>
  <c r="AN355" i="1"/>
  <c r="T427" i="1"/>
  <c r="T433" i="1" s="1"/>
  <c r="G355" i="1"/>
  <c r="B360" i="1"/>
  <c r="AO399" i="1"/>
  <c r="AU321" i="1"/>
  <c r="AZ316" i="1"/>
  <c r="AP349" i="1"/>
  <c r="AP355" i="1" s="1"/>
  <c r="AT321" i="1"/>
  <c r="AT349" i="1" s="1"/>
  <c r="M310" i="1"/>
  <c r="AC427" i="1"/>
  <c r="AC433" i="1" s="1"/>
  <c r="AJ1920" i="1" l="1"/>
  <c r="AJ1948" i="1" s="1"/>
  <c r="AJ1954" i="1" s="1"/>
  <c r="AJ1959" i="1"/>
  <c r="AJ1987" i="1" s="1"/>
  <c r="AJ1993" i="1" s="1"/>
  <c r="AJ1998" i="1" s="1"/>
  <c r="AJ2026" i="1" s="1"/>
  <c r="AJ2032" i="1" s="1"/>
  <c r="AJ2037" i="1" s="1"/>
  <c r="AJ2065" i="1" s="1"/>
  <c r="AJ2071" i="1" s="1"/>
  <c r="AJ2076" i="1" s="1"/>
  <c r="AJ2104" i="1" s="1"/>
  <c r="AJ2110" i="1" s="1"/>
  <c r="AJ2115" i="1" s="1"/>
  <c r="AJ2143" i="1" s="1"/>
  <c r="AJ2149" i="1" s="1"/>
  <c r="AJ2154" i="1" s="1"/>
  <c r="AJ2182" i="1" s="1"/>
  <c r="Z243" i="1"/>
  <c r="Z271" i="1"/>
  <c r="V282" i="1"/>
  <c r="Y277" i="1"/>
  <c r="Z277" i="1" s="1"/>
  <c r="AC438" i="1"/>
  <c r="BA316" i="1"/>
  <c r="M321" i="1"/>
  <c r="H349" i="1"/>
  <c r="H355" i="1" s="1"/>
  <c r="AN360" i="1"/>
  <c r="AN388" i="1" s="1"/>
  <c r="AI388" i="1"/>
  <c r="AI394" i="1" s="1"/>
  <c r="U321" i="1"/>
  <c r="AD349" i="1"/>
  <c r="AD355" i="1" s="1"/>
  <c r="AH321" i="1"/>
  <c r="T438" i="1"/>
  <c r="AU349" i="1"/>
  <c r="AU355" i="1" s="1"/>
  <c r="AZ321" i="1"/>
  <c r="AZ349" i="1" s="1"/>
  <c r="AO427" i="1"/>
  <c r="AO433" i="1" s="1"/>
  <c r="G360" i="1"/>
  <c r="B388" i="1"/>
  <c r="B394" i="1" s="1"/>
  <c r="AP360" i="1"/>
  <c r="AT355" i="1"/>
  <c r="N310" i="1"/>
  <c r="N316" i="1" s="1"/>
  <c r="S282" i="1"/>
  <c r="AJ2183" i="1" l="1"/>
  <c r="AJ2188" i="1"/>
  <c r="AJ2193" i="1" s="1"/>
  <c r="AJ2221" i="1" s="1"/>
  <c r="AJ2227" i="1" s="1"/>
  <c r="AJ2232" i="1" s="1"/>
  <c r="AJ2260" i="1" s="1"/>
  <c r="AJ2266" i="1" s="1"/>
  <c r="AJ2271" i="1" s="1"/>
  <c r="AJ2299" i="1" s="1"/>
  <c r="V310" i="1"/>
  <c r="V316" i="1" s="1"/>
  <c r="Y282" i="1"/>
  <c r="Y310" i="1" s="1"/>
  <c r="AZ355" i="1"/>
  <c r="AU360" i="1"/>
  <c r="AO438" i="1"/>
  <c r="M349" i="1"/>
  <c r="AD360" i="1"/>
  <c r="AH355" i="1"/>
  <c r="AP388" i="1"/>
  <c r="AP394" i="1" s="1"/>
  <c r="AT360" i="1"/>
  <c r="AT388" i="1" s="1"/>
  <c r="S310" i="1"/>
  <c r="AC466" i="1"/>
  <c r="AC472" i="1" s="1"/>
  <c r="M355" i="1"/>
  <c r="H360" i="1"/>
  <c r="U349" i="1"/>
  <c r="U355" i="1" s="1"/>
  <c r="G394" i="1"/>
  <c r="B399" i="1"/>
  <c r="AI399" i="1"/>
  <c r="AN394" i="1"/>
  <c r="G388" i="1"/>
  <c r="T466" i="1"/>
  <c r="T472" i="1" s="1"/>
  <c r="S316" i="1"/>
  <c r="N321" i="1"/>
  <c r="AH349" i="1"/>
  <c r="BA349" i="1" s="1"/>
  <c r="BA321" i="1"/>
  <c r="BA355" i="1" l="1"/>
  <c r="Z282" i="1"/>
  <c r="Z310" i="1"/>
  <c r="V321" i="1"/>
  <c r="Y316" i="1"/>
  <c r="Z316" i="1" s="1"/>
  <c r="H388" i="1"/>
  <c r="H394" i="1" s="1"/>
  <c r="M360" i="1"/>
  <c r="AO466" i="1"/>
  <c r="AO472" i="1" s="1"/>
  <c r="N349" i="1"/>
  <c r="N355" i="1" s="1"/>
  <c r="S321" i="1"/>
  <c r="AP399" i="1"/>
  <c r="AT394" i="1"/>
  <c r="B427" i="1"/>
  <c r="B433" i="1" s="1"/>
  <c r="G399" i="1"/>
  <c r="AZ360" i="1"/>
  <c r="AZ388" i="1" s="1"/>
  <c r="AU388" i="1"/>
  <c r="AU394" i="1" s="1"/>
  <c r="U360" i="1"/>
  <c r="AN399" i="1"/>
  <c r="AN427" i="1" s="1"/>
  <c r="AI427" i="1"/>
  <c r="AI433" i="1" s="1"/>
  <c r="T477" i="1"/>
  <c r="AC477" i="1"/>
  <c r="AD388" i="1"/>
  <c r="AD394" i="1" s="1"/>
  <c r="AH360" i="1"/>
  <c r="V349" i="1" l="1"/>
  <c r="V355" i="1" s="1"/>
  <c r="Y321" i="1"/>
  <c r="Y349" i="1" s="1"/>
  <c r="AC505" i="1"/>
  <c r="AC511" i="1" s="1"/>
  <c r="AI438" i="1"/>
  <c r="AN433" i="1"/>
  <c r="B438" i="1"/>
  <c r="G433" i="1"/>
  <c r="AP427" i="1"/>
  <c r="AP433" i="1" s="1"/>
  <c r="AT399" i="1"/>
  <c r="AT427" i="1" s="1"/>
  <c r="M388" i="1"/>
  <c r="AO477" i="1"/>
  <c r="T505" i="1"/>
  <c r="T511" i="1" s="1"/>
  <c r="S349" i="1"/>
  <c r="M394" i="1"/>
  <c r="H399" i="1"/>
  <c r="G427" i="1"/>
  <c r="U388" i="1"/>
  <c r="U394" i="1" s="1"/>
  <c r="BA360" i="1"/>
  <c r="AH388" i="1"/>
  <c r="BA388" i="1" s="1"/>
  <c r="AU399" i="1"/>
  <c r="AZ394" i="1"/>
  <c r="AD399" i="1"/>
  <c r="AH394" i="1"/>
  <c r="S355" i="1"/>
  <c r="N360" i="1"/>
  <c r="Z321" i="1" l="1"/>
  <c r="Z349" i="1"/>
  <c r="BA394" i="1"/>
  <c r="V360" i="1"/>
  <c r="Y355" i="1"/>
  <c r="Z355" i="1" s="1"/>
  <c r="H427" i="1"/>
  <c r="H433" i="1" s="1"/>
  <c r="M399" i="1"/>
  <c r="G438" i="1"/>
  <c r="B466" i="1"/>
  <c r="B472" i="1" s="1"/>
  <c r="AD427" i="1"/>
  <c r="AD433" i="1" s="1"/>
  <c r="AH399" i="1"/>
  <c r="AN438" i="1"/>
  <c r="AN466" i="1" s="1"/>
  <c r="AI466" i="1"/>
  <c r="AI472" i="1" s="1"/>
  <c r="N388" i="1"/>
  <c r="N394" i="1" s="1"/>
  <c r="S360" i="1"/>
  <c r="AO505" i="1"/>
  <c r="AO511" i="1" s="1"/>
  <c r="U399" i="1"/>
  <c r="T516" i="1"/>
  <c r="AZ399" i="1"/>
  <c r="AZ427" i="1" s="1"/>
  <c r="AU427" i="1"/>
  <c r="AU433" i="1" s="1"/>
  <c r="AP438" i="1"/>
  <c r="AT433" i="1"/>
  <c r="AC516" i="1"/>
  <c r="V388" i="1" l="1"/>
  <c r="V394" i="1" s="1"/>
  <c r="Y360" i="1"/>
  <c r="Y388" i="1" s="1"/>
  <c r="AP466" i="1"/>
  <c r="AP472" i="1" s="1"/>
  <c r="AT438" i="1"/>
  <c r="AT466" i="1" s="1"/>
  <c r="G466" i="1"/>
  <c r="AD438" i="1"/>
  <c r="AH433" i="1"/>
  <c r="T544" i="1"/>
  <c r="T550" i="1" s="1"/>
  <c r="N399" i="1"/>
  <c r="S394" i="1"/>
  <c r="AI477" i="1"/>
  <c r="AN472" i="1"/>
  <c r="AC544" i="1"/>
  <c r="AC550" i="1" s="1"/>
  <c r="M427" i="1"/>
  <c r="S388" i="1"/>
  <c r="G472" i="1"/>
  <c r="B477" i="1"/>
  <c r="U427" i="1"/>
  <c r="U433" i="1" s="1"/>
  <c r="AU438" i="1"/>
  <c r="AZ433" i="1"/>
  <c r="AO516" i="1"/>
  <c r="AH427" i="1"/>
  <c r="BA427" i="1" s="1"/>
  <c r="BA399" i="1"/>
  <c r="H438" i="1"/>
  <c r="M433" i="1"/>
  <c r="Z388" i="1" l="1"/>
  <c r="BA433" i="1"/>
  <c r="Z360" i="1"/>
  <c r="V399" i="1"/>
  <c r="Y394" i="1"/>
  <c r="Z394" i="1" s="1"/>
  <c r="H466" i="1"/>
  <c r="H472" i="1" s="1"/>
  <c r="M438" i="1"/>
  <c r="AD466" i="1"/>
  <c r="AD472" i="1" s="1"/>
  <c r="AH438" i="1"/>
  <c r="AU466" i="1"/>
  <c r="AU472" i="1" s="1"/>
  <c r="AZ438" i="1"/>
  <c r="AZ466" i="1" s="1"/>
  <c r="AI505" i="1"/>
  <c r="AI511" i="1" s="1"/>
  <c r="AN477" i="1"/>
  <c r="AN505" i="1" s="1"/>
  <c r="AO544" i="1"/>
  <c r="AO550" i="1" s="1"/>
  <c r="T555" i="1"/>
  <c r="U438" i="1"/>
  <c r="N427" i="1"/>
  <c r="N433" i="1" s="1"/>
  <c r="S399" i="1"/>
  <c r="G477" i="1"/>
  <c r="B505" i="1"/>
  <c r="B511" i="1" s="1"/>
  <c r="AC555" i="1"/>
  <c r="AP477" i="1"/>
  <c r="AT472" i="1"/>
  <c r="V427" i="1" l="1"/>
  <c r="V433" i="1" s="1"/>
  <c r="Y399" i="1"/>
  <c r="Y427" i="1" s="1"/>
  <c r="AO555" i="1"/>
  <c r="BA438" i="1"/>
  <c r="AH466" i="1"/>
  <c r="BA466" i="1" s="1"/>
  <c r="AC583" i="1"/>
  <c r="AC589" i="1" s="1"/>
  <c r="AD477" i="1"/>
  <c r="AH472" i="1"/>
  <c r="U466" i="1"/>
  <c r="U472" i="1" s="1"/>
  <c r="G511" i="1"/>
  <c r="B516" i="1"/>
  <c r="G505" i="1"/>
  <c r="M466" i="1"/>
  <c r="N438" i="1"/>
  <c r="S433" i="1"/>
  <c r="AI516" i="1"/>
  <c r="AN511" i="1"/>
  <c r="T583" i="1"/>
  <c r="T589" i="1" s="1"/>
  <c r="AP505" i="1"/>
  <c r="AP511" i="1" s="1"/>
  <c r="AT477" i="1"/>
  <c r="AT505" i="1" s="1"/>
  <c r="S427" i="1"/>
  <c r="AZ472" i="1"/>
  <c r="AU477" i="1"/>
  <c r="H477" i="1"/>
  <c r="M472" i="1"/>
  <c r="Z427" i="1" l="1"/>
  <c r="Z399" i="1"/>
  <c r="V438" i="1"/>
  <c r="Y433" i="1"/>
  <c r="Z433" i="1" s="1"/>
  <c r="AC594" i="1"/>
  <c r="M477" i="1"/>
  <c r="H505" i="1"/>
  <c r="H511" i="1" s="1"/>
  <c r="AP516" i="1"/>
  <c r="AT511" i="1"/>
  <c r="T594" i="1"/>
  <c r="N466" i="1"/>
  <c r="N472" i="1" s="1"/>
  <c r="S438" i="1"/>
  <c r="AU505" i="1"/>
  <c r="AU511" i="1" s="1"/>
  <c r="AZ477" i="1"/>
  <c r="AZ505" i="1" s="1"/>
  <c r="BA472" i="1"/>
  <c r="B544" i="1"/>
  <c r="B550" i="1" s="1"/>
  <c r="G516" i="1"/>
  <c r="U477" i="1"/>
  <c r="AI544" i="1"/>
  <c r="AI550" i="1" s="1"/>
  <c r="AN516" i="1"/>
  <c r="AN544" i="1" s="1"/>
  <c r="AD505" i="1"/>
  <c r="AD511" i="1" s="1"/>
  <c r="AH477" i="1"/>
  <c r="AO583" i="1"/>
  <c r="AO589" i="1" s="1"/>
  <c r="V466" i="1" l="1"/>
  <c r="V472" i="1" s="1"/>
  <c r="Y438" i="1"/>
  <c r="Y466" i="1" s="1"/>
  <c r="N477" i="1"/>
  <c r="S472" i="1"/>
  <c r="AP544" i="1"/>
  <c r="AP550" i="1" s="1"/>
  <c r="AT516" i="1"/>
  <c r="AT544" i="1" s="1"/>
  <c r="H516" i="1"/>
  <c r="M511" i="1"/>
  <c r="S466" i="1"/>
  <c r="M505" i="1"/>
  <c r="AD516" i="1"/>
  <c r="AH511" i="1"/>
  <c r="G544" i="1"/>
  <c r="G550" i="1"/>
  <c r="B555" i="1"/>
  <c r="AN550" i="1"/>
  <c r="AI555" i="1"/>
  <c r="T622" i="1"/>
  <c r="T628" i="1" s="1"/>
  <c r="AC622" i="1"/>
  <c r="AC628" i="1" s="1"/>
  <c r="AO594" i="1"/>
  <c r="AH505" i="1"/>
  <c r="BA505" i="1" s="1"/>
  <c r="BA477" i="1"/>
  <c r="U505" i="1"/>
  <c r="U511" i="1" s="1"/>
  <c r="AU516" i="1"/>
  <c r="AZ511" i="1"/>
  <c r="Z438" i="1" l="1"/>
  <c r="Z466" i="1"/>
  <c r="V477" i="1"/>
  <c r="Y472" i="1"/>
  <c r="Z472" i="1" s="1"/>
  <c r="AO622" i="1"/>
  <c r="AO628" i="1" s="1"/>
  <c r="H544" i="1"/>
  <c r="H550" i="1" s="1"/>
  <c r="M516" i="1"/>
  <c r="AI583" i="1"/>
  <c r="AI589" i="1" s="1"/>
  <c r="AN555" i="1"/>
  <c r="AN583" i="1" s="1"/>
  <c r="AD544" i="1"/>
  <c r="AD550" i="1" s="1"/>
  <c r="AH516" i="1"/>
  <c r="AC633" i="1"/>
  <c r="AP555" i="1"/>
  <c r="AT550" i="1"/>
  <c r="BA511" i="1"/>
  <c r="U516" i="1"/>
  <c r="AZ516" i="1"/>
  <c r="AZ544" i="1" s="1"/>
  <c r="AU544" i="1"/>
  <c r="AU550" i="1" s="1"/>
  <c r="G555" i="1"/>
  <c r="B583" i="1"/>
  <c r="B589" i="1" s="1"/>
  <c r="T633" i="1"/>
  <c r="N505" i="1"/>
  <c r="N511" i="1" s="1"/>
  <c r="S477" i="1"/>
  <c r="V505" i="1" l="1"/>
  <c r="V511" i="1" s="1"/>
  <c r="Y477" i="1"/>
  <c r="Y505" i="1" s="1"/>
  <c r="H555" i="1"/>
  <c r="M550" i="1"/>
  <c r="AI594" i="1"/>
  <c r="AN589" i="1"/>
  <c r="AO633" i="1"/>
  <c r="U544" i="1"/>
  <c r="U550" i="1" s="1"/>
  <c r="S505" i="1"/>
  <c r="N516" i="1"/>
  <c r="S511" i="1"/>
  <c r="AD555" i="1"/>
  <c r="AH550" i="1"/>
  <c r="T661" i="1"/>
  <c r="T667" i="1" s="1"/>
  <c r="M544" i="1"/>
  <c r="AC661" i="1"/>
  <c r="AC667" i="1" s="1"/>
  <c r="B594" i="1"/>
  <c r="G589" i="1"/>
  <c r="BA516" i="1"/>
  <c r="AH544" i="1"/>
  <c r="BA544" i="1" s="1"/>
  <c r="G583" i="1"/>
  <c r="AZ550" i="1"/>
  <c r="AU555" i="1"/>
  <c r="AP583" i="1"/>
  <c r="AP589" i="1" s="1"/>
  <c r="AT555" i="1"/>
  <c r="AT583" i="1" s="1"/>
  <c r="AC672" i="1" l="1"/>
  <c r="T672" i="1"/>
  <c r="Z505" i="1"/>
  <c r="Z477" i="1"/>
  <c r="V516" i="1"/>
  <c r="Y511" i="1"/>
  <c r="Z511" i="1" s="1"/>
  <c r="N544" i="1"/>
  <c r="N550" i="1" s="1"/>
  <c r="S516" i="1"/>
  <c r="AU583" i="1"/>
  <c r="AU589" i="1" s="1"/>
  <c r="AZ555" i="1"/>
  <c r="AZ583" i="1" s="1"/>
  <c r="AI622" i="1"/>
  <c r="AI628" i="1" s="1"/>
  <c r="AN594" i="1"/>
  <c r="AN622" i="1" s="1"/>
  <c r="BA550" i="1"/>
  <c r="AP594" i="1"/>
  <c r="AT589" i="1"/>
  <c r="AO661" i="1"/>
  <c r="AO667" i="1" s="1"/>
  <c r="B622" i="1"/>
  <c r="B628" i="1" s="1"/>
  <c r="G594" i="1"/>
  <c r="AD583" i="1"/>
  <c r="AD589" i="1" s="1"/>
  <c r="AH555" i="1"/>
  <c r="U555" i="1"/>
  <c r="M555" i="1"/>
  <c r="H583" i="1"/>
  <c r="H589" i="1" s="1"/>
  <c r="T700" i="1" l="1"/>
  <c r="T706" i="1" s="1"/>
  <c r="AO672" i="1"/>
  <c r="AC700" i="1"/>
  <c r="AC706" i="1" s="1"/>
  <c r="V544" i="1"/>
  <c r="V550" i="1" s="1"/>
  <c r="Y516" i="1"/>
  <c r="Y544" i="1" s="1"/>
  <c r="M589" i="1"/>
  <c r="H594" i="1"/>
  <c r="AD594" i="1"/>
  <c r="AH589" i="1"/>
  <c r="AP622" i="1"/>
  <c r="AP628" i="1" s="1"/>
  <c r="AT594" i="1"/>
  <c r="AT622" i="1" s="1"/>
  <c r="G628" i="1"/>
  <c r="B633" i="1"/>
  <c r="AZ589" i="1"/>
  <c r="AU594" i="1"/>
  <c r="G622" i="1"/>
  <c r="U583" i="1"/>
  <c r="U589" i="1" s="1"/>
  <c r="S544" i="1"/>
  <c r="M583" i="1"/>
  <c r="BA555" i="1"/>
  <c r="AH583" i="1"/>
  <c r="BA583" i="1" s="1"/>
  <c r="AI633" i="1"/>
  <c r="AN628" i="1"/>
  <c r="N555" i="1"/>
  <c r="S550" i="1"/>
  <c r="T711" i="1" l="1"/>
  <c r="AC711" i="1"/>
  <c r="BA589" i="1"/>
  <c r="AO700" i="1"/>
  <c r="AO706" i="1" s="1"/>
  <c r="Z516" i="1"/>
  <c r="Z544" i="1"/>
  <c r="V555" i="1"/>
  <c r="Y550" i="1"/>
  <c r="Z550" i="1" s="1"/>
  <c r="AD622" i="1"/>
  <c r="AD628" i="1" s="1"/>
  <c r="AH594" i="1"/>
  <c r="AP633" i="1"/>
  <c r="AT628" i="1"/>
  <c r="AN633" i="1"/>
  <c r="AN661" i="1" s="1"/>
  <c r="AI661" i="1"/>
  <c r="AI667" i="1" s="1"/>
  <c r="G633" i="1"/>
  <c r="B661" i="1"/>
  <c r="B667" i="1" s="1"/>
  <c r="H622" i="1"/>
  <c r="H628" i="1" s="1"/>
  <c r="M594" i="1"/>
  <c r="S555" i="1"/>
  <c r="N583" i="1"/>
  <c r="N589" i="1" s="1"/>
  <c r="AU622" i="1"/>
  <c r="AU628" i="1" s="1"/>
  <c r="AZ594" i="1"/>
  <c r="AZ622" i="1" s="1"/>
  <c r="U594" i="1"/>
  <c r="T739" i="1" l="1"/>
  <c r="T745" i="1" s="1"/>
  <c r="AO711" i="1"/>
  <c r="AC739" i="1"/>
  <c r="AC745" i="1" s="1"/>
  <c r="AI672" i="1"/>
  <c r="AN667" i="1"/>
  <c r="G667" i="1"/>
  <c r="B672" i="1"/>
  <c r="V583" i="1"/>
  <c r="V589" i="1" s="1"/>
  <c r="Y555" i="1"/>
  <c r="Y583" i="1" s="1"/>
  <c r="U622" i="1"/>
  <c r="U628" i="1" s="1"/>
  <c r="S583" i="1"/>
  <c r="BA594" i="1"/>
  <c r="AH622" i="1"/>
  <c r="BA622" i="1" s="1"/>
  <c r="AZ628" i="1"/>
  <c r="AU633" i="1"/>
  <c r="AD633" i="1"/>
  <c r="AH628" i="1"/>
  <c r="M622" i="1"/>
  <c r="H633" i="1"/>
  <c r="M628" i="1"/>
  <c r="AP661" i="1"/>
  <c r="AP667" i="1" s="1"/>
  <c r="AT633" i="1"/>
  <c r="AT661" i="1" s="1"/>
  <c r="G661" i="1"/>
  <c r="S589" i="1"/>
  <c r="N594" i="1"/>
  <c r="T750" i="1" l="1"/>
  <c r="AC750" i="1"/>
  <c r="AO739" i="1"/>
  <c r="AO745" i="1" s="1"/>
  <c r="G672" i="1"/>
  <c r="B700" i="1"/>
  <c r="B706" i="1" s="1"/>
  <c r="AP672" i="1"/>
  <c r="AT667" i="1"/>
  <c r="AI700" i="1"/>
  <c r="AI706" i="1" s="1"/>
  <c r="AN672" i="1"/>
  <c r="AN700" i="1" s="1"/>
  <c r="BA628" i="1"/>
  <c r="Z555" i="1"/>
  <c r="Z583" i="1"/>
  <c r="V594" i="1"/>
  <c r="Y589" i="1"/>
  <c r="Z589" i="1" s="1"/>
  <c r="S594" i="1"/>
  <c r="N622" i="1"/>
  <c r="N628" i="1" s="1"/>
  <c r="AD661" i="1"/>
  <c r="AD667" i="1" s="1"/>
  <c r="AH633" i="1"/>
  <c r="AU661" i="1"/>
  <c r="AU667" i="1" s="1"/>
  <c r="AZ633" i="1"/>
  <c r="AZ661" i="1" s="1"/>
  <c r="H661" i="1"/>
  <c r="H667" i="1" s="1"/>
  <c r="M633" i="1"/>
  <c r="U633" i="1"/>
  <c r="T778" i="1" l="1"/>
  <c r="T784" i="1" s="1"/>
  <c r="AO750" i="1"/>
  <c r="AC778" i="1"/>
  <c r="AC784" i="1" s="1"/>
  <c r="B711" i="1"/>
  <c r="G706" i="1"/>
  <c r="AI711" i="1"/>
  <c r="AN706" i="1"/>
  <c r="AD672" i="1"/>
  <c r="AH667" i="1"/>
  <c r="AU672" i="1"/>
  <c r="AZ667" i="1"/>
  <c r="AP700" i="1"/>
  <c r="AP706" i="1" s="1"/>
  <c r="AT672" i="1"/>
  <c r="AT700" i="1" s="1"/>
  <c r="M667" i="1"/>
  <c r="H672" i="1"/>
  <c r="G700" i="1"/>
  <c r="V622" i="1"/>
  <c r="V628" i="1" s="1"/>
  <c r="Y594" i="1"/>
  <c r="Y622" i="1" s="1"/>
  <c r="AH661" i="1"/>
  <c r="BA661" i="1" s="1"/>
  <c r="BA633" i="1"/>
  <c r="S622" i="1"/>
  <c r="U661" i="1"/>
  <c r="U667" i="1" s="1"/>
  <c r="M661" i="1"/>
  <c r="S628" i="1"/>
  <c r="N633" i="1"/>
  <c r="AC789" i="1" l="1"/>
  <c r="T789" i="1"/>
  <c r="AO778" i="1"/>
  <c r="AO784" i="1" s="1"/>
  <c r="G711" i="1"/>
  <c r="B739" i="1"/>
  <c r="B745" i="1" s="1"/>
  <c r="AP711" i="1"/>
  <c r="AT706" i="1"/>
  <c r="AN711" i="1"/>
  <c r="AN739" i="1" s="1"/>
  <c r="AI739" i="1"/>
  <c r="AI745" i="1" s="1"/>
  <c r="U672" i="1"/>
  <c r="AU700" i="1"/>
  <c r="AU706" i="1" s="1"/>
  <c r="AZ672" i="1"/>
  <c r="AZ700" i="1" s="1"/>
  <c r="M672" i="1"/>
  <c r="H700" i="1"/>
  <c r="H706" i="1" s="1"/>
  <c r="BA667" i="1"/>
  <c r="AD700" i="1"/>
  <c r="AD706" i="1" s="1"/>
  <c r="AH672" i="1"/>
  <c r="Z594" i="1"/>
  <c r="Z622" i="1"/>
  <c r="V633" i="1"/>
  <c r="Y628" i="1"/>
  <c r="Z628" i="1" s="1"/>
  <c r="N661" i="1"/>
  <c r="N667" i="1" s="1"/>
  <c r="S633" i="1"/>
  <c r="AO789" i="1" l="1"/>
  <c r="T817" i="1"/>
  <c r="T823" i="1" s="1"/>
  <c r="AC817" i="1"/>
  <c r="AC823" i="1" s="1"/>
  <c r="B750" i="1"/>
  <c r="G745" i="1"/>
  <c r="AI750" i="1"/>
  <c r="AN745" i="1"/>
  <c r="G739" i="1"/>
  <c r="H711" i="1"/>
  <c r="M706" i="1"/>
  <c r="AU711" i="1"/>
  <c r="AZ706" i="1"/>
  <c r="AP739" i="1"/>
  <c r="AP745" i="1" s="1"/>
  <c r="AT711" i="1"/>
  <c r="AT739" i="1" s="1"/>
  <c r="AD711" i="1"/>
  <c r="AH706" i="1"/>
  <c r="S667" i="1"/>
  <c r="N672" i="1"/>
  <c r="M700" i="1"/>
  <c r="AH700" i="1"/>
  <c r="BA700" i="1" s="1"/>
  <c r="BA672" i="1"/>
  <c r="U700" i="1"/>
  <c r="U706" i="1" s="1"/>
  <c r="V661" i="1"/>
  <c r="V667" i="1" s="1"/>
  <c r="Y633" i="1"/>
  <c r="Y661" i="1" s="1"/>
  <c r="S661" i="1"/>
  <c r="T828" i="1" l="1"/>
  <c r="AC828" i="1"/>
  <c r="AO817" i="1"/>
  <c r="AO823" i="1" s="1"/>
  <c r="B778" i="1"/>
  <c r="B784" i="1" s="1"/>
  <c r="G750" i="1"/>
  <c r="AP750" i="1"/>
  <c r="AT745" i="1"/>
  <c r="AI778" i="1"/>
  <c r="AI784" i="1" s="1"/>
  <c r="AN750" i="1"/>
  <c r="AN778" i="1" s="1"/>
  <c r="U711" i="1"/>
  <c r="M711" i="1"/>
  <c r="H739" i="1"/>
  <c r="H745" i="1" s="1"/>
  <c r="BA706" i="1"/>
  <c r="AZ711" i="1"/>
  <c r="AZ739" i="1" s="1"/>
  <c r="AU739" i="1"/>
  <c r="AU745" i="1" s="1"/>
  <c r="AD739" i="1"/>
  <c r="AD745" i="1" s="1"/>
  <c r="AH711" i="1"/>
  <c r="S672" i="1"/>
  <c r="N700" i="1"/>
  <c r="N706" i="1" s="1"/>
  <c r="V672" i="1"/>
  <c r="Y667" i="1"/>
  <c r="Z667" i="1" s="1"/>
  <c r="Z633" i="1"/>
  <c r="Z661" i="1"/>
  <c r="AO828" i="1" l="1"/>
  <c r="T856" i="1"/>
  <c r="T862" i="1" s="1"/>
  <c r="AC856" i="1"/>
  <c r="AC862" i="1" s="1"/>
  <c r="B789" i="1"/>
  <c r="G784" i="1"/>
  <c r="AI789" i="1"/>
  <c r="AN784" i="1"/>
  <c r="G778" i="1"/>
  <c r="H750" i="1"/>
  <c r="M745" i="1"/>
  <c r="AU750" i="1"/>
  <c r="AZ745" i="1"/>
  <c r="AP778" i="1"/>
  <c r="AP784" i="1" s="1"/>
  <c r="AT750" i="1"/>
  <c r="AT778" i="1" s="1"/>
  <c r="AD750" i="1"/>
  <c r="AH745" i="1"/>
  <c r="M739" i="1"/>
  <c r="N711" i="1"/>
  <c r="S706" i="1"/>
  <c r="U739" i="1"/>
  <c r="U745" i="1" s="1"/>
  <c r="BA711" i="1"/>
  <c r="AH739" i="1"/>
  <c r="BA739" i="1" s="1"/>
  <c r="S700" i="1"/>
  <c r="V700" i="1"/>
  <c r="V706" i="1" s="1"/>
  <c r="Y672" i="1"/>
  <c r="Y700" i="1" s="1"/>
  <c r="T867" i="1" l="1"/>
  <c r="AC867" i="1"/>
  <c r="AO856" i="1"/>
  <c r="AO862" i="1" s="1"/>
  <c r="AI817" i="1"/>
  <c r="AI823" i="1" s="1"/>
  <c r="AN789" i="1"/>
  <c r="AN817" i="1" s="1"/>
  <c r="AP789" i="1"/>
  <c r="AT784" i="1"/>
  <c r="G789" i="1"/>
  <c r="B817" i="1"/>
  <c r="B823" i="1" s="1"/>
  <c r="H778" i="1"/>
  <c r="H784" i="1" s="1"/>
  <c r="M750" i="1"/>
  <c r="BA745" i="1"/>
  <c r="U750" i="1"/>
  <c r="AU778" i="1"/>
  <c r="AU784" i="1" s="1"/>
  <c r="AZ750" i="1"/>
  <c r="AZ778" i="1" s="1"/>
  <c r="AD778" i="1"/>
  <c r="AD784" i="1" s="1"/>
  <c r="AH750" i="1"/>
  <c r="V711" i="1"/>
  <c r="Y706" i="1"/>
  <c r="Z706" i="1" s="1"/>
  <c r="S711" i="1"/>
  <c r="N739" i="1"/>
  <c r="N745" i="1" s="1"/>
  <c r="Z672" i="1"/>
  <c r="Z700" i="1"/>
  <c r="T895" i="1" l="1"/>
  <c r="T901" i="1" s="1"/>
  <c r="AO867" i="1"/>
  <c r="AC895" i="1"/>
  <c r="AC901" i="1" s="1"/>
  <c r="AI828" i="1"/>
  <c r="AN823" i="1"/>
  <c r="B828" i="1"/>
  <c r="G823" i="1"/>
  <c r="G817" i="1"/>
  <c r="AP817" i="1"/>
  <c r="AP823" i="1" s="1"/>
  <c r="AT789" i="1"/>
  <c r="AT817" i="1" s="1"/>
  <c r="AU789" i="1"/>
  <c r="AZ784" i="1"/>
  <c r="AD789" i="1"/>
  <c r="AH784" i="1"/>
  <c r="H789" i="1"/>
  <c r="M784" i="1"/>
  <c r="U778" i="1"/>
  <c r="U784" i="1" s="1"/>
  <c r="N750" i="1"/>
  <c r="S745" i="1"/>
  <c r="M778" i="1"/>
  <c r="AH778" i="1"/>
  <c r="BA778" i="1" s="1"/>
  <c r="BA750" i="1"/>
  <c r="S739" i="1"/>
  <c r="V739" i="1"/>
  <c r="V745" i="1" s="1"/>
  <c r="Y711" i="1"/>
  <c r="Y739" i="1" s="1"/>
  <c r="T906" i="1" l="1"/>
  <c r="AC906" i="1"/>
  <c r="AO895" i="1"/>
  <c r="AO901" i="1" s="1"/>
  <c r="B856" i="1"/>
  <c r="B862" i="1" s="1"/>
  <c r="G828" i="1"/>
  <c r="AP828" i="1"/>
  <c r="AT823" i="1"/>
  <c r="AI856" i="1"/>
  <c r="AI862" i="1" s="1"/>
  <c r="AN828" i="1"/>
  <c r="AN856" i="1" s="1"/>
  <c r="AU817" i="1"/>
  <c r="AU823" i="1" s="1"/>
  <c r="AZ789" i="1"/>
  <c r="AZ817" i="1" s="1"/>
  <c r="BA784" i="1"/>
  <c r="U789" i="1"/>
  <c r="M789" i="1"/>
  <c r="H817" i="1"/>
  <c r="H823" i="1" s="1"/>
  <c r="AD817" i="1"/>
  <c r="AD823" i="1" s="1"/>
  <c r="AH789" i="1"/>
  <c r="V750" i="1"/>
  <c r="Y745" i="1"/>
  <c r="Z745" i="1" s="1"/>
  <c r="S750" i="1"/>
  <c r="N778" i="1"/>
  <c r="N784" i="1" s="1"/>
  <c r="Z711" i="1"/>
  <c r="Z739" i="1"/>
  <c r="T934" i="1" l="1"/>
  <c r="T940" i="1" s="1"/>
  <c r="AO906" i="1"/>
  <c r="AC934" i="1"/>
  <c r="AC940" i="1" s="1"/>
  <c r="B867" i="1"/>
  <c r="G862" i="1"/>
  <c r="AN862" i="1"/>
  <c r="AI867" i="1"/>
  <c r="AP856" i="1"/>
  <c r="AP862" i="1" s="1"/>
  <c r="AT828" i="1"/>
  <c r="AT856" i="1" s="1"/>
  <c r="G856" i="1"/>
  <c r="AU828" i="1"/>
  <c r="AZ823" i="1"/>
  <c r="H828" i="1"/>
  <c r="M823" i="1"/>
  <c r="AD828" i="1"/>
  <c r="AH823" i="1"/>
  <c r="N789" i="1"/>
  <c r="S784" i="1"/>
  <c r="U817" i="1"/>
  <c r="U823" i="1" s="1"/>
  <c r="BA789" i="1"/>
  <c r="AH817" i="1"/>
  <c r="BA817" i="1" s="1"/>
  <c r="M817" i="1"/>
  <c r="S778" i="1"/>
  <c r="V778" i="1"/>
  <c r="V784" i="1" s="1"/>
  <c r="Y750" i="1"/>
  <c r="Y778" i="1" s="1"/>
  <c r="T945" i="1" l="1"/>
  <c r="AC945" i="1"/>
  <c r="AO934" i="1"/>
  <c r="AO940" i="1" s="1"/>
  <c r="G867" i="1"/>
  <c r="B895" i="1"/>
  <c r="B901" i="1" s="1"/>
  <c r="AN867" i="1"/>
  <c r="AN895" i="1" s="1"/>
  <c r="AI895" i="1"/>
  <c r="AI901" i="1" s="1"/>
  <c r="AP867" i="1"/>
  <c r="AT862" i="1"/>
  <c r="AU856" i="1"/>
  <c r="AU862" i="1" s="1"/>
  <c r="AZ828" i="1"/>
  <c r="AZ856" i="1" s="1"/>
  <c r="BA823" i="1"/>
  <c r="U828" i="1"/>
  <c r="M828" i="1"/>
  <c r="H856" i="1"/>
  <c r="H862" i="1" s="1"/>
  <c r="AD856" i="1"/>
  <c r="AD862" i="1" s="1"/>
  <c r="AH828" i="1"/>
  <c r="V789" i="1"/>
  <c r="Y784" i="1"/>
  <c r="Z784" i="1" s="1"/>
  <c r="S789" i="1"/>
  <c r="N817" i="1"/>
  <c r="N823" i="1" s="1"/>
  <c r="Z750" i="1"/>
  <c r="Z778" i="1"/>
  <c r="T973" i="1" l="1"/>
  <c r="T979" i="1" s="1"/>
  <c r="AO945" i="1"/>
  <c r="AC973" i="1"/>
  <c r="AC979" i="1" s="1"/>
  <c r="AC984" i="1" s="1"/>
  <c r="B906" i="1"/>
  <c r="G901" i="1"/>
  <c r="AI906" i="1"/>
  <c r="AN901" i="1"/>
  <c r="H867" i="1"/>
  <c r="M862" i="1"/>
  <c r="G895" i="1"/>
  <c r="AD867" i="1"/>
  <c r="AH862" i="1"/>
  <c r="AZ862" i="1"/>
  <c r="AU867" i="1"/>
  <c r="AP895" i="1"/>
  <c r="AP901" i="1" s="1"/>
  <c r="AT867" i="1"/>
  <c r="AT895" i="1" s="1"/>
  <c r="U856" i="1"/>
  <c r="U862" i="1" s="1"/>
  <c r="N828" i="1"/>
  <c r="S823" i="1"/>
  <c r="M856" i="1"/>
  <c r="BA828" i="1"/>
  <c r="AH856" i="1"/>
  <c r="BA856" i="1" s="1"/>
  <c r="S817" i="1"/>
  <c r="V817" i="1"/>
  <c r="V823" i="1" s="1"/>
  <c r="Y789" i="1"/>
  <c r="Y817" i="1" s="1"/>
  <c r="T984" i="1" l="1"/>
  <c r="AC1012" i="1"/>
  <c r="AC1018" i="1" s="1"/>
  <c r="AO973" i="1"/>
  <c r="AO979" i="1" s="1"/>
  <c r="AO984" i="1" s="1"/>
  <c r="B934" i="1"/>
  <c r="B940" i="1" s="1"/>
  <c r="G906" i="1"/>
  <c r="AP906" i="1"/>
  <c r="AT901" i="1"/>
  <c r="AI934" i="1"/>
  <c r="AI940" i="1" s="1"/>
  <c r="AN906" i="1"/>
  <c r="AN934" i="1" s="1"/>
  <c r="U867" i="1"/>
  <c r="H895" i="1"/>
  <c r="H901" i="1" s="1"/>
  <c r="M867" i="1"/>
  <c r="AU895" i="1"/>
  <c r="AU901" i="1" s="1"/>
  <c r="AZ867" i="1"/>
  <c r="AZ895" i="1" s="1"/>
  <c r="BA862" i="1"/>
  <c r="AD895" i="1"/>
  <c r="AD901" i="1" s="1"/>
  <c r="AH867" i="1"/>
  <c r="V828" i="1"/>
  <c r="Y823" i="1"/>
  <c r="Z823" i="1" s="1"/>
  <c r="S828" i="1"/>
  <c r="N856" i="1"/>
  <c r="N862" i="1" s="1"/>
  <c r="Z789" i="1"/>
  <c r="Z817" i="1"/>
  <c r="AC1023" i="1" l="1"/>
  <c r="T1012" i="1"/>
  <c r="T1018" i="1" s="1"/>
  <c r="AO1012" i="1"/>
  <c r="AO1018" i="1" s="1"/>
  <c r="B945" i="1"/>
  <c r="G940" i="1"/>
  <c r="AI945" i="1"/>
  <c r="AN940" i="1"/>
  <c r="H906" i="1"/>
  <c r="M901" i="1"/>
  <c r="G934" i="1"/>
  <c r="AU906" i="1"/>
  <c r="AZ901" i="1"/>
  <c r="AD906" i="1"/>
  <c r="AH901" i="1"/>
  <c r="AP934" i="1"/>
  <c r="AP940" i="1" s="1"/>
  <c r="AT906" i="1"/>
  <c r="AT934" i="1" s="1"/>
  <c r="M895" i="1"/>
  <c r="N867" i="1"/>
  <c r="S862" i="1"/>
  <c r="U895" i="1"/>
  <c r="U901" i="1" s="1"/>
  <c r="BA867" i="1"/>
  <c r="AH895" i="1"/>
  <c r="BA895" i="1" s="1"/>
  <c r="S856" i="1"/>
  <c r="V856" i="1"/>
  <c r="V862" i="1" s="1"/>
  <c r="Y828" i="1"/>
  <c r="Y856" i="1" s="1"/>
  <c r="T1023" i="1" l="1"/>
  <c r="AO1023" i="1"/>
  <c r="AC1051" i="1"/>
  <c r="AC1057" i="1" s="1"/>
  <c r="B973" i="1"/>
  <c r="B979" i="1" s="1"/>
  <c r="G945" i="1"/>
  <c r="AI973" i="1"/>
  <c r="AI979" i="1" s="1"/>
  <c r="AN945" i="1"/>
  <c r="AN973" i="1" s="1"/>
  <c r="AP945" i="1"/>
  <c r="AT940" i="1"/>
  <c r="U906" i="1"/>
  <c r="BA901" i="1"/>
  <c r="H934" i="1"/>
  <c r="H940" i="1" s="1"/>
  <c r="M906" i="1"/>
  <c r="AD934" i="1"/>
  <c r="AD940" i="1" s="1"/>
  <c r="AH906" i="1"/>
  <c r="AU934" i="1"/>
  <c r="AU940" i="1" s="1"/>
  <c r="AZ906" i="1"/>
  <c r="AZ934" i="1" s="1"/>
  <c r="V867" i="1"/>
  <c r="Y862" i="1"/>
  <c r="Z862" i="1" s="1"/>
  <c r="N895" i="1"/>
  <c r="N901" i="1" s="1"/>
  <c r="S867" i="1"/>
  <c r="Z828" i="1"/>
  <c r="Z856" i="1"/>
  <c r="AC1062" i="1" l="1"/>
  <c r="T1051" i="1"/>
  <c r="T1057" i="1" s="1"/>
  <c r="AO1051" i="1"/>
  <c r="AO1057" i="1" s="1"/>
  <c r="B984" i="1"/>
  <c r="G979" i="1"/>
  <c r="AI984" i="1"/>
  <c r="AN979" i="1"/>
  <c r="H945" i="1"/>
  <c r="M940" i="1"/>
  <c r="G973" i="1"/>
  <c r="AU945" i="1"/>
  <c r="AZ940" i="1"/>
  <c r="AP973" i="1"/>
  <c r="AP979" i="1" s="1"/>
  <c r="AT945" i="1"/>
  <c r="AT973" i="1" s="1"/>
  <c r="AD945" i="1"/>
  <c r="AH940" i="1"/>
  <c r="N906" i="1"/>
  <c r="S901" i="1"/>
  <c r="U934" i="1"/>
  <c r="U940" i="1" s="1"/>
  <c r="M934" i="1"/>
  <c r="BA906" i="1"/>
  <c r="AH934" i="1"/>
  <c r="BA934" i="1" s="1"/>
  <c r="S895" i="1"/>
  <c r="V895" i="1"/>
  <c r="V901" i="1" s="1"/>
  <c r="Y867" i="1"/>
  <c r="Y895" i="1" s="1"/>
  <c r="T1062" i="1" l="1"/>
  <c r="AO1062" i="1"/>
  <c r="AC1090" i="1"/>
  <c r="AC1096" i="1" s="1"/>
  <c r="G984" i="1"/>
  <c r="B1012" i="1"/>
  <c r="B1018" i="1" s="1"/>
  <c r="AT979" i="1"/>
  <c r="AP984" i="1"/>
  <c r="AI1012" i="1"/>
  <c r="AI1018" i="1" s="1"/>
  <c r="AN984" i="1"/>
  <c r="AN1012" i="1" s="1"/>
  <c r="BA940" i="1"/>
  <c r="U945" i="1"/>
  <c r="M945" i="1"/>
  <c r="H973" i="1"/>
  <c r="H979" i="1" s="1"/>
  <c r="AZ945" i="1"/>
  <c r="AZ973" i="1" s="1"/>
  <c r="AU973" i="1"/>
  <c r="AU979" i="1" s="1"/>
  <c r="AD973" i="1"/>
  <c r="AD979" i="1" s="1"/>
  <c r="AH945" i="1"/>
  <c r="V906" i="1"/>
  <c r="Y901" i="1"/>
  <c r="Z901" i="1" s="1"/>
  <c r="N934" i="1"/>
  <c r="N940" i="1" s="1"/>
  <c r="S906" i="1"/>
  <c r="Z895" i="1"/>
  <c r="Z867" i="1"/>
  <c r="AC1101" i="1" l="1"/>
  <c r="T1090" i="1"/>
  <c r="T1096" i="1" s="1"/>
  <c r="AO1090" i="1"/>
  <c r="AO1096" i="1" s="1"/>
  <c r="B1023" i="1"/>
  <c r="G1018" i="1"/>
  <c r="AI1023" i="1"/>
  <c r="AN1018" i="1"/>
  <c r="H984" i="1"/>
  <c r="M979" i="1"/>
  <c r="G1012" i="1"/>
  <c r="AP1012" i="1"/>
  <c r="AP1018" i="1" s="1"/>
  <c r="AT984" i="1"/>
  <c r="AT1012" i="1" s="1"/>
  <c r="AU984" i="1"/>
  <c r="AZ979" i="1"/>
  <c r="AH979" i="1"/>
  <c r="AD984" i="1"/>
  <c r="M973" i="1"/>
  <c r="N945" i="1"/>
  <c r="S940" i="1"/>
  <c r="U973" i="1"/>
  <c r="U979" i="1" s="1"/>
  <c r="BA945" i="1"/>
  <c r="AH973" i="1"/>
  <c r="BA973" i="1" s="1"/>
  <c r="V934" i="1"/>
  <c r="V940" i="1" s="1"/>
  <c r="Y906" i="1"/>
  <c r="Y934" i="1" s="1"/>
  <c r="S934" i="1"/>
  <c r="T1101" i="1" l="1"/>
  <c r="AC1129" i="1"/>
  <c r="AC1135" i="1" s="1"/>
  <c r="AO1101" i="1"/>
  <c r="G1023" i="1"/>
  <c r="B1051" i="1"/>
  <c r="B1057" i="1" s="1"/>
  <c r="AP1023" i="1"/>
  <c r="AT1018" i="1"/>
  <c r="AI1051" i="1"/>
  <c r="AI1057" i="1" s="1"/>
  <c r="AN1023" i="1"/>
  <c r="AN1051" i="1" s="1"/>
  <c r="U984" i="1"/>
  <c r="H1012" i="1"/>
  <c r="H1018" i="1" s="1"/>
  <c r="M984" i="1"/>
  <c r="BA979" i="1"/>
  <c r="AU1012" i="1"/>
  <c r="AU1018" i="1" s="1"/>
  <c r="AZ984" i="1"/>
  <c r="AZ1012" i="1" s="1"/>
  <c r="AD1012" i="1"/>
  <c r="AD1018" i="1" s="1"/>
  <c r="AH984" i="1"/>
  <c r="V945" i="1"/>
  <c r="Y940" i="1"/>
  <c r="Z940" i="1" s="1"/>
  <c r="N973" i="1"/>
  <c r="N979" i="1" s="1"/>
  <c r="S945" i="1"/>
  <c r="Z906" i="1"/>
  <c r="Z934" i="1"/>
  <c r="AC1140" i="1" l="1"/>
  <c r="T1129" i="1"/>
  <c r="T1135" i="1" s="1"/>
  <c r="AO1129" i="1"/>
  <c r="AO1135" i="1" s="1"/>
  <c r="B1062" i="1"/>
  <c r="G1057" i="1"/>
  <c r="AI1062" i="1"/>
  <c r="AN1057" i="1"/>
  <c r="H1023" i="1"/>
  <c r="M1018" i="1"/>
  <c r="G1051" i="1"/>
  <c r="AD1023" i="1"/>
  <c r="AH1018" i="1"/>
  <c r="AU1023" i="1"/>
  <c r="AZ1018" i="1"/>
  <c r="AP1051" i="1"/>
  <c r="AP1057" i="1" s="1"/>
  <c r="AT1023" i="1"/>
  <c r="AT1051" i="1" s="1"/>
  <c r="M1012" i="1"/>
  <c r="N984" i="1"/>
  <c r="S979" i="1"/>
  <c r="U1012" i="1"/>
  <c r="U1018" i="1" s="1"/>
  <c r="BA984" i="1"/>
  <c r="AH1012" i="1"/>
  <c r="BA1012" i="1" s="1"/>
  <c r="S973" i="1"/>
  <c r="V973" i="1"/>
  <c r="V979" i="1" s="1"/>
  <c r="Y945" i="1"/>
  <c r="Y973" i="1" s="1"/>
  <c r="T1140" i="1" l="1"/>
  <c r="AO1140" i="1"/>
  <c r="AC1168" i="1"/>
  <c r="AC1174" i="1" s="1"/>
  <c r="G1062" i="1"/>
  <c r="G1090" i="1" s="1"/>
  <c r="B1090" i="1"/>
  <c r="B1096" i="1" s="1"/>
  <c r="AP1062" i="1"/>
  <c r="AT1057" i="1"/>
  <c r="AI1090" i="1"/>
  <c r="AI1096" i="1" s="1"/>
  <c r="AN1062" i="1"/>
  <c r="AN1090" i="1" s="1"/>
  <c r="U1023" i="1"/>
  <c r="M1023" i="1"/>
  <c r="H1051" i="1"/>
  <c r="H1057" i="1" s="1"/>
  <c r="BA1018" i="1"/>
  <c r="AU1051" i="1"/>
  <c r="AU1057" i="1" s="1"/>
  <c r="AZ1023" i="1"/>
  <c r="AZ1051" i="1" s="1"/>
  <c r="AD1051" i="1"/>
  <c r="AD1057" i="1" s="1"/>
  <c r="AH1023" i="1"/>
  <c r="N1012" i="1"/>
  <c r="N1018" i="1" s="1"/>
  <c r="S984" i="1"/>
  <c r="V984" i="1"/>
  <c r="Y979" i="1"/>
  <c r="Z979" i="1" s="1"/>
  <c r="Z945" i="1"/>
  <c r="Z973" i="1"/>
  <c r="AC1179" i="1" l="1"/>
  <c r="T1168" i="1"/>
  <c r="T1174" i="1" s="1"/>
  <c r="AO1168" i="1"/>
  <c r="AO1174" i="1" s="1"/>
  <c r="B1101" i="1"/>
  <c r="G1096" i="1"/>
  <c r="AI1101" i="1"/>
  <c r="AN1096" i="1"/>
  <c r="H1062" i="1"/>
  <c r="M1057" i="1"/>
  <c r="AD1062" i="1"/>
  <c r="AH1057" i="1"/>
  <c r="AU1062" i="1"/>
  <c r="AZ1057" i="1"/>
  <c r="AP1090" i="1"/>
  <c r="AP1096" i="1" s="1"/>
  <c r="AT1062" i="1"/>
  <c r="AT1090" i="1" s="1"/>
  <c r="N1023" i="1"/>
  <c r="S1018" i="1"/>
  <c r="U1051" i="1"/>
  <c r="U1057" i="1" s="1"/>
  <c r="M1051" i="1"/>
  <c r="AH1051" i="1"/>
  <c r="BA1051" i="1" s="1"/>
  <c r="BA1023" i="1"/>
  <c r="V1012" i="1"/>
  <c r="V1018" i="1" s="1"/>
  <c r="Y984" i="1"/>
  <c r="Y1012" i="1" s="1"/>
  <c r="S1012" i="1"/>
  <c r="T1179" i="1" l="1"/>
  <c r="AO1179" i="1"/>
  <c r="AC1207" i="1"/>
  <c r="AC1213" i="1" s="1"/>
  <c r="B1129" i="1"/>
  <c r="B1135" i="1" s="1"/>
  <c r="G1101" i="1"/>
  <c r="AP1101" i="1"/>
  <c r="AT1096" i="1"/>
  <c r="AN1101" i="1"/>
  <c r="AN1129" i="1" s="1"/>
  <c r="AI1129" i="1"/>
  <c r="AI1135" i="1" s="1"/>
  <c r="U1062" i="1"/>
  <c r="M1062" i="1"/>
  <c r="H1090" i="1"/>
  <c r="H1096" i="1" s="1"/>
  <c r="BA1057" i="1"/>
  <c r="AU1090" i="1"/>
  <c r="AU1096" i="1" s="1"/>
  <c r="AZ1062" i="1"/>
  <c r="AZ1090" i="1" s="1"/>
  <c r="AD1090" i="1"/>
  <c r="AD1096" i="1" s="1"/>
  <c r="AH1062" i="1"/>
  <c r="Z984" i="1"/>
  <c r="V1023" i="1"/>
  <c r="Y1018" i="1"/>
  <c r="Z1018" i="1" s="1"/>
  <c r="S1023" i="1"/>
  <c r="N1051" i="1"/>
  <c r="N1057" i="1" s="1"/>
  <c r="Z1012" i="1"/>
  <c r="AC1218" i="1" l="1"/>
  <c r="T1207" i="1"/>
  <c r="T1213" i="1" s="1"/>
  <c r="AO1207" i="1"/>
  <c r="AO1213" i="1" s="1"/>
  <c r="B1140" i="1"/>
  <c r="G1135" i="1"/>
  <c r="AI1140" i="1"/>
  <c r="AN1135" i="1"/>
  <c r="H1101" i="1"/>
  <c r="M1096" i="1"/>
  <c r="G1129" i="1"/>
  <c r="AD1101" i="1"/>
  <c r="AH1096" i="1"/>
  <c r="AU1101" i="1"/>
  <c r="AZ1096" i="1"/>
  <c r="AP1129" i="1"/>
  <c r="AP1135" i="1" s="1"/>
  <c r="AT1101" i="1"/>
  <c r="AT1129" i="1" s="1"/>
  <c r="U1090" i="1"/>
  <c r="U1096" i="1" s="1"/>
  <c r="N1062" i="1"/>
  <c r="S1057" i="1"/>
  <c r="M1090" i="1"/>
  <c r="AH1090" i="1"/>
  <c r="BA1090" i="1" s="1"/>
  <c r="BA1062" i="1"/>
  <c r="V1051" i="1"/>
  <c r="V1057" i="1" s="1"/>
  <c r="Y1023" i="1"/>
  <c r="Y1051" i="1" s="1"/>
  <c r="S1051" i="1"/>
  <c r="T1218" i="1" l="1"/>
  <c r="AO1218" i="1"/>
  <c r="AC1246" i="1"/>
  <c r="AC1252" i="1" s="1"/>
  <c r="AC1257" i="1" s="1"/>
  <c r="AC1285" i="1" s="1"/>
  <c r="AC1291" i="1" s="1"/>
  <c r="AC1296" i="1" s="1"/>
  <c r="B1168" i="1"/>
  <c r="B1174" i="1" s="1"/>
  <c r="G1140" i="1"/>
  <c r="AP1140" i="1"/>
  <c r="AT1135" i="1"/>
  <c r="AI1168" i="1"/>
  <c r="AI1174" i="1" s="1"/>
  <c r="AN1140" i="1"/>
  <c r="AN1168" i="1" s="1"/>
  <c r="U1101" i="1"/>
  <c r="Z1023" i="1"/>
  <c r="M1101" i="1"/>
  <c r="H1129" i="1"/>
  <c r="H1135" i="1" s="1"/>
  <c r="BA1096" i="1"/>
  <c r="AZ1101" i="1"/>
  <c r="AZ1129" i="1" s="1"/>
  <c r="AU1129" i="1"/>
  <c r="AU1135" i="1" s="1"/>
  <c r="AD1129" i="1"/>
  <c r="AD1135" i="1" s="1"/>
  <c r="AH1101" i="1"/>
  <c r="V1062" i="1"/>
  <c r="Y1057" i="1"/>
  <c r="Z1057" i="1" s="1"/>
  <c r="S1062" i="1"/>
  <c r="N1090" i="1"/>
  <c r="N1096" i="1" s="1"/>
  <c r="Z1051" i="1"/>
  <c r="AC1324" i="1" l="1"/>
  <c r="AC1330" i="1" s="1"/>
  <c r="T1246" i="1"/>
  <c r="T1252" i="1" s="1"/>
  <c r="AO1246" i="1"/>
  <c r="AO1252" i="1" s="1"/>
  <c r="B1179" i="1"/>
  <c r="G1174" i="1"/>
  <c r="AI1179" i="1"/>
  <c r="AN1174" i="1"/>
  <c r="G1168" i="1"/>
  <c r="H1140" i="1"/>
  <c r="M1135" i="1"/>
  <c r="AD1140" i="1"/>
  <c r="AH1135" i="1"/>
  <c r="AU1140" i="1"/>
  <c r="AZ1135" i="1"/>
  <c r="AP1168" i="1"/>
  <c r="AP1174" i="1" s="1"/>
  <c r="AT1140" i="1"/>
  <c r="AT1168" i="1" s="1"/>
  <c r="N1101" i="1"/>
  <c r="S1096" i="1"/>
  <c r="M1129" i="1"/>
  <c r="U1129" i="1"/>
  <c r="U1135" i="1" s="1"/>
  <c r="BA1101" i="1"/>
  <c r="AH1129" i="1"/>
  <c r="BA1129" i="1" s="1"/>
  <c r="S1090" i="1"/>
  <c r="V1090" i="1"/>
  <c r="V1096" i="1" s="1"/>
  <c r="Y1062" i="1"/>
  <c r="Y1090" i="1" s="1"/>
  <c r="AC1335" i="1" l="1"/>
  <c r="T1257" i="1"/>
  <c r="AO1257" i="1"/>
  <c r="B1207" i="1"/>
  <c r="B1213" i="1" s="1"/>
  <c r="G1179" i="1"/>
  <c r="G1207" i="1" s="1"/>
  <c r="AP1179" i="1"/>
  <c r="AT1174" i="1"/>
  <c r="AN1179" i="1"/>
  <c r="AN1207" i="1" s="1"/>
  <c r="AI1207" i="1"/>
  <c r="AI1213" i="1" s="1"/>
  <c r="H1168" i="1"/>
  <c r="H1174" i="1" s="1"/>
  <c r="M1140" i="1"/>
  <c r="U1140" i="1"/>
  <c r="BA1135" i="1"/>
  <c r="AU1168" i="1"/>
  <c r="AU1174" i="1" s="1"/>
  <c r="AZ1140" i="1"/>
  <c r="AZ1168" i="1" s="1"/>
  <c r="AD1168" i="1"/>
  <c r="AD1174" i="1" s="1"/>
  <c r="AH1140" i="1"/>
  <c r="V1101" i="1"/>
  <c r="Y1096" i="1"/>
  <c r="Z1096" i="1" s="1"/>
  <c r="S1101" i="1"/>
  <c r="N1129" i="1"/>
  <c r="N1135" i="1" s="1"/>
  <c r="Z1062" i="1"/>
  <c r="Z1090" i="1"/>
  <c r="AC1363" i="1" l="1"/>
  <c r="AC1369" i="1" s="1"/>
  <c r="T1285" i="1"/>
  <c r="T1291" i="1" s="1"/>
  <c r="AO1285" i="1"/>
  <c r="AO1291" i="1" s="1"/>
  <c r="AO1296" i="1" s="1"/>
  <c r="B1218" i="1"/>
  <c r="G1213" i="1"/>
  <c r="AI1218" i="1"/>
  <c r="AN1213" i="1"/>
  <c r="H1179" i="1"/>
  <c r="M1174" i="1"/>
  <c r="AD1179" i="1"/>
  <c r="AH1174" i="1"/>
  <c r="AU1179" i="1"/>
  <c r="AZ1174" i="1"/>
  <c r="AP1207" i="1"/>
  <c r="AP1213" i="1" s="1"/>
  <c r="AT1179" i="1"/>
  <c r="AT1207" i="1" s="1"/>
  <c r="U1168" i="1"/>
  <c r="U1174" i="1" s="1"/>
  <c r="M1168" i="1"/>
  <c r="N1140" i="1"/>
  <c r="S1135" i="1"/>
  <c r="BA1140" i="1"/>
  <c r="AH1168" i="1"/>
  <c r="BA1168" i="1" s="1"/>
  <c r="S1129" i="1"/>
  <c r="V1129" i="1"/>
  <c r="V1135" i="1" s="1"/>
  <c r="Y1101" i="1"/>
  <c r="Y1129" i="1" s="1"/>
  <c r="AC1374" i="1" l="1"/>
  <c r="T1296" i="1"/>
  <c r="AO1324" i="1"/>
  <c r="AO1330" i="1" s="1"/>
  <c r="B1246" i="1"/>
  <c r="B1252" i="1" s="1"/>
  <c r="G1218" i="1"/>
  <c r="AP1218" i="1"/>
  <c r="AT1213" i="1"/>
  <c r="AI1246" i="1"/>
  <c r="AI1252" i="1" s="1"/>
  <c r="AN1218" i="1"/>
  <c r="AN1246" i="1" s="1"/>
  <c r="U1179" i="1"/>
  <c r="M1179" i="1"/>
  <c r="M1207" i="1" s="1"/>
  <c r="H1207" i="1"/>
  <c r="H1213" i="1" s="1"/>
  <c r="BA1174" i="1"/>
  <c r="AU1207" i="1"/>
  <c r="AU1213" i="1" s="1"/>
  <c r="AZ1179" i="1"/>
  <c r="AZ1207" i="1" s="1"/>
  <c r="AD1207" i="1"/>
  <c r="AD1213" i="1" s="1"/>
  <c r="AH1179" i="1"/>
  <c r="S1140" i="1"/>
  <c r="N1168" i="1"/>
  <c r="N1174" i="1" s="1"/>
  <c r="V1140" i="1"/>
  <c r="Y1135" i="1"/>
  <c r="Z1135" i="1" s="1"/>
  <c r="Z1101" i="1"/>
  <c r="Z1129" i="1"/>
  <c r="AC1402" i="1" l="1"/>
  <c r="AC1408" i="1" s="1"/>
  <c r="AO1335" i="1"/>
  <c r="T1324" i="1"/>
  <c r="T1330" i="1" s="1"/>
  <c r="T1335" i="1" s="1"/>
  <c r="T1363" i="1" s="1"/>
  <c r="T1369" i="1" s="1"/>
  <c r="T1374" i="1" s="1"/>
  <c r="T1402" i="1" s="1"/>
  <c r="T1408" i="1" s="1"/>
  <c r="B1257" i="1"/>
  <c r="G1252" i="1"/>
  <c r="AI1257" i="1"/>
  <c r="AN1252" i="1"/>
  <c r="G1246" i="1"/>
  <c r="H1218" i="1"/>
  <c r="M1213" i="1"/>
  <c r="AU1218" i="1"/>
  <c r="AZ1213" i="1"/>
  <c r="AD1218" i="1"/>
  <c r="AH1213" i="1"/>
  <c r="AP1246" i="1"/>
  <c r="AP1252" i="1" s="1"/>
  <c r="AT1218" i="1"/>
  <c r="AT1246" i="1" s="1"/>
  <c r="U1207" i="1"/>
  <c r="U1213" i="1" s="1"/>
  <c r="N1179" i="1"/>
  <c r="S1174" i="1"/>
  <c r="AH1207" i="1"/>
  <c r="BA1207" i="1" s="1"/>
  <c r="BA1179" i="1"/>
  <c r="V1168" i="1"/>
  <c r="V1174" i="1" s="1"/>
  <c r="Y1140" i="1"/>
  <c r="Y1168" i="1" s="1"/>
  <c r="S1168" i="1"/>
  <c r="T1413" i="1" l="1"/>
  <c r="AC1413" i="1"/>
  <c r="AO1363" i="1"/>
  <c r="AO1369" i="1" s="1"/>
  <c r="G1257" i="1"/>
  <c r="B1285" i="1"/>
  <c r="B1291" i="1" s="1"/>
  <c r="AN1257" i="1"/>
  <c r="AN1285" i="1" s="1"/>
  <c r="AI1285" i="1"/>
  <c r="AI1291" i="1" s="1"/>
  <c r="AP1257" i="1"/>
  <c r="AT1252" i="1"/>
  <c r="U1218" i="1"/>
  <c r="H1246" i="1"/>
  <c r="H1252" i="1" s="1"/>
  <c r="M1218" i="1"/>
  <c r="BA1213" i="1"/>
  <c r="AD1246" i="1"/>
  <c r="AD1252" i="1" s="1"/>
  <c r="AH1218" i="1"/>
  <c r="AZ1218" i="1"/>
  <c r="AZ1246" i="1" s="1"/>
  <c r="AU1246" i="1"/>
  <c r="AU1252" i="1" s="1"/>
  <c r="V1179" i="1"/>
  <c r="Y1174" i="1"/>
  <c r="Z1174" i="1" s="1"/>
  <c r="N1207" i="1"/>
  <c r="N1213" i="1" s="1"/>
  <c r="S1179" i="1"/>
  <c r="Z1140" i="1"/>
  <c r="Z1168" i="1"/>
  <c r="T1441" i="1" l="1"/>
  <c r="T1447" i="1" s="1"/>
  <c r="AC1441" i="1"/>
  <c r="AC1447" i="1" s="1"/>
  <c r="AC1452" i="1" s="1"/>
  <c r="AO1374" i="1"/>
  <c r="B1296" i="1"/>
  <c r="G1291" i="1"/>
  <c r="AI1296" i="1"/>
  <c r="AN1291" i="1"/>
  <c r="G1285" i="1"/>
  <c r="H1257" i="1"/>
  <c r="M1252" i="1"/>
  <c r="AU1257" i="1"/>
  <c r="AZ1252" i="1"/>
  <c r="AP1285" i="1"/>
  <c r="AP1291" i="1" s="1"/>
  <c r="AT1257" i="1"/>
  <c r="AT1285" i="1" s="1"/>
  <c r="AH1252" i="1"/>
  <c r="AD1257" i="1"/>
  <c r="N1218" i="1"/>
  <c r="S1213" i="1"/>
  <c r="M1246" i="1"/>
  <c r="U1246" i="1"/>
  <c r="U1252" i="1" s="1"/>
  <c r="AH1246" i="1"/>
  <c r="BA1246" i="1" s="1"/>
  <c r="BA1218" i="1"/>
  <c r="V1207" i="1"/>
  <c r="V1213" i="1" s="1"/>
  <c r="Y1179" i="1"/>
  <c r="Y1207" i="1" s="1"/>
  <c r="S1207" i="1"/>
  <c r="AC1480" i="1" l="1"/>
  <c r="AC1486" i="1" s="1"/>
  <c r="T1452" i="1"/>
  <c r="AO1402" i="1"/>
  <c r="AO1408" i="1" s="1"/>
  <c r="AO1413" i="1" s="1"/>
  <c r="B1324" i="1"/>
  <c r="B1330" i="1" s="1"/>
  <c r="G1296" i="1"/>
  <c r="AT1291" i="1"/>
  <c r="AP1296" i="1"/>
  <c r="AI1324" i="1"/>
  <c r="AI1330" i="1" s="1"/>
  <c r="AN1296" i="1"/>
  <c r="AN1324" i="1" s="1"/>
  <c r="H1285" i="1"/>
  <c r="H1291" i="1" s="1"/>
  <c r="M1257" i="1"/>
  <c r="U1257" i="1"/>
  <c r="BA1252" i="1"/>
  <c r="AU1285" i="1"/>
  <c r="AU1291" i="1" s="1"/>
  <c r="AZ1257" i="1"/>
  <c r="AZ1285" i="1" s="1"/>
  <c r="AD1285" i="1"/>
  <c r="AD1291" i="1" s="1"/>
  <c r="AH1257" i="1"/>
  <c r="Z1179" i="1"/>
  <c r="V1218" i="1"/>
  <c r="Y1213" i="1"/>
  <c r="Z1213" i="1" s="1"/>
  <c r="S1218" i="1"/>
  <c r="N1246" i="1"/>
  <c r="N1252" i="1" s="1"/>
  <c r="Z1207" i="1"/>
  <c r="AC1491" i="1" l="1"/>
  <c r="T1480" i="1"/>
  <c r="T1486" i="1" s="1"/>
  <c r="AO1441" i="1"/>
  <c r="AO1447" i="1" s="1"/>
  <c r="B1335" i="1"/>
  <c r="G1330" i="1"/>
  <c r="AI1335" i="1"/>
  <c r="AN1330" i="1"/>
  <c r="G1324" i="1"/>
  <c r="H1296" i="1"/>
  <c r="M1291" i="1"/>
  <c r="AH1291" i="1"/>
  <c r="AD1296" i="1"/>
  <c r="AU1296" i="1"/>
  <c r="AZ1291" i="1"/>
  <c r="AP1324" i="1"/>
  <c r="AP1330" i="1" s="1"/>
  <c r="AT1296" i="1"/>
  <c r="AT1324" i="1" s="1"/>
  <c r="U1285" i="1"/>
  <c r="U1291" i="1" s="1"/>
  <c r="M1285" i="1"/>
  <c r="N1257" i="1"/>
  <c r="S1252" i="1"/>
  <c r="BA1257" i="1"/>
  <c r="AH1285" i="1"/>
  <c r="BA1285" i="1" s="1"/>
  <c r="S1246" i="1"/>
  <c r="V1246" i="1"/>
  <c r="V1252" i="1" s="1"/>
  <c r="Y1218" i="1"/>
  <c r="Y1246" i="1" s="1"/>
  <c r="T1491" i="1" l="1"/>
  <c r="AC1519" i="1"/>
  <c r="AC1525" i="1" s="1"/>
  <c r="AC1530" i="1" s="1"/>
  <c r="AO1452" i="1"/>
  <c r="B1363" i="1"/>
  <c r="B1369" i="1" s="1"/>
  <c r="G1335" i="1"/>
  <c r="G1363" i="1" s="1"/>
  <c r="AI1363" i="1"/>
  <c r="AI1369" i="1" s="1"/>
  <c r="AN1335" i="1"/>
  <c r="AN1363" i="1" s="1"/>
  <c r="AP1335" i="1"/>
  <c r="AT1330" i="1"/>
  <c r="H1324" i="1"/>
  <c r="H1330" i="1" s="1"/>
  <c r="M1296" i="1"/>
  <c r="U1296" i="1"/>
  <c r="AU1324" i="1"/>
  <c r="AU1330" i="1" s="1"/>
  <c r="AZ1296" i="1"/>
  <c r="AZ1324" i="1" s="1"/>
  <c r="AD1324" i="1"/>
  <c r="AD1330" i="1" s="1"/>
  <c r="AH1296" i="1"/>
  <c r="BA1291" i="1"/>
  <c r="V1257" i="1"/>
  <c r="Y1252" i="1"/>
  <c r="Z1252" i="1" s="1"/>
  <c r="N1285" i="1"/>
  <c r="N1291" i="1" s="1"/>
  <c r="S1257" i="1"/>
  <c r="Z1218" i="1"/>
  <c r="Z1246" i="1"/>
  <c r="AC1558" i="1" l="1"/>
  <c r="AC1564" i="1" s="1"/>
  <c r="T1519" i="1"/>
  <c r="T1525" i="1" s="1"/>
  <c r="T1530" i="1" s="1"/>
  <c r="T1558" i="1" s="1"/>
  <c r="T1564" i="1" s="1"/>
  <c r="T1569" i="1" s="1"/>
  <c r="T1597" i="1" s="1"/>
  <c r="T1603" i="1" s="1"/>
  <c r="AO1480" i="1"/>
  <c r="AO1486" i="1" s="1"/>
  <c r="AI1374" i="1"/>
  <c r="AN1369" i="1"/>
  <c r="B1374" i="1"/>
  <c r="G1369" i="1"/>
  <c r="H1335" i="1"/>
  <c r="M1330" i="1"/>
  <c r="AP1363" i="1"/>
  <c r="AP1369" i="1" s="1"/>
  <c r="AT1335" i="1"/>
  <c r="AT1363" i="1" s="1"/>
  <c r="AD1335" i="1"/>
  <c r="AH1330" i="1"/>
  <c r="AU1335" i="1"/>
  <c r="AZ1330" i="1"/>
  <c r="M1324" i="1"/>
  <c r="U1324" i="1"/>
  <c r="U1330" i="1" s="1"/>
  <c r="N1296" i="1"/>
  <c r="S1291" i="1"/>
  <c r="BA1296" i="1"/>
  <c r="AH1324" i="1"/>
  <c r="BA1324" i="1" s="1"/>
  <c r="V1285" i="1"/>
  <c r="V1291" i="1" s="1"/>
  <c r="Y1257" i="1"/>
  <c r="Y1285" i="1" s="1"/>
  <c r="S1285" i="1"/>
  <c r="T1608" i="1" l="1"/>
  <c r="AC1569" i="1"/>
  <c r="AO1491" i="1"/>
  <c r="B1402" i="1"/>
  <c r="B1408" i="1" s="1"/>
  <c r="G1374" i="1"/>
  <c r="G1402" i="1" s="1"/>
  <c r="AP1374" i="1"/>
  <c r="AT1369" i="1"/>
  <c r="AI1402" i="1"/>
  <c r="AI1408" i="1" s="1"/>
  <c r="AN1374" i="1"/>
  <c r="AN1402" i="1" s="1"/>
  <c r="M1335" i="1"/>
  <c r="M1363" i="1" s="1"/>
  <c r="H1363" i="1"/>
  <c r="H1369" i="1" s="1"/>
  <c r="U1335" i="1"/>
  <c r="AU1363" i="1"/>
  <c r="AU1369" i="1" s="1"/>
  <c r="AZ1335" i="1"/>
  <c r="AZ1363" i="1" s="1"/>
  <c r="AD1363" i="1"/>
  <c r="AD1369" i="1" s="1"/>
  <c r="AH1335" i="1"/>
  <c r="BA1330" i="1"/>
  <c r="N1324" i="1"/>
  <c r="N1330" i="1" s="1"/>
  <c r="S1296" i="1"/>
  <c r="V1296" i="1"/>
  <c r="Y1291" i="1"/>
  <c r="Z1291" i="1" s="1"/>
  <c r="Z1257" i="1"/>
  <c r="Z1285" i="1"/>
  <c r="T1636" i="1" l="1"/>
  <c r="T1642" i="1" s="1"/>
  <c r="AC1597" i="1"/>
  <c r="AC1603" i="1" s="1"/>
  <c r="AO1519" i="1"/>
  <c r="AO1525" i="1" s="1"/>
  <c r="AO1530" i="1" s="1"/>
  <c r="B1413" i="1"/>
  <c r="G1408" i="1"/>
  <c r="AI1413" i="1"/>
  <c r="AN1408" i="1"/>
  <c r="AP1402" i="1"/>
  <c r="AP1408" i="1" s="1"/>
  <c r="AT1374" i="1"/>
  <c r="AT1402" i="1" s="1"/>
  <c r="AD1374" i="1"/>
  <c r="AH1369" i="1"/>
  <c r="AU1374" i="1"/>
  <c r="AZ1369" i="1"/>
  <c r="H1374" i="1"/>
  <c r="M1369" i="1"/>
  <c r="N1335" i="1"/>
  <c r="S1330" i="1"/>
  <c r="U1363" i="1"/>
  <c r="U1369" i="1" s="1"/>
  <c r="AH1363" i="1"/>
  <c r="BA1363" i="1" s="1"/>
  <c r="BA1335" i="1"/>
  <c r="V1324" i="1"/>
  <c r="V1330" i="1" s="1"/>
  <c r="Y1296" i="1"/>
  <c r="Y1324" i="1" s="1"/>
  <c r="S1324" i="1"/>
  <c r="T1647" i="1" l="1"/>
  <c r="AC1608" i="1"/>
  <c r="AO1558" i="1"/>
  <c r="AO1564" i="1" s="1"/>
  <c r="B1441" i="1"/>
  <c r="B1447" i="1" s="1"/>
  <c r="G1413" i="1"/>
  <c r="AT1408" i="1"/>
  <c r="AP1413" i="1"/>
  <c r="AI1441" i="1"/>
  <c r="AI1447" i="1" s="1"/>
  <c r="AN1413" i="1"/>
  <c r="AN1441" i="1" s="1"/>
  <c r="AD1402" i="1"/>
  <c r="AD1408" i="1" s="1"/>
  <c r="AH1374" i="1"/>
  <c r="BA1369" i="1"/>
  <c r="AU1402" i="1"/>
  <c r="AU1408" i="1" s="1"/>
  <c r="AZ1374" i="1"/>
  <c r="AZ1402" i="1" s="1"/>
  <c r="M1374" i="1"/>
  <c r="M1402" i="1" s="1"/>
  <c r="H1402" i="1"/>
  <c r="H1408" i="1" s="1"/>
  <c r="U1374" i="1"/>
  <c r="Z1296" i="1"/>
  <c r="N1363" i="1"/>
  <c r="N1369" i="1" s="1"/>
  <c r="S1335" i="1"/>
  <c r="S1363" i="1" s="1"/>
  <c r="V1335" i="1"/>
  <c r="Y1330" i="1"/>
  <c r="Z1330" i="1" s="1"/>
  <c r="Z1324" i="1"/>
  <c r="T1675" i="1" l="1"/>
  <c r="T1681" i="1" s="1"/>
  <c r="AC1636" i="1"/>
  <c r="AC1642" i="1" s="1"/>
  <c r="AO1569" i="1"/>
  <c r="AI1452" i="1"/>
  <c r="AN1447" i="1"/>
  <c r="B1452" i="1"/>
  <c r="G1447" i="1"/>
  <c r="H1413" i="1"/>
  <c r="M1408" i="1"/>
  <c r="G1441" i="1"/>
  <c r="AP1441" i="1"/>
  <c r="AP1447" i="1" s="1"/>
  <c r="AT1413" i="1"/>
  <c r="AT1441" i="1" s="1"/>
  <c r="AD1413" i="1"/>
  <c r="AH1408" i="1"/>
  <c r="AU1413" i="1"/>
  <c r="AZ1408" i="1"/>
  <c r="BA1374" i="1"/>
  <c r="AH1402" i="1"/>
  <c r="BA1402" i="1" s="1"/>
  <c r="N1374" i="1"/>
  <c r="S1369" i="1"/>
  <c r="U1402" i="1"/>
  <c r="U1408" i="1" s="1"/>
  <c r="V1363" i="1"/>
  <c r="V1369" i="1" s="1"/>
  <c r="Y1335" i="1"/>
  <c r="T1686" i="1" l="1"/>
  <c r="AC1647" i="1"/>
  <c r="AO1597" i="1"/>
  <c r="AO1603" i="1" s="1"/>
  <c r="G1452" i="1"/>
  <c r="B1480" i="1"/>
  <c r="B1486" i="1" s="1"/>
  <c r="AP1452" i="1"/>
  <c r="AT1447" i="1"/>
  <c r="AI1480" i="1"/>
  <c r="AI1486" i="1" s="1"/>
  <c r="AN1452" i="1"/>
  <c r="AN1480" i="1" s="1"/>
  <c r="U1413" i="1"/>
  <c r="H1441" i="1"/>
  <c r="H1447" i="1" s="1"/>
  <c r="M1413" i="1"/>
  <c r="AU1441" i="1"/>
  <c r="AU1447" i="1" s="1"/>
  <c r="AZ1413" i="1"/>
  <c r="AZ1441" i="1" s="1"/>
  <c r="BA1408" i="1"/>
  <c r="AD1441" i="1"/>
  <c r="AD1447" i="1" s="1"/>
  <c r="AH1413" i="1"/>
  <c r="N1402" i="1"/>
  <c r="N1408" i="1" s="1"/>
  <c r="S1374" i="1"/>
  <c r="S1402" i="1" s="1"/>
  <c r="V1374" i="1"/>
  <c r="Y1369" i="1"/>
  <c r="Z1369" i="1" s="1"/>
  <c r="Z1335" i="1"/>
  <c r="Y1363" i="1"/>
  <c r="Z1363" i="1" s="1"/>
  <c r="T1714" i="1" l="1"/>
  <c r="T1720" i="1" s="1"/>
  <c r="AC1675" i="1"/>
  <c r="AC1681" i="1" s="1"/>
  <c r="AO1608" i="1"/>
  <c r="B1491" i="1"/>
  <c r="G1486" i="1"/>
  <c r="AI1491" i="1"/>
  <c r="AN1486" i="1"/>
  <c r="AP1480" i="1"/>
  <c r="AP1486" i="1" s="1"/>
  <c r="AT1452" i="1"/>
  <c r="AT1480" i="1" s="1"/>
  <c r="AU1452" i="1"/>
  <c r="AZ1447" i="1"/>
  <c r="H1452" i="1"/>
  <c r="M1447" i="1"/>
  <c r="AH1447" i="1"/>
  <c r="AD1452" i="1"/>
  <c r="G1480" i="1"/>
  <c r="N1413" i="1"/>
  <c r="S1408" i="1"/>
  <c r="U1441" i="1"/>
  <c r="U1447" i="1" s="1"/>
  <c r="M1441" i="1"/>
  <c r="AH1441" i="1"/>
  <c r="BA1441" i="1" s="1"/>
  <c r="BA1413" i="1"/>
  <c r="V1402" i="1"/>
  <c r="V1408" i="1" s="1"/>
  <c r="Y1374" i="1"/>
  <c r="T1725" i="1" l="1"/>
  <c r="AC1686" i="1"/>
  <c r="AC1714" i="1" s="1"/>
  <c r="AO1636" i="1"/>
  <c r="AO1642" i="1" s="1"/>
  <c r="AN1491" i="1"/>
  <c r="AN1519" i="1" s="1"/>
  <c r="AI1519" i="1"/>
  <c r="AI1525" i="1" s="1"/>
  <c r="AP1491" i="1"/>
  <c r="AT1486" i="1"/>
  <c r="B1519" i="1"/>
  <c r="B1525" i="1" s="1"/>
  <c r="G1491" i="1"/>
  <c r="BA1447" i="1"/>
  <c r="H1480" i="1"/>
  <c r="H1486" i="1" s="1"/>
  <c r="M1452" i="1"/>
  <c r="AD1480" i="1"/>
  <c r="AD1486" i="1" s="1"/>
  <c r="AH1452" i="1"/>
  <c r="AU1480" i="1"/>
  <c r="AU1486" i="1" s="1"/>
  <c r="AZ1452" i="1"/>
  <c r="AZ1480" i="1" s="1"/>
  <c r="U1452" i="1"/>
  <c r="V1413" i="1"/>
  <c r="Y1408" i="1"/>
  <c r="Z1408" i="1" s="1"/>
  <c r="N1441" i="1"/>
  <c r="N1447" i="1" s="1"/>
  <c r="S1413" i="1"/>
  <c r="Z1374" i="1"/>
  <c r="Y1402" i="1"/>
  <c r="Z1402" i="1" s="1"/>
  <c r="T1753" i="1" l="1"/>
  <c r="T1759" i="1" s="1"/>
  <c r="T1764" i="1" s="1"/>
  <c r="T1792" i="1" s="1"/>
  <c r="T1798" i="1" s="1"/>
  <c r="T1803" i="1" s="1"/>
  <c r="T1831" i="1" s="1"/>
  <c r="T1837" i="1" s="1"/>
  <c r="T1842" i="1" s="1"/>
  <c r="T1870" i="1" s="1"/>
  <c r="T1876" i="1" s="1"/>
  <c r="T1881" i="1" s="1"/>
  <c r="T1909" i="1" s="1"/>
  <c r="T1915" i="1" s="1"/>
  <c r="T1920" i="1" s="1"/>
  <c r="T1948" i="1" s="1"/>
  <c r="T1954" i="1" s="1"/>
  <c r="T1959" i="1" s="1"/>
  <c r="T1987" i="1" s="1"/>
  <c r="T1993" i="1" s="1"/>
  <c r="T1998" i="1" s="1"/>
  <c r="T2026" i="1" s="1"/>
  <c r="T2032" i="1" s="1"/>
  <c r="AC1720" i="1"/>
  <c r="AO1647" i="1"/>
  <c r="B1530" i="1"/>
  <c r="G1525" i="1"/>
  <c r="AI1530" i="1"/>
  <c r="AN1525" i="1"/>
  <c r="AP1519" i="1"/>
  <c r="AP1525" i="1" s="1"/>
  <c r="AT1491" i="1"/>
  <c r="AT1519" i="1" s="1"/>
  <c r="AD1491" i="1"/>
  <c r="AH1486" i="1"/>
  <c r="H1491" i="1"/>
  <c r="M1486" i="1"/>
  <c r="AZ1486" i="1"/>
  <c r="AU1491" i="1"/>
  <c r="G1519" i="1"/>
  <c r="N1452" i="1"/>
  <c r="S1447" i="1"/>
  <c r="M1480" i="1"/>
  <c r="AH1480" i="1"/>
  <c r="BA1480" i="1" s="1"/>
  <c r="BA1452" i="1"/>
  <c r="U1480" i="1"/>
  <c r="U1486" i="1" s="1"/>
  <c r="S1441" i="1"/>
  <c r="V1441" i="1"/>
  <c r="V1447" i="1" s="1"/>
  <c r="Y1413" i="1"/>
  <c r="Y1441" i="1" s="1"/>
  <c r="T2037" i="1" l="1"/>
  <c r="AC1725" i="1"/>
  <c r="AC1753" i="1" s="1"/>
  <c r="AO1675" i="1"/>
  <c r="AO1681" i="1" s="1"/>
  <c r="B1558" i="1"/>
  <c r="B1564" i="1" s="1"/>
  <c r="G1530" i="1"/>
  <c r="G1558" i="1" s="1"/>
  <c r="AT1525" i="1"/>
  <c r="AP1530" i="1"/>
  <c r="AI1558" i="1"/>
  <c r="AI1564" i="1" s="1"/>
  <c r="AN1530" i="1"/>
  <c r="AN1558" i="1" s="1"/>
  <c r="BA1486" i="1"/>
  <c r="AD1519" i="1"/>
  <c r="AD1525" i="1" s="1"/>
  <c r="AH1491" i="1"/>
  <c r="H1519" i="1"/>
  <c r="H1525" i="1" s="1"/>
  <c r="M1491" i="1"/>
  <c r="U1491" i="1"/>
  <c r="AU1519" i="1"/>
  <c r="AU1525" i="1" s="1"/>
  <c r="AZ1491" i="1"/>
  <c r="AZ1519" i="1" s="1"/>
  <c r="V1452" i="1"/>
  <c r="Y1447" i="1"/>
  <c r="Z1447" i="1" s="1"/>
  <c r="N1480" i="1"/>
  <c r="N1486" i="1" s="1"/>
  <c r="S1452" i="1"/>
  <c r="Z1413" i="1"/>
  <c r="Z1441" i="1"/>
  <c r="T2065" i="1" l="1"/>
  <c r="T2071" i="1" s="1"/>
  <c r="AC1759" i="1"/>
  <c r="AO1686" i="1"/>
  <c r="AO1714" i="1" s="1"/>
  <c r="B1569" i="1"/>
  <c r="G1564" i="1"/>
  <c r="AI1569" i="1"/>
  <c r="AN1564" i="1"/>
  <c r="H1530" i="1"/>
  <c r="M1525" i="1"/>
  <c r="AH1525" i="1"/>
  <c r="AD1530" i="1"/>
  <c r="AU1530" i="1"/>
  <c r="AZ1525" i="1"/>
  <c r="AP1558" i="1"/>
  <c r="AP1564" i="1" s="1"/>
  <c r="AT1530" i="1"/>
  <c r="AT1558" i="1" s="1"/>
  <c r="AH1519" i="1"/>
  <c r="BA1519" i="1" s="1"/>
  <c r="BA1491" i="1"/>
  <c r="U1519" i="1"/>
  <c r="U1525" i="1" s="1"/>
  <c r="U1530" i="1" s="1"/>
  <c r="U1558" i="1" s="1"/>
  <c r="U1564" i="1" s="1"/>
  <c r="U1569" i="1" s="1"/>
  <c r="U1597" i="1" s="1"/>
  <c r="U1603" i="1" s="1"/>
  <c r="M1519" i="1"/>
  <c r="N1491" i="1"/>
  <c r="S1486" i="1"/>
  <c r="S1480" i="1"/>
  <c r="V1480" i="1"/>
  <c r="V1486" i="1" s="1"/>
  <c r="Y1452" i="1"/>
  <c r="Y1480" i="1" s="1"/>
  <c r="T2076" i="1" l="1"/>
  <c r="AC1764" i="1"/>
  <c r="AC1792" i="1" s="1"/>
  <c r="AC1798" i="1" s="1"/>
  <c r="AC1803" i="1" s="1"/>
  <c r="AO1720" i="1"/>
  <c r="U1608" i="1"/>
  <c r="B1597" i="1"/>
  <c r="B1603" i="1" s="1"/>
  <c r="G1569" i="1"/>
  <c r="G1597" i="1" s="1"/>
  <c r="AP1569" i="1"/>
  <c r="AT1564" i="1"/>
  <c r="AI1597" i="1"/>
  <c r="AI1603" i="1" s="1"/>
  <c r="AN1569" i="1"/>
  <c r="AN1597" i="1" s="1"/>
  <c r="M1530" i="1"/>
  <c r="M1558" i="1" s="1"/>
  <c r="H1558" i="1"/>
  <c r="H1564" i="1" s="1"/>
  <c r="AZ1530" i="1"/>
  <c r="AZ1558" i="1" s="1"/>
  <c r="AU1558" i="1"/>
  <c r="AU1564" i="1" s="1"/>
  <c r="AD1558" i="1"/>
  <c r="AD1564" i="1" s="1"/>
  <c r="AH1530" i="1"/>
  <c r="BA1525" i="1"/>
  <c r="V1491" i="1"/>
  <c r="Y1486" i="1"/>
  <c r="Z1486" i="1" s="1"/>
  <c r="S1491" i="1"/>
  <c r="N1519" i="1"/>
  <c r="N1525" i="1" s="1"/>
  <c r="Z1452" i="1"/>
  <c r="Z1480" i="1"/>
  <c r="T2104" i="1" l="1"/>
  <c r="T2110" i="1" s="1"/>
  <c r="AO1725" i="1"/>
  <c r="AO1753" i="1" s="1"/>
  <c r="B1608" i="1"/>
  <c r="G1603" i="1"/>
  <c r="U1636" i="1"/>
  <c r="U1642" i="1" s="1"/>
  <c r="AI1608" i="1"/>
  <c r="AN1603" i="1"/>
  <c r="H1569" i="1"/>
  <c r="M1564" i="1"/>
  <c r="AD1569" i="1"/>
  <c r="AH1564" i="1"/>
  <c r="AU1569" i="1"/>
  <c r="AZ1564" i="1"/>
  <c r="AP1597" i="1"/>
  <c r="AP1603" i="1" s="1"/>
  <c r="AT1569" i="1"/>
  <c r="AT1597" i="1" s="1"/>
  <c r="N1530" i="1"/>
  <c r="S1525" i="1"/>
  <c r="BA1530" i="1"/>
  <c r="AH1558" i="1"/>
  <c r="BA1558" i="1" s="1"/>
  <c r="S1519" i="1"/>
  <c r="V1519" i="1"/>
  <c r="V1525" i="1" s="1"/>
  <c r="Y1491" i="1"/>
  <c r="Y1519" i="1" s="1"/>
  <c r="T2115" i="1" l="1"/>
  <c r="AC1831" i="1"/>
  <c r="AC1837" i="1" s="1"/>
  <c r="AO1759" i="1"/>
  <c r="U1647" i="1"/>
  <c r="B1636" i="1"/>
  <c r="B1642" i="1" s="1"/>
  <c r="G1608" i="1"/>
  <c r="AP1608" i="1"/>
  <c r="AT1603" i="1"/>
  <c r="AI1636" i="1"/>
  <c r="AI1642" i="1" s="1"/>
  <c r="AN1608" i="1"/>
  <c r="AN1636" i="1" s="1"/>
  <c r="H1597" i="1"/>
  <c r="H1603" i="1" s="1"/>
  <c r="M1569" i="1"/>
  <c r="M1597" i="1" s="1"/>
  <c r="AU1597" i="1"/>
  <c r="AU1603" i="1" s="1"/>
  <c r="AZ1569" i="1"/>
  <c r="AZ1597" i="1" s="1"/>
  <c r="BA1564" i="1"/>
  <c r="AD1597" i="1"/>
  <c r="AD1603" i="1" s="1"/>
  <c r="AH1569" i="1"/>
  <c r="N1558" i="1"/>
  <c r="N1564" i="1" s="1"/>
  <c r="S1530" i="1"/>
  <c r="S1558" i="1" s="1"/>
  <c r="V1530" i="1"/>
  <c r="Y1525" i="1"/>
  <c r="Z1525" i="1" s="1"/>
  <c r="Z1491" i="1"/>
  <c r="Z1519" i="1"/>
  <c r="T2143" i="1" l="1"/>
  <c r="T2149" i="1" s="1"/>
  <c r="AC1842" i="1"/>
  <c r="AO1764" i="1"/>
  <c r="AO1792" i="1" s="1"/>
  <c r="AO1798" i="1" s="1"/>
  <c r="AO1803" i="1" s="1"/>
  <c r="AN1642" i="1"/>
  <c r="AI1647" i="1"/>
  <c r="U1675" i="1"/>
  <c r="U1681" i="1" s="1"/>
  <c r="B1647" i="1"/>
  <c r="G1642" i="1"/>
  <c r="H1608" i="1"/>
  <c r="M1603" i="1"/>
  <c r="G1636" i="1"/>
  <c r="AD1608" i="1"/>
  <c r="AH1603" i="1"/>
  <c r="AU1608" i="1"/>
  <c r="AZ1603" i="1"/>
  <c r="AP1636" i="1"/>
  <c r="AP1642" i="1" s="1"/>
  <c r="AT1608" i="1"/>
  <c r="AT1636" i="1" s="1"/>
  <c r="N1569" i="1"/>
  <c r="S1564" i="1"/>
  <c r="BA1569" i="1"/>
  <c r="AH1597" i="1"/>
  <c r="BA1597" i="1" s="1"/>
  <c r="Y1530" i="1"/>
  <c r="V1558" i="1"/>
  <c r="V1564" i="1" s="1"/>
  <c r="T2154" i="1" l="1"/>
  <c r="AC1870" i="1"/>
  <c r="AC1876" i="1" s="1"/>
  <c r="U1686" i="1"/>
  <c r="AI1675" i="1"/>
  <c r="AI1681" i="1" s="1"/>
  <c r="AN1647" i="1"/>
  <c r="AN1675" i="1" s="1"/>
  <c r="AP1647" i="1"/>
  <c r="AT1642" i="1"/>
  <c r="G1647" i="1"/>
  <c r="B1675" i="1"/>
  <c r="B1681" i="1" s="1"/>
  <c r="M1608" i="1"/>
  <c r="H1636" i="1"/>
  <c r="H1642" i="1" s="1"/>
  <c r="BA1603" i="1"/>
  <c r="AU1636" i="1"/>
  <c r="AU1642" i="1" s="1"/>
  <c r="AZ1608" i="1"/>
  <c r="AZ1636" i="1" s="1"/>
  <c r="AD1636" i="1"/>
  <c r="AD1642" i="1" s="1"/>
  <c r="AH1608" i="1"/>
  <c r="N1597" i="1"/>
  <c r="N1603" i="1" s="1"/>
  <c r="S1569" i="1"/>
  <c r="S1597" i="1" s="1"/>
  <c r="V1569" i="1"/>
  <c r="Y1564" i="1"/>
  <c r="Z1564" i="1" s="1"/>
  <c r="Y1558" i="1"/>
  <c r="Z1558" i="1" s="1"/>
  <c r="Z1530" i="1"/>
  <c r="T2182" i="1" l="1"/>
  <c r="T2188" i="1" s="1"/>
  <c r="AC1881" i="1"/>
  <c r="AO1831" i="1"/>
  <c r="AO1837" i="1" s="1"/>
  <c r="B1686" i="1"/>
  <c r="G1681" i="1"/>
  <c r="U1714" i="1"/>
  <c r="U1720" i="1" s="1"/>
  <c r="AI1686" i="1"/>
  <c r="AI1714" i="1" s="1"/>
  <c r="AN1681" i="1"/>
  <c r="AP1675" i="1"/>
  <c r="AP1681" i="1" s="1"/>
  <c r="AT1647" i="1"/>
  <c r="AT1675" i="1" s="1"/>
  <c r="AZ1642" i="1"/>
  <c r="AU1647" i="1"/>
  <c r="H1647" i="1"/>
  <c r="M1642" i="1"/>
  <c r="AD1647" i="1"/>
  <c r="AH1642" i="1"/>
  <c r="G1675" i="1"/>
  <c r="N1608" i="1"/>
  <c r="S1603" i="1"/>
  <c r="M1636" i="1"/>
  <c r="BA1608" i="1"/>
  <c r="AH1636" i="1"/>
  <c r="BA1636" i="1" s="1"/>
  <c r="Y1569" i="1"/>
  <c r="V1597" i="1"/>
  <c r="V1603" i="1" s="1"/>
  <c r="T2193" i="1" l="1"/>
  <c r="AC1909" i="1"/>
  <c r="AC1915" i="1" s="1"/>
  <c r="AO1842" i="1"/>
  <c r="U1725" i="1"/>
  <c r="B1714" i="1"/>
  <c r="B1720" i="1" s="1"/>
  <c r="G1686" i="1"/>
  <c r="AP1686" i="1"/>
  <c r="AP1714" i="1" s="1"/>
  <c r="AT1681" i="1"/>
  <c r="AI1720" i="1"/>
  <c r="AN1686" i="1"/>
  <c r="AN1714" i="1" s="1"/>
  <c r="BA1642" i="1"/>
  <c r="AU1675" i="1"/>
  <c r="AU1681" i="1" s="1"/>
  <c r="AZ1647" i="1"/>
  <c r="AZ1675" i="1" s="1"/>
  <c r="H1675" i="1"/>
  <c r="H1681" i="1" s="1"/>
  <c r="M1647" i="1"/>
  <c r="AD1675" i="1"/>
  <c r="AD1681" i="1" s="1"/>
  <c r="AH1647" i="1"/>
  <c r="V1608" i="1"/>
  <c r="Y1603" i="1"/>
  <c r="Z1603" i="1" s="1"/>
  <c r="N1636" i="1"/>
  <c r="N1642" i="1" s="1"/>
  <c r="S1608" i="1"/>
  <c r="Y1597" i="1"/>
  <c r="Z1597" i="1" s="1"/>
  <c r="Z1569" i="1"/>
  <c r="T2221" i="1" l="1"/>
  <c r="T2227" i="1" s="1"/>
  <c r="AC1920" i="1"/>
  <c r="AO1870" i="1"/>
  <c r="AO1876" i="1" s="1"/>
  <c r="B1725" i="1"/>
  <c r="G1720" i="1"/>
  <c r="U1753" i="1"/>
  <c r="U1759" i="1" s="1"/>
  <c r="U1764" i="1" s="1"/>
  <c r="U1792" i="1" s="1"/>
  <c r="U1798" i="1" s="1"/>
  <c r="U1803" i="1" s="1"/>
  <c r="U1831" i="1" s="1"/>
  <c r="U1837" i="1" s="1"/>
  <c r="U1842" i="1" s="1"/>
  <c r="U1870" i="1" s="1"/>
  <c r="U1876" i="1" s="1"/>
  <c r="U1881" i="1" s="1"/>
  <c r="U1909" i="1" s="1"/>
  <c r="U1915" i="1" s="1"/>
  <c r="U1920" i="1" s="1"/>
  <c r="U1948" i="1" s="1"/>
  <c r="U1954" i="1" s="1"/>
  <c r="U1959" i="1" s="1"/>
  <c r="U1987" i="1" s="1"/>
  <c r="U1993" i="1" s="1"/>
  <c r="U1998" i="1" s="1"/>
  <c r="U2026" i="1" s="1"/>
  <c r="U2032" i="1" s="1"/>
  <c r="AI1725" i="1"/>
  <c r="AI1753" i="1" s="1"/>
  <c r="AN1720" i="1"/>
  <c r="H1686" i="1"/>
  <c r="M1681" i="1"/>
  <c r="G1714" i="1"/>
  <c r="AD1686" i="1"/>
  <c r="AD1714" i="1" s="1"/>
  <c r="AH1681" i="1"/>
  <c r="AU1686" i="1"/>
  <c r="AU1714" i="1" s="1"/>
  <c r="AZ1681" i="1"/>
  <c r="AP1720" i="1"/>
  <c r="AT1686" i="1"/>
  <c r="AT1714" i="1" s="1"/>
  <c r="N1647" i="1"/>
  <c r="S1642" i="1"/>
  <c r="M1675" i="1"/>
  <c r="AH1675" i="1"/>
  <c r="BA1675" i="1" s="1"/>
  <c r="BA1647" i="1"/>
  <c r="S1636" i="1"/>
  <c r="V1636" i="1"/>
  <c r="V1642" i="1" s="1"/>
  <c r="Y1608" i="1"/>
  <c r="Y1636" i="1" s="1"/>
  <c r="T2232" i="1" l="1"/>
  <c r="U2037" i="1"/>
  <c r="AC1948" i="1"/>
  <c r="AC1954" i="1" s="1"/>
  <c r="AO1881" i="1"/>
  <c r="B1753" i="1"/>
  <c r="B1759" i="1" s="1"/>
  <c r="G1725" i="1"/>
  <c r="AP1725" i="1"/>
  <c r="AP1753" i="1" s="1"/>
  <c r="AT1720" i="1"/>
  <c r="AN1725" i="1"/>
  <c r="AN1753" i="1" s="1"/>
  <c r="AI1759" i="1"/>
  <c r="H1714" i="1"/>
  <c r="H1720" i="1" s="1"/>
  <c r="M1686" i="1"/>
  <c r="BA1681" i="1"/>
  <c r="AU1720" i="1"/>
  <c r="AZ1686" i="1"/>
  <c r="AZ1714" i="1" s="1"/>
  <c r="AD1720" i="1"/>
  <c r="AH1686" i="1"/>
  <c r="AH1714" i="1" s="1"/>
  <c r="V1647" i="1"/>
  <c r="Y1642" i="1"/>
  <c r="Z1642" i="1" s="1"/>
  <c r="N1675" i="1"/>
  <c r="N1681" i="1" s="1"/>
  <c r="S1647" i="1"/>
  <c r="Z1608" i="1"/>
  <c r="Z1636" i="1"/>
  <c r="BA1714" i="1" l="1"/>
  <c r="T2260" i="1"/>
  <c r="U2065" i="1"/>
  <c r="U2071" i="1" s="1"/>
  <c r="AC1959" i="1"/>
  <c r="AO1909" i="1"/>
  <c r="AO1915" i="1" s="1"/>
  <c r="G1759" i="1"/>
  <c r="B1764" i="1"/>
  <c r="AI1764" i="1"/>
  <c r="AI1792" i="1" s="1"/>
  <c r="AI1798" i="1" s="1"/>
  <c r="AN1759" i="1"/>
  <c r="H1725" i="1"/>
  <c r="M1720" i="1"/>
  <c r="G1753" i="1"/>
  <c r="AD1725" i="1"/>
  <c r="AD1753" i="1" s="1"/>
  <c r="AH1720" i="1"/>
  <c r="AU1725" i="1"/>
  <c r="AU1753" i="1" s="1"/>
  <c r="AZ1720" i="1"/>
  <c r="AP1759" i="1"/>
  <c r="AT1725" i="1"/>
  <c r="AT1753" i="1" s="1"/>
  <c r="N1686" i="1"/>
  <c r="S1681" i="1"/>
  <c r="M1714" i="1"/>
  <c r="BA1686" i="1"/>
  <c r="V1675" i="1"/>
  <c r="V1681" i="1" s="1"/>
  <c r="Y1647" i="1"/>
  <c r="Y1675" i="1" s="1"/>
  <c r="S1675" i="1"/>
  <c r="AI1803" i="1" l="1"/>
  <c r="AN1803" i="1" s="1"/>
  <c r="AN1798" i="1"/>
  <c r="U2076" i="1"/>
  <c r="AC1987" i="1"/>
  <c r="AC1993" i="1" s="1"/>
  <c r="AO1920" i="1"/>
  <c r="G1764" i="1"/>
  <c r="B1792" i="1"/>
  <c r="B1798" i="1" s="1"/>
  <c r="AP1764" i="1"/>
  <c r="AP1792" i="1" s="1"/>
  <c r="AP1798" i="1" s="1"/>
  <c r="AT1759" i="1"/>
  <c r="AN1764" i="1"/>
  <c r="AN1792" i="1" s="1"/>
  <c r="M1725" i="1"/>
  <c r="H1753" i="1"/>
  <c r="H1759" i="1" s="1"/>
  <c r="BA1720" i="1"/>
  <c r="AZ1725" i="1"/>
  <c r="AZ1753" i="1" s="1"/>
  <c r="AU1759" i="1"/>
  <c r="AD1759" i="1"/>
  <c r="AH1725" i="1"/>
  <c r="AH1753" i="1" s="1"/>
  <c r="V1686" i="1"/>
  <c r="Y1681" i="1"/>
  <c r="Z1681" i="1" s="1"/>
  <c r="N1714" i="1"/>
  <c r="N1720" i="1" s="1"/>
  <c r="S1686" i="1"/>
  <c r="Z1647" i="1"/>
  <c r="Z1675" i="1"/>
  <c r="U2104" i="1" l="1"/>
  <c r="U2110" i="1" s="1"/>
  <c r="AT1798" i="1"/>
  <c r="AP1803" i="1"/>
  <c r="AT1803" i="1" s="1"/>
  <c r="H1764" i="1"/>
  <c r="M1759" i="1"/>
  <c r="BA1753" i="1"/>
  <c r="AO1948" i="1"/>
  <c r="AO1954" i="1" s="1"/>
  <c r="AI1831" i="1"/>
  <c r="AI1837" i="1" s="1"/>
  <c r="AN1837" i="1" s="1"/>
  <c r="B1803" i="1"/>
  <c r="G1798" i="1"/>
  <c r="G1792" i="1"/>
  <c r="AD1764" i="1"/>
  <c r="AD1792" i="1" s="1"/>
  <c r="AD1798" i="1" s="1"/>
  <c r="AH1759" i="1"/>
  <c r="AU1764" i="1"/>
  <c r="AU1792" i="1" s="1"/>
  <c r="AU1798" i="1" s="1"/>
  <c r="AZ1759" i="1"/>
  <c r="AT1764" i="1"/>
  <c r="AT1792" i="1" s="1"/>
  <c r="N1725" i="1"/>
  <c r="S1720" i="1"/>
  <c r="M1753" i="1"/>
  <c r="BA1725" i="1"/>
  <c r="S1714" i="1"/>
  <c r="V1714" i="1"/>
  <c r="V1720" i="1" s="1"/>
  <c r="Y1686" i="1"/>
  <c r="Y1714" i="1" s="1"/>
  <c r="U2115" i="1" l="1"/>
  <c r="H1792" i="1"/>
  <c r="H1798" i="1" s="1"/>
  <c r="M1764" i="1"/>
  <c r="M1792" i="1" s="1"/>
  <c r="AZ1798" i="1"/>
  <c r="AU1803" i="1"/>
  <c r="AZ1803" i="1" s="1"/>
  <c r="AH1798" i="1"/>
  <c r="AD1803" i="1"/>
  <c r="AH1803" i="1" s="1"/>
  <c r="BA1803" i="1" s="1"/>
  <c r="AC1998" i="1"/>
  <c r="AC2026" i="1" s="1"/>
  <c r="AP1831" i="1"/>
  <c r="AP1837" i="1" s="1"/>
  <c r="AT1837" i="1" s="1"/>
  <c r="AI1842" i="1"/>
  <c r="AN1842" i="1" s="1"/>
  <c r="AN1831" i="1"/>
  <c r="B1831" i="1"/>
  <c r="B1837" i="1" s="1"/>
  <c r="G1803" i="1"/>
  <c r="G1831" i="1" s="1"/>
  <c r="BA1759" i="1"/>
  <c r="AZ1764" i="1"/>
  <c r="AZ1792" i="1" s="1"/>
  <c r="AH1764" i="1"/>
  <c r="AH1792" i="1" s="1"/>
  <c r="V1725" i="1"/>
  <c r="Y1720" i="1"/>
  <c r="Z1720" i="1" s="1"/>
  <c r="N1753" i="1"/>
  <c r="N1759" i="1" s="1"/>
  <c r="S1725" i="1"/>
  <c r="Z1686" i="1"/>
  <c r="Z1714" i="1"/>
  <c r="BA1798" i="1" l="1"/>
  <c r="U2143" i="1"/>
  <c r="U2149" i="1" s="1"/>
  <c r="S1759" i="1"/>
  <c r="N1764" i="1"/>
  <c r="H1803" i="1"/>
  <c r="M1798" i="1"/>
  <c r="AC2032" i="1"/>
  <c r="AO1959" i="1"/>
  <c r="BA1792" i="1"/>
  <c r="AI1870" i="1"/>
  <c r="AI1876" i="1" s="1"/>
  <c r="AN1876" i="1" s="1"/>
  <c r="B1842" i="1"/>
  <c r="G1837" i="1"/>
  <c r="AP1842" i="1"/>
  <c r="AT1842" i="1" s="1"/>
  <c r="AT1831" i="1"/>
  <c r="AU1831" i="1"/>
  <c r="AU1837" i="1" s="1"/>
  <c r="AZ1837" i="1" s="1"/>
  <c r="AD1831" i="1"/>
  <c r="AD1837" i="1" s="1"/>
  <c r="AH1837" i="1" s="1"/>
  <c r="BA1837" i="1" s="1"/>
  <c r="BA1764" i="1"/>
  <c r="S1753" i="1"/>
  <c r="V1753" i="1"/>
  <c r="V1759" i="1" s="1"/>
  <c r="Y1725" i="1"/>
  <c r="Y1753" i="1" s="1"/>
  <c r="U2154" i="1" l="1"/>
  <c r="H1831" i="1"/>
  <c r="H1837" i="1" s="1"/>
  <c r="M1803" i="1"/>
  <c r="M1831" i="1" s="1"/>
  <c r="S1764" i="1"/>
  <c r="S1792" i="1" s="1"/>
  <c r="N1792" i="1"/>
  <c r="N1798" i="1" s="1"/>
  <c r="AC2037" i="1"/>
  <c r="AC2065" i="1" s="1"/>
  <c r="AC2071" i="1" s="1"/>
  <c r="AO1987" i="1"/>
  <c r="AP1870" i="1"/>
  <c r="AP1876" i="1" s="1"/>
  <c r="AT1876" i="1" s="1"/>
  <c r="AI1881" i="1"/>
  <c r="AN1881" i="1" s="1"/>
  <c r="AN1870" i="1"/>
  <c r="G1842" i="1"/>
  <c r="G1870" i="1" s="1"/>
  <c r="B1870" i="1"/>
  <c r="B1876" i="1" s="1"/>
  <c r="AU1842" i="1"/>
  <c r="AZ1842" i="1" s="1"/>
  <c r="AZ1831" i="1"/>
  <c r="AD1842" i="1"/>
  <c r="AH1842" i="1" s="1"/>
  <c r="AH1831" i="1"/>
  <c r="V1764" i="1"/>
  <c r="Y1759" i="1"/>
  <c r="Z1759" i="1" s="1"/>
  <c r="Z1725" i="1"/>
  <c r="Z1753" i="1"/>
  <c r="BA1831" i="1" l="1"/>
  <c r="U2182" i="1"/>
  <c r="N1803" i="1"/>
  <c r="S1798" i="1"/>
  <c r="BA1842" i="1"/>
  <c r="H1842" i="1"/>
  <c r="M1837" i="1"/>
  <c r="AC2076" i="1"/>
  <c r="AO1993" i="1"/>
  <c r="AO1998" i="1" s="1"/>
  <c r="AO2026" i="1" s="1"/>
  <c r="AO2032" i="1" s="1"/>
  <c r="B1881" i="1"/>
  <c r="G1876" i="1"/>
  <c r="AI1909" i="1"/>
  <c r="AI1915" i="1" s="1"/>
  <c r="AN1915" i="1" s="1"/>
  <c r="AU1870" i="1"/>
  <c r="AU1876" i="1" s="1"/>
  <c r="AZ1876" i="1" s="1"/>
  <c r="AD1870" i="1"/>
  <c r="AD1876" i="1" s="1"/>
  <c r="AH1876" i="1" s="1"/>
  <c r="BA1876" i="1" s="1"/>
  <c r="AP1881" i="1"/>
  <c r="AT1881" i="1" s="1"/>
  <c r="AT1870" i="1"/>
  <c r="V1792" i="1"/>
  <c r="V1798" i="1" s="1"/>
  <c r="Y1764" i="1"/>
  <c r="AV2183" i="1" l="1"/>
  <c r="U2188" i="1"/>
  <c r="M1842" i="1"/>
  <c r="M1870" i="1" s="1"/>
  <c r="H1870" i="1"/>
  <c r="H1876" i="1" s="1"/>
  <c r="N1831" i="1"/>
  <c r="N1837" i="1" s="1"/>
  <c r="S1803" i="1"/>
  <c r="S1831" i="1" s="1"/>
  <c r="AC2104" i="1"/>
  <c r="AC2110" i="1" s="1"/>
  <c r="AO2037" i="1"/>
  <c r="AO2065" i="1" s="1"/>
  <c r="AO2071" i="1" s="1"/>
  <c r="G1881" i="1"/>
  <c r="B1909" i="1"/>
  <c r="B1915" i="1" s="1"/>
  <c r="AP1909" i="1"/>
  <c r="AP1915" i="1" s="1"/>
  <c r="AT1915" i="1" s="1"/>
  <c r="AI1920" i="1"/>
  <c r="AN1920" i="1" s="1"/>
  <c r="AN1909" i="1"/>
  <c r="AD1881" i="1"/>
  <c r="AH1881" i="1" s="1"/>
  <c r="AH1870" i="1"/>
  <c r="AU1881" i="1"/>
  <c r="AZ1881" i="1" s="1"/>
  <c r="AZ1870" i="1"/>
  <c r="V1803" i="1"/>
  <c r="Y1798" i="1"/>
  <c r="Z1798" i="1" s="1"/>
  <c r="Y1792" i="1"/>
  <c r="Z1792" i="1" s="1"/>
  <c r="Z1764" i="1"/>
  <c r="U2193" i="1" l="1"/>
  <c r="AC2115" i="1"/>
  <c r="N1842" i="1"/>
  <c r="S1837" i="1"/>
  <c r="H1881" i="1"/>
  <c r="M1876" i="1"/>
  <c r="AO2076" i="1"/>
  <c r="BA1881" i="1"/>
  <c r="BA1870" i="1"/>
  <c r="B1920" i="1"/>
  <c r="G1915" i="1"/>
  <c r="AI1948" i="1"/>
  <c r="AI1954" i="1" s="1"/>
  <c r="AN1954" i="1" s="1"/>
  <c r="G1909" i="1"/>
  <c r="AU1909" i="1"/>
  <c r="AU1915" i="1" s="1"/>
  <c r="AZ1915" i="1" s="1"/>
  <c r="AD1909" i="1"/>
  <c r="AD1915" i="1" s="1"/>
  <c r="AH1915" i="1" s="1"/>
  <c r="AP1920" i="1"/>
  <c r="AT1920" i="1" s="1"/>
  <c r="AT1909" i="1"/>
  <c r="V1831" i="1"/>
  <c r="V1837" i="1" s="1"/>
  <c r="Y1803" i="1"/>
  <c r="U2221" i="1" l="1"/>
  <c r="U2227" i="1" s="1"/>
  <c r="AC2143" i="1"/>
  <c r="AC2149" i="1" s="1"/>
  <c r="H1909" i="1"/>
  <c r="H1915" i="1" s="1"/>
  <c r="M1881" i="1"/>
  <c r="M1909" i="1" s="1"/>
  <c r="BA1915" i="1"/>
  <c r="N1870" i="1"/>
  <c r="N1876" i="1" s="1"/>
  <c r="S1842" i="1"/>
  <c r="S1870" i="1" s="1"/>
  <c r="AO2104" i="1"/>
  <c r="AO2110" i="1" s="1"/>
  <c r="B1948" i="1"/>
  <c r="B1954" i="1" s="1"/>
  <c r="G1920" i="1"/>
  <c r="AP1948" i="1"/>
  <c r="AP1954" i="1" s="1"/>
  <c r="AT1954" i="1" s="1"/>
  <c r="AI1959" i="1"/>
  <c r="AN1959" i="1" s="1"/>
  <c r="AN1948" i="1"/>
  <c r="AD1920" i="1"/>
  <c r="AH1920" i="1" s="1"/>
  <c r="AH1909" i="1"/>
  <c r="AU1920" i="1"/>
  <c r="AZ1920" i="1" s="1"/>
  <c r="AZ1909" i="1"/>
  <c r="V1842" i="1"/>
  <c r="Y1837" i="1"/>
  <c r="Z1837" i="1" s="1"/>
  <c r="Y1831" i="1"/>
  <c r="Z1831" i="1" s="1"/>
  <c r="Z1803" i="1"/>
  <c r="U2232" i="1" l="1"/>
  <c r="AC2154" i="1"/>
  <c r="AO2115" i="1"/>
  <c r="N1881" i="1"/>
  <c r="S1876" i="1"/>
  <c r="H1920" i="1"/>
  <c r="M1915" i="1"/>
  <c r="BA1920" i="1"/>
  <c r="BA1909" i="1"/>
  <c r="AI1987" i="1"/>
  <c r="AI1993" i="1" s="1"/>
  <c r="AN1993" i="1" s="1"/>
  <c r="B1959" i="1"/>
  <c r="G1954" i="1"/>
  <c r="G1948" i="1"/>
  <c r="AD1948" i="1"/>
  <c r="AD1954" i="1" s="1"/>
  <c r="AH1954" i="1" s="1"/>
  <c r="AU1948" i="1"/>
  <c r="AU1954" i="1" s="1"/>
  <c r="AZ1954" i="1" s="1"/>
  <c r="AP1959" i="1"/>
  <c r="AT1959" i="1" s="1"/>
  <c r="AT1948" i="1"/>
  <c r="Y1842" i="1"/>
  <c r="V1870" i="1"/>
  <c r="V1876" i="1" s="1"/>
  <c r="U2260" i="1" l="1"/>
  <c r="U2266" i="1" s="1"/>
  <c r="AC2182" i="1"/>
  <c r="AC2188" i="1" s="1"/>
  <c r="AC2193" i="1" s="1"/>
  <c r="AC2221" i="1" s="1"/>
  <c r="AC2227" i="1" s="1"/>
  <c r="AO2143" i="1"/>
  <c r="AO2149" i="1" s="1"/>
  <c r="H1948" i="1"/>
  <c r="H1954" i="1" s="1"/>
  <c r="M1920" i="1"/>
  <c r="M1948" i="1" s="1"/>
  <c r="N1909" i="1"/>
  <c r="N1915" i="1" s="1"/>
  <c r="S1881" i="1"/>
  <c r="S1909" i="1" s="1"/>
  <c r="BA1954" i="1"/>
  <c r="AP1987" i="1"/>
  <c r="AP1993" i="1" s="1"/>
  <c r="AT1993" i="1" s="1"/>
  <c r="AN1987" i="1"/>
  <c r="AI1998" i="1"/>
  <c r="AN1998" i="1" s="1"/>
  <c r="B1987" i="1"/>
  <c r="B1993" i="1" s="1"/>
  <c r="G1959" i="1"/>
  <c r="G1987" i="1" s="1"/>
  <c r="V1881" i="1"/>
  <c r="Y1876" i="1"/>
  <c r="Z1876" i="1" s="1"/>
  <c r="AU1959" i="1"/>
  <c r="AZ1959" i="1" s="1"/>
  <c r="AZ1948" i="1"/>
  <c r="AD1959" i="1"/>
  <c r="AH1959" i="1" s="1"/>
  <c r="AH1948" i="1"/>
  <c r="Z1842" i="1"/>
  <c r="Y1870" i="1"/>
  <c r="Z1870" i="1" s="1"/>
  <c r="U2271" i="1" l="1"/>
  <c r="Y2266" i="1"/>
  <c r="Z2266" i="1" s="1"/>
  <c r="AC2232" i="1"/>
  <c r="AO2154" i="1"/>
  <c r="BA1959" i="1"/>
  <c r="N1920" i="1"/>
  <c r="S1915" i="1"/>
  <c r="H1959" i="1"/>
  <c r="M1954" i="1"/>
  <c r="BA1948" i="1"/>
  <c r="B1998" i="1"/>
  <c r="G1993" i="1"/>
  <c r="AI2026" i="1"/>
  <c r="AI2032" i="1" s="1"/>
  <c r="AN2032" i="1" s="1"/>
  <c r="AU1987" i="1"/>
  <c r="AU1993" i="1" s="1"/>
  <c r="AZ1993" i="1" s="1"/>
  <c r="AD1987" i="1"/>
  <c r="AD1993" i="1" s="1"/>
  <c r="AH1993" i="1" s="1"/>
  <c r="BA1993" i="1" s="1"/>
  <c r="AP1998" i="1"/>
  <c r="AT1998" i="1" s="1"/>
  <c r="AT1987" i="1"/>
  <c r="V1909" i="1"/>
  <c r="V1915" i="1" s="1"/>
  <c r="Y1881" i="1"/>
  <c r="U2299" i="1" l="1"/>
  <c r="Y2271" i="1"/>
  <c r="AC2260" i="1"/>
  <c r="AC2266" i="1" s="1"/>
  <c r="AO2182" i="1"/>
  <c r="AO2188" i="1" s="1"/>
  <c r="H1987" i="1"/>
  <c r="H1993" i="1" s="1"/>
  <c r="M1959" i="1"/>
  <c r="M1987" i="1" s="1"/>
  <c r="N1948" i="1"/>
  <c r="N1954" i="1" s="1"/>
  <c r="S1920" i="1"/>
  <c r="S1948" i="1" s="1"/>
  <c r="G1998" i="1"/>
  <c r="B2026" i="1"/>
  <c r="B2032" i="1" s="1"/>
  <c r="AP2026" i="1"/>
  <c r="AP2032" i="1" s="1"/>
  <c r="AT2032" i="1" s="1"/>
  <c r="AI2037" i="1"/>
  <c r="AN2037" i="1" s="1"/>
  <c r="AN2026" i="1"/>
  <c r="AD1998" i="1"/>
  <c r="AH1998" i="1" s="1"/>
  <c r="AH1987" i="1"/>
  <c r="AU1998" i="1"/>
  <c r="AZ1998" i="1" s="1"/>
  <c r="AZ1987" i="1"/>
  <c r="Y1909" i="1"/>
  <c r="Z1909" i="1" s="1"/>
  <c r="Z1881" i="1"/>
  <c r="V1920" i="1"/>
  <c r="Y1915" i="1"/>
  <c r="Z1915" i="1" s="1"/>
  <c r="AC2271" i="1" l="1"/>
  <c r="Y2299" i="1"/>
  <c r="Z2299" i="1" s="1"/>
  <c r="Z2271" i="1"/>
  <c r="AO2193" i="1"/>
  <c r="N1959" i="1"/>
  <c r="S1954" i="1"/>
  <c r="B2037" i="1"/>
  <c r="G2032" i="1"/>
  <c r="H1998" i="1"/>
  <c r="M1993" i="1"/>
  <c r="BA1998" i="1"/>
  <c r="BA1987" i="1"/>
  <c r="AI2065" i="1"/>
  <c r="AI2071" i="1" s="1"/>
  <c r="G2026" i="1"/>
  <c r="AU2026" i="1"/>
  <c r="AU2032" i="1" s="1"/>
  <c r="AZ2032" i="1" s="1"/>
  <c r="AD2026" i="1"/>
  <c r="AD2032" i="1" s="1"/>
  <c r="AH2032" i="1" s="1"/>
  <c r="BA2032" i="1" s="1"/>
  <c r="AP2037" i="1"/>
  <c r="AT2037" i="1" s="1"/>
  <c r="AT2026" i="1"/>
  <c r="V1948" i="1"/>
  <c r="V1954" i="1" s="1"/>
  <c r="Y1920" i="1"/>
  <c r="AC2299" i="1" l="1"/>
  <c r="AO2221" i="1"/>
  <c r="AO2227" i="1" s="1"/>
  <c r="H2026" i="1"/>
  <c r="H2032" i="1" s="1"/>
  <c r="M1998" i="1"/>
  <c r="M2026" i="1" s="1"/>
  <c r="B2065" i="1"/>
  <c r="B2071" i="1" s="1"/>
  <c r="G2037" i="1"/>
  <c r="N1987" i="1"/>
  <c r="N1993" i="1" s="1"/>
  <c r="S1959" i="1"/>
  <c r="S1987" i="1" s="1"/>
  <c r="AI2076" i="1"/>
  <c r="AN2071" i="1"/>
  <c r="AP2065" i="1"/>
  <c r="AP2071" i="1" s="1"/>
  <c r="AN2065" i="1"/>
  <c r="AD2037" i="1"/>
  <c r="AH2037" i="1" s="1"/>
  <c r="AH2026" i="1"/>
  <c r="AU2037" i="1"/>
  <c r="AZ2037" i="1" s="1"/>
  <c r="AZ2026" i="1"/>
  <c r="V1959" i="1"/>
  <c r="Y1954" i="1"/>
  <c r="Z1954" i="1" s="1"/>
  <c r="Y1948" i="1"/>
  <c r="Z1948" i="1" s="1"/>
  <c r="Z1920" i="1"/>
  <c r="AO2232" i="1" l="1"/>
  <c r="N1998" i="1"/>
  <c r="S1993" i="1"/>
  <c r="G2065" i="1"/>
  <c r="B2076" i="1"/>
  <c r="G2071" i="1"/>
  <c r="H2037" i="1"/>
  <c r="M2032" i="1"/>
  <c r="AP2076" i="1"/>
  <c r="AT2071" i="1"/>
  <c r="AI2104" i="1"/>
  <c r="AI2110" i="1" s="1"/>
  <c r="AN2076" i="1"/>
  <c r="AN2104" i="1" s="1"/>
  <c r="BA2037" i="1"/>
  <c r="BA2026" i="1"/>
  <c r="AD2065" i="1"/>
  <c r="AD2071" i="1" s="1"/>
  <c r="AU2065" i="1"/>
  <c r="AU2071" i="1" s="1"/>
  <c r="AT2065" i="1"/>
  <c r="V1987" i="1"/>
  <c r="V1993" i="1" s="1"/>
  <c r="Y1959" i="1"/>
  <c r="AO2260" i="1" l="1"/>
  <c r="AO2266" i="1" s="1"/>
  <c r="AI2115" i="1"/>
  <c r="AN2110" i="1"/>
  <c r="B2104" i="1"/>
  <c r="B2110" i="1" s="1"/>
  <c r="G2076" i="1"/>
  <c r="H2065" i="1"/>
  <c r="H2071" i="1" s="1"/>
  <c r="M2037" i="1"/>
  <c r="N2026" i="1"/>
  <c r="N2032" i="1" s="1"/>
  <c r="S1998" i="1"/>
  <c r="S2026" i="1" s="1"/>
  <c r="AU2076" i="1"/>
  <c r="AZ2071" i="1"/>
  <c r="AD2076" i="1"/>
  <c r="AH2071" i="1"/>
  <c r="AP2104" i="1"/>
  <c r="AP2110" i="1" s="1"/>
  <c r="AT2076" i="1"/>
  <c r="AT2104" i="1" s="1"/>
  <c r="AZ2065" i="1"/>
  <c r="AH2065" i="1"/>
  <c r="Y1993" i="1"/>
  <c r="Z1993" i="1" s="1"/>
  <c r="V1998" i="1"/>
  <c r="Y1987" i="1"/>
  <c r="Z1987" i="1" s="1"/>
  <c r="Z1959" i="1"/>
  <c r="AO2271" i="1" l="1"/>
  <c r="B2115" i="1"/>
  <c r="G2110" i="1"/>
  <c r="AP2115" i="1"/>
  <c r="AT2110" i="1"/>
  <c r="AI2143" i="1"/>
  <c r="AI2149" i="1" s="1"/>
  <c r="AN2115" i="1"/>
  <c r="AN2143" i="1" s="1"/>
  <c r="G2104" i="1"/>
  <c r="N2037" i="1"/>
  <c r="S2032" i="1"/>
  <c r="H2076" i="1"/>
  <c r="M2071" i="1"/>
  <c r="BA2071" i="1"/>
  <c r="M2065" i="1"/>
  <c r="AD2104" i="1"/>
  <c r="AD2110" i="1" s="1"/>
  <c r="AH2076" i="1"/>
  <c r="AU2104" i="1"/>
  <c r="AU2110" i="1" s="1"/>
  <c r="AZ2076" i="1"/>
  <c r="AZ2104" i="1" s="1"/>
  <c r="BA2065" i="1"/>
  <c r="V2026" i="1"/>
  <c r="V2032" i="1" s="1"/>
  <c r="Y1998" i="1"/>
  <c r="AO2299" i="1" l="1"/>
  <c r="B2143" i="1"/>
  <c r="B2149" i="1" s="1"/>
  <c r="G2115" i="1"/>
  <c r="AI2154" i="1"/>
  <c r="AN2149" i="1"/>
  <c r="AD2115" i="1"/>
  <c r="AH2110" i="1"/>
  <c r="AU2115" i="1"/>
  <c r="AZ2110" i="1"/>
  <c r="AP2143" i="1"/>
  <c r="AP2149" i="1" s="1"/>
  <c r="AT2115" i="1"/>
  <c r="AT2143" i="1" s="1"/>
  <c r="N2065" i="1"/>
  <c r="N2071" i="1" s="1"/>
  <c r="S2037" i="1"/>
  <c r="H2104" i="1"/>
  <c r="H2110" i="1" s="1"/>
  <c r="M2076" i="1"/>
  <c r="V2037" i="1"/>
  <c r="Y2032" i="1"/>
  <c r="Z2032" i="1" s="1"/>
  <c r="BA2076" i="1"/>
  <c r="AH2104" i="1"/>
  <c r="BA2104" i="1" s="1"/>
  <c r="Y2026" i="1"/>
  <c r="Z2026" i="1" s="1"/>
  <c r="Z1998" i="1"/>
  <c r="G2143" i="1" l="1"/>
  <c r="H2115" i="1"/>
  <c r="M2110" i="1"/>
  <c r="AP2154" i="1"/>
  <c r="AT2149" i="1"/>
  <c r="B2154" i="1"/>
  <c r="G2149" i="1"/>
  <c r="AI2182" i="1"/>
  <c r="AI2188" i="1" s="1"/>
  <c r="AN2154" i="1"/>
  <c r="BA2110" i="1"/>
  <c r="AU2143" i="1"/>
  <c r="AU2149" i="1" s="1"/>
  <c r="AZ2115" i="1"/>
  <c r="AZ2143" i="1" s="1"/>
  <c r="AD2143" i="1"/>
  <c r="AD2149" i="1" s="1"/>
  <c r="AH2115" i="1"/>
  <c r="S2065" i="1"/>
  <c r="N2076" i="1"/>
  <c r="S2071" i="1"/>
  <c r="V2065" i="1"/>
  <c r="V2071" i="1" s="1"/>
  <c r="Y2037" i="1"/>
  <c r="Y2065" i="1" s="1"/>
  <c r="M2104" i="1"/>
  <c r="AI2193" i="1" l="1"/>
  <c r="AN2188" i="1"/>
  <c r="G2154" i="1"/>
  <c r="B2182" i="1"/>
  <c r="AD2154" i="1"/>
  <c r="AH2149" i="1"/>
  <c r="AP2182" i="1"/>
  <c r="AT2154" i="1"/>
  <c r="AT2182" i="1" s="1"/>
  <c r="H2143" i="1"/>
  <c r="H2149" i="1" s="1"/>
  <c r="M2115" i="1"/>
  <c r="AU2154" i="1"/>
  <c r="AZ2149" i="1"/>
  <c r="AN2182" i="1"/>
  <c r="BA2115" i="1"/>
  <c r="AH2143" i="1"/>
  <c r="BA2143" i="1" s="1"/>
  <c r="V2076" i="1"/>
  <c r="Y2071" i="1"/>
  <c r="Z2071" i="1" s="1"/>
  <c r="Z2037" i="1"/>
  <c r="S2076" i="1"/>
  <c r="N2104" i="1"/>
  <c r="N2110" i="1" s="1"/>
  <c r="Z2065" i="1"/>
  <c r="AC2183" i="1" l="1"/>
  <c r="B2188" i="1"/>
  <c r="BA2149" i="1"/>
  <c r="AP2183" i="1"/>
  <c r="AP2188" i="1"/>
  <c r="AI2221" i="1"/>
  <c r="AI2227" i="1" s="1"/>
  <c r="AN2193" i="1"/>
  <c r="AN2221" i="1" s="1"/>
  <c r="H2154" i="1"/>
  <c r="M2149" i="1"/>
  <c r="AD2182" i="1"/>
  <c r="AH2154" i="1"/>
  <c r="AU2182" i="1"/>
  <c r="AZ2154" i="1"/>
  <c r="AZ2182" i="1" s="1"/>
  <c r="N2115" i="1"/>
  <c r="S2110" i="1"/>
  <c r="M2143" i="1"/>
  <c r="G2182" i="1"/>
  <c r="S2104" i="1"/>
  <c r="V2104" i="1"/>
  <c r="V2110" i="1" s="1"/>
  <c r="Y2076" i="1"/>
  <c r="Y2104" i="1" s="1"/>
  <c r="AU2183" i="1" l="1"/>
  <c r="AU2188" i="1"/>
  <c r="AI2232" i="1"/>
  <c r="AN2227" i="1"/>
  <c r="B2193" i="1"/>
  <c r="G2188" i="1"/>
  <c r="AP2193" i="1"/>
  <c r="AT2188" i="1"/>
  <c r="AD2183" i="1"/>
  <c r="AD2188" i="1"/>
  <c r="N2143" i="1"/>
  <c r="N2149" i="1" s="1"/>
  <c r="S2115" i="1"/>
  <c r="V2115" i="1"/>
  <c r="Y2110" i="1"/>
  <c r="Z2110" i="1" s="1"/>
  <c r="AH2182" i="1"/>
  <c r="BA2154" i="1"/>
  <c r="M2154" i="1"/>
  <c r="H2182" i="1"/>
  <c r="Z2076" i="1"/>
  <c r="Z2104" i="1"/>
  <c r="AP2221" i="1" l="1"/>
  <c r="AP2227" i="1" s="1"/>
  <c r="AT2193" i="1"/>
  <c r="AT2221" i="1" s="1"/>
  <c r="AU2193" i="1"/>
  <c r="AZ2188" i="1"/>
  <c r="AI2260" i="1"/>
  <c r="AI2266" i="1" s="1"/>
  <c r="AN2232" i="1"/>
  <c r="AN2260" i="1" s="1"/>
  <c r="AI2183" i="1"/>
  <c r="H2188" i="1"/>
  <c r="G2193" i="1"/>
  <c r="B2221" i="1"/>
  <c r="B2227" i="1" s="1"/>
  <c r="AH2188" i="1"/>
  <c r="BA2188" i="1" s="1"/>
  <c r="AD2193" i="1"/>
  <c r="V2143" i="1"/>
  <c r="V2149" i="1" s="1"/>
  <c r="Y2115" i="1"/>
  <c r="Y2143" i="1" s="1"/>
  <c r="N2154" i="1"/>
  <c r="S2149" i="1"/>
  <c r="M2182" i="1"/>
  <c r="S2143" i="1"/>
  <c r="Z2143" i="1" s="1"/>
  <c r="Z2115" i="1"/>
  <c r="AH2183" i="1"/>
  <c r="BA2182" i="1"/>
  <c r="AI2271" i="1" l="1"/>
  <c r="AN2266" i="1"/>
  <c r="B2232" i="1"/>
  <c r="G2227" i="1"/>
  <c r="G2221" i="1"/>
  <c r="AZ2193" i="1"/>
  <c r="AZ2221" i="1" s="1"/>
  <c r="AU2221" i="1"/>
  <c r="AU2227" i="1" s="1"/>
  <c r="H2193" i="1"/>
  <c r="M2188" i="1"/>
  <c r="AP2232" i="1"/>
  <c r="AT2227" i="1"/>
  <c r="AD2221" i="1"/>
  <c r="AD2227" i="1" s="1"/>
  <c r="AH2193" i="1"/>
  <c r="S2154" i="1"/>
  <c r="N2182" i="1"/>
  <c r="AN2183" i="1"/>
  <c r="V2154" i="1"/>
  <c r="Y2149" i="1"/>
  <c r="Z2149" i="1" s="1"/>
  <c r="AI2299" i="1" l="1"/>
  <c r="AN2271" i="1"/>
  <c r="AN2299" i="1" s="1"/>
  <c r="AD2232" i="1"/>
  <c r="AH2227" i="1"/>
  <c r="M2193" i="1"/>
  <c r="H2221" i="1"/>
  <c r="H2227" i="1" s="1"/>
  <c r="AU2232" i="1"/>
  <c r="AZ2227" i="1"/>
  <c r="AO2183" i="1"/>
  <c r="N2188" i="1"/>
  <c r="AP2260" i="1"/>
  <c r="AP2266" i="1" s="1"/>
  <c r="AT2232" i="1"/>
  <c r="AT2260" i="1" s="1"/>
  <c r="G2232" i="1"/>
  <c r="B2260" i="1"/>
  <c r="BA2193" i="1"/>
  <c r="AH2221" i="1"/>
  <c r="BA2221" i="1" s="1"/>
  <c r="V2182" i="1"/>
  <c r="Y2154" i="1"/>
  <c r="Y2182" i="1" s="1"/>
  <c r="AZ2183" i="1" s="1"/>
  <c r="S2182" i="1"/>
  <c r="BA2227" i="1" l="1"/>
  <c r="AP2271" i="1"/>
  <c r="AT2266" i="1"/>
  <c r="AW2183" i="1"/>
  <c r="V2188" i="1"/>
  <c r="G2260" i="1"/>
  <c r="AZ2232" i="1"/>
  <c r="AZ2260" i="1" s="1"/>
  <c r="AU2260" i="1"/>
  <c r="AU2266" i="1" s="1"/>
  <c r="AD2260" i="1"/>
  <c r="AD2266" i="1" s="1"/>
  <c r="AH2232" i="1"/>
  <c r="M2221" i="1"/>
  <c r="N2193" i="1"/>
  <c r="S2188" i="1"/>
  <c r="Z2154" i="1"/>
  <c r="M2227" i="1"/>
  <c r="H2232" i="1"/>
  <c r="AT2183" i="1"/>
  <c r="Z2182" i="1"/>
  <c r="BA2183" i="1" s="1"/>
  <c r="AD2271" i="1" l="1"/>
  <c r="AH2266" i="1"/>
  <c r="AU2271" i="1"/>
  <c r="AZ2266" i="1"/>
  <c r="AP2299" i="1"/>
  <c r="AT2271" i="1"/>
  <c r="AT2299" i="1" s="1"/>
  <c r="AH2260" i="1"/>
  <c r="BA2260" i="1" s="1"/>
  <c r="BA2232" i="1"/>
  <c r="H2260" i="1"/>
  <c r="M2232" i="1"/>
  <c r="S2193" i="1"/>
  <c r="N2221" i="1"/>
  <c r="N2227" i="1" s="1"/>
  <c r="V2193" i="1"/>
  <c r="Y2188" i="1"/>
  <c r="Z2188" i="1" s="1"/>
  <c r="BA2266" i="1" l="1"/>
  <c r="AU2299" i="1"/>
  <c r="AZ2271" i="1"/>
  <c r="AZ2299" i="1" s="1"/>
  <c r="AD2299" i="1"/>
  <c r="AH2271" i="1"/>
  <c r="N2232" i="1"/>
  <c r="S2227" i="1"/>
  <c r="S2221" i="1"/>
  <c r="Z2221" i="1" s="1"/>
  <c r="Z2193" i="1"/>
  <c r="V2221" i="1"/>
  <c r="V2227" i="1" s="1"/>
  <c r="Y2193" i="1"/>
  <c r="Y2221" i="1" s="1"/>
  <c r="M2260" i="1"/>
  <c r="BA2271" i="1" l="1"/>
  <c r="AH2299" i="1"/>
  <c r="BA2299" i="1" s="1"/>
  <c r="V2232" i="1"/>
  <c r="Y2227" i="1"/>
  <c r="Z2227" i="1" s="1"/>
  <c r="S2232" i="1"/>
  <c r="N2260" i="1"/>
  <c r="V2260" i="1" l="1"/>
  <c r="Y2232" i="1"/>
  <c r="Y2260" i="1" s="1"/>
  <c r="S2260" i="1"/>
  <c r="Z2232" i="1"/>
  <c r="Z2260" i="1" l="1"/>
</calcChain>
</file>

<file path=xl/sharedStrings.xml><?xml version="1.0" encoding="utf-8"?>
<sst xmlns="http://schemas.openxmlformats.org/spreadsheetml/2006/main" count="6989" uniqueCount="737">
  <si>
    <t>カラー</t>
    <phoneticPr fontId="3"/>
  </si>
  <si>
    <t>総合計</t>
    <rPh sb="0" eb="1">
      <t>ソウ</t>
    </rPh>
    <rPh sb="1" eb="3">
      <t>ゴウケイ</t>
    </rPh>
    <phoneticPr fontId="3"/>
  </si>
  <si>
    <t>サイズ</t>
    <phoneticPr fontId="3"/>
  </si>
  <si>
    <t>9M</t>
    <phoneticPr fontId="3"/>
  </si>
  <si>
    <t>11L</t>
    <phoneticPr fontId="3"/>
  </si>
  <si>
    <t>13L</t>
    <phoneticPr fontId="3"/>
  </si>
  <si>
    <t>計</t>
    <rPh sb="0" eb="1">
      <t>ケイ</t>
    </rPh>
    <phoneticPr fontId="3"/>
  </si>
  <si>
    <t>追加１</t>
    <rPh sb="0" eb="2">
      <t>ツイカ</t>
    </rPh>
    <phoneticPr fontId="3"/>
  </si>
  <si>
    <t>発注数</t>
    <rPh sb="0" eb="3">
      <t>ハッチュウスウ</t>
    </rPh>
    <phoneticPr fontId="3"/>
  </si>
  <si>
    <t>追加２</t>
    <rPh sb="0" eb="2">
      <t>ツイカ</t>
    </rPh>
    <phoneticPr fontId="3"/>
  </si>
  <si>
    <t>追加３</t>
    <rPh sb="0" eb="2">
      <t>ツイカ</t>
    </rPh>
    <phoneticPr fontId="3"/>
  </si>
  <si>
    <t>追加４</t>
    <rPh sb="0" eb="2">
      <t>ツイカ</t>
    </rPh>
    <phoneticPr fontId="3"/>
  </si>
  <si>
    <t>総数</t>
    <rPh sb="0" eb="2">
      <t>ソウスウ</t>
    </rPh>
    <phoneticPr fontId="3"/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</si>
  <si>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</si>
  <si>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</si>
  <si>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YM19001体型カバーフィットネス水着（夢販在庫）</t>
    <rPh sb="7" eb="9">
      <t>タイケイ</t>
    </rPh>
    <rPh sb="18" eb="20">
      <t>ミズギ</t>
    </rPh>
    <rPh sb="21" eb="22">
      <t>ユメ</t>
    </rPh>
    <rPh sb="22" eb="23">
      <t>ハン</t>
    </rPh>
    <rPh sb="23" eb="25">
      <t>ザイコ</t>
    </rPh>
    <phoneticPr fontId="3"/>
  </si>
  <si>
    <t>YM19001体型カバーフィットネス水着(Ｋ-ＰＯＲＴ在庫）</t>
    <rPh sb="7" eb="9">
      <t>タイケイ</t>
    </rPh>
    <rPh sb="18" eb="20">
      <t>ミズギ</t>
    </rPh>
    <rPh sb="27" eb="29">
      <t>ザイコ</t>
    </rPh>
    <phoneticPr fontId="3"/>
  </si>
  <si>
    <t>ブラックベース</t>
    <phoneticPr fontId="3"/>
  </si>
  <si>
    <t>グレーベース</t>
    <phoneticPr fontId="3"/>
  </si>
  <si>
    <t>グレーベース</t>
    <phoneticPr fontId="3"/>
  </si>
  <si>
    <t>15LL</t>
    <phoneticPr fontId="2"/>
  </si>
  <si>
    <t>17LL</t>
    <phoneticPr fontId="3"/>
  </si>
  <si>
    <t>15LL</t>
    <phoneticPr fontId="2"/>
  </si>
  <si>
    <t>17LL</t>
    <phoneticPr fontId="3"/>
  </si>
  <si>
    <t>セシール19年春夏保存版</t>
    <rPh sb="6" eb="7">
      <t>ネン</t>
    </rPh>
    <rPh sb="7" eb="8">
      <t>ハル</t>
    </rPh>
    <rPh sb="8" eb="9">
      <t>ナツ</t>
    </rPh>
    <rPh sb="9" eb="11">
      <t>ホゾン</t>
    </rPh>
    <rPh sb="11" eb="12">
      <t>バン</t>
    </rPh>
    <phoneticPr fontId="2"/>
  </si>
  <si>
    <t>1/7発刊　初回12月初旬</t>
    <rPh sb="3" eb="5">
      <t>ハッカン</t>
    </rPh>
    <rPh sb="6" eb="8">
      <t>ショカイ</t>
    </rPh>
    <rPh sb="10" eb="11">
      <t>ガツ</t>
    </rPh>
    <rPh sb="11" eb="13">
      <t>ショジュン</t>
    </rPh>
    <phoneticPr fontId="2"/>
  </si>
  <si>
    <t>セシール事前点検用</t>
    <rPh sb="4" eb="6">
      <t>ジゼン</t>
    </rPh>
    <rPh sb="6" eb="8">
      <t>テンケン</t>
    </rPh>
    <rPh sb="8" eb="9">
      <t>ヨウ</t>
    </rPh>
    <phoneticPr fontId="2"/>
  </si>
  <si>
    <t>幾何学マルチ</t>
    <rPh sb="0" eb="3">
      <t>キカガク</t>
    </rPh>
    <phoneticPr fontId="2"/>
  </si>
  <si>
    <t>幾何学ブルー</t>
    <rPh sb="0" eb="3">
      <t>キカガク</t>
    </rPh>
    <phoneticPr fontId="2"/>
  </si>
  <si>
    <t>セシール</t>
    <phoneticPr fontId="2"/>
  </si>
  <si>
    <t>夢販</t>
    <rPh sb="0" eb="2">
      <t>ユメハン</t>
    </rPh>
    <phoneticPr fontId="2"/>
  </si>
  <si>
    <t>ディノス19夏　撮影会議用サンプル</t>
    <rPh sb="6" eb="7">
      <t>ナツ</t>
    </rPh>
    <rPh sb="8" eb="10">
      <t>サツエイ</t>
    </rPh>
    <rPh sb="10" eb="12">
      <t>カイギ</t>
    </rPh>
    <rPh sb="12" eb="13">
      <t>ヨウ</t>
    </rPh>
    <phoneticPr fontId="2"/>
  </si>
  <si>
    <t>セシール再納品</t>
    <rPh sb="4" eb="7">
      <t>サイノウヒン</t>
    </rPh>
    <phoneticPr fontId="2"/>
  </si>
  <si>
    <t>セシール返品</t>
    <rPh sb="4" eb="6">
      <t>ヘンピン</t>
    </rPh>
    <phoneticPr fontId="3"/>
  </si>
  <si>
    <t>ディノス19夏　撮影会議用サンプル返却</t>
    <rPh sb="6" eb="7">
      <t>ナツ</t>
    </rPh>
    <rPh sb="8" eb="10">
      <t>サツエイ</t>
    </rPh>
    <rPh sb="10" eb="12">
      <t>カイギ</t>
    </rPh>
    <rPh sb="12" eb="13">
      <t>ヨウ</t>
    </rPh>
    <rPh sb="17" eb="19">
      <t>ヘンキャク</t>
    </rPh>
    <phoneticPr fontId="2"/>
  </si>
  <si>
    <t>ディノス19年夏号</t>
    <rPh sb="6" eb="7">
      <t>ネン</t>
    </rPh>
    <rPh sb="7" eb="9">
      <t>ナツゴウ</t>
    </rPh>
    <phoneticPr fontId="2"/>
  </si>
  <si>
    <t>セシール事前点検用返却</t>
    <rPh sb="4" eb="6">
      <t>ジゼン</t>
    </rPh>
    <rPh sb="6" eb="8">
      <t>テンケン</t>
    </rPh>
    <rPh sb="8" eb="9">
      <t>ヨウ</t>
    </rPh>
    <rPh sb="9" eb="11">
      <t>ヘンキャク</t>
    </rPh>
    <phoneticPr fontId="2"/>
  </si>
  <si>
    <t>くらし企画（棚橋さん）</t>
    <rPh sb="3" eb="5">
      <t>キカク</t>
    </rPh>
    <rPh sb="6" eb="8">
      <t>タナハシ</t>
    </rPh>
    <phoneticPr fontId="2"/>
  </si>
  <si>
    <t>ディノス事前搬入</t>
    <rPh sb="4" eb="6">
      <t>ジゼン</t>
    </rPh>
    <rPh sb="6" eb="8">
      <t>ハンニュウ</t>
    </rPh>
    <phoneticPr fontId="2"/>
  </si>
  <si>
    <t>納前点検分</t>
    <rPh sb="0" eb="1">
      <t>ノウ</t>
    </rPh>
    <rPh sb="1" eb="2">
      <t>マエ</t>
    </rPh>
    <rPh sb="2" eb="4">
      <t>テンケン</t>
    </rPh>
    <rPh sb="4" eb="5">
      <t>ブン</t>
    </rPh>
    <phoneticPr fontId="3"/>
  </si>
  <si>
    <t>2/18～</t>
    <phoneticPr fontId="2"/>
  </si>
  <si>
    <t>ディノス</t>
    <phoneticPr fontId="2"/>
  </si>
  <si>
    <t>追加</t>
    <rPh sb="0" eb="2">
      <t>ツイカ</t>
    </rPh>
    <phoneticPr fontId="2"/>
  </si>
  <si>
    <t>在庫</t>
    <rPh sb="0" eb="2">
      <t>ザイコ</t>
    </rPh>
    <phoneticPr fontId="3"/>
  </si>
  <si>
    <t>全国通販sample</t>
    <rPh sb="0" eb="2">
      <t>ゼンコク</t>
    </rPh>
    <rPh sb="2" eb="4">
      <t>ツウハン</t>
    </rPh>
    <phoneticPr fontId="2"/>
  </si>
  <si>
    <t>JOD特別版0416</t>
    <rPh sb="3" eb="5">
      <t>トクベツ</t>
    </rPh>
    <rPh sb="5" eb="6">
      <t>バン</t>
    </rPh>
    <phoneticPr fontId="2"/>
  </si>
  <si>
    <t>4/15～</t>
    <phoneticPr fontId="2"/>
  </si>
  <si>
    <t>かりん</t>
    <phoneticPr fontId="2"/>
  </si>
  <si>
    <t>ネット</t>
    <phoneticPr fontId="2"/>
  </si>
  <si>
    <t>JOD松本さんサンプル</t>
    <rPh sb="3" eb="5">
      <t>マツモト</t>
    </rPh>
    <phoneticPr fontId="2"/>
  </si>
  <si>
    <t>ディノス返品</t>
    <rPh sb="4" eb="6">
      <t>ヘンピン</t>
    </rPh>
    <phoneticPr fontId="2"/>
  </si>
  <si>
    <t>セシール返品</t>
    <rPh sb="4" eb="6">
      <t>ヘンピン</t>
    </rPh>
    <phoneticPr fontId="2"/>
  </si>
  <si>
    <t>6/1～</t>
    <phoneticPr fontId="2"/>
  </si>
  <si>
    <t>JODアクセス7671（4柄）</t>
    <rPh sb="13" eb="14">
      <t>ガラ</t>
    </rPh>
    <phoneticPr fontId="2"/>
  </si>
  <si>
    <t>セシール19年B&amp;H Vol3</t>
    <rPh sb="6" eb="7">
      <t>ネン</t>
    </rPh>
    <phoneticPr fontId="2"/>
  </si>
  <si>
    <t>JOD②</t>
    <phoneticPr fontId="2"/>
  </si>
  <si>
    <t>JOD①</t>
    <phoneticPr fontId="2"/>
  </si>
  <si>
    <t>マイジールsample</t>
    <phoneticPr fontId="2"/>
  </si>
  <si>
    <t>JOD③</t>
    <phoneticPr fontId="2"/>
  </si>
  <si>
    <t>JOD④</t>
    <phoneticPr fontId="2"/>
  </si>
  <si>
    <t>JOD⑤</t>
    <phoneticPr fontId="2"/>
  </si>
  <si>
    <t>JOD⑥</t>
    <phoneticPr fontId="2"/>
  </si>
  <si>
    <t>6/11～</t>
    <phoneticPr fontId="2"/>
  </si>
  <si>
    <t>全国通販 花まる/まるごと　7782</t>
    <rPh sb="0" eb="2">
      <t>ゼンコク</t>
    </rPh>
    <rPh sb="2" eb="4">
      <t>ツウハン</t>
    </rPh>
    <rPh sb="5" eb="6">
      <t>ハナ</t>
    </rPh>
    <phoneticPr fontId="2"/>
  </si>
  <si>
    <t>JOD⑦</t>
    <phoneticPr fontId="2"/>
  </si>
  <si>
    <t>7/1～9/30</t>
    <phoneticPr fontId="2"/>
  </si>
  <si>
    <t>JOD特別号9602</t>
    <rPh sb="3" eb="5">
      <t>トクベツ</t>
    </rPh>
    <rPh sb="5" eb="6">
      <t>ゴウ</t>
    </rPh>
    <phoneticPr fontId="2"/>
  </si>
  <si>
    <t>JOD⑧</t>
    <phoneticPr fontId="2"/>
  </si>
  <si>
    <t>JOD⑨</t>
    <phoneticPr fontId="2"/>
  </si>
  <si>
    <t>JOD⑩</t>
    <phoneticPr fontId="2"/>
  </si>
  <si>
    <t>かりん</t>
    <phoneticPr fontId="2"/>
  </si>
  <si>
    <t>JOD⑪</t>
    <phoneticPr fontId="2"/>
  </si>
  <si>
    <t>JOD⑫</t>
    <phoneticPr fontId="2"/>
  </si>
  <si>
    <t>JOD⑬</t>
    <phoneticPr fontId="2"/>
  </si>
  <si>
    <t>JOD⑭</t>
    <phoneticPr fontId="2"/>
  </si>
  <si>
    <t>JOD⑮</t>
    <phoneticPr fontId="2"/>
  </si>
  <si>
    <t>JOD⑯</t>
    <phoneticPr fontId="2"/>
  </si>
  <si>
    <t>JOD返品</t>
    <rPh sb="3" eb="5">
      <t>ヘンピン</t>
    </rPh>
    <phoneticPr fontId="3"/>
  </si>
  <si>
    <t>KPORT移動</t>
    <rPh sb="5" eb="7">
      <t>イドウ</t>
    </rPh>
    <phoneticPr fontId="2"/>
  </si>
  <si>
    <t>IEIサンプル</t>
    <phoneticPr fontId="2"/>
  </si>
  <si>
    <t>夢販移動</t>
    <rPh sb="0" eb="2">
      <t>ユメハン</t>
    </rPh>
    <rPh sb="2" eb="4">
      <t>イドウ</t>
    </rPh>
    <phoneticPr fontId="3"/>
  </si>
  <si>
    <t>JOD⑰</t>
    <phoneticPr fontId="2"/>
  </si>
  <si>
    <t>JOD⑱</t>
    <phoneticPr fontId="2"/>
  </si>
  <si>
    <t>ディノス返品</t>
    <rPh sb="4" eb="6">
      <t>ヘンピン</t>
    </rPh>
    <phoneticPr fontId="3"/>
  </si>
  <si>
    <t>かりん</t>
    <phoneticPr fontId="2"/>
  </si>
  <si>
    <t>JOD</t>
    <phoneticPr fontId="2"/>
  </si>
  <si>
    <t>JOD松本さんサンプル返却</t>
    <rPh sb="3" eb="5">
      <t>マツモト</t>
    </rPh>
    <rPh sb="11" eb="13">
      <t>ヘンキャク</t>
    </rPh>
    <phoneticPr fontId="2"/>
  </si>
  <si>
    <t>JOD⑲</t>
    <phoneticPr fontId="2"/>
  </si>
  <si>
    <t>JOD⑳</t>
    <phoneticPr fontId="2"/>
  </si>
  <si>
    <t>納前分</t>
    <rPh sb="0" eb="1">
      <t>ノウ</t>
    </rPh>
    <rPh sb="1" eb="2">
      <t>マエ</t>
    </rPh>
    <rPh sb="2" eb="3">
      <t>ブン</t>
    </rPh>
    <phoneticPr fontId="2"/>
  </si>
  <si>
    <t>JOD㉑</t>
    <phoneticPr fontId="2"/>
  </si>
  <si>
    <t>全国通販 花まる/まるごと　7792</t>
    <rPh sb="0" eb="2">
      <t>ゼンコク</t>
    </rPh>
    <rPh sb="2" eb="4">
      <t>ツウハン</t>
    </rPh>
    <rPh sb="5" eb="6">
      <t>ハナ</t>
    </rPh>
    <phoneticPr fontId="2"/>
  </si>
  <si>
    <t>8/1～10/15</t>
    <phoneticPr fontId="2"/>
  </si>
  <si>
    <t>JOD㉒</t>
    <phoneticPr fontId="2"/>
  </si>
  <si>
    <t>JOD BEAUTY通信0628裏</t>
    <rPh sb="10" eb="12">
      <t>ツウシン</t>
    </rPh>
    <rPh sb="16" eb="17">
      <t>ウラ</t>
    </rPh>
    <phoneticPr fontId="2"/>
  </si>
  <si>
    <t>JODインナー7062</t>
    <phoneticPr fontId="2"/>
  </si>
  <si>
    <t>7/10～</t>
    <phoneticPr fontId="2"/>
  </si>
  <si>
    <t>JODアクセス7062</t>
    <phoneticPr fontId="2"/>
  </si>
  <si>
    <t>JOD特別版0707</t>
    <rPh sb="3" eb="5">
      <t>トクベツ</t>
    </rPh>
    <rPh sb="5" eb="6">
      <t>バン</t>
    </rPh>
    <phoneticPr fontId="2"/>
  </si>
  <si>
    <t>7/6～</t>
    <phoneticPr fontId="2"/>
  </si>
  <si>
    <t>JOD㉓</t>
    <phoneticPr fontId="2"/>
  </si>
  <si>
    <t>JOD㉔</t>
    <phoneticPr fontId="2"/>
  </si>
  <si>
    <t>JOD㉕</t>
    <phoneticPr fontId="2"/>
  </si>
  <si>
    <t>JOD㉖</t>
    <phoneticPr fontId="2"/>
  </si>
  <si>
    <t>JOD㉗</t>
    <phoneticPr fontId="2"/>
  </si>
  <si>
    <t>JOD㉘</t>
    <phoneticPr fontId="2"/>
  </si>
  <si>
    <t>JOD特別号Ｒ9873</t>
    <rPh sb="3" eb="5">
      <t>トクベツ</t>
    </rPh>
    <rPh sb="5" eb="6">
      <t>ゴウ</t>
    </rPh>
    <phoneticPr fontId="2"/>
  </si>
  <si>
    <t>JOD㉙</t>
    <phoneticPr fontId="2"/>
  </si>
  <si>
    <t>JOD㉚</t>
    <phoneticPr fontId="2"/>
  </si>
  <si>
    <t>JOD㉛</t>
    <phoneticPr fontId="2"/>
  </si>
  <si>
    <t>JOD㉜</t>
    <phoneticPr fontId="2"/>
  </si>
  <si>
    <t>JOD㉝</t>
    <phoneticPr fontId="2"/>
  </si>
  <si>
    <t>JOD㉞</t>
    <phoneticPr fontId="2"/>
  </si>
  <si>
    <t>JOD㉟</t>
    <phoneticPr fontId="2"/>
  </si>
  <si>
    <t>JOD㊱</t>
    <phoneticPr fontId="2"/>
  </si>
  <si>
    <t>全国通販sample返却</t>
    <rPh sb="0" eb="2">
      <t>ゼンコク</t>
    </rPh>
    <rPh sb="2" eb="4">
      <t>ツウハン</t>
    </rPh>
    <rPh sb="10" eb="12">
      <t>ヘンキャク</t>
    </rPh>
    <phoneticPr fontId="2"/>
  </si>
  <si>
    <t>JOD㊲</t>
    <phoneticPr fontId="2"/>
  </si>
  <si>
    <t>JOD㊳</t>
    <phoneticPr fontId="2"/>
  </si>
  <si>
    <t>6/25～</t>
    <phoneticPr fontId="2"/>
  </si>
  <si>
    <t>IEI８月号</t>
    <rPh sb="4" eb="5">
      <t>ガツ</t>
    </rPh>
    <rPh sb="5" eb="6">
      <t>ゴウ</t>
    </rPh>
    <phoneticPr fontId="2"/>
  </si>
  <si>
    <t>JOD㊴</t>
    <phoneticPr fontId="2"/>
  </si>
  <si>
    <t>JOD㊵</t>
    <phoneticPr fontId="2"/>
  </si>
  <si>
    <t>JOD㊶</t>
    <phoneticPr fontId="2"/>
  </si>
  <si>
    <t>JOD㊷</t>
    <phoneticPr fontId="2"/>
  </si>
  <si>
    <t>全国通販</t>
    <rPh sb="0" eb="2">
      <t>ゼンコク</t>
    </rPh>
    <rPh sb="2" eb="4">
      <t>ツウハン</t>
    </rPh>
    <phoneticPr fontId="2"/>
  </si>
  <si>
    <t>JOD㊸</t>
    <phoneticPr fontId="2"/>
  </si>
  <si>
    <t>夢販</t>
    <rPh sb="0" eb="2">
      <t>ユメハン</t>
    </rPh>
    <phoneticPr fontId="3"/>
  </si>
  <si>
    <t>JOD㊹</t>
    <phoneticPr fontId="2"/>
  </si>
  <si>
    <t>JOD㊺</t>
    <phoneticPr fontId="2"/>
  </si>
  <si>
    <t>JOD㊻</t>
    <phoneticPr fontId="2"/>
  </si>
  <si>
    <t>6/17～</t>
    <phoneticPr fontId="2"/>
  </si>
  <si>
    <t>全国通販 花まる/まるごと　7782①</t>
    <rPh sb="0" eb="2">
      <t>ゼンコク</t>
    </rPh>
    <rPh sb="2" eb="4">
      <t>ツウハン</t>
    </rPh>
    <rPh sb="5" eb="6">
      <t>ハナ</t>
    </rPh>
    <phoneticPr fontId="2"/>
  </si>
  <si>
    <t>全国通販②</t>
    <rPh sb="0" eb="2">
      <t>ゼンコク</t>
    </rPh>
    <rPh sb="2" eb="4">
      <t>ツウハン</t>
    </rPh>
    <phoneticPr fontId="2"/>
  </si>
  <si>
    <t>全国通販③</t>
    <rPh sb="0" eb="2">
      <t>ゼンコク</t>
    </rPh>
    <rPh sb="2" eb="4">
      <t>ツウハン</t>
    </rPh>
    <phoneticPr fontId="2"/>
  </si>
  <si>
    <t>全国通販④</t>
    <rPh sb="0" eb="2">
      <t>ゼンコク</t>
    </rPh>
    <rPh sb="2" eb="4">
      <t>ツウハン</t>
    </rPh>
    <phoneticPr fontId="2"/>
  </si>
  <si>
    <t>全国通販⑤</t>
    <rPh sb="0" eb="2">
      <t>ゼンコク</t>
    </rPh>
    <rPh sb="2" eb="4">
      <t>ツウハン</t>
    </rPh>
    <phoneticPr fontId="2"/>
  </si>
  <si>
    <t>ネット返品</t>
    <rPh sb="3" eb="5">
      <t>ヘンピン</t>
    </rPh>
    <phoneticPr fontId="2"/>
  </si>
  <si>
    <t>JOD㊼</t>
    <phoneticPr fontId="2"/>
  </si>
  <si>
    <t>全国通販⑥</t>
    <rPh sb="0" eb="2">
      <t>ゼンコク</t>
    </rPh>
    <rPh sb="2" eb="4">
      <t>ツウハン</t>
    </rPh>
    <phoneticPr fontId="2"/>
  </si>
  <si>
    <t>JOD㊽</t>
    <phoneticPr fontId="2"/>
  </si>
  <si>
    <t>JOD㊾</t>
    <phoneticPr fontId="2"/>
  </si>
  <si>
    <t>全国通販⑦</t>
    <rPh sb="0" eb="2">
      <t>ゼンコク</t>
    </rPh>
    <rPh sb="2" eb="4">
      <t>ツウハン</t>
    </rPh>
    <phoneticPr fontId="2"/>
  </si>
  <si>
    <t>JOD50</t>
    <phoneticPr fontId="2"/>
  </si>
  <si>
    <t>JOD51</t>
    <phoneticPr fontId="2"/>
  </si>
  <si>
    <t>かりん</t>
    <phoneticPr fontId="2"/>
  </si>
  <si>
    <t>全国通販⑧</t>
    <rPh sb="0" eb="2">
      <t>ゼンコク</t>
    </rPh>
    <rPh sb="2" eb="4">
      <t>ツウハン</t>
    </rPh>
    <phoneticPr fontId="2"/>
  </si>
  <si>
    <t>JOD52</t>
    <phoneticPr fontId="2"/>
  </si>
  <si>
    <t>納前分</t>
    <rPh sb="0" eb="1">
      <t>ノウ</t>
    </rPh>
    <rPh sb="1" eb="2">
      <t>マエ</t>
    </rPh>
    <rPh sb="2" eb="3">
      <t>ブン</t>
    </rPh>
    <phoneticPr fontId="3"/>
  </si>
  <si>
    <t>くらし企画sample(棚橋さん)</t>
    <rPh sb="3" eb="5">
      <t>キカク</t>
    </rPh>
    <rPh sb="12" eb="14">
      <t>タナハシ</t>
    </rPh>
    <phoneticPr fontId="2"/>
  </si>
  <si>
    <t>JOD53</t>
    <phoneticPr fontId="2"/>
  </si>
  <si>
    <t>JOD54</t>
    <phoneticPr fontId="2"/>
  </si>
  <si>
    <t>JOD55</t>
    <phoneticPr fontId="2"/>
  </si>
  <si>
    <t>全国通販⑨</t>
    <rPh sb="0" eb="2">
      <t>ゼンコク</t>
    </rPh>
    <rPh sb="2" eb="4">
      <t>ツウハン</t>
    </rPh>
    <phoneticPr fontId="2"/>
  </si>
  <si>
    <t>JOD56</t>
  </si>
  <si>
    <t>JOD57</t>
    <phoneticPr fontId="2"/>
  </si>
  <si>
    <t>JOD58</t>
    <phoneticPr fontId="2"/>
  </si>
  <si>
    <t>JOD返品</t>
    <rPh sb="3" eb="5">
      <t>ヘンピン</t>
    </rPh>
    <phoneticPr fontId="2"/>
  </si>
  <si>
    <t>JOD59</t>
  </si>
  <si>
    <t>JOD60</t>
    <phoneticPr fontId="2"/>
  </si>
  <si>
    <t>全国通販⑩</t>
    <rPh sb="0" eb="2">
      <t>ゼンコク</t>
    </rPh>
    <rPh sb="2" eb="4">
      <t>ツウハン</t>
    </rPh>
    <phoneticPr fontId="2"/>
  </si>
  <si>
    <t>KPORT</t>
    <phoneticPr fontId="2"/>
  </si>
  <si>
    <t>JOD61</t>
    <phoneticPr fontId="2"/>
  </si>
  <si>
    <t>数伝</t>
    <rPh sb="0" eb="1">
      <t>スウ</t>
    </rPh>
    <rPh sb="1" eb="2">
      <t>デン</t>
    </rPh>
    <phoneticPr fontId="2"/>
  </si>
  <si>
    <t>JOD61</t>
  </si>
  <si>
    <t>全国通販⑪</t>
    <rPh sb="0" eb="2">
      <t>ゼンコク</t>
    </rPh>
    <rPh sb="2" eb="4">
      <t>ツウハン</t>
    </rPh>
    <phoneticPr fontId="2"/>
  </si>
  <si>
    <t>JOD62</t>
  </si>
  <si>
    <t>全国通販⑫</t>
    <rPh sb="0" eb="2">
      <t>ゼンコク</t>
    </rPh>
    <rPh sb="2" eb="4">
      <t>ツウハン</t>
    </rPh>
    <phoneticPr fontId="2"/>
  </si>
  <si>
    <t>全国通販⑬</t>
    <rPh sb="0" eb="2">
      <t>ゼンコク</t>
    </rPh>
    <rPh sb="2" eb="4">
      <t>ツウハン</t>
    </rPh>
    <phoneticPr fontId="2"/>
  </si>
  <si>
    <t>JOD63</t>
    <phoneticPr fontId="2"/>
  </si>
  <si>
    <t>全国通販⑭</t>
    <rPh sb="0" eb="2">
      <t>ゼンコク</t>
    </rPh>
    <rPh sb="2" eb="4">
      <t>ツウハン</t>
    </rPh>
    <phoneticPr fontId="2"/>
  </si>
  <si>
    <t>JOD64</t>
    <phoneticPr fontId="2"/>
  </si>
  <si>
    <t>全国通販⑮</t>
    <rPh sb="0" eb="2">
      <t>ゼンコク</t>
    </rPh>
    <rPh sb="2" eb="4">
      <t>ツウハン</t>
    </rPh>
    <phoneticPr fontId="2"/>
  </si>
  <si>
    <t>JODララコフレ7250</t>
    <phoneticPr fontId="2"/>
  </si>
  <si>
    <t>JOD65</t>
    <phoneticPr fontId="2"/>
  </si>
  <si>
    <t>JOD66</t>
  </si>
  <si>
    <t>JOD67</t>
    <phoneticPr fontId="2"/>
  </si>
  <si>
    <t>JOD68</t>
    <phoneticPr fontId="2"/>
  </si>
  <si>
    <t>JOD69</t>
    <phoneticPr fontId="2"/>
  </si>
  <si>
    <t>JOD70</t>
    <phoneticPr fontId="2"/>
  </si>
  <si>
    <t>IEIサンプル返却</t>
    <rPh sb="7" eb="9">
      <t>ヘンキャク</t>
    </rPh>
    <phoneticPr fontId="2"/>
  </si>
  <si>
    <t>JOD71</t>
    <phoneticPr fontId="2"/>
  </si>
  <si>
    <t>追加</t>
    <rPh sb="0" eb="2">
      <t>ツイカ</t>
    </rPh>
    <phoneticPr fontId="3"/>
  </si>
  <si>
    <t>ＫＰＯＲＴセシール誤配分</t>
    <rPh sb="9" eb="11">
      <t>ゴハイ</t>
    </rPh>
    <rPh sb="11" eb="12">
      <t>ブン</t>
    </rPh>
    <phoneticPr fontId="2"/>
  </si>
  <si>
    <t>JOD72</t>
    <phoneticPr fontId="2"/>
  </si>
  <si>
    <t>かりん</t>
    <phoneticPr fontId="2"/>
  </si>
  <si>
    <t>IEI８月号①</t>
    <rPh sb="4" eb="5">
      <t>ガツ</t>
    </rPh>
    <rPh sb="5" eb="6">
      <t>ゴウ</t>
    </rPh>
    <phoneticPr fontId="2"/>
  </si>
  <si>
    <t>IEI８月号②</t>
    <rPh sb="4" eb="5">
      <t>ガツ</t>
    </rPh>
    <rPh sb="5" eb="6">
      <t>ゴウ</t>
    </rPh>
    <phoneticPr fontId="2"/>
  </si>
  <si>
    <t>調整</t>
    <rPh sb="0" eb="2">
      <t>チョウセイ</t>
    </rPh>
    <phoneticPr fontId="3"/>
  </si>
  <si>
    <t>JOD73</t>
    <phoneticPr fontId="2"/>
  </si>
  <si>
    <t>IEI８月号③</t>
    <rPh sb="4" eb="5">
      <t>ガツ</t>
    </rPh>
    <rPh sb="5" eb="6">
      <t>ゴウ</t>
    </rPh>
    <phoneticPr fontId="2"/>
  </si>
  <si>
    <t>ネット</t>
    <phoneticPr fontId="2"/>
  </si>
  <si>
    <t>JOD74</t>
    <phoneticPr fontId="2"/>
  </si>
  <si>
    <t>セシール20B&amp;H　Vol.1</t>
    <phoneticPr fontId="2"/>
  </si>
  <si>
    <t>12/2～</t>
    <phoneticPr fontId="2"/>
  </si>
  <si>
    <t>d-beauty冬太り対策号（春号）</t>
    <phoneticPr fontId="2"/>
  </si>
  <si>
    <t>JOD75</t>
    <phoneticPr fontId="2"/>
  </si>
  <si>
    <t>IEI８月号④</t>
    <rPh sb="4" eb="5">
      <t>ガツ</t>
    </rPh>
    <rPh sb="5" eb="6">
      <t>ゴウ</t>
    </rPh>
    <phoneticPr fontId="2"/>
  </si>
  <si>
    <t>JOD76</t>
    <phoneticPr fontId="2"/>
  </si>
  <si>
    <t>JOD77</t>
  </si>
  <si>
    <t>IEI返品</t>
    <rPh sb="3" eb="5">
      <t>ヘンピン</t>
    </rPh>
    <phoneticPr fontId="2"/>
  </si>
  <si>
    <t>JOD78</t>
    <phoneticPr fontId="2"/>
  </si>
  <si>
    <t>JOD79</t>
    <phoneticPr fontId="2"/>
  </si>
  <si>
    <t>IEI８月号⑤</t>
    <rPh sb="4" eb="5">
      <t>ガツ</t>
    </rPh>
    <rPh sb="5" eb="6">
      <t>ゴウ</t>
    </rPh>
    <phoneticPr fontId="2"/>
  </si>
  <si>
    <t>JOD80</t>
    <phoneticPr fontId="2"/>
  </si>
  <si>
    <t>ベルーナ荒木さんサンプル</t>
    <rPh sb="4" eb="6">
      <t>アラキ</t>
    </rPh>
    <phoneticPr fontId="2"/>
  </si>
  <si>
    <t>JOD81</t>
    <phoneticPr fontId="2"/>
  </si>
  <si>
    <t>JOD82</t>
  </si>
  <si>
    <t>IEI返品</t>
    <rPh sb="3" eb="5">
      <t>ヘンピン</t>
    </rPh>
    <phoneticPr fontId="3"/>
  </si>
  <si>
    <t>事前搬入12/9、マスター期間12/25～10/7</t>
    <rPh sb="0" eb="2">
      <t>ジゼン</t>
    </rPh>
    <rPh sb="2" eb="4">
      <t>ハンニュウ</t>
    </rPh>
    <rPh sb="13" eb="15">
      <t>キカン</t>
    </rPh>
    <phoneticPr fontId="2"/>
  </si>
  <si>
    <t>ディノス撮影用サンプル</t>
    <rPh sb="4" eb="7">
      <t>サツエイヨウ</t>
    </rPh>
    <phoneticPr fontId="2"/>
  </si>
  <si>
    <t>JOD83</t>
    <phoneticPr fontId="2"/>
  </si>
  <si>
    <t>JOD84</t>
    <phoneticPr fontId="2"/>
  </si>
  <si>
    <t>JOD85</t>
  </si>
  <si>
    <t>JOD86</t>
  </si>
  <si>
    <t>IEI交換</t>
    <rPh sb="3" eb="5">
      <t>コウカン</t>
    </rPh>
    <phoneticPr fontId="2"/>
  </si>
  <si>
    <t>KPORT</t>
    <phoneticPr fontId="2"/>
  </si>
  <si>
    <t>追加 2-2</t>
    <rPh sb="0" eb="2">
      <t>ツイカ</t>
    </rPh>
    <phoneticPr fontId="3"/>
  </si>
  <si>
    <t>追加 2-1</t>
    <rPh sb="0" eb="2">
      <t>ツイカ</t>
    </rPh>
    <phoneticPr fontId="3"/>
  </si>
  <si>
    <t>JOD87</t>
    <phoneticPr fontId="2"/>
  </si>
  <si>
    <t>JOD88</t>
  </si>
  <si>
    <t>かりん</t>
    <phoneticPr fontId="2"/>
  </si>
  <si>
    <t>はぴねす大藪さんサンプル</t>
    <rPh sb="4" eb="6">
      <t>オオヤブ</t>
    </rPh>
    <phoneticPr fontId="2"/>
  </si>
  <si>
    <t>千趣会①</t>
    <rPh sb="0" eb="3">
      <t>センシュカイ</t>
    </rPh>
    <phoneticPr fontId="2"/>
  </si>
  <si>
    <t>千趣会②</t>
    <rPh sb="0" eb="3">
      <t>センシュカイ</t>
    </rPh>
    <phoneticPr fontId="2"/>
  </si>
  <si>
    <t>千趣会③</t>
    <rPh sb="0" eb="3">
      <t>センシュカイ</t>
    </rPh>
    <phoneticPr fontId="2"/>
  </si>
  <si>
    <t>千趣会④</t>
    <rPh sb="0" eb="3">
      <t>センシュカイ</t>
    </rPh>
    <phoneticPr fontId="2"/>
  </si>
  <si>
    <t>千趣会⑤</t>
    <rPh sb="0" eb="3">
      <t>センシュカイ</t>
    </rPh>
    <phoneticPr fontId="2"/>
  </si>
  <si>
    <t>千趣会⑥</t>
    <rPh sb="0" eb="3">
      <t>センシュカイ</t>
    </rPh>
    <phoneticPr fontId="2"/>
  </si>
  <si>
    <t>JOD90</t>
    <phoneticPr fontId="2"/>
  </si>
  <si>
    <t>JOD89</t>
    <phoneticPr fontId="3"/>
  </si>
  <si>
    <t>千趣会⑦</t>
    <rPh sb="0" eb="3">
      <t>センシュカイ</t>
    </rPh>
    <phoneticPr fontId="2"/>
  </si>
  <si>
    <t>JOD91</t>
    <phoneticPr fontId="2"/>
  </si>
  <si>
    <t>千趣会⑧</t>
    <rPh sb="0" eb="3">
      <t>センシュカイ</t>
    </rPh>
    <phoneticPr fontId="2"/>
  </si>
  <si>
    <t>ＪＯＤ返品</t>
    <rPh sb="3" eb="5">
      <t>ヘンピン</t>
    </rPh>
    <phoneticPr fontId="2"/>
  </si>
  <si>
    <t>JOD92</t>
    <phoneticPr fontId="2"/>
  </si>
  <si>
    <t>ベルーナ第5撮影用サンプル</t>
    <rPh sb="4" eb="5">
      <t>ダイ</t>
    </rPh>
    <rPh sb="6" eb="9">
      <t>サツエイヨウ</t>
    </rPh>
    <phoneticPr fontId="2"/>
  </si>
  <si>
    <t>はぴねすくらぶ色校正用サンプル</t>
    <rPh sb="7" eb="11">
      <t>イロコウセイヨウ</t>
    </rPh>
    <phoneticPr fontId="2"/>
  </si>
  <si>
    <t>JOD92</t>
    <phoneticPr fontId="2"/>
  </si>
  <si>
    <t>JOD93</t>
    <phoneticPr fontId="2"/>
  </si>
  <si>
    <t>はぴねすくらぶ1月号</t>
    <rPh sb="8" eb="10">
      <t>ガツゴウ</t>
    </rPh>
    <phoneticPr fontId="2"/>
  </si>
  <si>
    <t>1/8～</t>
    <phoneticPr fontId="2"/>
  </si>
  <si>
    <t>ベルーナ第5　20年夏</t>
    <rPh sb="4" eb="5">
      <t>ダイ</t>
    </rPh>
    <rPh sb="9" eb="10">
      <t>ネン</t>
    </rPh>
    <rPh sb="10" eb="11">
      <t>ナツ</t>
    </rPh>
    <phoneticPr fontId="2"/>
  </si>
  <si>
    <t>日生協カタログ　20年夏</t>
    <rPh sb="0" eb="3">
      <t>ニッセイキョウ</t>
    </rPh>
    <rPh sb="10" eb="11">
      <t>ネン</t>
    </rPh>
    <rPh sb="11" eb="12">
      <t>ナツ</t>
    </rPh>
    <phoneticPr fontId="2"/>
  </si>
  <si>
    <t>全国通販返品</t>
    <rPh sb="0" eb="2">
      <t>ゼンコク</t>
    </rPh>
    <rPh sb="2" eb="4">
      <t>ツウハン</t>
    </rPh>
    <rPh sb="4" eb="6">
      <t>ヘンピン</t>
    </rPh>
    <phoneticPr fontId="3"/>
  </si>
  <si>
    <t>IEI1月号</t>
    <rPh sb="4" eb="5">
      <t>ガツ</t>
    </rPh>
    <rPh sb="5" eb="6">
      <t>ゴウ</t>
    </rPh>
    <phoneticPr fontId="2"/>
  </si>
  <si>
    <t>テスト2 /上旬　本番3/上旬</t>
    <rPh sb="6" eb="8">
      <t>ジョウジュン</t>
    </rPh>
    <rPh sb="9" eb="11">
      <t>ホンバン</t>
    </rPh>
    <rPh sb="13" eb="15">
      <t>ジョウジュン</t>
    </rPh>
    <phoneticPr fontId="2"/>
  </si>
  <si>
    <t>IEI11月号①</t>
    <rPh sb="5" eb="6">
      <t>ガツ</t>
    </rPh>
    <rPh sb="6" eb="7">
      <t>ゴウ</t>
    </rPh>
    <phoneticPr fontId="2"/>
  </si>
  <si>
    <t>千趣会⑨</t>
    <rPh sb="0" eb="3">
      <t>センシュカイ</t>
    </rPh>
    <phoneticPr fontId="2"/>
  </si>
  <si>
    <t>納前検品分</t>
    <rPh sb="0" eb="1">
      <t>ノウ</t>
    </rPh>
    <rPh sb="1" eb="2">
      <t>マエ</t>
    </rPh>
    <rPh sb="2" eb="4">
      <t>ケンピン</t>
    </rPh>
    <rPh sb="4" eb="5">
      <t>ブン</t>
    </rPh>
    <phoneticPr fontId="2"/>
  </si>
  <si>
    <t>初回3/2（1ケース）、3/13（30％）、随時</t>
    <rPh sb="0" eb="2">
      <t>ショカイ</t>
    </rPh>
    <rPh sb="22" eb="24">
      <t>ズイジ</t>
    </rPh>
    <phoneticPr fontId="2"/>
  </si>
  <si>
    <t>かりん</t>
    <phoneticPr fontId="2"/>
  </si>
  <si>
    <t>KPORT</t>
    <phoneticPr fontId="2"/>
  </si>
  <si>
    <t>セシール前川さんsample</t>
    <rPh sb="4" eb="6">
      <t>マエガワ</t>
    </rPh>
    <phoneticPr fontId="2"/>
  </si>
  <si>
    <t>ネット</t>
    <phoneticPr fontId="2"/>
  </si>
  <si>
    <t>JOD</t>
    <phoneticPr fontId="2"/>
  </si>
  <si>
    <t>くらし企画（製品検査用）</t>
    <rPh sb="3" eb="5">
      <t>キカク</t>
    </rPh>
    <rPh sb="6" eb="8">
      <t>セイヒン</t>
    </rPh>
    <rPh sb="8" eb="10">
      <t>ケンサ</t>
    </rPh>
    <rPh sb="10" eb="11">
      <t>ヨウ</t>
    </rPh>
    <phoneticPr fontId="2"/>
  </si>
  <si>
    <t>日生協カタログ　20年盛夏</t>
    <rPh sb="0" eb="3">
      <t>ニッセイキョウ</t>
    </rPh>
    <rPh sb="10" eb="11">
      <t>ネン</t>
    </rPh>
    <rPh sb="11" eb="13">
      <t>セイカ</t>
    </rPh>
    <phoneticPr fontId="2"/>
  </si>
  <si>
    <t>はぴねすくらぶ1月号①</t>
    <rPh sb="8" eb="10">
      <t>ガツゴウ</t>
    </rPh>
    <phoneticPr fontId="2"/>
  </si>
  <si>
    <t>セシール3月シニア</t>
    <rPh sb="5" eb="6">
      <t>ガツ</t>
    </rPh>
    <phoneticPr fontId="2"/>
  </si>
  <si>
    <t>3/2発刊</t>
    <rPh sb="3" eb="5">
      <t>ハッカン</t>
    </rPh>
    <phoneticPr fontId="2"/>
  </si>
  <si>
    <t>かりん</t>
    <phoneticPr fontId="2"/>
  </si>
  <si>
    <t>セシール確認用sample</t>
    <rPh sb="4" eb="7">
      <t>カクニンヨウ</t>
    </rPh>
    <phoneticPr fontId="2"/>
  </si>
  <si>
    <t>セシールB&amp;H20盛夏</t>
    <rPh sb="9" eb="11">
      <t>セイカ</t>
    </rPh>
    <phoneticPr fontId="2"/>
  </si>
  <si>
    <t>IEI1月号①</t>
    <rPh sb="4" eb="5">
      <t>ガツ</t>
    </rPh>
    <rPh sb="5" eb="6">
      <t>ゴウ</t>
    </rPh>
    <phoneticPr fontId="2"/>
  </si>
  <si>
    <t>2/12～</t>
    <phoneticPr fontId="2"/>
  </si>
  <si>
    <t>JODメルシー0212（表4）</t>
    <rPh sb="12" eb="13">
      <t>ヒョウ</t>
    </rPh>
    <phoneticPr fontId="2"/>
  </si>
  <si>
    <t>ディノス②</t>
    <phoneticPr fontId="2"/>
  </si>
  <si>
    <t>ディノス③</t>
    <phoneticPr fontId="2"/>
  </si>
  <si>
    <t>d-beauty（春号）事前搬入①</t>
    <rPh sb="12" eb="14">
      <t>ジゼン</t>
    </rPh>
    <rPh sb="14" eb="16">
      <t>ハンニュウ</t>
    </rPh>
    <phoneticPr fontId="2"/>
  </si>
  <si>
    <t>ディノス④</t>
    <phoneticPr fontId="2"/>
  </si>
  <si>
    <t>はぴねすくらぶ1月号②</t>
    <rPh sb="8" eb="10">
      <t>ガツゴウ</t>
    </rPh>
    <phoneticPr fontId="2"/>
  </si>
  <si>
    <t>追加2-1</t>
    <rPh sb="0" eb="2">
      <t>ツイカ</t>
    </rPh>
    <phoneticPr fontId="3"/>
  </si>
  <si>
    <t>追加2-2</t>
    <rPh sb="0" eb="2">
      <t>ツイカ</t>
    </rPh>
    <phoneticPr fontId="3"/>
  </si>
  <si>
    <t>ディノス⑤</t>
    <phoneticPr fontId="2"/>
  </si>
  <si>
    <t>ディノス⑥</t>
    <phoneticPr fontId="2"/>
  </si>
  <si>
    <t>はぴねす返品</t>
    <rPh sb="4" eb="6">
      <t>ヘンピン</t>
    </rPh>
    <phoneticPr fontId="3"/>
  </si>
  <si>
    <t>はぴねすくらぶ1月号③</t>
    <rPh sb="8" eb="10">
      <t>ガツゴウ</t>
    </rPh>
    <phoneticPr fontId="2"/>
  </si>
  <si>
    <t>ディノス⑦</t>
    <phoneticPr fontId="2"/>
  </si>
  <si>
    <t>ディノス⑧</t>
    <phoneticPr fontId="2"/>
  </si>
  <si>
    <t>ディノス⑨</t>
    <phoneticPr fontId="2"/>
  </si>
  <si>
    <t>ベルーナ荒木さんサンプル返却</t>
    <rPh sb="4" eb="6">
      <t>アラキ</t>
    </rPh>
    <rPh sb="12" eb="14">
      <t>ヘンキャク</t>
    </rPh>
    <phoneticPr fontId="2"/>
  </si>
  <si>
    <t>ベルーナ第5撮影用サンプル返却</t>
    <rPh sb="4" eb="5">
      <t>ダイ</t>
    </rPh>
    <rPh sb="6" eb="9">
      <t>サツエイヨウ</t>
    </rPh>
    <rPh sb="13" eb="15">
      <t>ヘンキャク</t>
    </rPh>
    <phoneticPr fontId="2"/>
  </si>
  <si>
    <t>ディノス⑩</t>
    <phoneticPr fontId="2"/>
  </si>
  <si>
    <t>はぴねすくらぶ1月号④</t>
    <rPh sb="8" eb="10">
      <t>ガツゴウ</t>
    </rPh>
    <phoneticPr fontId="2"/>
  </si>
  <si>
    <t>KPORT</t>
    <phoneticPr fontId="2"/>
  </si>
  <si>
    <t>セシール3月シニア①</t>
    <rPh sb="5" eb="6">
      <t>ガツ</t>
    </rPh>
    <phoneticPr fontId="2"/>
  </si>
  <si>
    <t>かりん</t>
    <phoneticPr fontId="2"/>
  </si>
  <si>
    <t>IEI1月号②</t>
    <rPh sb="4" eb="5">
      <t>ガツ</t>
    </rPh>
    <rPh sb="5" eb="6">
      <t>ゴウ</t>
    </rPh>
    <phoneticPr fontId="2"/>
  </si>
  <si>
    <t>d-beauty（春号）②</t>
    <phoneticPr fontId="2"/>
  </si>
  <si>
    <t>JODメルシー0212（表4）①</t>
    <rPh sb="12" eb="13">
      <t>ヒョウ</t>
    </rPh>
    <phoneticPr fontId="2"/>
  </si>
  <si>
    <t>ベルーナ第5　20年夏①</t>
    <rPh sb="4" eb="5">
      <t>ダイ</t>
    </rPh>
    <rPh sb="9" eb="10">
      <t>ネン</t>
    </rPh>
    <rPh sb="10" eb="11">
      <t>ナツ</t>
    </rPh>
    <phoneticPr fontId="2"/>
  </si>
  <si>
    <t>ベルーナ第5　20年夏②</t>
    <rPh sb="4" eb="5">
      <t>ダイ</t>
    </rPh>
    <rPh sb="9" eb="10">
      <t>ネン</t>
    </rPh>
    <rPh sb="10" eb="11">
      <t>ナツ</t>
    </rPh>
    <phoneticPr fontId="2"/>
  </si>
  <si>
    <t>ベルーナ第5　20年夏③</t>
    <rPh sb="4" eb="5">
      <t>ダイ</t>
    </rPh>
    <rPh sb="9" eb="10">
      <t>ネン</t>
    </rPh>
    <rPh sb="10" eb="11">
      <t>ナツ</t>
    </rPh>
    <phoneticPr fontId="2"/>
  </si>
  <si>
    <t>日生協カタログ　20年夏①</t>
    <rPh sb="0" eb="3">
      <t>ニッセイキョウ</t>
    </rPh>
    <rPh sb="10" eb="11">
      <t>ネン</t>
    </rPh>
    <rPh sb="11" eb="12">
      <t>ナツ</t>
    </rPh>
    <phoneticPr fontId="2"/>
  </si>
  <si>
    <t>JODメルシー0212（表4）②</t>
    <rPh sb="12" eb="13">
      <t>ヒョウ</t>
    </rPh>
    <phoneticPr fontId="2"/>
  </si>
  <si>
    <t>はぴねすくらぶ1月号⑤</t>
    <rPh sb="8" eb="10">
      <t>ガツゴウ</t>
    </rPh>
    <phoneticPr fontId="2"/>
  </si>
  <si>
    <t>JODメルシー0212（表4）③</t>
    <rPh sb="12" eb="13">
      <t>ヒョウ</t>
    </rPh>
    <phoneticPr fontId="2"/>
  </si>
  <si>
    <t>d-beauty（春号）③</t>
    <phoneticPr fontId="2"/>
  </si>
  <si>
    <t>5/7発行</t>
    <rPh sb="3" eb="5">
      <t>ハッコウ</t>
    </rPh>
    <phoneticPr fontId="2"/>
  </si>
  <si>
    <t>JODメルシー0212（表4）④</t>
    <rPh sb="12" eb="13">
      <t>ヒョウ</t>
    </rPh>
    <phoneticPr fontId="2"/>
  </si>
  <si>
    <t>JODメルシー0212（表4）⑤</t>
    <rPh sb="12" eb="13">
      <t>ヒョウ</t>
    </rPh>
    <phoneticPr fontId="2"/>
  </si>
  <si>
    <t>日生協カタログ　20年夏②</t>
    <rPh sb="0" eb="3">
      <t>ニッセイキョウ</t>
    </rPh>
    <rPh sb="10" eb="11">
      <t>ネン</t>
    </rPh>
    <rPh sb="11" eb="12">
      <t>ナツ</t>
    </rPh>
    <phoneticPr fontId="2"/>
  </si>
  <si>
    <t>JODメルシー0212（表4）⑥</t>
    <rPh sb="12" eb="13">
      <t>ヒョウ</t>
    </rPh>
    <phoneticPr fontId="2"/>
  </si>
  <si>
    <t>JODメルシー0212（表4）⑦</t>
    <rPh sb="12" eb="13">
      <t>ヒョウ</t>
    </rPh>
    <phoneticPr fontId="2"/>
  </si>
  <si>
    <t>はぴねすくらぶ1月号⑥</t>
    <rPh sb="8" eb="10">
      <t>ガツゴウ</t>
    </rPh>
    <phoneticPr fontId="2"/>
  </si>
  <si>
    <t>JODメルシー0212（表4）⑧</t>
    <rPh sb="12" eb="13">
      <t>ヒョウ</t>
    </rPh>
    <phoneticPr fontId="2"/>
  </si>
  <si>
    <t>JODメルシー0212（表4）⑨</t>
    <rPh sb="12" eb="13">
      <t>ヒョウ</t>
    </rPh>
    <phoneticPr fontId="2"/>
  </si>
  <si>
    <t>初回4/20（1ケース）、5/1（30％）、随時</t>
    <rPh sb="0" eb="2">
      <t>ショカイ</t>
    </rPh>
    <rPh sb="22" eb="24">
      <t>ズイジ</t>
    </rPh>
    <phoneticPr fontId="2"/>
  </si>
  <si>
    <t>JODメルシー0212（表4）⑩</t>
    <rPh sb="12" eb="13">
      <t>ヒョウ</t>
    </rPh>
    <phoneticPr fontId="2"/>
  </si>
  <si>
    <t>ネット返品</t>
    <rPh sb="3" eb="5">
      <t>ヘンピン</t>
    </rPh>
    <phoneticPr fontId="3"/>
  </si>
  <si>
    <t>KPORT</t>
    <phoneticPr fontId="2"/>
  </si>
  <si>
    <t>JODメルシー0212（表4）⑪</t>
    <rPh sb="12" eb="13">
      <t>ヒョウ</t>
    </rPh>
    <phoneticPr fontId="2"/>
  </si>
  <si>
    <t>3/1伝</t>
    <rPh sb="3" eb="4">
      <t>デン</t>
    </rPh>
    <phoneticPr fontId="2"/>
  </si>
  <si>
    <t>はぴねすくらぶ1月号⑦</t>
    <rPh sb="8" eb="10">
      <t>ガツゴウ</t>
    </rPh>
    <phoneticPr fontId="2"/>
  </si>
  <si>
    <t>JODメルシー0212（表4）⑫</t>
    <rPh sb="12" eb="13">
      <t>ヒョウ</t>
    </rPh>
    <phoneticPr fontId="2"/>
  </si>
  <si>
    <t>JODメルシー0212（表4）⑬</t>
    <rPh sb="12" eb="13">
      <t>ヒョウ</t>
    </rPh>
    <phoneticPr fontId="2"/>
  </si>
  <si>
    <t>ディノス撮影用サンプル返却</t>
    <rPh sb="4" eb="7">
      <t>サツエイヨウ</t>
    </rPh>
    <rPh sb="11" eb="13">
      <t>ヘンキャク</t>
    </rPh>
    <phoneticPr fontId="2"/>
  </si>
  <si>
    <t>JODメルシー0212（表4）⑭</t>
    <rPh sb="12" eb="13">
      <t>ヒョウ</t>
    </rPh>
    <phoneticPr fontId="2"/>
  </si>
  <si>
    <t>JODメルシー0212（表4）⑮</t>
    <rPh sb="12" eb="13">
      <t>ヒョウ</t>
    </rPh>
    <phoneticPr fontId="2"/>
  </si>
  <si>
    <t>JODメルシー0212（表4）⑯</t>
    <rPh sb="12" eb="13">
      <t>ヒョウ</t>
    </rPh>
    <phoneticPr fontId="2"/>
  </si>
  <si>
    <t>JODメルシー0212（表4）⑰</t>
    <rPh sb="12" eb="13">
      <t>ヒョウ</t>
    </rPh>
    <phoneticPr fontId="2"/>
  </si>
  <si>
    <t>JODメルシー0212（表4）⑱</t>
    <rPh sb="12" eb="13">
      <t>ヒョウ</t>
    </rPh>
    <phoneticPr fontId="2"/>
  </si>
  <si>
    <t>JODメルシー0212（表4）⑲</t>
    <rPh sb="12" eb="13">
      <t>ヒョウ</t>
    </rPh>
    <phoneticPr fontId="2"/>
  </si>
  <si>
    <t>d-beauty（春号）④</t>
    <phoneticPr fontId="2"/>
  </si>
  <si>
    <t>JODメルシー0212（表4）⑳</t>
    <rPh sb="12" eb="13">
      <t>ヒョウ</t>
    </rPh>
    <phoneticPr fontId="2"/>
  </si>
  <si>
    <t>JODメルシー0212（表4）㉑</t>
    <rPh sb="12" eb="13">
      <t>ヒョウ</t>
    </rPh>
    <phoneticPr fontId="2"/>
  </si>
  <si>
    <t>JODメルシー0212（表4）㉒</t>
    <rPh sb="12" eb="13">
      <t>ヒョウ</t>
    </rPh>
    <phoneticPr fontId="2"/>
  </si>
  <si>
    <t>ベルーナ第5　20年夏④</t>
    <rPh sb="4" eb="5">
      <t>ダイ</t>
    </rPh>
    <rPh sb="9" eb="10">
      <t>ネン</t>
    </rPh>
    <rPh sb="10" eb="11">
      <t>ナツ</t>
    </rPh>
    <phoneticPr fontId="2"/>
  </si>
  <si>
    <t>JOD特別号9552</t>
    <rPh sb="3" eb="5">
      <t>トクベツ</t>
    </rPh>
    <rPh sb="5" eb="6">
      <t>ゴウ</t>
    </rPh>
    <phoneticPr fontId="2"/>
  </si>
  <si>
    <t>4/20～</t>
    <phoneticPr fontId="2"/>
  </si>
  <si>
    <t>d-beauty（春号）⑤</t>
    <phoneticPr fontId="2"/>
  </si>
  <si>
    <t>セシール前川さんsample返却</t>
    <rPh sb="4" eb="6">
      <t>マエガワ</t>
    </rPh>
    <rPh sb="14" eb="16">
      <t>ヘンキャク</t>
    </rPh>
    <phoneticPr fontId="2"/>
  </si>
  <si>
    <t>セシール確認用sample返却</t>
    <rPh sb="4" eb="7">
      <t>カクニンヨウ</t>
    </rPh>
    <rPh sb="13" eb="15">
      <t>ヘンキャク</t>
    </rPh>
    <phoneticPr fontId="2"/>
  </si>
  <si>
    <t>4/1伝</t>
    <rPh sb="3" eb="4">
      <t>デン</t>
    </rPh>
    <phoneticPr fontId="2"/>
  </si>
  <si>
    <t>日生協カタログ　20年夏③</t>
    <rPh sb="0" eb="3">
      <t>ニッセイキョウ</t>
    </rPh>
    <rPh sb="10" eb="11">
      <t>ネン</t>
    </rPh>
    <rPh sb="11" eb="12">
      <t>ナツ</t>
    </rPh>
    <phoneticPr fontId="2"/>
  </si>
  <si>
    <t>セシールB&amp;H20秋</t>
    <rPh sb="9" eb="10">
      <t>アキ</t>
    </rPh>
    <phoneticPr fontId="2"/>
  </si>
  <si>
    <t>7/1発行</t>
    <rPh sb="3" eb="5">
      <t>ハッコウ</t>
    </rPh>
    <phoneticPr fontId="2"/>
  </si>
  <si>
    <t>JODメルシー0212（表4）㉓</t>
    <rPh sb="12" eb="13">
      <t>ヒョウ</t>
    </rPh>
    <phoneticPr fontId="2"/>
  </si>
  <si>
    <t>はぴねすくらぶ1月号⑧</t>
    <rPh sb="8" eb="10">
      <t>ガツゴウ</t>
    </rPh>
    <phoneticPr fontId="2"/>
  </si>
  <si>
    <t>JODメルシー0212（表4）㉔</t>
    <rPh sb="12" eb="13">
      <t>ヒョウ</t>
    </rPh>
    <phoneticPr fontId="2"/>
  </si>
  <si>
    <t>かりん</t>
    <phoneticPr fontId="2"/>
  </si>
  <si>
    <t>日生協カタログ　20年夏④</t>
    <rPh sb="0" eb="3">
      <t>ニッセイキョウ</t>
    </rPh>
    <rPh sb="10" eb="11">
      <t>ネン</t>
    </rPh>
    <rPh sb="11" eb="12">
      <t>ナツ</t>
    </rPh>
    <phoneticPr fontId="2"/>
  </si>
  <si>
    <t>はぴねす大藪さんサンプル返却</t>
    <rPh sb="4" eb="6">
      <t>オオヤブ</t>
    </rPh>
    <rPh sb="12" eb="14">
      <t>ヘンキャク</t>
    </rPh>
    <phoneticPr fontId="2"/>
  </si>
  <si>
    <t>はぴねすくらぶ色校サンプル返却</t>
    <rPh sb="7" eb="9">
      <t>イロコウ</t>
    </rPh>
    <rPh sb="13" eb="15">
      <t>ヘンキャク</t>
    </rPh>
    <phoneticPr fontId="2"/>
  </si>
  <si>
    <t>KPORT</t>
    <phoneticPr fontId="2"/>
  </si>
  <si>
    <t>日生協カタログ　20年夏⑤</t>
    <rPh sb="0" eb="3">
      <t>ニッセイキョウ</t>
    </rPh>
    <rPh sb="10" eb="11">
      <t>ネン</t>
    </rPh>
    <rPh sb="11" eb="12">
      <t>ナツ</t>
    </rPh>
    <phoneticPr fontId="2"/>
  </si>
  <si>
    <t>JODメルシー0212（表4）㉕</t>
    <rPh sb="12" eb="13">
      <t>ヒョウ</t>
    </rPh>
    <phoneticPr fontId="2"/>
  </si>
  <si>
    <t>JODメルシー0212（表4）㉖</t>
    <rPh sb="12" eb="13">
      <t>ヒョウ</t>
    </rPh>
    <phoneticPr fontId="2"/>
  </si>
  <si>
    <t>JODメルシー0212（表4）㉗</t>
    <rPh sb="12" eb="13">
      <t>ヒョウ</t>
    </rPh>
    <phoneticPr fontId="2"/>
  </si>
  <si>
    <t>日生協カタログ　20年夏⑥</t>
    <rPh sb="0" eb="3">
      <t>ニッセイキョウ</t>
    </rPh>
    <rPh sb="10" eb="11">
      <t>ネン</t>
    </rPh>
    <rPh sb="11" eb="12">
      <t>ナツ</t>
    </rPh>
    <phoneticPr fontId="2"/>
  </si>
  <si>
    <t>JODメルシー0212（表4）㉘</t>
    <rPh sb="12" eb="13">
      <t>ヒョウ</t>
    </rPh>
    <phoneticPr fontId="2"/>
  </si>
  <si>
    <t>JODメルシー0212（表4）㉙</t>
    <rPh sb="12" eb="13">
      <t>ヒョウ</t>
    </rPh>
    <phoneticPr fontId="2"/>
  </si>
  <si>
    <t>2020/5/1数</t>
    <rPh sb="8" eb="9">
      <t>スウ</t>
    </rPh>
    <phoneticPr fontId="2"/>
  </si>
  <si>
    <t>日生協カタログ　20年夏⑦</t>
    <rPh sb="0" eb="3">
      <t>ニッセイキョウ</t>
    </rPh>
    <rPh sb="10" eb="11">
      <t>ネン</t>
    </rPh>
    <rPh sb="11" eb="12">
      <t>ナツ</t>
    </rPh>
    <phoneticPr fontId="2"/>
  </si>
  <si>
    <t>5/7伝</t>
    <rPh sb="3" eb="4">
      <t>デン</t>
    </rPh>
    <phoneticPr fontId="2"/>
  </si>
  <si>
    <t>日生協カタログ　20年夏⑧</t>
    <rPh sb="0" eb="3">
      <t>ニッセイキョウ</t>
    </rPh>
    <rPh sb="10" eb="11">
      <t>ネン</t>
    </rPh>
    <rPh sb="11" eb="12">
      <t>ナツ</t>
    </rPh>
    <phoneticPr fontId="2"/>
  </si>
  <si>
    <t>ベルーナ返品</t>
    <rPh sb="4" eb="6">
      <t>ヘンピン</t>
    </rPh>
    <phoneticPr fontId="2"/>
  </si>
  <si>
    <t>納前分</t>
    <rPh sb="0" eb="2">
      <t>ノウマエ</t>
    </rPh>
    <rPh sb="2" eb="3">
      <t>ブン</t>
    </rPh>
    <phoneticPr fontId="2"/>
  </si>
  <si>
    <t>日生協カタログ　20年夏⑨</t>
    <rPh sb="0" eb="3">
      <t>ニッセイキョウ</t>
    </rPh>
    <rPh sb="10" eb="11">
      <t>ネン</t>
    </rPh>
    <rPh sb="11" eb="12">
      <t>ナツ</t>
    </rPh>
    <phoneticPr fontId="2"/>
  </si>
  <si>
    <t>はぴねすくらぶ返品</t>
    <rPh sb="7" eb="9">
      <t>ヘンピン</t>
    </rPh>
    <phoneticPr fontId="2"/>
  </si>
  <si>
    <t>日生協カタログ　20年夏⑩</t>
    <rPh sb="0" eb="3">
      <t>ニッセイキョウ</t>
    </rPh>
    <rPh sb="10" eb="11">
      <t>ネン</t>
    </rPh>
    <rPh sb="11" eb="12">
      <t>ナツ</t>
    </rPh>
    <phoneticPr fontId="2"/>
  </si>
  <si>
    <t>日生協カタログ　20年夏⑪</t>
    <rPh sb="0" eb="3">
      <t>ニッセイキョウ</t>
    </rPh>
    <rPh sb="10" eb="11">
      <t>ネン</t>
    </rPh>
    <rPh sb="11" eb="12">
      <t>ナツ</t>
    </rPh>
    <phoneticPr fontId="2"/>
  </si>
  <si>
    <t>かりん</t>
    <phoneticPr fontId="2"/>
  </si>
  <si>
    <t>日生協カタログ　20年夏⑫</t>
    <rPh sb="0" eb="3">
      <t>ニッセイキョウ</t>
    </rPh>
    <rPh sb="10" eb="11">
      <t>ネン</t>
    </rPh>
    <rPh sb="11" eb="12">
      <t>ナツ</t>
    </rPh>
    <phoneticPr fontId="2"/>
  </si>
  <si>
    <t>日生協カタログ　20年夏⑬</t>
    <rPh sb="0" eb="3">
      <t>ニッセイキョウ</t>
    </rPh>
    <rPh sb="10" eb="11">
      <t>ネン</t>
    </rPh>
    <rPh sb="11" eb="12">
      <t>ナツ</t>
    </rPh>
    <phoneticPr fontId="2"/>
  </si>
  <si>
    <t>日生協カタログ　20年夏⑭</t>
    <rPh sb="0" eb="3">
      <t>ニッセイキョウ</t>
    </rPh>
    <rPh sb="10" eb="11">
      <t>ネン</t>
    </rPh>
    <rPh sb="11" eb="12">
      <t>ナツ</t>
    </rPh>
    <phoneticPr fontId="2"/>
  </si>
  <si>
    <t>くらし返品</t>
    <rPh sb="3" eb="5">
      <t>ヘンピン</t>
    </rPh>
    <phoneticPr fontId="3"/>
  </si>
  <si>
    <t>ベルーナ第5　20年夏⑤</t>
    <rPh sb="4" eb="5">
      <t>ダイ</t>
    </rPh>
    <rPh sb="9" eb="10">
      <t>ネン</t>
    </rPh>
    <rPh sb="10" eb="11">
      <t>ナツ</t>
    </rPh>
    <phoneticPr fontId="2"/>
  </si>
  <si>
    <t>KPORT</t>
    <phoneticPr fontId="2"/>
  </si>
  <si>
    <t>日生協カタログ　20年夏⑮</t>
    <rPh sb="0" eb="3">
      <t>ニッセイキョウ</t>
    </rPh>
    <rPh sb="10" eb="11">
      <t>ネン</t>
    </rPh>
    <rPh sb="11" eb="12">
      <t>ナツ</t>
    </rPh>
    <phoneticPr fontId="2"/>
  </si>
  <si>
    <t>日生協カタログ　20年夏⑯</t>
    <rPh sb="0" eb="3">
      <t>ニッセイキョウ</t>
    </rPh>
    <rPh sb="10" eb="11">
      <t>ネン</t>
    </rPh>
    <rPh sb="11" eb="12">
      <t>ナツ</t>
    </rPh>
    <phoneticPr fontId="2"/>
  </si>
  <si>
    <t>日生協カタログ　20年夏⑰</t>
    <rPh sb="0" eb="3">
      <t>ニッセイキョウ</t>
    </rPh>
    <rPh sb="10" eb="11">
      <t>ネン</t>
    </rPh>
    <rPh sb="11" eb="12">
      <t>ナツ</t>
    </rPh>
    <phoneticPr fontId="2"/>
  </si>
  <si>
    <t>セシール</t>
  </si>
  <si>
    <t>日生協カタログ　20年夏⑱</t>
    <rPh sb="0" eb="3">
      <t>ニッセイキョウ</t>
    </rPh>
    <rPh sb="10" eb="11">
      <t>ネン</t>
    </rPh>
    <rPh sb="11" eb="12">
      <t>ナツ</t>
    </rPh>
    <phoneticPr fontId="2"/>
  </si>
  <si>
    <t>日生協カタログ　20年夏⑲</t>
    <rPh sb="0" eb="3">
      <t>ニッセイキョウ</t>
    </rPh>
    <rPh sb="10" eb="11">
      <t>ネン</t>
    </rPh>
    <rPh sb="11" eb="12">
      <t>ナツ</t>
    </rPh>
    <phoneticPr fontId="2"/>
  </si>
  <si>
    <t>日生協カタログ　20年夏⑳</t>
    <rPh sb="0" eb="3">
      <t>ニッセイキョウ</t>
    </rPh>
    <rPh sb="10" eb="11">
      <t>ネン</t>
    </rPh>
    <rPh sb="11" eb="12">
      <t>ナツ</t>
    </rPh>
    <phoneticPr fontId="2"/>
  </si>
  <si>
    <t>日生協カタログ　20年夏㉑</t>
    <rPh sb="0" eb="3">
      <t>ニッセイキョウ</t>
    </rPh>
    <rPh sb="10" eb="11">
      <t>ネン</t>
    </rPh>
    <rPh sb="11" eb="12">
      <t>ナツ</t>
    </rPh>
    <phoneticPr fontId="2"/>
  </si>
  <si>
    <t>KPORT</t>
    <phoneticPr fontId="2"/>
  </si>
  <si>
    <t>日生協カタログ　20年夏㉒</t>
    <rPh sb="0" eb="3">
      <t>ニッセイキョウ</t>
    </rPh>
    <rPh sb="10" eb="11">
      <t>ネン</t>
    </rPh>
    <rPh sb="11" eb="12">
      <t>ナツ</t>
    </rPh>
    <phoneticPr fontId="2"/>
  </si>
  <si>
    <t>電話注文</t>
    <rPh sb="0" eb="2">
      <t>デンワ</t>
    </rPh>
    <rPh sb="2" eb="4">
      <t>チュウモン</t>
    </rPh>
    <phoneticPr fontId="2"/>
  </si>
  <si>
    <t>日生協カタログ　20年夏㉓</t>
    <rPh sb="0" eb="3">
      <t>ニッセイキョウ</t>
    </rPh>
    <rPh sb="10" eb="11">
      <t>ネン</t>
    </rPh>
    <rPh sb="11" eb="12">
      <t>ナツ</t>
    </rPh>
    <phoneticPr fontId="2"/>
  </si>
  <si>
    <t>かりん</t>
    <phoneticPr fontId="2"/>
  </si>
  <si>
    <t>JOD</t>
    <phoneticPr fontId="2"/>
  </si>
  <si>
    <t>8/4伝</t>
    <rPh sb="3" eb="4">
      <t>デン</t>
    </rPh>
    <phoneticPr fontId="2"/>
  </si>
  <si>
    <t>d-beauty（春号）④</t>
    <phoneticPr fontId="2"/>
  </si>
  <si>
    <t>かりん</t>
  </si>
  <si>
    <t>日生協カタログ　20年夏㉔</t>
    <rPh sb="0" eb="3">
      <t>ニッセイキョウ</t>
    </rPh>
    <rPh sb="10" eb="11">
      <t>ネン</t>
    </rPh>
    <rPh sb="11" eb="12">
      <t>ナツ</t>
    </rPh>
    <phoneticPr fontId="2"/>
  </si>
  <si>
    <t>在庫確認</t>
    <rPh sb="0" eb="4">
      <t>ザイコカクニン</t>
    </rPh>
    <phoneticPr fontId="2"/>
  </si>
  <si>
    <t>日生協カタログ　20年夏㉕</t>
    <rPh sb="0" eb="3">
      <t>ニッセイキョウ</t>
    </rPh>
    <rPh sb="10" eb="11">
      <t>ネン</t>
    </rPh>
    <rPh sb="11" eb="12">
      <t>ナツ</t>
    </rPh>
    <phoneticPr fontId="2"/>
  </si>
  <si>
    <t>日生協カタログ　20年夏㉖</t>
    <rPh sb="0" eb="3">
      <t>ニッセイキョウ</t>
    </rPh>
    <rPh sb="10" eb="11">
      <t>ネン</t>
    </rPh>
    <rPh sb="11" eb="12">
      <t>ナツ</t>
    </rPh>
    <phoneticPr fontId="2"/>
  </si>
  <si>
    <t>日生協カタログ　20年夏㉗</t>
    <rPh sb="0" eb="3">
      <t>ニッセイキョウ</t>
    </rPh>
    <rPh sb="10" eb="11">
      <t>ネン</t>
    </rPh>
    <rPh sb="11" eb="12">
      <t>ナツ</t>
    </rPh>
    <phoneticPr fontId="2"/>
  </si>
  <si>
    <t>日生協カタログ　20年夏㉘</t>
    <rPh sb="0" eb="3">
      <t>ニッセイキョウ</t>
    </rPh>
    <rPh sb="10" eb="11">
      <t>ネン</t>
    </rPh>
    <rPh sb="11" eb="12">
      <t>ナツ</t>
    </rPh>
    <phoneticPr fontId="2"/>
  </si>
  <si>
    <t>日生協カタログ　20年夏㉙</t>
    <rPh sb="0" eb="3">
      <t>ニッセイキョウ</t>
    </rPh>
    <rPh sb="10" eb="11">
      <t>ネン</t>
    </rPh>
    <rPh sb="11" eb="12">
      <t>ナツ</t>
    </rPh>
    <phoneticPr fontId="2"/>
  </si>
  <si>
    <t>日生協カタログ　20年夏㉚</t>
    <rPh sb="0" eb="3">
      <t>ニッセイキョウ</t>
    </rPh>
    <rPh sb="10" eb="11">
      <t>ネン</t>
    </rPh>
    <rPh sb="11" eb="12">
      <t>ナツ</t>
    </rPh>
    <phoneticPr fontId="2"/>
  </si>
  <si>
    <t>かりん返品</t>
    <rPh sb="3" eb="5">
      <t>ヘンピン</t>
    </rPh>
    <phoneticPr fontId="2"/>
  </si>
  <si>
    <t>ネット</t>
  </si>
  <si>
    <t>日生協カタログ　20年夏㉛</t>
    <rPh sb="0" eb="3">
      <t>ニッセイキョウ</t>
    </rPh>
    <rPh sb="10" eb="11">
      <t>ネン</t>
    </rPh>
    <rPh sb="11" eb="12">
      <t>ナツ</t>
    </rPh>
    <phoneticPr fontId="2"/>
  </si>
  <si>
    <t>日生協カタログ　20年夏㉜</t>
    <rPh sb="0" eb="3">
      <t>ニッセイキョウ</t>
    </rPh>
    <rPh sb="10" eb="11">
      <t>ネン</t>
    </rPh>
    <rPh sb="11" eb="12">
      <t>ナツ</t>
    </rPh>
    <phoneticPr fontId="2"/>
  </si>
  <si>
    <t>日生協カタログ　20年夏㉝</t>
    <rPh sb="0" eb="3">
      <t>ニッセイキョウ</t>
    </rPh>
    <rPh sb="10" eb="11">
      <t>ネン</t>
    </rPh>
    <rPh sb="11" eb="12">
      <t>ナツ</t>
    </rPh>
    <phoneticPr fontId="2"/>
  </si>
  <si>
    <t>日生協カタログ　20年夏㉞</t>
    <rPh sb="0" eb="3">
      <t>ニッセイキョウ</t>
    </rPh>
    <rPh sb="10" eb="11">
      <t>ネン</t>
    </rPh>
    <rPh sb="11" eb="12">
      <t>ナツ</t>
    </rPh>
    <phoneticPr fontId="2"/>
  </si>
  <si>
    <t>かりん</t>
    <phoneticPr fontId="2"/>
  </si>
  <si>
    <t>くらし返品</t>
    <rPh sb="3" eb="5">
      <t>ヘンピン</t>
    </rPh>
    <phoneticPr fontId="2"/>
  </si>
  <si>
    <t>KPORT</t>
    <phoneticPr fontId="2"/>
  </si>
  <si>
    <t>日生協カタログ　20年夏㉟</t>
    <rPh sb="0" eb="3">
      <t>ニッセイキョウ</t>
    </rPh>
    <rPh sb="10" eb="11">
      <t>ネン</t>
    </rPh>
    <rPh sb="11" eb="12">
      <t>ナツ</t>
    </rPh>
    <phoneticPr fontId="2"/>
  </si>
  <si>
    <t>日生協カタログ　20年夏㊱</t>
    <rPh sb="0" eb="3">
      <t>ニッセイキョウ</t>
    </rPh>
    <rPh sb="10" eb="11">
      <t>ネン</t>
    </rPh>
    <rPh sb="11" eb="12">
      <t>ナツ</t>
    </rPh>
    <phoneticPr fontId="2"/>
  </si>
  <si>
    <t>JOD</t>
    <phoneticPr fontId="2"/>
  </si>
  <si>
    <t>日生協カタログ21年夏（すこやかびと）</t>
    <rPh sb="0" eb="3">
      <t>ニッセイキョウ</t>
    </rPh>
    <rPh sb="9" eb="10">
      <t>ネン</t>
    </rPh>
    <rPh sb="10" eb="11">
      <t>ナツ</t>
    </rPh>
    <phoneticPr fontId="2"/>
  </si>
  <si>
    <t>初回3/8（1ケース）、3/19（30％）、随時</t>
    <rPh sb="0" eb="2">
      <t>ショカイ</t>
    </rPh>
    <rPh sb="22" eb="24">
      <t>ズイジ</t>
    </rPh>
    <phoneticPr fontId="2"/>
  </si>
  <si>
    <t>日生協カタログ　20年夏㊲</t>
    <rPh sb="0" eb="3">
      <t>ニッセイキョウ</t>
    </rPh>
    <rPh sb="10" eb="11">
      <t>ネン</t>
    </rPh>
    <rPh sb="11" eb="12">
      <t>ナツ</t>
    </rPh>
    <phoneticPr fontId="2"/>
  </si>
  <si>
    <t>日生協カタログ　20年夏㊳</t>
    <rPh sb="0" eb="3">
      <t>ニッセイキョウ</t>
    </rPh>
    <rPh sb="10" eb="11">
      <t>ネン</t>
    </rPh>
    <rPh sb="11" eb="12">
      <t>ナツ</t>
    </rPh>
    <phoneticPr fontId="2"/>
  </si>
  <si>
    <t>日生協カタログ　20年夏㊴</t>
    <rPh sb="0" eb="3">
      <t>ニッセイキョウ</t>
    </rPh>
    <rPh sb="10" eb="11">
      <t>ネン</t>
    </rPh>
    <rPh sb="11" eb="12">
      <t>ナツ</t>
    </rPh>
    <phoneticPr fontId="2"/>
  </si>
  <si>
    <t>日生協カタログ　20年夏㊵</t>
    <rPh sb="0" eb="3">
      <t>ニッセイキョウ</t>
    </rPh>
    <rPh sb="10" eb="11">
      <t>ネン</t>
    </rPh>
    <rPh sb="11" eb="12">
      <t>ナツ</t>
    </rPh>
    <phoneticPr fontId="2"/>
  </si>
  <si>
    <t>在庫確認</t>
    <rPh sb="0" eb="2">
      <t>ザイコ</t>
    </rPh>
    <rPh sb="2" eb="4">
      <t>カクニン</t>
    </rPh>
    <phoneticPr fontId="3"/>
  </si>
  <si>
    <t>KPORT</t>
    <phoneticPr fontId="2"/>
  </si>
  <si>
    <t>かりん</t>
    <phoneticPr fontId="2"/>
  </si>
  <si>
    <t>4月中旬～</t>
    <rPh sb="1" eb="2">
      <t>ガツ</t>
    </rPh>
    <rPh sb="2" eb="4">
      <t>チュウジュン</t>
    </rPh>
    <phoneticPr fontId="2"/>
  </si>
  <si>
    <t>セシールNET継続</t>
    <rPh sb="7" eb="9">
      <t>ケイゾク</t>
    </rPh>
    <phoneticPr fontId="2"/>
  </si>
  <si>
    <t>～9月末</t>
    <rPh sb="2" eb="3">
      <t>ガツ</t>
    </rPh>
    <rPh sb="3" eb="4">
      <t>マツ</t>
    </rPh>
    <phoneticPr fontId="2"/>
  </si>
  <si>
    <t>セシール21B&amp;H盛夏号</t>
    <rPh sb="9" eb="11">
      <t>セイカ</t>
    </rPh>
    <rPh sb="11" eb="12">
      <t>ゴウ</t>
    </rPh>
    <phoneticPr fontId="2"/>
  </si>
  <si>
    <t>日生協カタログ21年夏（すこやかびと）①</t>
    <rPh sb="0" eb="3">
      <t>ニッセイキョウ</t>
    </rPh>
    <rPh sb="9" eb="10">
      <t>ネン</t>
    </rPh>
    <rPh sb="10" eb="11">
      <t>ナツ</t>
    </rPh>
    <phoneticPr fontId="2"/>
  </si>
  <si>
    <t>ネット</t>
    <phoneticPr fontId="2"/>
  </si>
  <si>
    <t>JODアクセス7076</t>
    <phoneticPr fontId="2"/>
  </si>
  <si>
    <t>4/23～</t>
    <phoneticPr fontId="2"/>
  </si>
  <si>
    <t>夢販</t>
    <rPh sb="0" eb="2">
      <t>ユメハン</t>
    </rPh>
    <phoneticPr fontId="2"/>
  </si>
  <si>
    <t>日生協カタログ21年夏（すこやかびと）②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</si>
  <si>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日生協カタログ21年夏（すこやかびと）③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</si>
  <si>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日生協カタログ21年夏（すこやかびと）④</t>
    <rPh sb="0" eb="3">
      <t>ニッセイキョウ</t>
    </rPh>
    <rPh sb="9" eb="10">
      <t>ネン</t>
    </rPh>
    <rPh sb="10" eb="11">
      <t>ナツ</t>
    </rPh>
    <phoneticPr fontId="2"/>
  </si>
  <si>
    <t>JOD</t>
    <phoneticPr fontId="2"/>
  </si>
  <si>
    <t>日生協カタログ21年夏（すこやかびと）⑤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</si>
  <si>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日生協カタログ21年夏（すこやかびと）⑥</t>
    <rPh sb="0" eb="3">
      <t>ニッセイキョウ</t>
    </rPh>
    <rPh sb="9" eb="10">
      <t>ネン</t>
    </rPh>
    <rPh sb="10" eb="11">
      <t>ナツ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</si>
  <si>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</si>
  <si>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</si>
  <si>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日生協カタログ21年夏（すこやかびと）⑦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</si>
  <si>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日生協カタログ21年夏（すこやかびと）⑧</t>
    <rPh sb="0" eb="3">
      <t>ニッセイキョウ</t>
    </rPh>
    <rPh sb="9" eb="10">
      <t>ネン</t>
    </rPh>
    <rPh sb="10" eb="11">
      <t>ナツ</t>
    </rPh>
    <phoneticPr fontId="2"/>
  </si>
  <si>
    <t>JOD</t>
  </si>
  <si>
    <t>セシール返品</t>
    <rPh sb="4" eb="6">
      <t>ヘンピン</t>
    </rPh>
    <phoneticPr fontId="2"/>
  </si>
  <si>
    <t>日生協カタログ21年夏（すこやかびと）⑨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</si>
  <si>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日生協カタログ21年夏（すこやかびと）⑩</t>
    <rPh sb="0" eb="3">
      <t>ニッセイキョウ</t>
    </rPh>
    <rPh sb="9" eb="10">
      <t>ネン</t>
    </rPh>
    <rPh sb="10" eb="11">
      <t>ナツ</t>
    </rPh>
    <phoneticPr fontId="2"/>
  </si>
  <si>
    <t>JOD</t>
    <phoneticPr fontId="3"/>
  </si>
  <si>
    <t>全国通販</t>
    <rPh sb="0" eb="4">
      <t>ゼンコクツウハン</t>
    </rPh>
    <phoneticPr fontId="2"/>
  </si>
  <si>
    <t>K-PORT</t>
    <phoneticPr fontId="2"/>
  </si>
  <si>
    <t>夢販</t>
    <rPh sb="0" eb="2">
      <t>ユメハン</t>
    </rPh>
    <phoneticPr fontId="2"/>
  </si>
  <si>
    <t>JODメルシー0726</t>
    <phoneticPr fontId="2"/>
  </si>
  <si>
    <t>7/26～</t>
    <phoneticPr fontId="2"/>
  </si>
  <si>
    <t>日生協カタログ21年夏（すこやかびと）⑪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</si>
  <si>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日生協カタログ21年夏（すこやかびと）⑫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</si>
  <si>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日生協カタログ21年夏（すこやかびと）⑬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</si>
  <si>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日生協カタログ21年夏（すこやかびと）⑭</t>
    <rPh sb="0" eb="3">
      <t>ニッセイキョウ</t>
    </rPh>
    <rPh sb="9" eb="10">
      <t>ネン</t>
    </rPh>
    <rPh sb="10" eb="11">
      <t>ナツ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</si>
  <si>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</si>
  <si>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</si>
  <si>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日生協カタログ21年夏（すこやかびと）⑮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</si>
  <si>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日生協カタログ21年夏（すこやかびと）⑯</t>
    <rPh sb="0" eb="3">
      <t>ニッセイキョウ</t>
    </rPh>
    <rPh sb="9" eb="10">
      <t>ネン</t>
    </rPh>
    <rPh sb="10" eb="11">
      <t>ナツ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</si>
  <si>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</si>
  <si>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</si>
  <si>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日生協カタログ21年夏（すこやかびと）⑰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</si>
  <si>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日生協カタログ21年夏（すこやかびと）⑱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</si>
  <si>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日生協カタログ21年夏（すこやかびと）⑲</t>
    <rPh sb="0" eb="3">
      <t>ニッセイキョウ</t>
    </rPh>
    <rPh sb="9" eb="10">
      <t>ネン</t>
    </rPh>
    <rPh sb="10" eb="11">
      <t>ナツ</t>
    </rPh>
    <phoneticPr fontId="2"/>
  </si>
  <si>
    <t>夢販</t>
    <rPh sb="0" eb="2">
      <t>ユメハン</t>
    </rPh>
    <phoneticPr fontId="2"/>
  </si>
  <si>
    <t>ネット</t>
    <phoneticPr fontId="2"/>
  </si>
  <si>
    <t>JOD</t>
    <phoneticPr fontId="2"/>
  </si>
  <si>
    <t>日生協カタログ21年夏（すこやかびと）⑳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</si>
  <si>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日生協カタログ21年夏（すこやかびと）㉑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</si>
  <si>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日生協カタログ21年夏（すこやかびと）㉒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</si>
  <si>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日生協カタログ21年夏（すこやかびと）㉓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</si>
  <si>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日生協カタログ21年夏（すこやかびと）㉔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</si>
  <si>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日生協カタログ21年夏（すこやかびと）㉕</t>
    <rPh sb="0" eb="3">
      <t>ニッセイキョウ</t>
    </rPh>
    <rPh sb="9" eb="10">
      <t>ネン</t>
    </rPh>
    <rPh sb="10" eb="11">
      <t>ナツ</t>
    </rPh>
    <phoneticPr fontId="2"/>
  </si>
  <si>
    <t>くらし返品</t>
    <rPh sb="3" eb="5">
      <t>ヘンピン</t>
    </rPh>
    <phoneticPr fontId="2"/>
  </si>
  <si>
    <t>日生協カタログ21年夏（すこやかびと）㉖</t>
    <rPh sb="0" eb="3">
      <t>ニッセイキョウ</t>
    </rPh>
    <rPh sb="9" eb="10">
      <t>ネン</t>
    </rPh>
    <rPh sb="10" eb="11">
      <t>ナツ</t>
    </rPh>
    <phoneticPr fontId="2"/>
  </si>
  <si>
    <t>かりん</t>
    <phoneticPr fontId="2"/>
  </si>
  <si>
    <t>再生</t>
    <rPh sb="0" eb="2">
      <t>サイセイ</t>
    </rPh>
    <phoneticPr fontId="3"/>
  </si>
  <si>
    <t>日生協カタログ21年夏（すこやかびと）㉗</t>
    <rPh sb="0" eb="3">
      <t>ニッセイキョウ</t>
    </rPh>
    <rPh sb="9" eb="10">
      <t>ネン</t>
    </rPh>
    <rPh sb="10" eb="11">
      <t>ナツ</t>
    </rPh>
    <phoneticPr fontId="2"/>
  </si>
  <si>
    <t>JODメルシー1027</t>
    <phoneticPr fontId="2"/>
  </si>
  <si>
    <t>ユルビ22夏号（千趣会）</t>
    <rPh sb="5" eb="7">
      <t>ナツゴウ</t>
    </rPh>
    <rPh sb="8" eb="11">
      <t>センシュカイ</t>
    </rPh>
    <phoneticPr fontId="2"/>
  </si>
  <si>
    <t>10/27～</t>
    <phoneticPr fontId="2"/>
  </si>
  <si>
    <t>セシールB&amp;H22春夏号</t>
    <rPh sb="9" eb="12">
      <t>ハルナツゴウ</t>
    </rPh>
    <phoneticPr fontId="2"/>
  </si>
  <si>
    <t>12/1～</t>
    <phoneticPr fontId="2"/>
  </si>
  <si>
    <t>JOD返品</t>
    <rPh sb="3" eb="5">
      <t>ヘンピン</t>
    </rPh>
    <phoneticPr fontId="2"/>
  </si>
  <si>
    <t>千趣会yurubi撮影用サンプル</t>
    <rPh sb="0" eb="3">
      <t>センシュカイ</t>
    </rPh>
    <rPh sb="9" eb="12">
      <t>サツエイヨウ</t>
    </rPh>
    <phoneticPr fontId="2"/>
  </si>
  <si>
    <t>くらし返品</t>
    <rPh sb="3" eb="5">
      <t>ヘンピン</t>
    </rPh>
    <phoneticPr fontId="2"/>
  </si>
  <si>
    <t>不良品</t>
    <rPh sb="0" eb="3">
      <t>フリョウヒン</t>
    </rPh>
    <phoneticPr fontId="2"/>
  </si>
  <si>
    <t>追加</t>
    <rPh sb="0" eb="2">
      <t>ツイカ</t>
    </rPh>
    <phoneticPr fontId="2"/>
  </si>
  <si>
    <t>K-PORT</t>
    <phoneticPr fontId="2"/>
  </si>
  <si>
    <t>日生協カタログ21年夏（すこやかびと）㉘</t>
    <rPh sb="0" eb="3">
      <t>ニッセイキョウ</t>
    </rPh>
    <rPh sb="9" eb="10">
      <t>ネン</t>
    </rPh>
    <rPh sb="10" eb="11">
      <t>ナツ</t>
    </rPh>
    <phoneticPr fontId="2"/>
  </si>
  <si>
    <t>日生協カタログ21年夏（すこやかびと）㉙</t>
    <rPh sb="0" eb="3">
      <t>ニッセイキョウ</t>
    </rPh>
    <rPh sb="9" eb="10">
      <t>ネン</t>
    </rPh>
    <rPh sb="10" eb="11">
      <t>ナツ</t>
    </rPh>
    <phoneticPr fontId="2"/>
  </si>
  <si>
    <t>セシールB&amp;H22春夏号①</t>
    <rPh sb="9" eb="12">
      <t>ハルナツゴウ</t>
    </rPh>
    <phoneticPr fontId="2"/>
  </si>
  <si>
    <t>くらしサンプル返却</t>
    <rPh sb="7" eb="9">
      <t>ヘンキャク</t>
    </rPh>
    <phoneticPr fontId="3"/>
  </si>
  <si>
    <t>JOD返品</t>
    <rPh sb="3" eb="5">
      <t>ヘンピン</t>
    </rPh>
    <phoneticPr fontId="3"/>
  </si>
  <si>
    <t>セシールB&amp;H22春夏号②</t>
    <rPh sb="9" eb="12">
      <t>ハルナツゴウ</t>
    </rPh>
    <phoneticPr fontId="2"/>
  </si>
  <si>
    <t>くらし返品</t>
    <rPh sb="3" eb="5">
      <t>ヘンピン</t>
    </rPh>
    <phoneticPr fontId="3"/>
  </si>
  <si>
    <t>K-PORT</t>
    <phoneticPr fontId="3"/>
  </si>
  <si>
    <t>セシールB&amp;H22春夏号③</t>
    <rPh sb="9" eb="12">
      <t>ハルナツゴウ</t>
    </rPh>
    <phoneticPr fontId="2"/>
  </si>
  <si>
    <t>セシールB&amp;H22春夏号④</t>
    <rPh sb="9" eb="12">
      <t>ハルナツゴウ</t>
    </rPh>
    <phoneticPr fontId="2"/>
  </si>
  <si>
    <t>追加</t>
    <rPh sb="0" eb="2">
      <t>ツイカ</t>
    </rPh>
    <phoneticPr fontId="3"/>
  </si>
  <si>
    <t>追加</t>
    <rPh sb="0" eb="2">
      <t>ツイカ</t>
    </rPh>
    <phoneticPr fontId="3"/>
  </si>
  <si>
    <t>JOD</t>
    <phoneticPr fontId="3"/>
  </si>
  <si>
    <t>セシールB&amp;H22春夏号⑤</t>
    <rPh sb="9" eb="12">
      <t>ハルナツゴウ</t>
    </rPh>
    <phoneticPr fontId="2"/>
  </si>
  <si>
    <t>かりん</t>
    <phoneticPr fontId="3"/>
  </si>
  <si>
    <t>セシールB&amp;H22春夏号⑥</t>
    <rPh sb="9" eb="12">
      <t>ハルナツゴウ</t>
    </rPh>
    <phoneticPr fontId="2"/>
  </si>
  <si>
    <t>JODメルシー0415</t>
    <phoneticPr fontId="3"/>
  </si>
  <si>
    <t>4/15～</t>
    <phoneticPr fontId="3"/>
  </si>
  <si>
    <t>セシールB&amp;H22春夏号⑦</t>
    <rPh sb="9" eb="12">
      <t>ハルナツゴウ</t>
    </rPh>
    <phoneticPr fontId="2"/>
  </si>
  <si>
    <t>セシールB&amp;H22春夏号⑧</t>
    <rPh sb="9" eb="12">
      <t>ハルナツゴウ</t>
    </rPh>
    <phoneticPr fontId="2"/>
  </si>
  <si>
    <t>かりん</t>
    <phoneticPr fontId="3"/>
  </si>
  <si>
    <t>セシールB&amp;H22春夏号⑨</t>
    <rPh sb="9" eb="12">
      <t>ハルナツゴウ</t>
    </rPh>
    <phoneticPr fontId="2"/>
  </si>
  <si>
    <t>JOD</t>
    <phoneticPr fontId="3"/>
  </si>
  <si>
    <t>追加</t>
    <rPh sb="0" eb="2">
      <t>ツイカ</t>
    </rPh>
    <phoneticPr fontId="3"/>
  </si>
  <si>
    <t>セシールB&amp;H22春夏号⑩</t>
    <rPh sb="9" eb="12">
      <t>ハルナツゴウ</t>
    </rPh>
    <phoneticPr fontId="2"/>
  </si>
  <si>
    <t>セシールB&amp;H22春夏号⑪</t>
    <rPh sb="9" eb="12">
      <t>ハルナツゴウ</t>
    </rPh>
    <phoneticPr fontId="2"/>
  </si>
  <si>
    <t>セシールB&amp;H22春夏号⑫</t>
    <rPh sb="9" eb="12">
      <t>ハルナツゴウ</t>
    </rPh>
    <phoneticPr fontId="2"/>
  </si>
  <si>
    <t>JODダイエット7412</t>
    <phoneticPr fontId="3"/>
  </si>
  <si>
    <t>6/10～</t>
    <phoneticPr fontId="3"/>
  </si>
  <si>
    <t>夢販</t>
    <rPh sb="0" eb="2">
      <t>ユメハン</t>
    </rPh>
    <phoneticPr fontId="3"/>
  </si>
  <si>
    <t>セシールB&amp;H22春夏号⑬</t>
    <rPh sb="9" eb="12">
      <t>ハルナツゴウ</t>
    </rPh>
    <phoneticPr fontId="2"/>
  </si>
  <si>
    <t>セシールB&amp;H22春夏号⑭</t>
    <rPh sb="9" eb="12">
      <t>ハルナツゴウ</t>
    </rPh>
    <phoneticPr fontId="2"/>
  </si>
  <si>
    <t>セシールB&amp;H22春夏号⑮</t>
    <rPh sb="9" eb="12">
      <t>ハルナツゴウ</t>
    </rPh>
    <phoneticPr fontId="2"/>
  </si>
  <si>
    <t>追加</t>
    <rPh sb="0" eb="2">
      <t>ツイカ</t>
    </rPh>
    <phoneticPr fontId="3"/>
  </si>
  <si>
    <t>セシールB&amp;H22春夏号⑯</t>
    <rPh sb="9" eb="12">
      <t>ハルナツゴウ</t>
    </rPh>
    <phoneticPr fontId="2"/>
  </si>
  <si>
    <t>JOD特別版0707</t>
    <rPh sb="3" eb="6">
      <t>トクベツバン</t>
    </rPh>
    <phoneticPr fontId="3"/>
  </si>
  <si>
    <t>7/6～</t>
    <phoneticPr fontId="3"/>
  </si>
  <si>
    <t>セシールB&amp;H22春夏号⑰</t>
    <rPh sb="9" eb="12">
      <t>ハルナツゴウ</t>
    </rPh>
    <phoneticPr fontId="2"/>
  </si>
  <si>
    <t>セシールB&amp;H22春夏号⑱</t>
    <rPh sb="9" eb="12">
      <t>ハルナツゴウ</t>
    </rPh>
    <phoneticPr fontId="2"/>
  </si>
  <si>
    <t>JODメルシー0713</t>
    <phoneticPr fontId="3"/>
  </si>
  <si>
    <t>7/13～</t>
    <phoneticPr fontId="3"/>
  </si>
  <si>
    <t>セシールB&amp;H22春夏号⑲</t>
    <rPh sb="9" eb="12">
      <t>ハルナツゴウ</t>
    </rPh>
    <phoneticPr fontId="2"/>
  </si>
  <si>
    <t>セシールB&amp;H22春夏号⑳</t>
    <rPh sb="9" eb="12">
      <t>ハルナツゴウ</t>
    </rPh>
    <phoneticPr fontId="2"/>
  </si>
  <si>
    <t>夢販</t>
    <rPh sb="0" eb="2">
      <t>ユメハン</t>
    </rPh>
    <phoneticPr fontId="3"/>
  </si>
  <si>
    <t>セシールB&amp;H22春夏号㉑</t>
    <rPh sb="9" eb="12">
      <t>ハルナツゴウ</t>
    </rPh>
    <phoneticPr fontId="2"/>
  </si>
  <si>
    <t>JODアクセス7087</t>
    <phoneticPr fontId="3"/>
  </si>
  <si>
    <t>8/16～</t>
    <phoneticPr fontId="3"/>
  </si>
  <si>
    <t>JODメルシー0805</t>
    <phoneticPr fontId="3"/>
  </si>
  <si>
    <t>8/5～</t>
    <phoneticPr fontId="3"/>
  </si>
  <si>
    <t>JOD</t>
    <phoneticPr fontId="3"/>
  </si>
  <si>
    <t>かりん</t>
    <phoneticPr fontId="3"/>
  </si>
  <si>
    <t>セシールB&amp;H22春夏号㉒</t>
    <rPh sb="9" eb="12">
      <t>ハルナツゴウ</t>
    </rPh>
    <phoneticPr fontId="2"/>
  </si>
  <si>
    <t>夢販</t>
    <rPh sb="0" eb="2">
      <t>ユメハン</t>
    </rPh>
    <phoneticPr fontId="3"/>
  </si>
  <si>
    <t>セシールB&amp;H22春夏号㉓</t>
    <rPh sb="9" eb="12">
      <t>ハルナツゴウ</t>
    </rPh>
    <phoneticPr fontId="2"/>
  </si>
  <si>
    <t>JODメルシー0824</t>
    <phoneticPr fontId="3"/>
  </si>
  <si>
    <t>8/24～</t>
    <phoneticPr fontId="3"/>
  </si>
  <si>
    <t>セシールB&amp;H22春夏号㉔</t>
    <rPh sb="9" eb="12">
      <t>ハルナツゴウ</t>
    </rPh>
    <phoneticPr fontId="2"/>
  </si>
  <si>
    <t>追加</t>
    <rPh sb="0" eb="2">
      <t>ツイカ</t>
    </rPh>
    <phoneticPr fontId="3"/>
  </si>
  <si>
    <t>JOD特別版0825</t>
    <rPh sb="3" eb="6">
      <t>トクベツバン</t>
    </rPh>
    <phoneticPr fontId="3"/>
  </si>
  <si>
    <t>夢販</t>
    <rPh sb="0" eb="2">
      <t>ユメハン</t>
    </rPh>
    <phoneticPr fontId="3"/>
  </si>
  <si>
    <t>JOD</t>
    <phoneticPr fontId="3"/>
  </si>
  <si>
    <t>JODメルシー0902</t>
    <phoneticPr fontId="3"/>
  </si>
  <si>
    <t>9/2～</t>
    <phoneticPr fontId="3"/>
  </si>
  <si>
    <t>セシールB&amp;H22春夏号㉕</t>
    <rPh sb="9" eb="12">
      <t>ハルナツゴウ</t>
    </rPh>
    <phoneticPr fontId="2"/>
  </si>
  <si>
    <t>JOD</t>
    <phoneticPr fontId="3"/>
  </si>
  <si>
    <t>JOD色合せ用sample</t>
    <rPh sb="3" eb="5">
      <t>イロアワ</t>
    </rPh>
    <rPh sb="6" eb="7">
      <t>ヨウ</t>
    </rPh>
    <phoneticPr fontId="3"/>
  </si>
  <si>
    <t>KPORT</t>
    <phoneticPr fontId="3"/>
  </si>
  <si>
    <t>セシールB&amp;H22春夏号㉖</t>
    <rPh sb="9" eb="12">
      <t>ハルナツゴウ</t>
    </rPh>
    <phoneticPr fontId="2"/>
  </si>
  <si>
    <t>JOD1特別号9541</t>
    <rPh sb="4" eb="7">
      <t>トクベツゴウ</t>
    </rPh>
    <phoneticPr fontId="3"/>
  </si>
  <si>
    <t>9/17～</t>
    <phoneticPr fontId="3"/>
  </si>
  <si>
    <t>セシールB&amp;H22春夏号㉗</t>
    <rPh sb="9" eb="12">
      <t>ハルナツゴウ</t>
    </rPh>
    <phoneticPr fontId="2"/>
  </si>
  <si>
    <t>セシールB&amp;H22春夏号㉘</t>
    <rPh sb="9" eb="12">
      <t>ハルナツゴウ</t>
    </rPh>
    <phoneticPr fontId="2"/>
  </si>
  <si>
    <t>夢販</t>
    <rPh sb="0" eb="2">
      <t>ユメハン</t>
    </rPh>
    <phoneticPr fontId="3"/>
  </si>
  <si>
    <t>セシールB&amp;H22春夏号㉙</t>
    <rPh sb="9" eb="12">
      <t>ハルナツゴウ</t>
    </rPh>
    <phoneticPr fontId="2"/>
  </si>
  <si>
    <t>セシールB&amp;H22春夏号㉚</t>
    <rPh sb="9" eb="12">
      <t>ハルナツゴウ</t>
    </rPh>
    <phoneticPr fontId="2"/>
  </si>
  <si>
    <t>棚卸</t>
    <rPh sb="0" eb="2">
      <t>タナオロシ</t>
    </rPh>
    <phoneticPr fontId="3"/>
  </si>
  <si>
    <t>夢販</t>
    <rPh sb="0" eb="2">
      <t>ユメハン</t>
    </rPh>
    <phoneticPr fontId="3"/>
  </si>
  <si>
    <t>セシールB&amp;H22春夏号㉛</t>
    <rPh sb="9" eb="12">
      <t>ハルナツゴウ</t>
    </rPh>
    <phoneticPr fontId="2"/>
  </si>
  <si>
    <t>セシールB&amp;H22春夏号㉜</t>
    <rPh sb="9" eb="12">
      <t>ハルナツゴウ</t>
    </rPh>
    <phoneticPr fontId="2"/>
  </si>
  <si>
    <t>JOD(西濃）</t>
    <rPh sb="4" eb="6">
      <t>セイノウ</t>
    </rPh>
    <phoneticPr fontId="3"/>
  </si>
  <si>
    <t>夢販</t>
    <rPh sb="0" eb="2">
      <t>ユメハン</t>
    </rPh>
    <phoneticPr fontId="3"/>
  </si>
  <si>
    <t>納前分</t>
    <rPh sb="0" eb="2">
      <t>ノウマエ</t>
    </rPh>
    <rPh sb="2" eb="3">
      <t>ブン</t>
    </rPh>
    <phoneticPr fontId="3"/>
  </si>
  <si>
    <t>納前分</t>
    <rPh sb="0" eb="3">
      <t>ノウマエブン</t>
    </rPh>
    <phoneticPr fontId="3"/>
  </si>
  <si>
    <t>不足分</t>
    <rPh sb="0" eb="3">
      <t>フソクブン</t>
    </rPh>
    <phoneticPr fontId="3"/>
  </si>
  <si>
    <t>千趣会yurubi撮影用サンプル返却</t>
    <rPh sb="0" eb="3">
      <t>センシュカイ</t>
    </rPh>
    <rPh sb="9" eb="12">
      <t>サツエイヨウ</t>
    </rPh>
    <rPh sb="16" eb="18">
      <t>ヘンキャク</t>
    </rPh>
    <phoneticPr fontId="2"/>
  </si>
  <si>
    <t>2022/10/6数伝</t>
    <rPh sb="9" eb="10">
      <t>スウ</t>
    </rPh>
    <rPh sb="10" eb="11">
      <t>デン</t>
    </rPh>
    <phoneticPr fontId="3"/>
  </si>
  <si>
    <t>JODメルシー1224</t>
    <phoneticPr fontId="3"/>
  </si>
  <si>
    <t>12/24～</t>
    <phoneticPr fontId="3"/>
  </si>
  <si>
    <t>JOD色合せ用sample返却</t>
    <rPh sb="3" eb="5">
      <t>イロアワ</t>
    </rPh>
    <rPh sb="6" eb="7">
      <t>ヨウ</t>
    </rPh>
    <rPh sb="13" eb="15">
      <t>ヘンキャク</t>
    </rPh>
    <phoneticPr fontId="3"/>
  </si>
  <si>
    <t>かりん</t>
    <phoneticPr fontId="3"/>
  </si>
  <si>
    <t>JOD返品</t>
    <rPh sb="3" eb="5">
      <t>ヘンピン</t>
    </rPh>
    <phoneticPr fontId="3"/>
  </si>
  <si>
    <t>JOD特別号9556</t>
    <rPh sb="3" eb="6">
      <t>トクベツゴウ</t>
    </rPh>
    <phoneticPr fontId="3"/>
  </si>
  <si>
    <t>1/27～</t>
    <phoneticPr fontId="3"/>
  </si>
  <si>
    <t>JOD特別版0225</t>
    <rPh sb="3" eb="5">
      <t>トクベツ</t>
    </rPh>
    <rPh sb="5" eb="6">
      <t>バン</t>
    </rPh>
    <phoneticPr fontId="3"/>
  </si>
  <si>
    <t>2/24～</t>
    <phoneticPr fontId="3"/>
  </si>
  <si>
    <t>追加</t>
    <rPh sb="0" eb="2">
      <t>ツイカ</t>
    </rPh>
    <phoneticPr fontId="3"/>
  </si>
  <si>
    <t>JOD返品</t>
    <rPh sb="3" eb="5">
      <t>ヘンピン</t>
    </rPh>
    <phoneticPr fontId="3"/>
  </si>
  <si>
    <t>JOD</t>
    <phoneticPr fontId="3"/>
  </si>
  <si>
    <t>夢販</t>
    <rPh sb="0" eb="2">
      <t>ユメハン</t>
    </rPh>
    <phoneticPr fontId="3"/>
  </si>
  <si>
    <t>JODメルシー0406</t>
    <phoneticPr fontId="3"/>
  </si>
  <si>
    <t>4/6～</t>
    <phoneticPr fontId="3"/>
  </si>
  <si>
    <t>JOD</t>
    <phoneticPr fontId="3"/>
  </si>
  <si>
    <t>JODアクセス7092</t>
    <phoneticPr fontId="3"/>
  </si>
  <si>
    <t>4/25～</t>
    <phoneticPr fontId="3"/>
  </si>
  <si>
    <t>夢販</t>
    <rPh sb="0" eb="2">
      <t>ユメハン</t>
    </rPh>
    <phoneticPr fontId="3"/>
  </si>
  <si>
    <t>千趣会返品</t>
    <rPh sb="0" eb="3">
      <t>センシュカイ</t>
    </rPh>
    <rPh sb="3" eb="5">
      <t>ヘンピン</t>
    </rPh>
    <phoneticPr fontId="3"/>
  </si>
  <si>
    <t>JODメルシー0506</t>
    <phoneticPr fontId="3"/>
  </si>
  <si>
    <t>5/6～</t>
    <phoneticPr fontId="3"/>
  </si>
  <si>
    <t>電話注文</t>
    <rPh sb="0" eb="4">
      <t>デンワチュウモン</t>
    </rPh>
    <phoneticPr fontId="3"/>
  </si>
  <si>
    <t>JOD</t>
    <phoneticPr fontId="3"/>
  </si>
  <si>
    <t>ネット交換</t>
    <rPh sb="3" eb="5">
      <t>コウカン</t>
    </rPh>
    <phoneticPr fontId="2"/>
  </si>
  <si>
    <t>JOD特別号9569</t>
    <rPh sb="3" eb="6">
      <t>トクベツゴウ</t>
    </rPh>
    <phoneticPr fontId="3"/>
  </si>
  <si>
    <t>6/5～</t>
    <phoneticPr fontId="3"/>
  </si>
  <si>
    <t>JOD特別版0606</t>
    <rPh sb="3" eb="6">
      <t>トクベツバン</t>
    </rPh>
    <phoneticPr fontId="3"/>
  </si>
  <si>
    <t>K-PORT</t>
    <phoneticPr fontId="3"/>
  </si>
  <si>
    <t>夢販移動</t>
    <rPh sb="0" eb="4">
      <t>ユメハンイドウ</t>
    </rPh>
    <phoneticPr fontId="3"/>
  </si>
  <si>
    <t>JOD返品</t>
    <rPh sb="3" eb="5">
      <t>ヘンピン</t>
    </rPh>
    <phoneticPr fontId="3"/>
  </si>
  <si>
    <t>JOD</t>
    <phoneticPr fontId="3"/>
  </si>
  <si>
    <t>追加</t>
    <rPh sb="0" eb="2">
      <t>ツイカ</t>
    </rPh>
    <phoneticPr fontId="3"/>
  </si>
  <si>
    <t>JOD返品</t>
    <rPh sb="3" eb="5">
      <t>ヘンピン</t>
    </rPh>
    <phoneticPr fontId="3"/>
  </si>
  <si>
    <t>JOD特別号7592</t>
    <rPh sb="3" eb="6">
      <t>トクベツゴウ</t>
    </rPh>
    <phoneticPr fontId="3"/>
  </si>
  <si>
    <t>6/21～</t>
    <phoneticPr fontId="3"/>
  </si>
  <si>
    <t>かりん</t>
    <phoneticPr fontId="3"/>
  </si>
  <si>
    <t>JODメルシー0624</t>
    <phoneticPr fontId="3"/>
  </si>
  <si>
    <t>6/24～</t>
    <phoneticPr fontId="3"/>
  </si>
  <si>
    <t>JODアクセス7094</t>
    <phoneticPr fontId="3"/>
  </si>
  <si>
    <t>7/12～</t>
    <phoneticPr fontId="3"/>
  </si>
  <si>
    <t>JOD返品</t>
    <rPh sb="3" eb="5">
      <t>ヘンピン</t>
    </rPh>
    <phoneticPr fontId="3"/>
  </si>
  <si>
    <t>JODメルシースポーツ0806</t>
    <phoneticPr fontId="3"/>
  </si>
  <si>
    <t>8/4～</t>
    <phoneticPr fontId="3"/>
  </si>
  <si>
    <t>かりん</t>
    <phoneticPr fontId="3"/>
  </si>
  <si>
    <t>追加</t>
    <rPh sb="0" eb="2">
      <t>ツイカ</t>
    </rPh>
    <phoneticPr fontId="3"/>
  </si>
  <si>
    <t>JODメルシー0901</t>
    <phoneticPr fontId="3"/>
  </si>
  <si>
    <t>9/1～</t>
    <phoneticPr fontId="3"/>
  </si>
  <si>
    <t>在庫確認</t>
    <rPh sb="0" eb="4">
      <t>ザイコカクニン</t>
    </rPh>
    <phoneticPr fontId="3"/>
  </si>
  <si>
    <t>追加</t>
    <rPh sb="0" eb="2">
      <t>ツイカ</t>
    </rPh>
    <phoneticPr fontId="3"/>
  </si>
  <si>
    <t>JOD特別版0914</t>
    <rPh sb="3" eb="6">
      <t>トクベツバン</t>
    </rPh>
    <phoneticPr fontId="3"/>
  </si>
  <si>
    <t>在庫確認</t>
    <rPh sb="0" eb="4">
      <t>ザイコカクニン</t>
    </rPh>
    <phoneticPr fontId="3"/>
  </si>
  <si>
    <t>かりん</t>
    <phoneticPr fontId="3"/>
  </si>
  <si>
    <t>追加</t>
    <rPh sb="0" eb="2">
      <t>ツイカ</t>
    </rPh>
    <phoneticPr fontId="3"/>
  </si>
  <si>
    <t>JOD返品</t>
    <rPh sb="3" eb="5">
      <t>ヘンピン</t>
    </rPh>
    <phoneticPr fontId="3"/>
  </si>
  <si>
    <t>かりん</t>
    <phoneticPr fontId="3"/>
  </si>
  <si>
    <t>JOD返品</t>
    <rPh sb="3" eb="5">
      <t>ヘンピン</t>
    </rPh>
    <phoneticPr fontId="3"/>
  </si>
  <si>
    <t>追加</t>
    <rPh sb="0" eb="2">
      <t>ツイカ</t>
    </rPh>
    <phoneticPr fontId="3"/>
  </si>
  <si>
    <t>JODメルシー1026</t>
    <phoneticPr fontId="3"/>
  </si>
  <si>
    <t>10/26～</t>
    <phoneticPr fontId="3"/>
  </si>
  <si>
    <t>かりん</t>
    <phoneticPr fontId="3"/>
  </si>
  <si>
    <t>追加</t>
    <rPh sb="0" eb="2">
      <t>ツイカ</t>
    </rPh>
    <phoneticPr fontId="3"/>
  </si>
  <si>
    <t>夢販</t>
    <rPh sb="0" eb="2">
      <t>ユメハン</t>
    </rPh>
    <phoneticPr fontId="3"/>
  </si>
  <si>
    <t>追加</t>
    <rPh sb="0" eb="2">
      <t>ツイカ</t>
    </rPh>
    <phoneticPr fontId="3"/>
  </si>
  <si>
    <t>JODアクセス7098</t>
    <phoneticPr fontId="3"/>
  </si>
  <si>
    <t>1/15～</t>
    <phoneticPr fontId="3"/>
  </si>
  <si>
    <t>12/5～</t>
    <phoneticPr fontId="3"/>
  </si>
  <si>
    <t>JOD特別版1206</t>
    <rPh sb="3" eb="5">
      <t>トクベツ</t>
    </rPh>
    <rPh sb="5" eb="6">
      <t>バン</t>
    </rPh>
    <phoneticPr fontId="3"/>
  </si>
  <si>
    <t>追加</t>
    <rPh sb="0" eb="2">
      <t>ツイカ</t>
    </rPh>
    <phoneticPr fontId="3"/>
  </si>
  <si>
    <t>JOD特別版0123</t>
    <rPh sb="3" eb="6">
      <t>トクベツバン</t>
    </rPh>
    <phoneticPr fontId="3"/>
  </si>
  <si>
    <t>1/22～</t>
    <phoneticPr fontId="3"/>
  </si>
  <si>
    <t>JODアクセス7099</t>
    <phoneticPr fontId="3"/>
  </si>
  <si>
    <t>2/19～</t>
    <phoneticPr fontId="3"/>
  </si>
  <si>
    <t>JOD</t>
    <phoneticPr fontId="3"/>
  </si>
  <si>
    <t>JODメルシー0224</t>
    <phoneticPr fontId="3"/>
  </si>
  <si>
    <t>夢販</t>
    <rPh sb="0" eb="2">
      <t>ユメハン</t>
    </rPh>
    <phoneticPr fontId="3"/>
  </si>
  <si>
    <t>JOD特別版0326</t>
    <rPh sb="3" eb="6">
      <t>トクベツバン</t>
    </rPh>
    <phoneticPr fontId="3"/>
  </si>
  <si>
    <t>3/25～</t>
    <phoneticPr fontId="3"/>
  </si>
  <si>
    <t>千趣会WEB(24SS)①</t>
    <rPh sb="0" eb="3">
      <t>センシュカイ</t>
    </rPh>
    <phoneticPr fontId="20"/>
  </si>
  <si>
    <t>JODアクセス7000</t>
    <phoneticPr fontId="3"/>
  </si>
  <si>
    <t>JOD特別号9596</t>
    <rPh sb="3" eb="6">
      <t>トクベツゴウ</t>
    </rPh>
    <phoneticPr fontId="3"/>
  </si>
  <si>
    <t>4/20～</t>
    <phoneticPr fontId="3"/>
  </si>
  <si>
    <t>千趣会WEB(24SS)②</t>
    <rPh sb="0" eb="3">
      <t>センシュカイ</t>
    </rPh>
    <phoneticPr fontId="20"/>
  </si>
  <si>
    <t>JOD返品</t>
    <rPh sb="3" eb="5">
      <t>ヘンピン</t>
    </rPh>
    <phoneticPr fontId="3"/>
  </si>
  <si>
    <t>追加</t>
    <rPh sb="0" eb="2">
      <t>ツイカ</t>
    </rPh>
    <phoneticPr fontId="3"/>
  </si>
  <si>
    <t>千趣会WEB(24SS)③</t>
    <rPh sb="0" eb="3">
      <t>センシュカイ</t>
    </rPh>
    <phoneticPr fontId="20"/>
  </si>
  <si>
    <t>かりん</t>
    <phoneticPr fontId="3"/>
  </si>
  <si>
    <t>5/7～</t>
    <phoneticPr fontId="3"/>
  </si>
  <si>
    <t>JODメルシースポーツ0510</t>
    <phoneticPr fontId="3"/>
  </si>
  <si>
    <t>JOD</t>
    <phoneticPr fontId="3"/>
  </si>
  <si>
    <t>千趣会WEB(24SS)④</t>
    <rPh sb="0" eb="3">
      <t>センシュカイ</t>
    </rPh>
    <phoneticPr fontId="20"/>
  </si>
  <si>
    <t>JOD</t>
    <phoneticPr fontId="3"/>
  </si>
  <si>
    <t>千趣会WEB(24SS)⑤</t>
    <rPh sb="0" eb="3">
      <t>センシュカイ</t>
    </rPh>
    <phoneticPr fontId="20"/>
  </si>
  <si>
    <t>千趣会WEB(24SS)⑥</t>
    <rPh sb="0" eb="3">
      <t>センシュカイ</t>
    </rPh>
    <phoneticPr fontId="20"/>
  </si>
  <si>
    <t>千趣会WEB(24SS)⑦</t>
    <rPh sb="0" eb="3">
      <t>センシュカイ</t>
    </rPh>
    <phoneticPr fontId="20"/>
  </si>
  <si>
    <t>かりん</t>
    <phoneticPr fontId="3"/>
  </si>
  <si>
    <t>千趣会WEB(24SS)⑧</t>
    <rPh sb="0" eb="3">
      <t>センシュカイ</t>
    </rPh>
    <phoneticPr fontId="20"/>
  </si>
  <si>
    <t>JODサンプル</t>
    <phoneticPr fontId="3"/>
  </si>
  <si>
    <t>千趣会WEB(24SS)⑨</t>
    <rPh sb="0" eb="3">
      <t>センシュカイ</t>
    </rPh>
    <phoneticPr fontId="20"/>
  </si>
  <si>
    <t>千趣会WEB(24SS)⑩</t>
    <rPh sb="0" eb="3">
      <t>センシュカイ</t>
    </rPh>
    <phoneticPr fontId="20"/>
  </si>
  <si>
    <t>クライム孫さん</t>
    <rPh sb="4" eb="5">
      <t>ソン</t>
    </rPh>
    <phoneticPr fontId="3"/>
  </si>
  <si>
    <t>千趣会WEB(24SS)⑪</t>
    <rPh sb="0" eb="3">
      <t>センシュカイ</t>
    </rPh>
    <phoneticPr fontId="20"/>
  </si>
  <si>
    <t>千趣会WEB(24SS)⑫</t>
    <rPh sb="0" eb="3">
      <t>センシュカイ</t>
    </rPh>
    <phoneticPr fontId="20"/>
  </si>
  <si>
    <t>千趣会WEB(24SS)⑬</t>
    <rPh sb="0" eb="3">
      <t>センシュカイ</t>
    </rPh>
    <phoneticPr fontId="20"/>
  </si>
  <si>
    <t>千趣会WEB(24SS)⑭</t>
    <rPh sb="0" eb="3">
      <t>センシュカイ</t>
    </rPh>
    <phoneticPr fontId="20"/>
  </si>
  <si>
    <t>追加</t>
    <rPh sb="0" eb="2">
      <t>ツイカ</t>
    </rPh>
    <phoneticPr fontId="3"/>
  </si>
  <si>
    <t>千趣会WEB(24SS)⑮</t>
    <rPh sb="0" eb="3">
      <t>センシュカイ</t>
    </rPh>
    <phoneticPr fontId="20"/>
  </si>
  <si>
    <t>JOD</t>
    <phoneticPr fontId="3"/>
  </si>
  <si>
    <t>千趣会WEB(24SS)⑯</t>
    <rPh sb="0" eb="3">
      <t>センシュカイ</t>
    </rPh>
    <phoneticPr fontId="20"/>
  </si>
  <si>
    <t>千趣会WEB(24SS)⑰</t>
    <rPh sb="0" eb="3">
      <t>センシュカイ</t>
    </rPh>
    <phoneticPr fontId="20"/>
  </si>
  <si>
    <t>千趣会WEB(24SS)⑱</t>
    <rPh sb="0" eb="3">
      <t>センシュカイ</t>
    </rPh>
    <phoneticPr fontId="20"/>
  </si>
  <si>
    <t>JODアクセス7004</t>
    <phoneticPr fontId="3"/>
  </si>
  <si>
    <t>10/1～</t>
    <phoneticPr fontId="3"/>
  </si>
  <si>
    <t>千趣会WEB(24SS)⑲</t>
    <rPh sb="0" eb="3">
      <t>センシュカイ</t>
    </rPh>
    <phoneticPr fontId="20"/>
  </si>
  <si>
    <t>ネット返品</t>
    <rPh sb="3" eb="5">
      <t>ヘンピン</t>
    </rPh>
    <phoneticPr fontId="3"/>
  </si>
  <si>
    <t>千趣会WEB(24SS)⑳</t>
    <rPh sb="0" eb="3">
      <t>センシュカイ</t>
    </rPh>
    <phoneticPr fontId="20"/>
  </si>
  <si>
    <t>JODサンプル返却</t>
    <rPh sb="7" eb="9">
      <t>ヘンキャク</t>
    </rPh>
    <phoneticPr fontId="3"/>
  </si>
  <si>
    <t>千趣会WEB(24SS)㉑</t>
    <rPh sb="0" eb="3">
      <t>センシュカイ</t>
    </rPh>
    <phoneticPr fontId="20"/>
  </si>
  <si>
    <t>千趣会WEB(24SS)㉒</t>
    <rPh sb="0" eb="3">
      <t>センシュカイ</t>
    </rPh>
    <phoneticPr fontId="20"/>
  </si>
  <si>
    <t>JOD</t>
    <phoneticPr fontId="3"/>
  </si>
  <si>
    <t>千趣会WEB(24SS)㉓</t>
    <rPh sb="0" eb="3">
      <t>センシュカイ</t>
    </rPh>
    <phoneticPr fontId="20"/>
  </si>
  <si>
    <t>千趣会WEB(24SS)㉔</t>
    <rPh sb="0" eb="3">
      <t>センシュカイ</t>
    </rPh>
    <phoneticPr fontId="20"/>
  </si>
  <si>
    <t>JOD</t>
    <phoneticPr fontId="3"/>
  </si>
  <si>
    <t>追加</t>
    <rPh sb="0" eb="2">
      <t>ツイカ</t>
    </rPh>
    <phoneticPr fontId="3"/>
  </si>
  <si>
    <t>K-PORT</t>
    <phoneticPr fontId="3"/>
  </si>
  <si>
    <t>夢販移動</t>
    <rPh sb="0" eb="2">
      <t>ユメハン</t>
    </rPh>
    <rPh sb="2" eb="4">
      <t>イドウ</t>
    </rPh>
    <phoneticPr fontId="3"/>
  </si>
  <si>
    <t>2025/1末まで確保</t>
    <rPh sb="6" eb="7">
      <t>マツ</t>
    </rPh>
    <rPh sb="9" eb="11">
      <t>カクホ</t>
    </rPh>
    <phoneticPr fontId="3"/>
  </si>
  <si>
    <t>千趣会返品</t>
  </si>
  <si>
    <t>追加</t>
    <rPh sb="0" eb="2">
      <t>ツイカ</t>
    </rPh>
    <phoneticPr fontId="3"/>
  </si>
  <si>
    <t>JOD</t>
    <phoneticPr fontId="3"/>
  </si>
  <si>
    <t>かりん</t>
    <phoneticPr fontId="3"/>
  </si>
  <si>
    <t>ネット</t>
    <phoneticPr fontId="3"/>
  </si>
  <si>
    <t>×</t>
    <phoneticPr fontId="3"/>
  </si>
  <si>
    <t>JODアクセス7008</t>
    <phoneticPr fontId="3"/>
  </si>
  <si>
    <t>×</t>
    <phoneticPr fontId="3"/>
  </si>
  <si>
    <t>追加</t>
  </si>
  <si>
    <t>かりん</t>
    <phoneticPr fontId="3"/>
  </si>
  <si>
    <t>←ここまで式確認2025/8/28</t>
    <rPh sb="0" eb="8">
      <t>&lt;-ココマデシキカクニン</t>
    </rPh>
    <phoneticPr fontId="3"/>
  </si>
  <si>
    <t>ディノス撮影用sample</t>
    <rPh sb="4" eb="7">
      <t>サツエイヨウ</t>
    </rPh>
    <phoneticPr fontId="3"/>
  </si>
  <si>
    <t>×</t>
    <phoneticPr fontId="3"/>
  </si>
  <si>
    <t>JOD特別版1028</t>
    <rPh sb="3" eb="6">
      <t>トクベツバン</t>
    </rPh>
    <phoneticPr fontId="3"/>
  </si>
  <si>
    <t>10/27～</t>
    <phoneticPr fontId="3"/>
  </si>
  <si>
    <t>ディノス撮影用sample返却</t>
    <rPh sb="4" eb="7">
      <t>サツエイヨウ</t>
    </rPh>
    <rPh sb="13" eb="15">
      <t>ヘンキャク</t>
    </rPh>
    <phoneticPr fontId="3"/>
  </si>
  <si>
    <t>夢販</t>
    <rPh sb="0" eb="2">
      <t>ユメハン</t>
    </rPh>
    <phoneticPr fontId="3"/>
  </si>
  <si>
    <t>JOD</t>
    <phoneticPr fontId="3"/>
  </si>
  <si>
    <t>追加</t>
    <rPh sb="0" eb="2">
      <t>ツイカ</t>
    </rPh>
    <phoneticPr fontId="3"/>
  </si>
  <si>
    <t>+</t>
    <phoneticPr fontId="3"/>
  </si>
  <si>
    <t>夢販</t>
    <rPh sb="0" eb="2">
      <t>ユメハン</t>
    </rPh>
    <phoneticPr fontId="3"/>
  </si>
  <si>
    <t>ネット</t>
    <phoneticPr fontId="3"/>
  </si>
  <si>
    <t>JOD返品</t>
    <rPh sb="3" eb="5">
      <t>ヘンピン</t>
    </rPh>
    <phoneticPr fontId="3"/>
  </si>
  <si>
    <t>×</t>
    <phoneticPr fontId="3"/>
  </si>
  <si>
    <t>JOD柄お任せ提案M～LL</t>
    <rPh sb="3" eb="4">
      <t>ガラ</t>
    </rPh>
    <rPh sb="5" eb="6">
      <t>マカ</t>
    </rPh>
    <rPh sb="7" eb="9">
      <t>テイアン</t>
    </rPh>
    <phoneticPr fontId="3"/>
  </si>
  <si>
    <t>1/31提案</t>
    <rPh sb="4" eb="6">
      <t>テイアン</t>
    </rPh>
    <phoneticPr fontId="3"/>
  </si>
  <si>
    <t>かりん</t>
    <phoneticPr fontId="3"/>
  </si>
  <si>
    <t>ゆめはん</t>
    <phoneticPr fontId="3"/>
  </si>
  <si>
    <t>夢販</t>
    <rPh sb="0" eb="2">
      <t>y</t>
    </rPh>
    <phoneticPr fontId="3"/>
  </si>
  <si>
    <t>JOD特別版0507お任せ￥3990</t>
    <rPh sb="3" eb="6">
      <t>トクベツバン</t>
    </rPh>
    <phoneticPr fontId="3"/>
  </si>
  <si>
    <t>JOD</t>
    <phoneticPr fontId="3"/>
  </si>
  <si>
    <t>追加</t>
    <rPh sb="0" eb="2">
      <t>ツイカ</t>
    </rPh>
    <phoneticPr fontId="3"/>
  </si>
  <si>
    <t>ネット交換</t>
    <rPh sb="3" eb="5">
      <t>コウカン</t>
    </rPh>
    <phoneticPr fontId="3"/>
  </si>
  <si>
    <t>ネット</t>
    <phoneticPr fontId="3"/>
  </si>
  <si>
    <t>JOD</t>
    <phoneticPr fontId="3"/>
  </si>
  <si>
    <t>かりん</t>
    <phoneticPr fontId="3"/>
  </si>
  <si>
    <t>ゆめはん</t>
    <phoneticPr fontId="3"/>
  </si>
  <si>
    <t>ネット</t>
    <phoneticPr fontId="3"/>
  </si>
  <si>
    <t>追加</t>
    <rPh sb="0" eb="2">
      <t>ツイカ</t>
    </rPh>
    <phoneticPr fontId="3"/>
  </si>
  <si>
    <t>JOD</t>
    <phoneticPr fontId="3"/>
  </si>
  <si>
    <t>ネット返品</t>
    <rPh sb="3" eb="5">
      <t>ヘンピン</t>
    </rPh>
    <phoneticPr fontId="3"/>
  </si>
  <si>
    <t>JOD返品</t>
    <rPh sb="3" eb="5">
      <t>ヘンピン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</si>
</sst>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4" x14ac:knownFonts="1">
    <font>
      <sz val="11"/>
      <color theme="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25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7" fillId="0" borderId="8" xfId="0" applyFont="1" applyBorder="1" applyAlignment="1"/>
    <xf numFmtId="0" fontId="7" fillId="0" borderId="9" xfId="0" applyFont="1" applyBorder="1" applyAlignment="1"/>
    <xf numFmtId="0" fontId="7" fillId="0" borderId="7" xfId="0" applyFont="1" applyBorder="1" applyAlignment="1"/>
    <xf numFmtId="0" fontId="0" fillId="0" borderId="1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8" fillId="0" borderId="2" xfId="0" applyFont="1" applyBorder="1" applyAlignment="1"/>
    <xf numFmtId="0" fontId="5" fillId="0" borderId="7" xfId="0" applyFont="1" applyBorder="1" applyAlignment="1">
      <alignment horizontal="center" vertical="center"/>
    </xf>
    <xf numFmtId="0" fontId="0" fillId="0" borderId="12" xfId="0" applyBorder="1" applyAlignment="1"/>
    <xf numFmtId="0" fontId="5" fillId="0" borderId="12" xfId="0" applyFont="1" applyBorder="1" applyAlignment="1">
      <alignment horizontal="center" vertical="center"/>
    </xf>
    <xf numFmtId="0" fontId="7" fillId="0" borderId="12" xfId="0" applyFont="1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/>
    <xf numFmtId="0" fontId="8" fillId="0" borderId="10" xfId="0" applyFont="1" applyBorder="1" applyAlignment="1"/>
    <xf numFmtId="0" fontId="8" fillId="0" borderId="16" xfId="0" applyFont="1" applyBorder="1" applyAlignment="1"/>
    <xf numFmtId="0" fontId="9" fillId="0" borderId="1" xfId="0" applyFont="1" applyBorder="1" applyAlignment="1">
      <alignment horizontal="center" vertical="center"/>
    </xf>
    <xf numFmtId="0" fontId="14" fillId="0" borderId="2" xfId="0" applyFont="1" applyBorder="1" applyAlignment="1"/>
    <xf numFmtId="0" fontId="15" fillId="0" borderId="17" xfId="0" applyFont="1" applyBorder="1" applyAlignment="1"/>
    <xf numFmtId="0" fontId="15" fillId="0" borderId="18" xfId="0" applyFont="1" applyBorder="1" applyAlignment="1"/>
    <xf numFmtId="0" fontId="15" fillId="0" borderId="19" xfId="0" applyFont="1" applyBorder="1" applyAlignment="1"/>
    <xf numFmtId="0" fontId="15" fillId="0" borderId="7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/>
    <xf numFmtId="0" fontId="6" fillId="0" borderId="7" xfId="0" applyFont="1" applyBorder="1" applyAlignment="1">
      <alignment horizontal="center" vertical="center"/>
    </xf>
    <xf numFmtId="0" fontId="15" fillId="0" borderId="8" xfId="0" applyFont="1" applyBorder="1" applyAlignment="1"/>
    <xf numFmtId="0" fontId="15" fillId="0" borderId="9" xfId="0" applyFont="1" applyBorder="1" applyAlignment="1"/>
    <xf numFmtId="0" fontId="15" fillId="0" borderId="12" xfId="0" applyFont="1" applyBorder="1" applyAlignment="1"/>
    <xf numFmtId="0" fontId="15" fillId="0" borderId="22" xfId="0" applyFont="1" applyBorder="1" applyAlignment="1"/>
    <xf numFmtId="0" fontId="15" fillId="0" borderId="23" xfId="0" applyFont="1" applyBorder="1" applyAlignment="1"/>
    <xf numFmtId="0" fontId="7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2" xfId="0" applyFont="1" applyBorder="1" applyAlignment="1"/>
    <xf numFmtId="0" fontId="15" fillId="0" borderId="2" xfId="0" applyFont="1" applyBorder="1" applyAlignment="1"/>
    <xf numFmtId="0" fontId="14" fillId="0" borderId="24" xfId="0" applyFont="1" applyBorder="1" applyAlignment="1"/>
    <xf numFmtId="0" fontId="0" fillId="0" borderId="25" xfId="0" applyBorder="1" applyAlignment="1"/>
    <xf numFmtId="0" fontId="15" fillId="0" borderId="26" xfId="0" applyFont="1" applyBorder="1" applyAlignment="1"/>
    <xf numFmtId="0" fontId="0" fillId="0" borderId="26" xfId="0" applyBorder="1" applyAlignment="1"/>
    <xf numFmtId="0" fontId="7" fillId="0" borderId="26" xfId="0" applyFont="1" applyBorder="1" applyAlignment="1"/>
    <xf numFmtId="0" fontId="15" fillId="0" borderId="27" xfId="0" applyFont="1" applyBorder="1" applyAlignment="1"/>
    <xf numFmtId="0" fontId="7" fillId="0" borderId="25" xfId="0" applyFont="1" applyBorder="1" applyAlignment="1"/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30" xfId="0" applyFont="1" applyBorder="1" applyAlignment="1"/>
    <xf numFmtId="0" fontId="7" fillId="0" borderId="31" xfId="0" applyFont="1" applyBorder="1" applyAlignment="1"/>
    <xf numFmtId="0" fontId="0" fillId="0" borderId="3" xfId="0" applyBorder="1" applyAlignment="1"/>
    <xf numFmtId="0" fontId="8" fillId="0" borderId="32" xfId="0" applyFont="1" applyBorder="1" applyAlignment="1"/>
    <xf numFmtId="0" fontId="7" fillId="0" borderId="33" xfId="0" applyFont="1" applyBorder="1" applyAlignment="1"/>
    <xf numFmtId="0" fontId="0" fillId="0" borderId="33" xfId="0" applyBorder="1" applyAlignment="1"/>
    <xf numFmtId="0" fontId="7" fillId="0" borderId="34" xfId="0" applyFont="1" applyBorder="1" applyAlignment="1"/>
    <xf numFmtId="0" fontId="0" fillId="0" borderId="32" xfId="0" applyBorder="1" applyAlignment="1"/>
    <xf numFmtId="0" fontId="15" fillId="0" borderId="35" xfId="0" applyFont="1" applyBorder="1" applyAlignment="1"/>
    <xf numFmtId="0" fontId="15" fillId="0" borderId="33" xfId="0" applyFont="1" applyBorder="1" applyAlignment="1"/>
    <xf numFmtId="0" fontId="7" fillId="0" borderId="36" xfId="0" applyFont="1" applyBorder="1" applyAlignment="1"/>
    <xf numFmtId="0" fontId="0" fillId="0" borderId="4" xfId="0" applyBorder="1" applyAlignment="1"/>
    <xf numFmtId="0" fontId="8" fillId="0" borderId="4" xfId="0" applyFont="1" applyBorder="1" applyAlignment="1"/>
    <xf numFmtId="0" fontId="14" fillId="0" borderId="12" xfId="0" applyFont="1" applyBorder="1" applyAlignment="1"/>
    <xf numFmtId="0" fontId="14" fillId="0" borderId="37" xfId="0" applyFont="1" applyBorder="1" applyAlignment="1"/>
    <xf numFmtId="0" fontId="15" fillId="0" borderId="38" xfId="0" applyFont="1" applyBorder="1" applyAlignment="1"/>
    <xf numFmtId="0" fontId="15" fillId="0" borderId="39" xfId="0" applyFont="1" applyBorder="1" applyAlignment="1"/>
    <xf numFmtId="0" fontId="15" fillId="0" borderId="40" xfId="0" applyFont="1" applyBorder="1" applyAlignment="1"/>
    <xf numFmtId="0" fontId="7" fillId="0" borderId="19" xfId="0" applyFont="1" applyBorder="1" applyAlignment="1"/>
    <xf numFmtId="0" fontId="7" fillId="0" borderId="24" xfId="0" applyFont="1" applyBorder="1" applyAlignment="1"/>
    <xf numFmtId="56" fontId="15" fillId="0" borderId="0" xfId="0" applyNumberFormat="1" applyFont="1" applyAlignment="1">
      <alignment horizontal="left"/>
    </xf>
    <xf numFmtId="0" fontId="13" fillId="0" borderId="2" xfId="0" applyFont="1" applyBorder="1" applyAlignment="1"/>
    <xf numFmtId="0" fontId="5" fillId="0" borderId="25" xfId="0" applyFont="1" applyBorder="1" applyAlignment="1">
      <alignment horizontal="center" vertical="center"/>
    </xf>
    <xf numFmtId="0" fontId="7" fillId="0" borderId="20" xfId="0" applyFont="1" applyBorder="1" applyAlignment="1"/>
    <xf numFmtId="0" fontId="7" fillId="0" borderId="21" xfId="0" applyFont="1" applyBorder="1" applyAlignment="1"/>
    <xf numFmtId="0" fontId="7" fillId="0" borderId="41" xfId="0" applyFont="1" applyBorder="1" applyAlignment="1"/>
    <xf numFmtId="0" fontId="7" fillId="0" borderId="17" xfId="0" applyFont="1" applyBorder="1" applyAlignment="1"/>
    <xf numFmtId="0" fontId="7" fillId="0" borderId="42" xfId="0" applyFont="1" applyBorder="1" applyAlignment="1"/>
    <xf numFmtId="0" fontId="7" fillId="0" borderId="43" xfId="0" applyFont="1" applyBorder="1" applyAlignment="1"/>
    <xf numFmtId="0" fontId="7" fillId="0" borderId="18" xfId="0" applyFont="1" applyBorder="1" applyAlignment="1"/>
    <xf numFmtId="56" fontId="0" fillId="0" borderId="0" xfId="0" applyNumberFormat="1" applyAlignment="1">
      <alignment horizontal="left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22" xfId="0" applyFont="1" applyBorder="1" applyAlignment="1"/>
    <xf numFmtId="0" fontId="7" fillId="0" borderId="23" xfId="0" applyFont="1" applyBorder="1" applyAlignment="1"/>
    <xf numFmtId="0" fontId="7" fillId="0" borderId="38" xfId="0" applyFont="1" applyBorder="1" applyAlignment="1"/>
    <xf numFmtId="0" fontId="7" fillId="0" borderId="39" xfId="0" applyFont="1" applyBorder="1" applyAlignment="1"/>
    <xf numFmtId="56" fontId="7" fillId="0" borderId="0" xfId="0" applyNumberFormat="1" applyFont="1" applyAlignment="1">
      <alignment horizontal="left"/>
    </xf>
    <xf numFmtId="0" fontId="14" fillId="0" borderId="8" xfId="0" applyFont="1" applyBorder="1" applyAlignment="1"/>
    <xf numFmtId="0" fontId="16" fillId="0" borderId="25" xfId="0" applyFont="1" applyBorder="1" applyAlignment="1">
      <alignment horizontal="center" vertical="center"/>
    </xf>
    <xf numFmtId="0" fontId="14" fillId="0" borderId="20" xfId="0" applyFont="1" applyBorder="1" applyAlignment="1"/>
    <xf numFmtId="0" fontId="14" fillId="0" borderId="21" xfId="0" applyFont="1" applyBorder="1" applyAlignment="1"/>
    <xf numFmtId="0" fontId="14" fillId="0" borderId="19" xfId="0" applyFont="1" applyBorder="1" applyAlignment="1"/>
    <xf numFmtId="0" fontId="14" fillId="0" borderId="41" xfId="0" applyFont="1" applyBorder="1" applyAlignment="1"/>
    <xf numFmtId="0" fontId="14" fillId="0" borderId="7" xfId="0" applyFont="1" applyBorder="1" applyAlignment="1"/>
    <xf numFmtId="0" fontId="0" fillId="0" borderId="37" xfId="0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5" fillId="0" borderId="0" xfId="0" applyFont="1" applyAlignment="1"/>
    <xf numFmtId="0" fontId="15" fillId="0" borderId="24" xfId="0" applyFont="1" applyBorder="1" applyAlignment="1"/>
    <xf numFmtId="0" fontId="7" fillId="0" borderId="40" xfId="0" applyFont="1" applyBorder="1" applyAlignment="1"/>
    <xf numFmtId="0" fontId="15" fillId="0" borderId="25" xfId="0" applyFont="1" applyBorder="1" applyAlignment="1"/>
    <xf numFmtId="0" fontId="15" fillId="2" borderId="23" xfId="0" applyFont="1" applyFill="1" applyBorder="1" applyAlignment="1"/>
    <xf numFmtId="0" fontId="15" fillId="2" borderId="38" xfId="0" applyFont="1" applyFill="1" applyBorder="1" applyAlignment="1"/>
    <xf numFmtId="0" fontId="15" fillId="2" borderId="39" xfId="0" applyFont="1" applyFill="1" applyBorder="1" applyAlignment="1"/>
    <xf numFmtId="0" fontId="7" fillId="2" borderId="40" xfId="0" applyFont="1" applyFill="1" applyBorder="1" applyAlignment="1"/>
    <xf numFmtId="0" fontId="15" fillId="2" borderId="22" xfId="0" applyFont="1" applyFill="1" applyBorder="1" applyAlignment="1"/>
    <xf numFmtId="0" fontId="15" fillId="2" borderId="12" xfId="0" applyFont="1" applyFill="1" applyBorder="1" applyAlignment="1"/>
    <xf numFmtId="0" fontId="0" fillId="0" borderId="44" xfId="0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0" borderId="29" xfId="0" applyBorder="1" applyAlignment="1"/>
    <xf numFmtId="0" fontId="0" fillId="3" borderId="45" xfId="0" applyFill="1" applyBorder="1" applyAlignment="1"/>
    <xf numFmtId="0" fontId="0" fillId="3" borderId="46" xfId="0" applyFill="1" applyBorder="1" applyAlignment="1"/>
    <xf numFmtId="0" fontId="0" fillId="3" borderId="47" xfId="0" applyFill="1" applyBorder="1" applyAlignment="1"/>
    <xf numFmtId="0" fontId="15" fillId="0" borderId="0" xfId="0" applyFont="1" applyAlignment="1">
      <alignment horizontal="left"/>
    </xf>
    <xf numFmtId="0" fontId="15" fillId="0" borderId="13" xfId="0" applyFont="1" applyBorder="1" applyAlignment="1"/>
    <xf numFmtId="0" fontId="15" fillId="0" borderId="14" xfId="0" applyFont="1" applyBorder="1" applyAlignment="1"/>
    <xf numFmtId="0" fontId="15" fillId="0" borderId="15" xfId="0" applyFont="1" applyBorder="1" applyAlignment="1"/>
    <xf numFmtId="0" fontId="15" fillId="0" borderId="11" xfId="0" applyFont="1" applyBorder="1" applyAlignment="1"/>
    <xf numFmtId="0" fontId="15" fillId="0" borderId="3" xfId="0" applyFont="1" applyBorder="1" applyAlignment="1"/>
    <xf numFmtId="0" fontId="15" fillId="0" borderId="10" xfId="0" applyFont="1" applyBorder="1" applyAlignment="1"/>
    <xf numFmtId="0" fontId="15" fillId="0" borderId="32" xfId="0" applyFont="1" applyBorder="1" applyAlignment="1"/>
    <xf numFmtId="0" fontId="15" fillId="0" borderId="4" xfId="0" applyFont="1" applyBorder="1" applyAlignment="1"/>
    <xf numFmtId="0" fontId="7" fillId="0" borderId="37" xfId="0" applyFont="1" applyBorder="1" applyAlignment="1"/>
    <xf numFmtId="0" fontId="17" fillId="0" borderId="6" xfId="0" applyFont="1" applyBorder="1" applyAlignment="1">
      <alignment horizontal="center" vertical="center"/>
    </xf>
    <xf numFmtId="0" fontId="18" fillId="0" borderId="8" xfId="0" applyFont="1" applyBorder="1" applyAlignment="1"/>
    <xf numFmtId="0" fontId="18" fillId="0" borderId="9" xfId="0" applyFont="1" applyBorder="1" applyAlignment="1"/>
    <xf numFmtId="0" fontId="18" fillId="0" borderId="7" xfId="0" applyFont="1" applyBorder="1" applyAlignment="1"/>
    <xf numFmtId="0" fontId="18" fillId="0" borderId="25" xfId="0" applyFont="1" applyBorder="1" applyAlignment="1"/>
    <xf numFmtId="0" fontId="18" fillId="0" borderId="30" xfId="0" applyFont="1" applyBorder="1" applyAlignment="1"/>
    <xf numFmtId="0" fontId="18" fillId="0" borderId="31" xfId="0" applyFont="1" applyBorder="1" applyAlignment="1"/>
    <xf numFmtId="0" fontId="18" fillId="0" borderId="34" xfId="0" applyFont="1" applyBorder="1" applyAlignment="1"/>
    <xf numFmtId="0" fontId="18" fillId="0" borderId="24" xfId="0" applyFont="1" applyBorder="1" applyAlignment="1"/>
    <xf numFmtId="0" fontId="18" fillId="0" borderId="36" xfId="0" applyFont="1" applyBorder="1" applyAlignment="1"/>
    <xf numFmtId="0" fontId="0" fillId="0" borderId="2" xfId="0" applyBorder="1" applyAlignment="1"/>
    <xf numFmtId="0" fontId="13" fillId="0" borderId="0" xfId="0" applyFont="1" applyAlignment="1"/>
    <xf numFmtId="0" fontId="0" fillId="0" borderId="48" xfId="0" applyBorder="1" applyAlignment="1"/>
    <xf numFmtId="0" fontId="13" fillId="0" borderId="45" xfId="0" applyFont="1" applyBorder="1" applyAlignment="1"/>
    <xf numFmtId="0" fontId="13" fillId="0" borderId="46" xfId="0" applyFont="1" applyBorder="1" applyAlignment="1"/>
    <xf numFmtId="0" fontId="13" fillId="0" borderId="49" xfId="0" applyFont="1" applyBorder="1" applyAlignment="1"/>
    <xf numFmtId="0" fontId="7" fillId="4" borderId="8" xfId="0" applyFont="1" applyFill="1" applyBorder="1" applyAlignment="1"/>
    <xf numFmtId="0" fontId="7" fillId="4" borderId="9" xfId="0" applyFont="1" applyFill="1" applyBorder="1" applyAlignment="1"/>
    <xf numFmtId="0" fontId="7" fillId="0" borderId="27" xfId="0" applyFont="1" applyBorder="1" applyAlignment="1"/>
    <xf numFmtId="0" fontId="7" fillId="0" borderId="35" xfId="0" applyFont="1" applyBorder="1" applyAlignment="1"/>
    <xf numFmtId="0" fontId="6" fillId="0" borderId="12" xfId="0" applyFont="1" applyBorder="1" applyAlignment="1">
      <alignment horizontal="center" vertical="center"/>
    </xf>
    <xf numFmtId="0" fontId="7" fillId="4" borderId="12" xfId="0" applyFont="1" applyFill="1" applyBorder="1" applyAlignment="1"/>
    <xf numFmtId="0" fontId="7" fillId="4" borderId="26" xfId="0" applyFont="1" applyFill="1" applyBorder="1" applyAlignment="1"/>
    <xf numFmtId="0" fontId="7" fillId="4" borderId="33" xfId="0" applyFont="1" applyFill="1" applyBorder="1" applyAlignment="1"/>
    <xf numFmtId="0" fontId="12" fillId="0" borderId="6" xfId="0" applyFont="1" applyBorder="1" applyAlignment="1">
      <alignment horizontal="center" vertical="center"/>
    </xf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7" xfId="0" applyFont="1" applyBorder="1" applyAlignment="1"/>
    <xf numFmtId="0" fontId="4" fillId="0" borderId="25" xfId="0" applyFont="1" applyBorder="1" applyAlignment="1"/>
    <xf numFmtId="0" fontId="4" fillId="0" borderId="26" xfId="0" applyFont="1" applyBorder="1" applyAlignment="1"/>
    <xf numFmtId="0" fontId="4" fillId="0" borderId="33" xfId="0" applyFont="1" applyBorder="1" applyAlignment="1"/>
    <xf numFmtId="0" fontId="4" fillId="0" borderId="12" xfId="0" applyFont="1" applyBorder="1" applyAlignment="1"/>
    <xf numFmtId="0" fontId="7" fillId="0" borderId="5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0" borderId="12" xfId="0" applyFont="1" applyBorder="1" applyAlignment="1"/>
    <xf numFmtId="0" fontId="13" fillId="0" borderId="26" xfId="0" applyFont="1" applyBorder="1" applyAlignment="1"/>
    <xf numFmtId="0" fontId="13" fillId="0" borderId="33" xfId="0" applyFont="1" applyBorder="1" applyAlignment="1"/>
    <xf numFmtId="0" fontId="16" fillId="0" borderId="12" xfId="0" applyFont="1" applyBorder="1" applyAlignment="1">
      <alignment horizontal="center" vertical="center"/>
    </xf>
    <xf numFmtId="0" fontId="7" fillId="0" borderId="47" xfId="0" applyFont="1" applyBorder="1" applyAlignment="1"/>
    <xf numFmtId="0" fontId="18" fillId="0" borderId="47" xfId="0" applyFont="1" applyBorder="1" applyAlignment="1"/>
    <xf numFmtId="0" fontId="6" fillId="0" borderId="12" xfId="0" applyFont="1" applyBorder="1" applyAlignment="1">
      <alignment horizontal="center" vertical="center" shrinkToFit="1"/>
    </xf>
    <xf numFmtId="0" fontId="7" fillId="0" borderId="19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5" borderId="9" xfId="0" applyFont="1" applyFill="1" applyBorder="1" applyAlignment="1"/>
    <xf numFmtId="56" fontId="7" fillId="0" borderId="12" xfId="0" applyNumberFormat="1" applyFont="1" applyBorder="1" applyAlignment="1">
      <alignment horizontal="center" vertical="center"/>
    </xf>
    <xf numFmtId="0" fontId="7" fillId="0" borderId="6" xfId="0" applyFont="1" applyBorder="1" applyAlignment="1"/>
    <xf numFmtId="0" fontId="7" fillId="5" borderId="26" xfId="0" applyFont="1" applyFill="1" applyBorder="1" applyAlignment="1"/>
    <xf numFmtId="0" fontId="7" fillId="5" borderId="33" xfId="0" applyFont="1" applyFill="1" applyBorder="1" applyAlignment="1"/>
    <xf numFmtId="0" fontId="7" fillId="5" borderId="12" xfId="0" applyFont="1" applyFill="1" applyBorder="1" applyAlignment="1"/>
    <xf numFmtId="0" fontId="7" fillId="5" borderId="8" xfId="0" applyFont="1" applyFill="1" applyBorder="1" applyAlignment="1"/>
    <xf numFmtId="0" fontId="13" fillId="0" borderId="0" xfId="0" applyFont="1" applyAlignment="1">
      <alignment horizontal="left"/>
    </xf>
    <xf numFmtId="0" fontId="7" fillId="6" borderId="8" xfId="0" applyFont="1" applyFill="1" applyBorder="1" applyAlignment="1"/>
    <xf numFmtId="0" fontId="7" fillId="6" borderId="9" xfId="0" applyFont="1" applyFill="1" applyBorder="1" applyAlignment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56" fontId="13" fillId="0" borderId="0" xfId="0" applyNumberFormat="1" applyFont="1" applyAlignment="1">
      <alignment horizontal="left"/>
    </xf>
    <xf numFmtId="0" fontId="19" fillId="0" borderId="0" xfId="0" applyFont="1" applyAlignment="1"/>
    <xf numFmtId="56" fontId="19" fillId="0" borderId="0" xfId="0" applyNumberFormat="1" applyFont="1" applyAlignment="1">
      <alignment horizontal="left"/>
    </xf>
    <xf numFmtId="0" fontId="7" fillId="0" borderId="52" xfId="0" applyFont="1" applyBorder="1" applyAlignment="1"/>
    <xf numFmtId="0" fontId="7" fillId="0" borderId="53" xfId="0" applyFont="1" applyBorder="1" applyAlignment="1"/>
    <xf numFmtId="0" fontId="7" fillId="0" borderId="54" xfId="0" applyFont="1" applyBorder="1" applyAlignment="1"/>
    <xf numFmtId="0" fontId="7" fillId="0" borderId="55" xfId="0" applyFont="1" applyBorder="1" applyAlignment="1"/>
    <xf numFmtId="0" fontId="5" fillId="0" borderId="19" xfId="0" applyFont="1" applyBorder="1" applyAlignment="1">
      <alignment horizontal="center" vertical="center"/>
    </xf>
    <xf numFmtId="0" fontId="15" fillId="5" borderId="20" xfId="0" applyFont="1" applyFill="1" applyBorder="1" applyAlignment="1"/>
    <xf numFmtId="0" fontId="15" fillId="5" borderId="21" xfId="0" applyFont="1" applyFill="1" applyBorder="1" applyAlignment="1"/>
    <xf numFmtId="0" fontId="7" fillId="0" borderId="12" xfId="1" applyBorder="1" applyAlignment="1">
      <alignment horizontal="center" vertical="center"/>
    </xf>
    <xf numFmtId="0" fontId="15" fillId="5" borderId="27" xfId="0" applyFont="1" applyFill="1" applyBorder="1" applyAlignment="1"/>
    <xf numFmtId="0" fontId="15" fillId="5" borderId="35" xfId="0" applyFont="1" applyFill="1" applyBorder="1" applyAlignment="1"/>
    <xf numFmtId="176" fontId="0" fillId="0" borderId="0" xfId="0" applyNumberFormat="1" applyAlignment="1"/>
    <xf numFmtId="0" fontId="0" fillId="0" borderId="46" xfId="0" applyBorder="1" applyAlignment="1"/>
    <xf numFmtId="0" fontId="21" fillId="0" borderId="8" xfId="0" applyFont="1" applyBorder="1" applyAlignment="1"/>
    <xf numFmtId="0" fontId="21" fillId="0" borderId="9" xfId="0" applyFont="1" applyBorder="1" applyAlignment="1"/>
    <xf numFmtId="0" fontId="21" fillId="0" borderId="12" xfId="0" applyFont="1" applyBorder="1" applyAlignment="1"/>
    <xf numFmtId="0" fontId="21" fillId="0" borderId="26" xfId="0" applyFont="1" applyBorder="1" applyAlignment="1"/>
    <xf numFmtId="0" fontId="21" fillId="0" borderId="33" xfId="0" applyFont="1" applyBorder="1" applyAlignment="1"/>
    <xf numFmtId="56" fontId="21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15" fillId="7" borderId="8" xfId="0" applyFont="1" applyFill="1" applyBorder="1" applyAlignment="1"/>
    <xf numFmtId="0" fontId="15" fillId="7" borderId="9" xfId="0" applyFont="1" applyFill="1" applyBorder="1" applyAlignment="1"/>
    <xf numFmtId="0" fontId="19" fillId="0" borderId="9" xfId="0" applyFont="1" applyBorder="1" applyAlignment="1"/>
    <xf numFmtId="0" fontId="0" fillId="5" borderId="14" xfId="0" applyFill="1" applyBorder="1" applyAlignment="1"/>
    <xf numFmtId="0" fontId="8" fillId="5" borderId="10" xfId="0" applyFont="1" applyFill="1" applyBorder="1" applyAlignment="1"/>
    <xf numFmtId="0" fontId="0" fillId="5" borderId="15" xfId="0" applyFill="1" applyBorder="1" applyAlignment="1"/>
    <xf numFmtId="0" fontId="8" fillId="5" borderId="16" xfId="0" applyFont="1" applyFill="1" applyBorder="1" applyAlignment="1"/>
    <xf numFmtId="0" fontId="22" fillId="0" borderId="12" xfId="0" applyFont="1" applyBorder="1" applyAlignment="1">
      <alignment horizontal="center" vertical="center"/>
    </xf>
    <xf numFmtId="0" fontId="23" fillId="0" borderId="12" xfId="0" applyFont="1" applyBorder="1" applyAlignment="1"/>
    <xf numFmtId="0" fontId="0" fillId="6" borderId="14" xfId="0" applyFill="1" applyBorder="1" applyAlignment="1"/>
    <xf numFmtId="0" fontId="8" fillId="6" borderId="10" xfId="0" applyFont="1" applyFill="1" applyBorder="1" applyAlignment="1"/>
    <xf numFmtId="0" fontId="22" fillId="0" borderId="6" xfId="0" applyFont="1" applyBorder="1" applyAlignment="1">
      <alignment horizontal="center" vertical="center"/>
    </xf>
    <xf numFmtId="0" fontId="23" fillId="0" borderId="8" xfId="0" applyFont="1" applyBorder="1" applyAlignment="1"/>
    <xf numFmtId="0" fontId="23" fillId="0" borderId="9" xfId="0" applyFont="1" applyBorder="1" applyAlignment="1"/>
    <xf numFmtId="0" fontId="23" fillId="0" borderId="26" xfId="0" applyFont="1" applyBorder="1" applyAlignment="1"/>
    <xf numFmtId="0" fontId="23" fillId="0" borderId="33" xfId="0" applyFont="1" applyBorder="1" applyAlignment="1"/>
    <xf numFmtId="0" fontId="15" fillId="7" borderId="12" xfId="0" applyFont="1" applyFill="1" applyBorder="1" applyAlignment="1"/>
    <xf numFmtId="0" fontId="15" fillId="7" borderId="26" xfId="0" applyFont="1" applyFill="1" applyBorder="1" applyAlignment="1"/>
    <xf numFmtId="0" fontId="15" fillId="7" borderId="33" xfId="0" applyFont="1" applyFill="1" applyBorder="1" applyAlignment="1"/>
    <xf numFmtId="0" fontId="7" fillId="7" borderId="12" xfId="0" applyFont="1" applyFill="1" applyBorder="1" applyAlignment="1"/>
    <xf numFmtId="0" fontId="15" fillId="8" borderId="9" xfId="0" applyFont="1" applyFill="1" applyBorder="1" applyAlignment="1"/>
    <xf numFmtId="0" fontId="15" fillId="8" borderId="26" xfId="0" applyFont="1" applyFill="1" applyBorder="1" applyAlignment="1"/>
    <xf numFmtId="0" fontId="15" fillId="8" borderId="33" xfId="0" applyFont="1" applyFill="1" applyBorder="1" applyAlignment="1"/>
    <xf numFmtId="0" fontId="0" fillId="5" borderId="10" xfId="0" applyFill="1" applyBorder="1" applyAlignment="1"/>
    <xf numFmtId="0" fontId="13" fillId="9" borderId="9" xfId="0" applyFont="1" applyFill="1" applyBorder="1" applyAlignment="1"/>
    <xf numFmtId="0" fontId="13" fillId="9" borderId="8" xfId="0" applyFont="1" applyFill="1" applyBorder="1" applyAlignment="1"/>
    <xf numFmtId="0" fontId="0" fillId="0" borderId="1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2">
    <cellStyle name="標準" xfId="0" builtinId="0"/>
    <cellStyle name="標準 2" xfId="1" xr:uid="{8F0F7CD3-425D-4658-B165-1A3345F2C15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338"/>
  <sheetViews>
    <sheetView tabSelected="1" topLeftCell="A2303" zoomScale="90" zoomScaleNormal="90" zoomScaleSheetLayoutView="130" workbookViewId="0">
      <selection activeCell="A2323" sqref="A2323"/>
    </sheetView>
  </sheetViews>
  <sheetFormatPr defaultRowHeight="13.5" x14ac:dyDescent="0.15"/>
  <cols>
    <col min="1" max="1" width="22.5" style="2" customWidth="1"/>
    <col min="2" max="25" width="5.5" style="2" customWidth="1"/>
    <col min="26" max="26" width="7.75" style="2" customWidth="1"/>
    <col min="27" max="27" width="12" style="193" customWidth="1"/>
    <col min="28" max="28" width="26.75" style="2" customWidth="1"/>
    <col min="29" max="52" width="5.5" style="2" customWidth="1"/>
    <col min="53" max="53" width="9" style="2"/>
    <col min="54" max="54" width="10.375" style="193" bestFit="1" customWidth="1"/>
    <col min="55" max="16384" width="9" style="2"/>
  </cols>
  <sheetData>
    <row r="1" spans="1:54" ht="19.5" thickBot="1" x14ac:dyDescent="0.25">
      <c r="A1" s="1" t="s">
        <v>15</v>
      </c>
      <c r="AB1" s="1" t="s">
        <v>16</v>
      </c>
    </row>
    <row r="2" spans="1:54" ht="15" thickBot="1" x14ac:dyDescent="0.2">
      <c r="A2" s="3" t="s">
        <v>0</v>
      </c>
      <c r="B2" s="245" t="s">
        <v>17</v>
      </c>
      <c r="C2" s="246"/>
      <c r="D2" s="246"/>
      <c r="E2" s="246"/>
      <c r="F2" s="246"/>
      <c r="G2" s="247"/>
      <c r="H2" s="245" t="s">
        <v>18</v>
      </c>
      <c r="I2" s="246"/>
      <c r="J2" s="246"/>
      <c r="K2" s="246"/>
      <c r="L2" s="246"/>
      <c r="M2" s="247"/>
      <c r="N2" s="248" t="s">
        <v>27</v>
      </c>
      <c r="O2" s="249"/>
      <c r="P2" s="249"/>
      <c r="Q2" s="249"/>
      <c r="R2" s="249"/>
      <c r="S2" s="250"/>
      <c r="T2" s="248" t="s">
        <v>28</v>
      </c>
      <c r="U2" s="249"/>
      <c r="V2" s="249"/>
      <c r="W2" s="249"/>
      <c r="X2" s="249"/>
      <c r="Y2" s="250"/>
      <c r="Z2" s="251" t="s">
        <v>1</v>
      </c>
      <c r="AB2" s="4"/>
      <c r="AC2" s="245" t="s">
        <v>17</v>
      </c>
      <c r="AD2" s="246"/>
      <c r="AE2" s="246"/>
      <c r="AF2" s="246"/>
      <c r="AG2" s="246"/>
      <c r="AH2" s="247"/>
      <c r="AI2" s="245" t="s">
        <v>19</v>
      </c>
      <c r="AJ2" s="246"/>
      <c r="AK2" s="246"/>
      <c r="AL2" s="246"/>
      <c r="AM2" s="246"/>
      <c r="AN2" s="247"/>
      <c r="AO2" s="248" t="s">
        <v>27</v>
      </c>
      <c r="AP2" s="249"/>
      <c r="AQ2" s="249"/>
      <c r="AR2" s="249"/>
      <c r="AS2" s="249"/>
      <c r="AT2" s="250"/>
      <c r="AU2" s="248" t="s">
        <v>28</v>
      </c>
      <c r="AV2" s="249"/>
      <c r="AW2" s="249"/>
      <c r="AX2" s="249"/>
      <c r="AY2" s="249"/>
      <c r="AZ2" s="250"/>
      <c r="BA2" s="251" t="s">
        <v>1</v>
      </c>
    </row>
    <row r="3" spans="1:54" ht="15" thickBot="1" x14ac:dyDescent="0.2">
      <c r="A3" s="5" t="s">
        <v>2</v>
      </c>
      <c r="B3" s="6" t="s">
        <v>3</v>
      </c>
      <c r="C3" s="7" t="s">
        <v>4</v>
      </c>
      <c r="D3" s="7" t="s">
        <v>5</v>
      </c>
      <c r="E3" s="48" t="s">
        <v>22</v>
      </c>
      <c r="F3" s="8" t="s">
        <v>23</v>
      </c>
      <c r="G3" s="5" t="s">
        <v>6</v>
      </c>
      <c r="H3" s="6" t="s">
        <v>3</v>
      </c>
      <c r="I3" s="7" t="s">
        <v>4</v>
      </c>
      <c r="J3" s="7" t="s">
        <v>5</v>
      </c>
      <c r="K3" s="48" t="s">
        <v>22</v>
      </c>
      <c r="L3" s="8" t="s">
        <v>23</v>
      </c>
      <c r="M3" s="5" t="s">
        <v>6</v>
      </c>
      <c r="N3" s="6" t="s">
        <v>3</v>
      </c>
      <c r="O3" s="7" t="s">
        <v>4</v>
      </c>
      <c r="P3" s="7" t="s">
        <v>5</v>
      </c>
      <c r="Q3" s="48" t="s">
        <v>20</v>
      </c>
      <c r="R3" s="8" t="s">
        <v>21</v>
      </c>
      <c r="S3" s="5" t="s">
        <v>6</v>
      </c>
      <c r="T3" s="7" t="s">
        <v>3</v>
      </c>
      <c r="U3" s="7" t="s">
        <v>4</v>
      </c>
      <c r="V3" s="7" t="s">
        <v>5</v>
      </c>
      <c r="W3" s="48" t="s">
        <v>20</v>
      </c>
      <c r="X3" s="8" t="s">
        <v>21</v>
      </c>
      <c r="Y3" s="5" t="s">
        <v>6</v>
      </c>
      <c r="Z3" s="254"/>
      <c r="AB3" s="9" t="s">
        <v>2</v>
      </c>
      <c r="AC3" s="6" t="s">
        <v>3</v>
      </c>
      <c r="AD3" s="7" t="s">
        <v>4</v>
      </c>
      <c r="AE3" s="7" t="s">
        <v>5</v>
      </c>
      <c r="AF3" s="48" t="s">
        <v>22</v>
      </c>
      <c r="AG3" s="8" t="s">
        <v>23</v>
      </c>
      <c r="AH3" s="5" t="s">
        <v>6</v>
      </c>
      <c r="AI3" s="6" t="s">
        <v>3</v>
      </c>
      <c r="AJ3" s="7" t="s">
        <v>4</v>
      </c>
      <c r="AK3" s="7" t="s">
        <v>5</v>
      </c>
      <c r="AL3" s="48" t="s">
        <v>20</v>
      </c>
      <c r="AM3" s="8" t="s">
        <v>21</v>
      </c>
      <c r="AN3" s="5" t="s">
        <v>6</v>
      </c>
      <c r="AO3" s="58" t="s">
        <v>3</v>
      </c>
      <c r="AP3" s="59" t="s">
        <v>4</v>
      </c>
      <c r="AQ3" s="59" t="s">
        <v>5</v>
      </c>
      <c r="AR3" s="60" t="s">
        <v>20</v>
      </c>
      <c r="AS3" s="61" t="s">
        <v>21</v>
      </c>
      <c r="AT3" s="62" t="s">
        <v>6</v>
      </c>
      <c r="AU3" s="59" t="s">
        <v>3</v>
      </c>
      <c r="AV3" s="59" t="s">
        <v>4</v>
      </c>
      <c r="AW3" s="59" t="s">
        <v>5</v>
      </c>
      <c r="AX3" s="60" t="s">
        <v>20</v>
      </c>
      <c r="AY3" s="61" t="s">
        <v>21</v>
      </c>
      <c r="AZ3" s="62" t="s">
        <v>6</v>
      </c>
      <c r="BA3" s="252"/>
    </row>
    <row r="4" spans="1:54" ht="14.25" x14ac:dyDescent="0.15">
      <c r="A4" s="10" t="s">
        <v>7</v>
      </c>
      <c r="B4" s="38">
        <v>1</v>
      </c>
      <c r="C4" s="39"/>
      <c r="D4" s="39"/>
      <c r="E4" s="39"/>
      <c r="F4" s="39"/>
      <c r="G4" s="36">
        <f t="shared" ref="G4:G35" si="0">SUM(B4:F4)</f>
        <v>1</v>
      </c>
      <c r="H4" s="38">
        <v>1</v>
      </c>
      <c r="I4" s="39"/>
      <c r="J4" s="39"/>
      <c r="K4" s="39"/>
      <c r="L4" s="39"/>
      <c r="M4" s="36">
        <f t="shared" ref="M4:M35" si="1">SUM(H4:L4)</f>
        <v>1</v>
      </c>
      <c r="N4" s="39"/>
      <c r="O4" s="56"/>
      <c r="P4" s="56"/>
      <c r="Q4" s="56"/>
      <c r="R4" s="71"/>
      <c r="S4" s="37">
        <f t="shared" ref="S4:S37" si="2">SUM(N4:R4)</f>
        <v>0</v>
      </c>
      <c r="T4" s="39"/>
      <c r="U4" s="56"/>
      <c r="V4" s="56"/>
      <c r="W4" s="56"/>
      <c r="X4" s="71"/>
      <c r="Y4" s="36">
        <f t="shared" ref="Y4:Y37" si="3">SUM(T4:X4)</f>
        <v>0</v>
      </c>
      <c r="Z4" s="36">
        <f>G4+M4+S4+Y4</f>
        <v>2</v>
      </c>
      <c r="AA4" s="83"/>
      <c r="AB4" s="85" t="s">
        <v>8</v>
      </c>
      <c r="AC4" s="86">
        <v>118</v>
      </c>
      <c r="AD4" s="87">
        <v>120</v>
      </c>
      <c r="AE4" s="87">
        <v>120</v>
      </c>
      <c r="AF4" s="87">
        <v>119</v>
      </c>
      <c r="AG4" s="87">
        <v>120</v>
      </c>
      <c r="AH4" s="81">
        <f t="shared" ref="AH4:AH35" si="4">SUM(AC4:AG4)</f>
        <v>597</v>
      </c>
      <c r="AI4" s="86">
        <v>119</v>
      </c>
      <c r="AJ4" s="87">
        <v>120</v>
      </c>
      <c r="AK4" s="87">
        <v>120</v>
      </c>
      <c r="AL4" s="87">
        <v>119</v>
      </c>
      <c r="AM4" s="87">
        <v>120</v>
      </c>
      <c r="AN4" s="88">
        <f t="shared" ref="AN4:AN35" si="5">SUM(AI4:AM4)</f>
        <v>598</v>
      </c>
      <c r="AO4" s="89"/>
      <c r="AP4" s="90"/>
      <c r="AQ4" s="90"/>
      <c r="AR4" s="90"/>
      <c r="AS4" s="91"/>
      <c r="AT4" s="81">
        <f t="shared" ref="AT4:AT35" si="6">SUM(AO4:AS4)</f>
        <v>0</v>
      </c>
      <c r="AU4" s="92"/>
      <c r="AV4" s="90"/>
      <c r="AW4" s="90"/>
      <c r="AX4" s="90"/>
      <c r="AY4" s="91"/>
      <c r="AZ4" s="81">
        <f t="shared" ref="AZ4:AZ35" si="7">SUM(AU4:AY4)</f>
        <v>0</v>
      </c>
      <c r="BA4" s="81">
        <f>AH4+AN4+AT4+AZ4</f>
        <v>1195</v>
      </c>
      <c r="BB4" s="101">
        <v>43410</v>
      </c>
    </row>
    <row r="5" spans="1:54" ht="14.25" x14ac:dyDescent="0.15">
      <c r="A5" s="10" t="s">
        <v>9</v>
      </c>
      <c r="B5" s="12">
        <v>3</v>
      </c>
      <c r="C5" s="13">
        <v>3</v>
      </c>
      <c r="D5" s="13">
        <v>2</v>
      </c>
      <c r="E5" s="13">
        <v>2</v>
      </c>
      <c r="F5" s="13">
        <v>2</v>
      </c>
      <c r="G5" s="11">
        <f t="shared" si="0"/>
        <v>12</v>
      </c>
      <c r="H5" s="12">
        <v>3</v>
      </c>
      <c r="I5" s="13">
        <v>3</v>
      </c>
      <c r="J5" s="13">
        <v>2</v>
      </c>
      <c r="K5" s="13">
        <v>2</v>
      </c>
      <c r="L5" s="13">
        <v>2</v>
      </c>
      <c r="M5" s="11">
        <f t="shared" si="1"/>
        <v>12</v>
      </c>
      <c r="N5" s="13"/>
      <c r="O5" s="54"/>
      <c r="P5" s="54"/>
      <c r="Q5" s="54"/>
      <c r="R5" s="68"/>
      <c r="S5" s="43">
        <f t="shared" si="2"/>
        <v>0</v>
      </c>
      <c r="T5" s="13"/>
      <c r="U5" s="54"/>
      <c r="V5" s="54"/>
      <c r="W5" s="54"/>
      <c r="X5" s="68"/>
      <c r="Y5" s="43">
        <f t="shared" si="3"/>
        <v>0</v>
      </c>
      <c r="Z5" s="43">
        <f t="shared" ref="Z5:Z37" si="8">G5+M5+S5+Y5</f>
        <v>24</v>
      </c>
      <c r="AA5" s="93"/>
      <c r="AB5" s="10" t="s">
        <v>7</v>
      </c>
      <c r="AC5" s="14"/>
      <c r="AD5" s="15"/>
      <c r="AE5" s="15"/>
      <c r="AF5" s="15"/>
      <c r="AG5" s="15"/>
      <c r="AH5" s="16">
        <f t="shared" si="4"/>
        <v>0</v>
      </c>
      <c r="AI5" s="14"/>
      <c r="AJ5" s="15"/>
      <c r="AK5" s="15"/>
      <c r="AL5" s="15"/>
      <c r="AM5" s="15"/>
      <c r="AN5" s="57">
        <f t="shared" si="5"/>
        <v>0</v>
      </c>
      <c r="AO5" s="14">
        <v>96</v>
      </c>
      <c r="AP5" s="55">
        <v>100</v>
      </c>
      <c r="AQ5" s="55">
        <v>99</v>
      </c>
      <c r="AR5" s="55">
        <v>99</v>
      </c>
      <c r="AS5" s="67">
        <v>100</v>
      </c>
      <c r="AT5" s="24">
        <f t="shared" si="6"/>
        <v>494</v>
      </c>
      <c r="AU5" s="15">
        <v>99</v>
      </c>
      <c r="AV5" s="55">
        <v>99</v>
      </c>
      <c r="AW5" s="55">
        <v>99</v>
      </c>
      <c r="AX5" s="55">
        <v>99</v>
      </c>
      <c r="AY5" s="67">
        <v>100</v>
      </c>
      <c r="AZ5" s="24">
        <f t="shared" si="7"/>
        <v>496</v>
      </c>
      <c r="BA5" s="24">
        <f t="shared" ref="BA5:BA37" si="9">AH5+AN5+AT5+AZ5</f>
        <v>990</v>
      </c>
      <c r="BB5" s="83">
        <v>43500</v>
      </c>
    </row>
    <row r="6" spans="1:54" ht="14.25" x14ac:dyDescent="0.15">
      <c r="A6" s="10" t="s">
        <v>33</v>
      </c>
      <c r="B6" s="12">
        <v>5</v>
      </c>
      <c r="C6" s="13">
        <v>5</v>
      </c>
      <c r="D6" s="13">
        <v>5</v>
      </c>
      <c r="E6" s="13">
        <v>5</v>
      </c>
      <c r="F6" s="13">
        <v>5</v>
      </c>
      <c r="G6" s="11">
        <f t="shared" si="0"/>
        <v>25</v>
      </c>
      <c r="H6" s="12">
        <v>5</v>
      </c>
      <c r="I6" s="13">
        <v>5</v>
      </c>
      <c r="J6" s="13">
        <v>5</v>
      </c>
      <c r="K6" s="13">
        <v>5</v>
      </c>
      <c r="L6" s="13">
        <v>5</v>
      </c>
      <c r="M6" s="11">
        <f t="shared" si="1"/>
        <v>25</v>
      </c>
      <c r="N6" s="13"/>
      <c r="O6" s="54"/>
      <c r="P6" s="54"/>
      <c r="Q6" s="54"/>
      <c r="R6" s="68"/>
      <c r="S6" s="43">
        <f t="shared" si="2"/>
        <v>0</v>
      </c>
      <c r="T6" s="13"/>
      <c r="U6" s="54"/>
      <c r="V6" s="54"/>
      <c r="W6" s="54"/>
      <c r="X6" s="68"/>
      <c r="Y6" s="43">
        <f t="shared" si="3"/>
        <v>0</v>
      </c>
      <c r="Z6" s="43">
        <f t="shared" si="8"/>
        <v>50</v>
      </c>
      <c r="AA6" s="93"/>
      <c r="AB6" s="10" t="s">
        <v>9</v>
      </c>
      <c r="AC6" s="12"/>
      <c r="AD6" s="13"/>
      <c r="AE6" s="13"/>
      <c r="AF6" s="13"/>
      <c r="AG6" s="13"/>
      <c r="AH6" s="11">
        <f t="shared" si="4"/>
        <v>0</v>
      </c>
      <c r="AI6" s="12"/>
      <c r="AJ6" s="13"/>
      <c r="AK6" s="13"/>
      <c r="AL6" s="13"/>
      <c r="AM6" s="13"/>
      <c r="AN6" s="52">
        <f t="shared" si="5"/>
        <v>0</v>
      </c>
      <c r="AO6" s="12"/>
      <c r="AP6" s="54"/>
      <c r="AQ6" s="54"/>
      <c r="AR6" s="54"/>
      <c r="AS6" s="68"/>
      <c r="AT6" s="24">
        <f t="shared" si="6"/>
        <v>0</v>
      </c>
      <c r="AU6" s="13"/>
      <c r="AV6" s="54"/>
      <c r="AW6" s="54"/>
      <c r="AX6" s="54"/>
      <c r="AY6" s="68"/>
      <c r="AZ6" s="24">
        <f t="shared" si="7"/>
        <v>0</v>
      </c>
      <c r="BA6" s="76">
        <f t="shared" si="9"/>
        <v>0</v>
      </c>
    </row>
    <row r="7" spans="1:54" ht="14.25" x14ac:dyDescent="0.15">
      <c r="A7" s="10" t="s">
        <v>39</v>
      </c>
      <c r="B7" s="41"/>
      <c r="C7" s="42"/>
      <c r="D7" s="42"/>
      <c r="E7" s="42"/>
      <c r="F7" s="42"/>
      <c r="G7" s="37">
        <f t="shared" si="0"/>
        <v>0</v>
      </c>
      <c r="H7" s="41"/>
      <c r="I7" s="42"/>
      <c r="J7" s="42"/>
      <c r="K7" s="42"/>
      <c r="L7" s="42"/>
      <c r="M7" s="37">
        <f t="shared" si="1"/>
        <v>0</v>
      </c>
      <c r="N7" s="42">
        <v>1</v>
      </c>
      <c r="O7" s="53"/>
      <c r="P7" s="53"/>
      <c r="Q7" s="53"/>
      <c r="R7" s="72"/>
      <c r="S7" s="43">
        <f t="shared" si="2"/>
        <v>1</v>
      </c>
      <c r="T7" s="42">
        <v>1</v>
      </c>
      <c r="U7" s="53"/>
      <c r="V7" s="53"/>
      <c r="W7" s="53"/>
      <c r="X7" s="72"/>
      <c r="Y7" s="43">
        <f t="shared" si="3"/>
        <v>1</v>
      </c>
      <c r="Z7" s="43">
        <f t="shared" si="8"/>
        <v>2</v>
      </c>
      <c r="AA7" s="83"/>
      <c r="AB7" s="10" t="s">
        <v>10</v>
      </c>
      <c r="AC7" s="14"/>
      <c r="AD7" s="15"/>
      <c r="AE7" s="15"/>
      <c r="AF7" s="15"/>
      <c r="AG7" s="15"/>
      <c r="AH7" s="16">
        <f t="shared" si="4"/>
        <v>0</v>
      </c>
      <c r="AI7" s="14"/>
      <c r="AJ7" s="15"/>
      <c r="AK7" s="15"/>
      <c r="AL7" s="15"/>
      <c r="AM7" s="15"/>
      <c r="AN7" s="57">
        <f t="shared" si="5"/>
        <v>0</v>
      </c>
      <c r="AO7" s="14"/>
      <c r="AP7" s="55"/>
      <c r="AQ7" s="55"/>
      <c r="AR7" s="55"/>
      <c r="AS7" s="67"/>
      <c r="AT7" s="24">
        <f t="shared" si="6"/>
        <v>0</v>
      </c>
      <c r="AU7" s="15"/>
      <c r="AV7" s="55"/>
      <c r="AW7" s="55"/>
      <c r="AX7" s="55"/>
      <c r="AY7" s="67"/>
      <c r="AZ7" s="24">
        <f t="shared" si="7"/>
        <v>0</v>
      </c>
      <c r="BA7" s="76">
        <f t="shared" si="9"/>
        <v>0</v>
      </c>
    </row>
    <row r="8" spans="1:54" ht="15" thickBot="1" x14ac:dyDescent="0.2">
      <c r="A8" s="10" t="s">
        <v>33</v>
      </c>
      <c r="B8" s="41"/>
      <c r="C8" s="42"/>
      <c r="D8" s="42"/>
      <c r="E8" s="42"/>
      <c r="F8" s="42"/>
      <c r="G8" s="37">
        <f t="shared" si="0"/>
        <v>0</v>
      </c>
      <c r="H8" s="41">
        <v>2</v>
      </c>
      <c r="I8" s="42">
        <v>1</v>
      </c>
      <c r="J8" s="42"/>
      <c r="K8" s="42">
        <v>2</v>
      </c>
      <c r="L8" s="42"/>
      <c r="M8" s="37">
        <f t="shared" si="1"/>
        <v>5</v>
      </c>
      <c r="N8" s="45"/>
      <c r="O8" s="78"/>
      <c r="P8" s="78"/>
      <c r="Q8" s="78"/>
      <c r="R8" s="79"/>
      <c r="S8" s="80">
        <f t="shared" si="2"/>
        <v>0</v>
      </c>
      <c r="T8" s="45"/>
      <c r="U8" s="78"/>
      <c r="V8" s="78"/>
      <c r="W8" s="78"/>
      <c r="X8" s="79"/>
      <c r="Y8" s="80">
        <f t="shared" si="3"/>
        <v>0</v>
      </c>
      <c r="Z8" s="80">
        <f t="shared" si="8"/>
        <v>5</v>
      </c>
      <c r="AA8" s="83"/>
      <c r="AB8" s="10" t="s">
        <v>11</v>
      </c>
      <c r="AC8" s="14"/>
      <c r="AD8" s="15"/>
      <c r="AE8" s="15"/>
      <c r="AF8" s="15"/>
      <c r="AG8" s="15"/>
      <c r="AH8" s="16">
        <f t="shared" si="4"/>
        <v>0</v>
      </c>
      <c r="AI8" s="14"/>
      <c r="AJ8" s="15"/>
      <c r="AK8" s="15"/>
      <c r="AL8" s="15"/>
      <c r="AM8" s="15"/>
      <c r="AN8" s="57">
        <f t="shared" si="5"/>
        <v>0</v>
      </c>
      <c r="AO8" s="63"/>
      <c r="AP8" s="64"/>
      <c r="AQ8" s="64"/>
      <c r="AR8" s="64"/>
      <c r="AS8" s="69"/>
      <c r="AT8" s="82">
        <f t="shared" si="6"/>
        <v>0</v>
      </c>
      <c r="AU8" s="73"/>
      <c r="AV8" s="64"/>
      <c r="AW8" s="64"/>
      <c r="AX8" s="64"/>
      <c r="AY8" s="69"/>
      <c r="AZ8" s="82">
        <f t="shared" si="7"/>
        <v>0</v>
      </c>
      <c r="BA8" s="51">
        <f t="shared" si="9"/>
        <v>0</v>
      </c>
    </row>
    <row r="9" spans="1:54" ht="15" thickBot="1" x14ac:dyDescent="0.2">
      <c r="A9" s="4" t="s">
        <v>12</v>
      </c>
      <c r="B9" s="17">
        <f>SUM(B4:B8)</f>
        <v>9</v>
      </c>
      <c r="C9" s="18">
        <f>SUM(C4:C8)</f>
        <v>8</v>
      </c>
      <c r="D9" s="18">
        <f>SUM(D4:D8)</f>
        <v>7</v>
      </c>
      <c r="E9" s="18">
        <f>SUM(E4:E8)</f>
        <v>7</v>
      </c>
      <c r="F9" s="18">
        <f>SUM(F4:F8)</f>
        <v>7</v>
      </c>
      <c r="G9" s="19">
        <f t="shared" si="0"/>
        <v>38</v>
      </c>
      <c r="H9" s="17">
        <f>SUM(H4:H8)</f>
        <v>11</v>
      </c>
      <c r="I9" s="18">
        <f>SUM(I4:I8)</f>
        <v>9</v>
      </c>
      <c r="J9" s="18">
        <f>SUM(J4:J8)</f>
        <v>7</v>
      </c>
      <c r="K9" s="18">
        <f>SUM(K4:K8)</f>
        <v>9</v>
      </c>
      <c r="L9" s="18">
        <f>SUM(L4:L8)</f>
        <v>7</v>
      </c>
      <c r="M9" s="19">
        <f t="shared" si="1"/>
        <v>43</v>
      </c>
      <c r="N9" s="65">
        <f>SUM(N4:N8)</f>
        <v>1</v>
      </c>
      <c r="O9" s="18">
        <f>SUM(O4:O8)</f>
        <v>0</v>
      </c>
      <c r="P9" s="18">
        <f>SUM(P4:P8)</f>
        <v>0</v>
      </c>
      <c r="Q9" s="18">
        <f>SUM(Q4:Q8)</f>
        <v>0</v>
      </c>
      <c r="R9" s="70">
        <f>SUM(R4:R8)</f>
        <v>0</v>
      </c>
      <c r="S9" s="50">
        <f t="shared" si="2"/>
        <v>1</v>
      </c>
      <c r="T9" s="74">
        <f>SUM(T4:T8)</f>
        <v>1</v>
      </c>
      <c r="U9" s="18">
        <f>SUM(U4:U8)</f>
        <v>0</v>
      </c>
      <c r="V9" s="18">
        <f>SUM(V4:V8)</f>
        <v>0</v>
      </c>
      <c r="W9" s="18">
        <f>SUM(W4:W8)</f>
        <v>0</v>
      </c>
      <c r="X9" s="70">
        <f>SUM(X4:X8)</f>
        <v>0</v>
      </c>
      <c r="Y9" s="50">
        <f t="shared" si="3"/>
        <v>1</v>
      </c>
      <c r="Z9" s="84">
        <f t="shared" si="8"/>
        <v>83</v>
      </c>
      <c r="AB9" s="4" t="s">
        <v>12</v>
      </c>
      <c r="AC9" s="17">
        <f>SUM(AC4:AC8)</f>
        <v>118</v>
      </c>
      <c r="AD9" s="18">
        <f>SUM(AD4:AD8)</f>
        <v>120</v>
      </c>
      <c r="AE9" s="18">
        <f>SUM(AE4:AE8)</f>
        <v>120</v>
      </c>
      <c r="AF9" s="18">
        <f>SUM(AF4:AF8)</f>
        <v>119</v>
      </c>
      <c r="AG9" s="18">
        <f>SUM(AG4:AG8)</f>
        <v>120</v>
      </c>
      <c r="AH9" s="19">
        <f t="shared" si="4"/>
        <v>597</v>
      </c>
      <c r="AI9" s="17">
        <f>SUM(AI4:AI8)</f>
        <v>119</v>
      </c>
      <c r="AJ9" s="18">
        <f>SUM(AJ4:AJ8)</f>
        <v>120</v>
      </c>
      <c r="AK9" s="18">
        <f>SUM(AK4:AK8)</f>
        <v>120</v>
      </c>
      <c r="AL9" s="18">
        <f>SUM(AL4:AL8)</f>
        <v>119</v>
      </c>
      <c r="AM9" s="18">
        <f>SUM(AM4:AM8)</f>
        <v>120</v>
      </c>
      <c r="AN9" s="25">
        <f t="shared" si="5"/>
        <v>598</v>
      </c>
      <c r="AO9" s="65">
        <f>SUM(AO4:AO8)</f>
        <v>96</v>
      </c>
      <c r="AP9" s="18">
        <f>SUM(AP4:AP8)</f>
        <v>100</v>
      </c>
      <c r="AQ9" s="18">
        <f>SUM(AQ4:AQ8)</f>
        <v>99</v>
      </c>
      <c r="AR9" s="18">
        <f>SUM(AR4:AR8)</f>
        <v>99</v>
      </c>
      <c r="AS9" s="70">
        <f>SUM(AS4:AS8)</f>
        <v>100</v>
      </c>
      <c r="AT9" s="49">
        <f t="shared" si="6"/>
        <v>494</v>
      </c>
      <c r="AU9" s="74">
        <f>SUM(AU4:AU8)</f>
        <v>99</v>
      </c>
      <c r="AV9" s="18">
        <f>SUM(AV4:AV8)</f>
        <v>99</v>
      </c>
      <c r="AW9" s="18">
        <f>SUM(AW4:AW8)</f>
        <v>99</v>
      </c>
      <c r="AX9" s="18">
        <f>SUM(AX4:AX8)</f>
        <v>99</v>
      </c>
      <c r="AY9" s="70">
        <f>SUM(AY4:AY8)</f>
        <v>100</v>
      </c>
      <c r="AZ9" s="49">
        <f t="shared" si="7"/>
        <v>496</v>
      </c>
      <c r="BA9" s="33">
        <f t="shared" si="9"/>
        <v>2185</v>
      </c>
    </row>
    <row r="10" spans="1:54" ht="14.25" x14ac:dyDescent="0.15">
      <c r="A10" s="21" t="s">
        <v>26</v>
      </c>
      <c r="B10" s="34">
        <v>1</v>
      </c>
      <c r="C10" s="35"/>
      <c r="D10" s="35"/>
      <c r="E10" s="35"/>
      <c r="F10" s="35"/>
      <c r="G10" s="36">
        <f t="shared" si="0"/>
        <v>1</v>
      </c>
      <c r="H10" s="34"/>
      <c r="I10" s="35"/>
      <c r="J10" s="35"/>
      <c r="K10" s="35"/>
      <c r="L10" s="35"/>
      <c r="M10" s="36">
        <f t="shared" si="1"/>
        <v>0</v>
      </c>
      <c r="N10" s="39"/>
      <c r="O10" s="56"/>
      <c r="P10" s="56"/>
      <c r="Q10" s="56"/>
      <c r="R10" s="71"/>
      <c r="S10" s="37">
        <f t="shared" si="2"/>
        <v>0</v>
      </c>
      <c r="T10" s="39"/>
      <c r="U10" s="56"/>
      <c r="V10" s="56"/>
      <c r="W10" s="56"/>
      <c r="X10" s="71"/>
      <c r="Y10" s="37">
        <f t="shared" si="3"/>
        <v>0</v>
      </c>
      <c r="Z10" s="37">
        <f t="shared" si="8"/>
        <v>1</v>
      </c>
      <c r="AA10" s="83"/>
      <c r="AB10" s="21" t="s">
        <v>29</v>
      </c>
      <c r="AC10" s="34">
        <v>5</v>
      </c>
      <c r="AD10" s="35">
        <v>5</v>
      </c>
      <c r="AE10" s="35">
        <v>5</v>
      </c>
      <c r="AF10" s="35">
        <v>5</v>
      </c>
      <c r="AG10" s="35">
        <v>5</v>
      </c>
      <c r="AH10" s="36">
        <f t="shared" si="4"/>
        <v>25</v>
      </c>
      <c r="AI10" s="34">
        <v>5</v>
      </c>
      <c r="AJ10" s="35">
        <v>5</v>
      </c>
      <c r="AK10" s="35">
        <v>5</v>
      </c>
      <c r="AL10" s="35">
        <v>5</v>
      </c>
      <c r="AM10" s="35">
        <v>5</v>
      </c>
      <c r="AN10" s="36">
        <f t="shared" si="5"/>
        <v>25</v>
      </c>
      <c r="AO10" s="39"/>
      <c r="AP10" s="56"/>
      <c r="AQ10" s="56"/>
      <c r="AR10" s="56"/>
      <c r="AS10" s="71"/>
      <c r="AT10" s="16">
        <f t="shared" si="6"/>
        <v>0</v>
      </c>
      <c r="AU10" s="39"/>
      <c r="AV10" s="56"/>
      <c r="AW10" s="56"/>
      <c r="AX10" s="56"/>
      <c r="AY10" s="71"/>
      <c r="AZ10" s="16">
        <f t="shared" si="7"/>
        <v>0</v>
      </c>
      <c r="BA10" s="16">
        <f t="shared" si="9"/>
        <v>50</v>
      </c>
      <c r="BB10" s="83">
        <v>43446</v>
      </c>
    </row>
    <row r="11" spans="1:54" ht="14.25" x14ac:dyDescent="0.15">
      <c r="A11" s="94" t="s">
        <v>31</v>
      </c>
      <c r="B11" s="41">
        <v>1</v>
      </c>
      <c r="C11" s="42"/>
      <c r="D11" s="42"/>
      <c r="E11" s="42"/>
      <c r="F11" s="42"/>
      <c r="G11" s="43">
        <f t="shared" si="0"/>
        <v>1</v>
      </c>
      <c r="H11" s="41">
        <v>1</v>
      </c>
      <c r="I11" s="42"/>
      <c r="J11" s="42"/>
      <c r="K11" s="42"/>
      <c r="L11" s="42"/>
      <c r="M11" s="43">
        <f t="shared" si="1"/>
        <v>1</v>
      </c>
      <c r="N11" s="42"/>
      <c r="O11" s="53"/>
      <c r="P11" s="53"/>
      <c r="Q11" s="53"/>
      <c r="R11" s="72"/>
      <c r="S11" s="43">
        <f t="shared" si="2"/>
        <v>0</v>
      </c>
      <c r="T11" s="42"/>
      <c r="U11" s="53"/>
      <c r="V11" s="53"/>
      <c r="W11" s="53"/>
      <c r="X11" s="72"/>
      <c r="Y11" s="43">
        <f t="shared" si="3"/>
        <v>0</v>
      </c>
      <c r="Z11" s="43">
        <f t="shared" si="8"/>
        <v>2</v>
      </c>
      <c r="AA11" s="83"/>
      <c r="AB11" s="21" t="s">
        <v>30</v>
      </c>
      <c r="AC11" s="12">
        <v>3</v>
      </c>
      <c r="AD11" s="13">
        <v>3</v>
      </c>
      <c r="AE11" s="13">
        <v>2</v>
      </c>
      <c r="AF11" s="13">
        <v>2</v>
      </c>
      <c r="AG11" s="13">
        <v>2</v>
      </c>
      <c r="AH11" s="22">
        <f t="shared" si="4"/>
        <v>12</v>
      </c>
      <c r="AI11" s="12">
        <v>3</v>
      </c>
      <c r="AJ11" s="13">
        <v>3</v>
      </c>
      <c r="AK11" s="13">
        <v>2</v>
      </c>
      <c r="AL11" s="13">
        <v>2</v>
      </c>
      <c r="AM11" s="13">
        <v>2</v>
      </c>
      <c r="AN11" s="22">
        <f t="shared" si="5"/>
        <v>12</v>
      </c>
      <c r="AO11" s="13"/>
      <c r="AP11" s="54"/>
      <c r="AQ11" s="54"/>
      <c r="AR11" s="54"/>
      <c r="AS11" s="68"/>
      <c r="AT11" s="24">
        <f t="shared" si="6"/>
        <v>0</v>
      </c>
      <c r="AU11" s="13"/>
      <c r="AV11" s="54"/>
      <c r="AW11" s="54"/>
      <c r="AX11" s="54"/>
      <c r="AY11" s="68"/>
      <c r="AZ11" s="24">
        <f t="shared" si="7"/>
        <v>0</v>
      </c>
      <c r="BA11" s="24">
        <f t="shared" si="9"/>
        <v>24</v>
      </c>
      <c r="BB11" s="93">
        <v>43434</v>
      </c>
    </row>
    <row r="12" spans="1:54" ht="14.25" x14ac:dyDescent="0.15">
      <c r="A12" s="95" t="s">
        <v>34</v>
      </c>
      <c r="B12" s="41">
        <v>-1</v>
      </c>
      <c r="C12" s="42"/>
      <c r="D12" s="42"/>
      <c r="E12" s="42"/>
      <c r="F12" s="42"/>
      <c r="G12" s="43">
        <f t="shared" si="0"/>
        <v>-1</v>
      </c>
      <c r="H12" s="41">
        <v>-1</v>
      </c>
      <c r="I12" s="42"/>
      <c r="J12" s="42"/>
      <c r="K12" s="42"/>
      <c r="L12" s="42"/>
      <c r="M12" s="43">
        <f t="shared" si="1"/>
        <v>-1</v>
      </c>
      <c r="N12" s="42"/>
      <c r="O12" s="53"/>
      <c r="P12" s="53"/>
      <c r="Q12" s="53"/>
      <c r="R12" s="72"/>
      <c r="S12" s="43">
        <f t="shared" si="2"/>
        <v>0</v>
      </c>
      <c r="T12" s="42"/>
      <c r="U12" s="53"/>
      <c r="V12" s="53"/>
      <c r="W12" s="53"/>
      <c r="X12" s="72"/>
      <c r="Y12" s="43">
        <f t="shared" si="3"/>
        <v>0</v>
      </c>
      <c r="Z12" s="43">
        <f t="shared" si="8"/>
        <v>-2</v>
      </c>
      <c r="AA12" s="83"/>
      <c r="AB12" s="21" t="s">
        <v>32</v>
      </c>
      <c r="AC12" s="41">
        <v>5</v>
      </c>
      <c r="AD12" s="42">
        <v>5</v>
      </c>
      <c r="AE12" s="42">
        <v>5</v>
      </c>
      <c r="AF12" s="42">
        <v>5</v>
      </c>
      <c r="AG12" s="42">
        <v>5</v>
      </c>
      <c r="AH12" s="43">
        <f t="shared" si="4"/>
        <v>25</v>
      </c>
      <c r="AI12" s="41">
        <v>5</v>
      </c>
      <c r="AJ12" s="42">
        <v>5</v>
      </c>
      <c r="AK12" s="42">
        <v>5</v>
      </c>
      <c r="AL12" s="42">
        <v>5</v>
      </c>
      <c r="AM12" s="42">
        <v>5</v>
      </c>
      <c r="AN12" s="43">
        <f t="shared" si="5"/>
        <v>25</v>
      </c>
      <c r="AO12" s="42"/>
      <c r="AP12" s="53"/>
      <c r="AQ12" s="53"/>
      <c r="AR12" s="53"/>
      <c r="AS12" s="72"/>
      <c r="AT12" s="24">
        <f t="shared" si="6"/>
        <v>0</v>
      </c>
      <c r="AU12" s="42"/>
      <c r="AV12" s="53"/>
      <c r="AW12" s="53"/>
      <c r="AX12" s="53"/>
      <c r="AY12" s="72"/>
      <c r="AZ12" s="24">
        <f t="shared" si="7"/>
        <v>0</v>
      </c>
      <c r="BA12" s="24">
        <f t="shared" si="9"/>
        <v>50</v>
      </c>
      <c r="BB12" s="83">
        <v>43451</v>
      </c>
    </row>
    <row r="13" spans="1:54" ht="14.25" x14ac:dyDescent="0.15">
      <c r="A13" s="21" t="s">
        <v>36</v>
      </c>
      <c r="B13" s="41">
        <v>-1</v>
      </c>
      <c r="C13" s="42"/>
      <c r="D13" s="42"/>
      <c r="E13" s="42"/>
      <c r="F13" s="42"/>
      <c r="G13" s="43">
        <f>SUM(B13:F13)</f>
        <v>-1</v>
      </c>
      <c r="H13" s="41"/>
      <c r="I13" s="42"/>
      <c r="J13" s="42"/>
      <c r="K13" s="42"/>
      <c r="L13" s="42"/>
      <c r="M13" s="43">
        <f>SUM(H13:L13)</f>
        <v>0</v>
      </c>
      <c r="N13" s="42"/>
      <c r="O13" s="53"/>
      <c r="P13" s="53"/>
      <c r="Q13" s="53"/>
      <c r="R13" s="72"/>
      <c r="S13" s="43">
        <f>SUM(N13:R13)</f>
        <v>0</v>
      </c>
      <c r="T13" s="42"/>
      <c r="U13" s="53"/>
      <c r="V13" s="53"/>
      <c r="W13" s="53"/>
      <c r="X13" s="72"/>
      <c r="Y13" s="43">
        <f>SUM(T13:X13)</f>
        <v>0</v>
      </c>
      <c r="Z13" s="43">
        <f>G13+M13+S13+Y13</f>
        <v>-1</v>
      </c>
      <c r="AA13" s="83"/>
      <c r="AB13" s="21" t="s">
        <v>38</v>
      </c>
      <c r="AC13" s="41"/>
      <c r="AD13" s="42"/>
      <c r="AE13" s="42"/>
      <c r="AF13" s="42"/>
      <c r="AG13" s="42"/>
      <c r="AH13" s="43">
        <f t="shared" si="4"/>
        <v>0</v>
      </c>
      <c r="AI13" s="41"/>
      <c r="AJ13" s="42"/>
      <c r="AK13" s="42"/>
      <c r="AL13" s="42"/>
      <c r="AM13" s="42"/>
      <c r="AN13" s="43">
        <f t="shared" si="5"/>
        <v>0</v>
      </c>
      <c r="AO13" s="42">
        <v>10</v>
      </c>
      <c r="AP13" s="53">
        <v>10</v>
      </c>
      <c r="AQ13" s="53">
        <v>10</v>
      </c>
      <c r="AR13" s="53">
        <v>5</v>
      </c>
      <c r="AS13" s="72">
        <v>5</v>
      </c>
      <c r="AT13" s="43">
        <f t="shared" si="6"/>
        <v>40</v>
      </c>
      <c r="AU13" s="42">
        <v>10</v>
      </c>
      <c r="AV13" s="53">
        <v>10</v>
      </c>
      <c r="AW13" s="53">
        <v>10</v>
      </c>
      <c r="AX13" s="53">
        <v>5</v>
      </c>
      <c r="AY13" s="72">
        <v>5</v>
      </c>
      <c r="AZ13" s="43">
        <f t="shared" si="7"/>
        <v>40</v>
      </c>
      <c r="BA13" s="43">
        <f t="shared" si="9"/>
        <v>80</v>
      </c>
      <c r="BB13" s="83">
        <v>43514</v>
      </c>
    </row>
    <row r="14" spans="1:54" ht="14.25" x14ac:dyDescent="0.15">
      <c r="A14" s="40" t="s">
        <v>37</v>
      </c>
      <c r="B14" s="41">
        <v>1</v>
      </c>
      <c r="C14" s="42"/>
      <c r="D14" s="42"/>
      <c r="E14" s="42"/>
      <c r="F14" s="42"/>
      <c r="G14" s="43">
        <f>SUM(B14:F14)</f>
        <v>1</v>
      </c>
      <c r="H14" s="41"/>
      <c r="I14" s="42"/>
      <c r="J14" s="42"/>
      <c r="K14" s="42"/>
      <c r="L14" s="42"/>
      <c r="M14" s="43">
        <f>SUM(H14:L14)</f>
        <v>0</v>
      </c>
      <c r="N14" s="42"/>
      <c r="O14" s="53"/>
      <c r="P14" s="53"/>
      <c r="Q14" s="53"/>
      <c r="R14" s="72"/>
      <c r="S14" s="43">
        <f>SUM(N14:R14)</f>
        <v>0</v>
      </c>
      <c r="T14" s="42"/>
      <c r="U14" s="53"/>
      <c r="V14" s="53"/>
      <c r="W14" s="53"/>
      <c r="X14" s="72"/>
      <c r="Y14" s="43">
        <f>SUM(T14:X14)</f>
        <v>0</v>
      </c>
      <c r="Z14" s="43">
        <f>G14+M14+S14+Y14</f>
        <v>1</v>
      </c>
      <c r="AA14" s="83"/>
      <c r="AB14" s="21" t="s">
        <v>29</v>
      </c>
      <c r="AC14" s="41"/>
      <c r="AD14" s="42"/>
      <c r="AE14" s="42"/>
      <c r="AF14" s="42"/>
      <c r="AG14" s="42"/>
      <c r="AH14" s="43">
        <f t="shared" si="4"/>
        <v>0</v>
      </c>
      <c r="AI14" s="41"/>
      <c r="AJ14" s="42"/>
      <c r="AK14" s="42"/>
      <c r="AL14" s="42"/>
      <c r="AM14" s="42">
        <v>5</v>
      </c>
      <c r="AN14" s="43">
        <f t="shared" si="5"/>
        <v>5</v>
      </c>
      <c r="AO14" s="42"/>
      <c r="AP14" s="53"/>
      <c r="AQ14" s="53"/>
      <c r="AR14" s="53"/>
      <c r="AS14" s="72"/>
      <c r="AT14" s="24">
        <f t="shared" si="6"/>
        <v>0</v>
      </c>
      <c r="AU14" s="42"/>
      <c r="AV14" s="53"/>
      <c r="AW14" s="53"/>
      <c r="AX14" s="53"/>
      <c r="AY14" s="72"/>
      <c r="AZ14" s="24">
        <f t="shared" si="7"/>
        <v>0</v>
      </c>
      <c r="BA14" s="24">
        <f t="shared" si="9"/>
        <v>5</v>
      </c>
      <c r="BB14" s="83">
        <v>43483</v>
      </c>
    </row>
    <row r="15" spans="1:54" ht="14.25" x14ac:dyDescent="0.15">
      <c r="A15" s="21" t="s">
        <v>42</v>
      </c>
      <c r="B15" s="41"/>
      <c r="C15" s="42"/>
      <c r="D15" s="42"/>
      <c r="E15" s="42"/>
      <c r="F15" s="42"/>
      <c r="G15" s="43">
        <f t="shared" si="0"/>
        <v>0</v>
      </c>
      <c r="H15" s="41"/>
      <c r="I15" s="42"/>
      <c r="J15" s="42"/>
      <c r="K15" s="42"/>
      <c r="L15" s="42"/>
      <c r="M15" s="43">
        <f t="shared" si="1"/>
        <v>0</v>
      </c>
      <c r="N15" s="42">
        <v>-1</v>
      </c>
      <c r="O15" s="53">
        <v>-1</v>
      </c>
      <c r="P15" s="53">
        <v>-1</v>
      </c>
      <c r="Q15" s="53">
        <v>-1</v>
      </c>
      <c r="R15" s="72">
        <v>-1</v>
      </c>
      <c r="S15" s="43">
        <f t="shared" si="2"/>
        <v>-5</v>
      </c>
      <c r="T15" s="42">
        <v>-1</v>
      </c>
      <c r="U15" s="53">
        <v>-1</v>
      </c>
      <c r="V15" s="53">
        <v>-1</v>
      </c>
      <c r="W15" s="53">
        <v>-1</v>
      </c>
      <c r="X15" s="72">
        <v>-1</v>
      </c>
      <c r="Y15" s="43">
        <f t="shared" si="3"/>
        <v>-5</v>
      </c>
      <c r="Z15" s="43">
        <f t="shared" si="8"/>
        <v>-10</v>
      </c>
      <c r="AA15" s="83"/>
      <c r="AB15" s="21" t="s">
        <v>29</v>
      </c>
      <c r="AC15" s="41"/>
      <c r="AD15" s="42"/>
      <c r="AE15" s="42"/>
      <c r="AF15" s="42">
        <v>5</v>
      </c>
      <c r="AG15" s="42">
        <v>10</v>
      </c>
      <c r="AH15" s="43">
        <f t="shared" si="4"/>
        <v>15</v>
      </c>
      <c r="AI15" s="41"/>
      <c r="AJ15" s="42"/>
      <c r="AK15" s="42"/>
      <c r="AL15" s="42"/>
      <c r="AM15" s="42"/>
      <c r="AN15" s="43">
        <f t="shared" si="5"/>
        <v>0</v>
      </c>
      <c r="AO15" s="42"/>
      <c r="AP15" s="53"/>
      <c r="AQ15" s="53"/>
      <c r="AR15" s="53"/>
      <c r="AS15" s="72"/>
      <c r="AT15" s="24">
        <f t="shared" si="6"/>
        <v>0</v>
      </c>
      <c r="AU15" s="42"/>
      <c r="AV15" s="53"/>
      <c r="AW15" s="53"/>
      <c r="AX15" s="53"/>
      <c r="AY15" s="72"/>
      <c r="AZ15" s="24">
        <f t="shared" si="7"/>
        <v>0</v>
      </c>
      <c r="BA15" s="24">
        <f t="shared" si="9"/>
        <v>15</v>
      </c>
      <c r="BB15" s="83">
        <v>43486</v>
      </c>
    </row>
    <row r="16" spans="1:54" ht="14.25" x14ac:dyDescent="0.15">
      <c r="A16" s="40" t="s">
        <v>44</v>
      </c>
      <c r="B16" s="41"/>
      <c r="C16" s="42"/>
      <c r="D16" s="42"/>
      <c r="E16" s="42">
        <v>1</v>
      </c>
      <c r="F16" s="42"/>
      <c r="G16" s="43">
        <f t="shared" si="0"/>
        <v>1</v>
      </c>
      <c r="H16" s="41"/>
      <c r="I16" s="42">
        <v>1</v>
      </c>
      <c r="J16" s="42"/>
      <c r="K16" s="42"/>
      <c r="L16" s="42"/>
      <c r="M16" s="43">
        <f t="shared" si="1"/>
        <v>1</v>
      </c>
      <c r="N16" s="42">
        <v>1</v>
      </c>
      <c r="O16" s="53"/>
      <c r="P16" s="53"/>
      <c r="Q16" s="53"/>
      <c r="R16" s="72"/>
      <c r="S16" s="43">
        <f t="shared" si="2"/>
        <v>1</v>
      </c>
      <c r="T16" s="42"/>
      <c r="U16" s="53"/>
      <c r="V16" s="53">
        <v>1</v>
      </c>
      <c r="W16" s="53"/>
      <c r="X16" s="72"/>
      <c r="Y16" s="43">
        <f t="shared" si="3"/>
        <v>1</v>
      </c>
      <c r="Z16" s="43">
        <f t="shared" si="8"/>
        <v>4</v>
      </c>
      <c r="AA16" s="83"/>
      <c r="AB16" s="21" t="s">
        <v>29</v>
      </c>
      <c r="AC16" s="41"/>
      <c r="AD16" s="42">
        <v>5</v>
      </c>
      <c r="AE16" s="42"/>
      <c r="AF16" s="42"/>
      <c r="AG16" s="42"/>
      <c r="AH16" s="43">
        <f t="shared" si="4"/>
        <v>5</v>
      </c>
      <c r="AI16" s="41">
        <v>5</v>
      </c>
      <c r="AJ16" s="42"/>
      <c r="AK16" s="42"/>
      <c r="AL16" s="42"/>
      <c r="AM16" s="42"/>
      <c r="AN16" s="43">
        <f t="shared" si="5"/>
        <v>5</v>
      </c>
      <c r="AO16" s="42"/>
      <c r="AP16" s="53"/>
      <c r="AQ16" s="53"/>
      <c r="AR16" s="53"/>
      <c r="AS16" s="72"/>
      <c r="AT16" s="24">
        <f t="shared" si="6"/>
        <v>0</v>
      </c>
      <c r="AU16" s="42"/>
      <c r="AV16" s="53"/>
      <c r="AW16" s="53"/>
      <c r="AX16" s="53"/>
      <c r="AY16" s="72"/>
      <c r="AZ16" s="24">
        <f t="shared" si="7"/>
        <v>0</v>
      </c>
      <c r="BA16" s="24">
        <f t="shared" si="9"/>
        <v>10</v>
      </c>
      <c r="BB16" s="83">
        <v>43489</v>
      </c>
    </row>
    <row r="17" spans="1:54" ht="14.25" x14ac:dyDescent="0.15">
      <c r="A17" s="40" t="s">
        <v>47</v>
      </c>
      <c r="B17" s="41"/>
      <c r="C17" s="42"/>
      <c r="D17" s="42"/>
      <c r="E17" s="42"/>
      <c r="F17" s="42"/>
      <c r="G17" s="43">
        <f t="shared" si="0"/>
        <v>0</v>
      </c>
      <c r="H17" s="41"/>
      <c r="I17" s="42"/>
      <c r="J17" s="42"/>
      <c r="K17" s="42"/>
      <c r="L17" s="42"/>
      <c r="M17" s="43">
        <f t="shared" si="1"/>
        <v>0</v>
      </c>
      <c r="N17" s="42"/>
      <c r="O17" s="53"/>
      <c r="P17" s="53"/>
      <c r="Q17" s="53"/>
      <c r="R17" s="72"/>
      <c r="S17" s="43">
        <f t="shared" si="2"/>
        <v>0</v>
      </c>
      <c r="T17" s="42"/>
      <c r="U17" s="53"/>
      <c r="V17" s="53"/>
      <c r="W17" s="53"/>
      <c r="X17" s="72">
        <v>1</v>
      </c>
      <c r="Y17" s="43">
        <f t="shared" si="3"/>
        <v>1</v>
      </c>
      <c r="Z17" s="43">
        <f t="shared" si="8"/>
        <v>1</v>
      </c>
      <c r="AA17" s="83"/>
      <c r="AB17" s="21" t="s">
        <v>29</v>
      </c>
      <c r="AC17" s="41">
        <v>5</v>
      </c>
      <c r="AD17" s="42">
        <v>10</v>
      </c>
      <c r="AE17" s="42"/>
      <c r="AF17" s="42"/>
      <c r="AG17" s="42"/>
      <c r="AH17" s="43">
        <f t="shared" si="4"/>
        <v>15</v>
      </c>
      <c r="AI17" s="41"/>
      <c r="AJ17" s="42"/>
      <c r="AK17" s="42"/>
      <c r="AL17" s="42"/>
      <c r="AM17" s="42"/>
      <c r="AN17" s="43">
        <f t="shared" si="5"/>
        <v>0</v>
      </c>
      <c r="AO17" s="42"/>
      <c r="AP17" s="53"/>
      <c r="AQ17" s="53"/>
      <c r="AR17" s="53"/>
      <c r="AS17" s="72"/>
      <c r="AT17" s="24">
        <f t="shared" si="6"/>
        <v>0</v>
      </c>
      <c r="AU17" s="42"/>
      <c r="AV17" s="53"/>
      <c r="AW17" s="53"/>
      <c r="AX17" s="53"/>
      <c r="AY17" s="72"/>
      <c r="AZ17" s="24">
        <f t="shared" si="7"/>
        <v>0</v>
      </c>
      <c r="BA17" s="24">
        <f t="shared" si="9"/>
        <v>15</v>
      </c>
      <c r="BB17" s="83">
        <v>43493</v>
      </c>
    </row>
    <row r="18" spans="1:54" ht="14.25" x14ac:dyDescent="0.15">
      <c r="A18" s="40" t="s">
        <v>48</v>
      </c>
      <c r="B18" s="14"/>
      <c r="C18" s="15"/>
      <c r="D18" s="15"/>
      <c r="E18" s="15"/>
      <c r="F18" s="15"/>
      <c r="G18" s="24">
        <f t="shared" si="0"/>
        <v>0</v>
      </c>
      <c r="H18" s="14"/>
      <c r="I18" s="15"/>
      <c r="J18" s="15"/>
      <c r="K18" s="15"/>
      <c r="L18" s="15"/>
      <c r="M18" s="24">
        <f t="shared" si="1"/>
        <v>0</v>
      </c>
      <c r="N18" s="15"/>
      <c r="O18" s="55"/>
      <c r="P18" s="55">
        <v>1</v>
      </c>
      <c r="Q18" s="55"/>
      <c r="R18" s="67"/>
      <c r="S18" s="43">
        <f t="shared" si="2"/>
        <v>1</v>
      </c>
      <c r="T18" s="15"/>
      <c r="U18" s="55"/>
      <c r="V18" s="55"/>
      <c r="W18" s="55"/>
      <c r="X18" s="67"/>
      <c r="Y18" s="43">
        <f t="shared" si="3"/>
        <v>0</v>
      </c>
      <c r="Z18" s="43">
        <f t="shared" si="8"/>
        <v>1</v>
      </c>
      <c r="AA18" s="83"/>
      <c r="AB18" s="21" t="s">
        <v>29</v>
      </c>
      <c r="AC18" s="41"/>
      <c r="AD18" s="42"/>
      <c r="AE18" s="42"/>
      <c r="AF18" s="42"/>
      <c r="AG18" s="42"/>
      <c r="AH18" s="43">
        <f t="shared" si="4"/>
        <v>0</v>
      </c>
      <c r="AI18" s="41"/>
      <c r="AJ18" s="42">
        <v>5</v>
      </c>
      <c r="AK18" s="42"/>
      <c r="AL18" s="42"/>
      <c r="AM18" s="42"/>
      <c r="AN18" s="43">
        <f t="shared" si="5"/>
        <v>5</v>
      </c>
      <c r="AO18" s="42"/>
      <c r="AP18" s="53"/>
      <c r="AQ18" s="53"/>
      <c r="AR18" s="53"/>
      <c r="AS18" s="72"/>
      <c r="AT18" s="24">
        <f t="shared" si="6"/>
        <v>0</v>
      </c>
      <c r="AU18" s="42"/>
      <c r="AV18" s="53"/>
      <c r="AW18" s="53"/>
      <c r="AX18" s="53"/>
      <c r="AY18" s="72"/>
      <c r="AZ18" s="24">
        <f t="shared" si="7"/>
        <v>0</v>
      </c>
      <c r="BA18" s="24">
        <f t="shared" si="9"/>
        <v>5</v>
      </c>
      <c r="BB18" s="83">
        <v>43494</v>
      </c>
    </row>
    <row r="19" spans="1:54" ht="14.25" x14ac:dyDescent="0.15">
      <c r="A19" s="40" t="s">
        <v>49</v>
      </c>
      <c r="B19" s="44">
        <v>1</v>
      </c>
      <c r="C19" s="45"/>
      <c r="D19" s="45"/>
      <c r="E19" s="45"/>
      <c r="F19" s="45"/>
      <c r="G19" s="43">
        <f t="shared" si="0"/>
        <v>1</v>
      </c>
      <c r="H19" s="44"/>
      <c r="I19" s="45"/>
      <c r="J19" s="45"/>
      <c r="K19" s="45"/>
      <c r="L19" s="45"/>
      <c r="M19" s="43">
        <f t="shared" si="1"/>
        <v>0</v>
      </c>
      <c r="N19" s="42">
        <v>1</v>
      </c>
      <c r="O19" s="53"/>
      <c r="P19" s="53"/>
      <c r="Q19" s="53"/>
      <c r="R19" s="72"/>
      <c r="S19" s="43">
        <f t="shared" si="2"/>
        <v>1</v>
      </c>
      <c r="T19" s="42">
        <v>1</v>
      </c>
      <c r="U19" s="53"/>
      <c r="V19" s="53"/>
      <c r="W19" s="53"/>
      <c r="X19" s="72"/>
      <c r="Y19" s="43">
        <f t="shared" si="3"/>
        <v>1</v>
      </c>
      <c r="Z19" s="43">
        <f t="shared" si="8"/>
        <v>3</v>
      </c>
      <c r="AA19" s="83"/>
      <c r="AB19" s="21" t="s">
        <v>29</v>
      </c>
      <c r="AC19" s="44"/>
      <c r="AD19" s="45"/>
      <c r="AE19" s="45"/>
      <c r="AF19" s="45"/>
      <c r="AG19" s="45"/>
      <c r="AH19" s="43">
        <f t="shared" si="4"/>
        <v>0</v>
      </c>
      <c r="AI19" s="44">
        <v>5</v>
      </c>
      <c r="AJ19" s="45"/>
      <c r="AK19" s="45"/>
      <c r="AL19" s="45">
        <v>5</v>
      </c>
      <c r="AM19" s="45"/>
      <c r="AN19" s="43">
        <f t="shared" si="5"/>
        <v>10</v>
      </c>
      <c r="AO19" s="42"/>
      <c r="AP19" s="53"/>
      <c r="AQ19" s="53"/>
      <c r="AR19" s="53"/>
      <c r="AS19" s="72"/>
      <c r="AT19" s="24">
        <f t="shared" si="6"/>
        <v>0</v>
      </c>
      <c r="AU19" s="42"/>
      <c r="AV19" s="53"/>
      <c r="AW19" s="53"/>
      <c r="AX19" s="53"/>
      <c r="AY19" s="72"/>
      <c r="AZ19" s="24">
        <f t="shared" si="7"/>
        <v>0</v>
      </c>
      <c r="BA19" s="24">
        <f t="shared" si="9"/>
        <v>10</v>
      </c>
      <c r="BB19" s="83">
        <v>43500</v>
      </c>
    </row>
    <row r="20" spans="1:54" ht="14.25" x14ac:dyDescent="0.15">
      <c r="A20" s="40" t="s">
        <v>50</v>
      </c>
      <c r="B20" s="41"/>
      <c r="C20" s="42"/>
      <c r="D20" s="42"/>
      <c r="E20" s="42"/>
      <c r="F20" s="42"/>
      <c r="G20" s="43">
        <f t="shared" si="0"/>
        <v>0</v>
      </c>
      <c r="H20" s="41"/>
      <c r="I20" s="42"/>
      <c r="J20" s="42"/>
      <c r="K20" s="42"/>
      <c r="L20" s="42"/>
      <c r="M20" s="43">
        <f t="shared" si="1"/>
        <v>0</v>
      </c>
      <c r="N20" s="42"/>
      <c r="O20" s="53"/>
      <c r="P20" s="53">
        <v>-1</v>
      </c>
      <c r="Q20" s="53"/>
      <c r="R20" s="72"/>
      <c r="S20" s="43">
        <f t="shared" si="2"/>
        <v>-1</v>
      </c>
      <c r="T20" s="42"/>
      <c r="U20" s="53"/>
      <c r="V20" s="53"/>
      <c r="W20" s="53"/>
      <c r="X20" s="72"/>
      <c r="Y20" s="43">
        <f t="shared" si="3"/>
        <v>0</v>
      </c>
      <c r="Z20" s="43">
        <f t="shared" si="8"/>
        <v>-1</v>
      </c>
      <c r="AA20" s="83"/>
      <c r="AB20" s="21" t="s">
        <v>29</v>
      </c>
      <c r="AC20" s="41"/>
      <c r="AD20" s="42"/>
      <c r="AE20" s="42"/>
      <c r="AF20" s="42"/>
      <c r="AG20" s="42"/>
      <c r="AH20" s="43">
        <f t="shared" si="4"/>
        <v>0</v>
      </c>
      <c r="AI20" s="41"/>
      <c r="AJ20" s="42"/>
      <c r="AK20" s="42">
        <v>5</v>
      </c>
      <c r="AL20" s="42">
        <v>5</v>
      </c>
      <c r="AM20" s="42"/>
      <c r="AN20" s="43">
        <f t="shared" si="5"/>
        <v>10</v>
      </c>
      <c r="AO20" s="42"/>
      <c r="AP20" s="53"/>
      <c r="AQ20" s="53"/>
      <c r="AR20" s="53"/>
      <c r="AS20" s="72"/>
      <c r="AT20" s="24">
        <f t="shared" si="6"/>
        <v>0</v>
      </c>
      <c r="AU20" s="42"/>
      <c r="AV20" s="53"/>
      <c r="AW20" s="53"/>
      <c r="AX20" s="53"/>
      <c r="AY20" s="72"/>
      <c r="AZ20" s="24">
        <f t="shared" si="7"/>
        <v>0</v>
      </c>
      <c r="BA20" s="24">
        <f t="shared" si="9"/>
        <v>10</v>
      </c>
      <c r="BB20" s="83">
        <v>43503</v>
      </c>
    </row>
    <row r="21" spans="1:54" ht="14.25" x14ac:dyDescent="0.15">
      <c r="A21" s="40" t="s">
        <v>44</v>
      </c>
      <c r="B21" s="41"/>
      <c r="C21" s="42"/>
      <c r="D21" s="42"/>
      <c r="E21" s="42"/>
      <c r="F21" s="42"/>
      <c r="G21" s="43">
        <f t="shared" si="0"/>
        <v>0</v>
      </c>
      <c r="H21" s="41"/>
      <c r="I21" s="42"/>
      <c r="J21" s="42"/>
      <c r="K21" s="42"/>
      <c r="L21" s="42">
        <v>1</v>
      </c>
      <c r="M21" s="43">
        <f t="shared" si="1"/>
        <v>1</v>
      </c>
      <c r="N21" s="42"/>
      <c r="O21" s="53"/>
      <c r="P21" s="53"/>
      <c r="Q21" s="53"/>
      <c r="R21" s="72"/>
      <c r="S21" s="43">
        <f t="shared" si="2"/>
        <v>0</v>
      </c>
      <c r="T21" s="42"/>
      <c r="U21" s="53"/>
      <c r="V21" s="53"/>
      <c r="W21" s="53"/>
      <c r="X21" s="72"/>
      <c r="Y21" s="43">
        <f t="shared" si="3"/>
        <v>0</v>
      </c>
      <c r="Z21" s="43">
        <f t="shared" si="8"/>
        <v>1</v>
      </c>
      <c r="AA21" s="83"/>
      <c r="AB21" s="21" t="s">
        <v>29</v>
      </c>
      <c r="AC21" s="41">
        <v>5</v>
      </c>
      <c r="AD21" s="42"/>
      <c r="AE21" s="42"/>
      <c r="AF21" s="42"/>
      <c r="AG21" s="42"/>
      <c r="AH21" s="43">
        <f t="shared" si="4"/>
        <v>5</v>
      </c>
      <c r="AI21" s="41"/>
      <c r="AJ21" s="42"/>
      <c r="AK21" s="42"/>
      <c r="AL21" s="42"/>
      <c r="AM21" s="42"/>
      <c r="AN21" s="43">
        <f t="shared" si="5"/>
        <v>0</v>
      </c>
      <c r="AO21" s="42"/>
      <c r="AP21" s="53"/>
      <c r="AQ21" s="53"/>
      <c r="AR21" s="53"/>
      <c r="AS21" s="72"/>
      <c r="AT21" s="24">
        <f t="shared" si="6"/>
        <v>0</v>
      </c>
      <c r="AU21" s="42"/>
      <c r="AV21" s="53"/>
      <c r="AW21" s="53"/>
      <c r="AX21" s="53"/>
      <c r="AY21" s="72"/>
      <c r="AZ21" s="24">
        <f t="shared" si="7"/>
        <v>0</v>
      </c>
      <c r="BA21" s="24">
        <f t="shared" si="9"/>
        <v>5</v>
      </c>
      <c r="BB21" s="83">
        <v>43510</v>
      </c>
    </row>
    <row r="22" spans="1:54" ht="14.25" x14ac:dyDescent="0.15">
      <c r="A22" s="40" t="s">
        <v>48</v>
      </c>
      <c r="B22" s="41"/>
      <c r="C22" s="42"/>
      <c r="D22" s="42"/>
      <c r="E22" s="42"/>
      <c r="F22" s="42"/>
      <c r="G22" s="43">
        <f t="shared" si="0"/>
        <v>0</v>
      </c>
      <c r="H22" s="41"/>
      <c r="I22" s="42">
        <v>1</v>
      </c>
      <c r="J22" s="42"/>
      <c r="K22" s="42"/>
      <c r="L22" s="42"/>
      <c r="M22" s="43">
        <f t="shared" si="1"/>
        <v>1</v>
      </c>
      <c r="N22" s="42"/>
      <c r="O22" s="53"/>
      <c r="P22" s="53"/>
      <c r="Q22" s="53"/>
      <c r="R22" s="72"/>
      <c r="S22" s="43">
        <f t="shared" si="2"/>
        <v>0</v>
      </c>
      <c r="T22" s="42"/>
      <c r="U22" s="53"/>
      <c r="V22" s="53"/>
      <c r="W22" s="53"/>
      <c r="X22" s="72"/>
      <c r="Y22" s="43">
        <f t="shared" si="3"/>
        <v>0</v>
      </c>
      <c r="Z22" s="43">
        <f t="shared" si="8"/>
        <v>1</v>
      </c>
      <c r="AA22" s="83"/>
      <c r="AB22" s="21" t="s">
        <v>29</v>
      </c>
      <c r="AC22" s="41"/>
      <c r="AD22" s="42"/>
      <c r="AE22" s="42"/>
      <c r="AF22" s="42"/>
      <c r="AG22" s="42"/>
      <c r="AH22" s="43">
        <f t="shared" si="4"/>
        <v>0</v>
      </c>
      <c r="AI22" s="41"/>
      <c r="AJ22" s="42"/>
      <c r="AK22" s="42"/>
      <c r="AL22" s="42"/>
      <c r="AM22" s="42">
        <v>5</v>
      </c>
      <c r="AN22" s="43">
        <f t="shared" si="5"/>
        <v>5</v>
      </c>
      <c r="AO22" s="42"/>
      <c r="AP22" s="53"/>
      <c r="AQ22" s="53"/>
      <c r="AR22" s="53"/>
      <c r="AS22" s="72"/>
      <c r="AT22" s="24">
        <f t="shared" si="6"/>
        <v>0</v>
      </c>
      <c r="AU22" s="42"/>
      <c r="AV22" s="53"/>
      <c r="AW22" s="53"/>
      <c r="AX22" s="53"/>
      <c r="AY22" s="72"/>
      <c r="AZ22" s="24">
        <f t="shared" si="7"/>
        <v>0</v>
      </c>
      <c r="BA22" s="24">
        <f t="shared" si="9"/>
        <v>5</v>
      </c>
      <c r="BB22" s="83">
        <v>43511</v>
      </c>
    </row>
    <row r="23" spans="1:54" ht="14.25" x14ac:dyDescent="0.15">
      <c r="A23" s="40" t="s">
        <v>48</v>
      </c>
      <c r="B23" s="41"/>
      <c r="C23" s="42"/>
      <c r="D23" s="42"/>
      <c r="E23" s="42"/>
      <c r="F23" s="42"/>
      <c r="G23" s="43">
        <f t="shared" si="0"/>
        <v>0</v>
      </c>
      <c r="H23" s="41"/>
      <c r="I23" s="42"/>
      <c r="J23" s="42"/>
      <c r="K23" s="42">
        <v>1</v>
      </c>
      <c r="L23" s="42"/>
      <c r="M23" s="43">
        <f t="shared" si="1"/>
        <v>1</v>
      </c>
      <c r="N23" s="42"/>
      <c r="O23" s="53"/>
      <c r="P23" s="53"/>
      <c r="Q23" s="53"/>
      <c r="R23" s="72"/>
      <c r="S23" s="43">
        <f t="shared" si="2"/>
        <v>0</v>
      </c>
      <c r="T23" s="42"/>
      <c r="U23" s="53"/>
      <c r="V23" s="53"/>
      <c r="W23" s="53"/>
      <c r="X23" s="72"/>
      <c r="Y23" s="43">
        <f t="shared" si="3"/>
        <v>0</v>
      </c>
      <c r="Z23" s="43">
        <f t="shared" si="8"/>
        <v>1</v>
      </c>
      <c r="AA23" s="83"/>
      <c r="AB23" s="21" t="s">
        <v>29</v>
      </c>
      <c r="AC23" s="38"/>
      <c r="AD23" s="39"/>
      <c r="AE23" s="39">
        <v>5</v>
      </c>
      <c r="AF23" s="39"/>
      <c r="AG23" s="39"/>
      <c r="AH23" s="37">
        <f t="shared" si="4"/>
        <v>5</v>
      </c>
      <c r="AI23" s="38"/>
      <c r="AJ23" s="39"/>
      <c r="AK23" s="39"/>
      <c r="AL23" s="39"/>
      <c r="AM23" s="39">
        <v>5</v>
      </c>
      <c r="AN23" s="37">
        <f t="shared" si="5"/>
        <v>5</v>
      </c>
      <c r="AO23" s="42"/>
      <c r="AP23" s="53"/>
      <c r="AQ23" s="53"/>
      <c r="AR23" s="53"/>
      <c r="AS23" s="72"/>
      <c r="AT23" s="24">
        <f t="shared" si="6"/>
        <v>0</v>
      </c>
      <c r="AU23" s="42"/>
      <c r="AV23" s="53"/>
      <c r="AW23" s="53"/>
      <c r="AX23" s="53"/>
      <c r="AY23" s="72"/>
      <c r="AZ23" s="24">
        <f t="shared" si="7"/>
        <v>0</v>
      </c>
      <c r="BA23" s="24">
        <f t="shared" si="9"/>
        <v>10</v>
      </c>
      <c r="BB23" s="83">
        <v>43514</v>
      </c>
    </row>
    <row r="24" spans="1:54" ht="14.25" x14ac:dyDescent="0.15">
      <c r="A24" s="40" t="s">
        <v>50</v>
      </c>
      <c r="B24" s="41"/>
      <c r="C24" s="42"/>
      <c r="D24" s="42"/>
      <c r="E24" s="42"/>
      <c r="F24" s="42"/>
      <c r="G24" s="43">
        <f t="shared" si="0"/>
        <v>0</v>
      </c>
      <c r="H24" s="41"/>
      <c r="I24" s="42"/>
      <c r="J24" s="42"/>
      <c r="K24" s="42"/>
      <c r="L24" s="42"/>
      <c r="M24" s="43">
        <f t="shared" si="1"/>
        <v>0</v>
      </c>
      <c r="N24" s="42"/>
      <c r="O24" s="53"/>
      <c r="P24" s="53"/>
      <c r="Q24" s="53"/>
      <c r="R24" s="72">
        <v>-1</v>
      </c>
      <c r="S24" s="43">
        <f t="shared" si="2"/>
        <v>-1</v>
      </c>
      <c r="T24" s="42"/>
      <c r="U24" s="53"/>
      <c r="V24" s="53"/>
      <c r="W24" s="53">
        <v>-1</v>
      </c>
      <c r="X24" s="72">
        <v>-1</v>
      </c>
      <c r="Y24" s="43">
        <f t="shared" si="3"/>
        <v>-2</v>
      </c>
      <c r="Z24" s="43">
        <f t="shared" si="8"/>
        <v>-3</v>
      </c>
      <c r="AA24" s="83"/>
      <c r="AB24" s="21" t="s">
        <v>29</v>
      </c>
      <c r="AC24" s="41"/>
      <c r="AD24" s="42"/>
      <c r="AE24" s="42"/>
      <c r="AF24" s="42"/>
      <c r="AG24" s="42">
        <v>5</v>
      </c>
      <c r="AH24" s="43">
        <f t="shared" si="4"/>
        <v>5</v>
      </c>
      <c r="AI24" s="41"/>
      <c r="AJ24" s="42"/>
      <c r="AK24" s="42"/>
      <c r="AL24" s="42"/>
      <c r="AM24" s="42"/>
      <c r="AN24" s="43">
        <f t="shared" si="5"/>
        <v>0</v>
      </c>
      <c r="AO24" s="42"/>
      <c r="AP24" s="53"/>
      <c r="AQ24" s="53"/>
      <c r="AR24" s="53"/>
      <c r="AS24" s="72"/>
      <c r="AT24" s="24">
        <f t="shared" si="6"/>
        <v>0</v>
      </c>
      <c r="AU24" s="42"/>
      <c r="AV24" s="53"/>
      <c r="AW24" s="53"/>
      <c r="AX24" s="53"/>
      <c r="AY24" s="72"/>
      <c r="AZ24" s="24">
        <f t="shared" si="7"/>
        <v>0</v>
      </c>
      <c r="BA24" s="24">
        <f t="shared" si="9"/>
        <v>5</v>
      </c>
      <c r="BB24" s="83">
        <v>43521</v>
      </c>
    </row>
    <row r="25" spans="1:54" ht="14.25" x14ac:dyDescent="0.15">
      <c r="A25" s="40" t="s">
        <v>51</v>
      </c>
      <c r="B25" s="41"/>
      <c r="C25" s="42"/>
      <c r="D25" s="42"/>
      <c r="E25" s="42"/>
      <c r="F25" s="42">
        <v>-1</v>
      </c>
      <c r="G25" s="43">
        <f t="shared" si="0"/>
        <v>-1</v>
      </c>
      <c r="H25" s="41"/>
      <c r="I25" s="42"/>
      <c r="J25" s="42"/>
      <c r="K25" s="42"/>
      <c r="L25" s="42"/>
      <c r="M25" s="43">
        <f t="shared" si="1"/>
        <v>0</v>
      </c>
      <c r="N25" s="42"/>
      <c r="O25" s="53"/>
      <c r="P25" s="53"/>
      <c r="Q25" s="53"/>
      <c r="R25" s="72"/>
      <c r="S25" s="43">
        <f t="shared" si="2"/>
        <v>0</v>
      </c>
      <c r="T25" s="42"/>
      <c r="U25" s="53"/>
      <c r="V25" s="53"/>
      <c r="W25" s="53"/>
      <c r="X25" s="72"/>
      <c r="Y25" s="43">
        <f t="shared" si="3"/>
        <v>0</v>
      </c>
      <c r="Z25" s="43">
        <f t="shared" si="8"/>
        <v>-1</v>
      </c>
      <c r="AA25" s="83"/>
      <c r="AB25" s="21" t="s">
        <v>29</v>
      </c>
      <c r="AC25" s="14"/>
      <c r="AD25" s="15"/>
      <c r="AE25" s="15"/>
      <c r="AF25" s="15"/>
      <c r="AG25" s="15">
        <v>5</v>
      </c>
      <c r="AH25" s="24">
        <f t="shared" si="4"/>
        <v>5</v>
      </c>
      <c r="AI25" s="14"/>
      <c r="AJ25" s="15"/>
      <c r="AK25" s="15"/>
      <c r="AL25" s="15"/>
      <c r="AM25" s="15"/>
      <c r="AN25" s="24">
        <f t="shared" si="5"/>
        <v>0</v>
      </c>
      <c r="AO25" s="15"/>
      <c r="AP25" s="55"/>
      <c r="AQ25" s="55"/>
      <c r="AR25" s="55"/>
      <c r="AS25" s="67"/>
      <c r="AT25" s="24">
        <f t="shared" si="6"/>
        <v>0</v>
      </c>
      <c r="AU25" s="15"/>
      <c r="AV25" s="55"/>
      <c r="AW25" s="55"/>
      <c r="AX25" s="55"/>
      <c r="AY25" s="67"/>
      <c r="AZ25" s="24">
        <f t="shared" si="7"/>
        <v>0</v>
      </c>
      <c r="BA25" s="24">
        <f t="shared" si="9"/>
        <v>5</v>
      </c>
      <c r="BB25" s="83">
        <v>43531</v>
      </c>
    </row>
    <row r="26" spans="1:54" ht="14.25" x14ac:dyDescent="0.15">
      <c r="A26" s="40" t="s">
        <v>50</v>
      </c>
      <c r="B26" s="41"/>
      <c r="C26" s="42"/>
      <c r="D26" s="42"/>
      <c r="E26" s="42"/>
      <c r="F26" s="42"/>
      <c r="G26" s="43">
        <f t="shared" si="0"/>
        <v>0</v>
      </c>
      <c r="H26" s="41"/>
      <c r="I26" s="42"/>
      <c r="J26" s="42"/>
      <c r="K26" s="42"/>
      <c r="L26" s="42"/>
      <c r="M26" s="43">
        <f t="shared" si="1"/>
        <v>0</v>
      </c>
      <c r="N26" s="42"/>
      <c r="O26" s="53"/>
      <c r="P26" s="53">
        <v>-1</v>
      </c>
      <c r="Q26" s="53">
        <v>-1</v>
      </c>
      <c r="R26" s="72"/>
      <c r="S26" s="43">
        <f t="shared" si="2"/>
        <v>-2</v>
      </c>
      <c r="T26" s="42"/>
      <c r="U26" s="53"/>
      <c r="V26" s="53"/>
      <c r="W26" s="53"/>
      <c r="X26" s="72"/>
      <c r="Y26" s="43">
        <f t="shared" si="3"/>
        <v>0</v>
      </c>
      <c r="Z26" s="43">
        <f t="shared" si="8"/>
        <v>-2</v>
      </c>
      <c r="AA26" s="83"/>
      <c r="AB26" s="23" t="s">
        <v>41</v>
      </c>
      <c r="AC26" s="14"/>
      <c r="AD26" s="15"/>
      <c r="AE26" s="15"/>
      <c r="AF26" s="15"/>
      <c r="AG26" s="15"/>
      <c r="AH26" s="24">
        <f t="shared" si="4"/>
        <v>0</v>
      </c>
      <c r="AI26" s="14"/>
      <c r="AJ26" s="15"/>
      <c r="AK26" s="15"/>
      <c r="AL26" s="15"/>
      <c r="AM26" s="15"/>
      <c r="AN26" s="24">
        <f t="shared" si="5"/>
        <v>0</v>
      </c>
      <c r="AO26" s="15"/>
      <c r="AP26" s="55"/>
      <c r="AQ26" s="55"/>
      <c r="AR26" s="55"/>
      <c r="AS26" s="67">
        <v>7</v>
      </c>
      <c r="AT26" s="24">
        <f t="shared" si="6"/>
        <v>7</v>
      </c>
      <c r="AU26" s="15"/>
      <c r="AV26" s="55"/>
      <c r="AW26" s="55"/>
      <c r="AX26" s="55"/>
      <c r="AY26" s="67"/>
      <c r="AZ26" s="24">
        <f t="shared" si="7"/>
        <v>0</v>
      </c>
      <c r="BA26" s="24">
        <f t="shared" si="9"/>
        <v>7</v>
      </c>
      <c r="BB26" s="83">
        <v>43537</v>
      </c>
    </row>
    <row r="27" spans="1:54" ht="14.25" x14ac:dyDescent="0.15">
      <c r="A27" s="46"/>
      <c r="B27" s="41"/>
      <c r="C27" s="42"/>
      <c r="D27" s="42"/>
      <c r="E27" s="42"/>
      <c r="F27" s="42"/>
      <c r="G27" s="43">
        <f t="shared" si="0"/>
        <v>0</v>
      </c>
      <c r="H27" s="41"/>
      <c r="I27" s="42"/>
      <c r="J27" s="42"/>
      <c r="K27" s="42"/>
      <c r="L27" s="42"/>
      <c r="M27" s="43">
        <f t="shared" si="1"/>
        <v>0</v>
      </c>
      <c r="N27" s="42"/>
      <c r="O27" s="53"/>
      <c r="P27" s="53"/>
      <c r="Q27" s="53"/>
      <c r="R27" s="72"/>
      <c r="S27" s="43">
        <f t="shared" si="2"/>
        <v>0</v>
      </c>
      <c r="T27" s="42"/>
      <c r="U27" s="53"/>
      <c r="V27" s="53"/>
      <c r="W27" s="53"/>
      <c r="X27" s="72"/>
      <c r="Y27" s="43">
        <f t="shared" si="3"/>
        <v>0</v>
      </c>
      <c r="Z27" s="43">
        <f t="shared" si="8"/>
        <v>0</v>
      </c>
      <c r="AA27" s="83"/>
      <c r="AB27" s="23" t="s">
        <v>30</v>
      </c>
      <c r="AC27" s="14"/>
      <c r="AD27" s="15"/>
      <c r="AE27" s="15"/>
      <c r="AF27" s="15"/>
      <c r="AG27" s="15"/>
      <c r="AH27" s="24">
        <f t="shared" si="4"/>
        <v>0</v>
      </c>
      <c r="AI27" s="14"/>
      <c r="AJ27" s="15"/>
      <c r="AK27" s="15"/>
      <c r="AL27" s="15"/>
      <c r="AM27" s="15"/>
      <c r="AN27" s="24">
        <f t="shared" si="5"/>
        <v>0</v>
      </c>
      <c r="AO27" s="15">
        <v>1</v>
      </c>
      <c r="AP27" s="55">
        <v>1</v>
      </c>
      <c r="AQ27" s="55">
        <v>1</v>
      </c>
      <c r="AR27" s="55">
        <v>1</v>
      </c>
      <c r="AS27" s="67">
        <v>1</v>
      </c>
      <c r="AT27" s="24">
        <f t="shared" si="6"/>
        <v>5</v>
      </c>
      <c r="AU27" s="15">
        <v>1</v>
      </c>
      <c r="AV27" s="55">
        <v>1</v>
      </c>
      <c r="AW27" s="55">
        <v>1</v>
      </c>
      <c r="AX27" s="55">
        <v>1</v>
      </c>
      <c r="AY27" s="67">
        <v>1</v>
      </c>
      <c r="AZ27" s="24">
        <f t="shared" si="7"/>
        <v>5</v>
      </c>
      <c r="BA27" s="24">
        <f t="shared" si="9"/>
        <v>10</v>
      </c>
      <c r="BB27" s="83">
        <v>43531</v>
      </c>
    </row>
    <row r="28" spans="1:54" ht="14.25" x14ac:dyDescent="0.15">
      <c r="A28" s="40"/>
      <c r="B28" s="41"/>
      <c r="C28" s="42"/>
      <c r="D28" s="42"/>
      <c r="E28" s="42"/>
      <c r="F28" s="42"/>
      <c r="G28" s="43">
        <f t="shared" si="0"/>
        <v>0</v>
      </c>
      <c r="H28" s="41"/>
      <c r="I28" s="42"/>
      <c r="J28" s="42"/>
      <c r="K28" s="42"/>
      <c r="L28" s="42"/>
      <c r="M28" s="43">
        <f t="shared" si="1"/>
        <v>0</v>
      </c>
      <c r="N28" s="42"/>
      <c r="O28" s="53"/>
      <c r="P28" s="53"/>
      <c r="Q28" s="53"/>
      <c r="R28" s="72"/>
      <c r="S28" s="43">
        <f t="shared" si="2"/>
        <v>0</v>
      </c>
      <c r="T28" s="42"/>
      <c r="U28" s="53"/>
      <c r="V28" s="53"/>
      <c r="W28" s="53"/>
      <c r="X28" s="72"/>
      <c r="Y28" s="43">
        <f t="shared" si="3"/>
        <v>0</v>
      </c>
      <c r="Z28" s="43">
        <f t="shared" si="8"/>
        <v>0</v>
      </c>
      <c r="AA28" s="83"/>
      <c r="AB28" s="21" t="s">
        <v>29</v>
      </c>
      <c r="AC28" s="14"/>
      <c r="AD28" s="15"/>
      <c r="AE28" s="15"/>
      <c r="AF28" s="15"/>
      <c r="AG28" s="15"/>
      <c r="AH28" s="24">
        <f t="shared" si="4"/>
        <v>0</v>
      </c>
      <c r="AI28" s="14"/>
      <c r="AJ28" s="15"/>
      <c r="AK28" s="15"/>
      <c r="AL28" s="15">
        <v>5</v>
      </c>
      <c r="AM28" s="15"/>
      <c r="AN28" s="24">
        <f t="shared" si="5"/>
        <v>5</v>
      </c>
      <c r="AO28" s="15"/>
      <c r="AP28" s="55"/>
      <c r="AQ28" s="55"/>
      <c r="AR28" s="55"/>
      <c r="AS28" s="67"/>
      <c r="AT28" s="24">
        <f t="shared" si="6"/>
        <v>0</v>
      </c>
      <c r="AU28" s="15"/>
      <c r="AV28" s="55"/>
      <c r="AW28" s="55"/>
      <c r="AX28" s="55"/>
      <c r="AY28" s="67"/>
      <c r="AZ28" s="24">
        <f t="shared" si="7"/>
        <v>0</v>
      </c>
      <c r="BA28" s="24">
        <f t="shared" si="9"/>
        <v>5</v>
      </c>
      <c r="BB28" s="83">
        <v>43549</v>
      </c>
    </row>
    <row r="29" spans="1:54" ht="14.25" x14ac:dyDescent="0.15">
      <c r="A29" s="46"/>
      <c r="B29" s="14"/>
      <c r="C29" s="15"/>
      <c r="D29" s="15"/>
      <c r="E29" s="15"/>
      <c r="F29" s="15"/>
      <c r="G29" s="24">
        <f t="shared" si="0"/>
        <v>0</v>
      </c>
      <c r="H29" s="14"/>
      <c r="I29" s="15"/>
      <c r="J29" s="15"/>
      <c r="K29" s="15"/>
      <c r="L29" s="15"/>
      <c r="M29" s="24">
        <f t="shared" si="1"/>
        <v>0</v>
      </c>
      <c r="N29" s="15"/>
      <c r="O29" s="55"/>
      <c r="P29" s="55"/>
      <c r="Q29" s="55"/>
      <c r="R29" s="67"/>
      <c r="S29" s="43">
        <f t="shared" si="2"/>
        <v>0</v>
      </c>
      <c r="T29" s="15"/>
      <c r="U29" s="55"/>
      <c r="V29" s="55"/>
      <c r="W29" s="55"/>
      <c r="X29" s="67"/>
      <c r="Y29" s="43">
        <f t="shared" si="3"/>
        <v>0</v>
      </c>
      <c r="Z29" s="43">
        <f t="shared" si="8"/>
        <v>0</v>
      </c>
      <c r="AA29" s="83"/>
      <c r="AB29" s="21" t="s">
        <v>29</v>
      </c>
      <c r="AC29" s="14"/>
      <c r="AD29" s="15"/>
      <c r="AE29" s="15"/>
      <c r="AF29" s="15">
        <v>5</v>
      </c>
      <c r="AG29" s="15"/>
      <c r="AH29" s="24">
        <f t="shared" si="4"/>
        <v>5</v>
      </c>
      <c r="AI29" s="14"/>
      <c r="AJ29" s="15"/>
      <c r="AK29" s="15"/>
      <c r="AL29" s="15"/>
      <c r="AM29" s="15"/>
      <c r="AN29" s="24">
        <f t="shared" si="5"/>
        <v>0</v>
      </c>
      <c r="AO29" s="15"/>
      <c r="AP29" s="55"/>
      <c r="AQ29" s="55"/>
      <c r="AR29" s="55"/>
      <c r="AS29" s="67"/>
      <c r="AT29" s="24">
        <f t="shared" si="6"/>
        <v>0</v>
      </c>
      <c r="AU29" s="15"/>
      <c r="AV29" s="55"/>
      <c r="AW29" s="55"/>
      <c r="AX29" s="55"/>
      <c r="AY29" s="67"/>
      <c r="AZ29" s="24">
        <f t="shared" si="7"/>
        <v>0</v>
      </c>
      <c r="BA29" s="24">
        <f t="shared" si="9"/>
        <v>5</v>
      </c>
      <c r="BB29" s="83">
        <v>43551</v>
      </c>
    </row>
    <row r="30" spans="1:54" ht="14.25" x14ac:dyDescent="0.15">
      <c r="A30" s="47"/>
      <c r="B30" s="41"/>
      <c r="C30" s="42"/>
      <c r="D30" s="42"/>
      <c r="E30" s="42"/>
      <c r="F30" s="42"/>
      <c r="G30" s="43">
        <f t="shared" si="0"/>
        <v>0</v>
      </c>
      <c r="H30" s="41"/>
      <c r="I30" s="42"/>
      <c r="J30" s="42"/>
      <c r="K30" s="42"/>
      <c r="L30" s="42"/>
      <c r="M30" s="43">
        <f t="shared" si="1"/>
        <v>0</v>
      </c>
      <c r="N30" s="42"/>
      <c r="O30" s="53"/>
      <c r="P30" s="53"/>
      <c r="Q30" s="53"/>
      <c r="R30" s="72"/>
      <c r="S30" s="43">
        <f t="shared" si="2"/>
        <v>0</v>
      </c>
      <c r="T30" s="42"/>
      <c r="U30" s="53"/>
      <c r="V30" s="53"/>
      <c r="W30" s="53"/>
      <c r="X30" s="72"/>
      <c r="Y30" s="43">
        <f t="shared" si="3"/>
        <v>0</v>
      </c>
      <c r="Z30" s="43">
        <f t="shared" si="8"/>
        <v>0</v>
      </c>
      <c r="AA30" s="83"/>
      <c r="AB30" s="23" t="s">
        <v>41</v>
      </c>
      <c r="AC30" s="14"/>
      <c r="AD30" s="15"/>
      <c r="AE30" s="15"/>
      <c r="AF30" s="15"/>
      <c r="AG30" s="15"/>
      <c r="AH30" s="24">
        <f t="shared" si="4"/>
        <v>0</v>
      </c>
      <c r="AI30" s="14"/>
      <c r="AJ30" s="15"/>
      <c r="AK30" s="15"/>
      <c r="AL30" s="15"/>
      <c r="AM30" s="15"/>
      <c r="AN30" s="24">
        <f t="shared" si="5"/>
        <v>0</v>
      </c>
      <c r="AO30" s="15"/>
      <c r="AP30" s="55"/>
      <c r="AQ30" s="55">
        <v>10</v>
      </c>
      <c r="AR30" s="55"/>
      <c r="AS30" s="67"/>
      <c r="AT30" s="24">
        <f t="shared" si="6"/>
        <v>10</v>
      </c>
      <c r="AU30" s="15"/>
      <c r="AV30" s="55"/>
      <c r="AW30" s="55"/>
      <c r="AX30" s="55"/>
      <c r="AY30" s="67"/>
      <c r="AZ30" s="24">
        <f t="shared" si="7"/>
        <v>0</v>
      </c>
      <c r="BA30" s="24">
        <f t="shared" si="9"/>
        <v>10</v>
      </c>
      <c r="BB30" s="83">
        <v>43550</v>
      </c>
    </row>
    <row r="31" spans="1:54" ht="14.25" x14ac:dyDescent="0.15">
      <c r="A31" s="40"/>
      <c r="B31" s="44"/>
      <c r="C31" s="45"/>
      <c r="D31" s="45"/>
      <c r="E31" s="45"/>
      <c r="F31" s="45"/>
      <c r="G31" s="43">
        <f t="shared" si="0"/>
        <v>0</v>
      </c>
      <c r="H31" s="44"/>
      <c r="I31" s="45"/>
      <c r="J31" s="45"/>
      <c r="K31" s="45"/>
      <c r="L31" s="45"/>
      <c r="M31" s="43">
        <f t="shared" si="1"/>
        <v>0</v>
      </c>
      <c r="N31" s="42"/>
      <c r="O31" s="53"/>
      <c r="P31" s="53"/>
      <c r="Q31" s="53"/>
      <c r="R31" s="72"/>
      <c r="S31" s="43">
        <f t="shared" si="2"/>
        <v>0</v>
      </c>
      <c r="T31" s="42"/>
      <c r="U31" s="53"/>
      <c r="V31" s="53"/>
      <c r="W31" s="53"/>
      <c r="X31" s="72"/>
      <c r="Y31" s="43">
        <f t="shared" si="3"/>
        <v>0</v>
      </c>
      <c r="Z31" s="43">
        <f t="shared" si="8"/>
        <v>0</v>
      </c>
      <c r="AA31" s="83"/>
      <c r="AB31" s="23" t="s">
        <v>41</v>
      </c>
      <c r="AC31" s="44"/>
      <c r="AD31" s="45"/>
      <c r="AE31" s="45"/>
      <c r="AF31" s="45"/>
      <c r="AG31" s="45"/>
      <c r="AH31" s="43">
        <f t="shared" si="4"/>
        <v>0</v>
      </c>
      <c r="AI31" s="44"/>
      <c r="AJ31" s="45"/>
      <c r="AK31" s="45"/>
      <c r="AL31" s="45"/>
      <c r="AM31" s="45"/>
      <c r="AN31" s="43">
        <f t="shared" si="5"/>
        <v>0</v>
      </c>
      <c r="AO31" s="42"/>
      <c r="AP31" s="53"/>
      <c r="AQ31" s="53"/>
      <c r="AR31" s="53">
        <v>5</v>
      </c>
      <c r="AS31" s="72"/>
      <c r="AT31" s="24">
        <f t="shared" si="6"/>
        <v>5</v>
      </c>
      <c r="AU31" s="42"/>
      <c r="AV31" s="53"/>
      <c r="AW31" s="53"/>
      <c r="AX31" s="53"/>
      <c r="AY31" s="72"/>
      <c r="AZ31" s="24">
        <f t="shared" si="7"/>
        <v>0</v>
      </c>
      <c r="BA31" s="24">
        <f t="shared" si="9"/>
        <v>5</v>
      </c>
      <c r="BB31" s="83">
        <v>43557</v>
      </c>
    </row>
    <row r="32" spans="1:54" ht="14.25" x14ac:dyDescent="0.15">
      <c r="A32" s="40"/>
      <c r="B32" s="41"/>
      <c r="C32" s="42"/>
      <c r="D32" s="42"/>
      <c r="E32" s="42"/>
      <c r="F32" s="42"/>
      <c r="G32" s="43">
        <f t="shared" si="0"/>
        <v>0</v>
      </c>
      <c r="H32" s="41"/>
      <c r="I32" s="42"/>
      <c r="J32" s="42"/>
      <c r="K32" s="42"/>
      <c r="L32" s="42"/>
      <c r="M32" s="43">
        <f t="shared" si="1"/>
        <v>0</v>
      </c>
      <c r="N32" s="42"/>
      <c r="O32" s="53"/>
      <c r="P32" s="53"/>
      <c r="Q32" s="53"/>
      <c r="R32" s="72"/>
      <c r="S32" s="43">
        <f t="shared" si="2"/>
        <v>0</v>
      </c>
      <c r="T32" s="42"/>
      <c r="U32" s="53"/>
      <c r="V32" s="53"/>
      <c r="W32" s="53"/>
      <c r="X32" s="72"/>
      <c r="Y32" s="43">
        <f t="shared" si="3"/>
        <v>0</v>
      </c>
      <c r="Z32" s="43">
        <f t="shared" si="8"/>
        <v>0</v>
      </c>
      <c r="AA32" s="83"/>
      <c r="AB32" s="23" t="s">
        <v>41</v>
      </c>
      <c r="AC32" s="41"/>
      <c r="AD32" s="42"/>
      <c r="AE32" s="42"/>
      <c r="AF32" s="42"/>
      <c r="AG32" s="42"/>
      <c r="AH32" s="43">
        <f t="shared" si="4"/>
        <v>0</v>
      </c>
      <c r="AI32" s="41"/>
      <c r="AJ32" s="42"/>
      <c r="AK32" s="42"/>
      <c r="AL32" s="42"/>
      <c r="AM32" s="42"/>
      <c r="AN32" s="43">
        <f t="shared" si="5"/>
        <v>0</v>
      </c>
      <c r="AO32" s="42"/>
      <c r="AP32" s="53">
        <v>10</v>
      </c>
      <c r="AQ32" s="53"/>
      <c r="AR32" s="53"/>
      <c r="AS32" s="72"/>
      <c r="AT32" s="24">
        <f t="shared" si="6"/>
        <v>10</v>
      </c>
      <c r="AU32" s="42"/>
      <c r="AV32" s="53"/>
      <c r="AW32" s="53"/>
      <c r="AX32" s="53"/>
      <c r="AY32" s="72"/>
      <c r="AZ32" s="24">
        <f t="shared" si="7"/>
        <v>0</v>
      </c>
      <c r="BA32" s="24">
        <f t="shared" si="9"/>
        <v>10</v>
      </c>
      <c r="BB32" s="83">
        <v>43558</v>
      </c>
    </row>
    <row r="33" spans="1:54" ht="14.25" x14ac:dyDescent="0.15">
      <c r="A33" s="40"/>
      <c r="B33" s="41"/>
      <c r="C33" s="42"/>
      <c r="D33" s="42"/>
      <c r="E33" s="42"/>
      <c r="F33" s="42"/>
      <c r="G33" s="43">
        <f t="shared" si="0"/>
        <v>0</v>
      </c>
      <c r="H33" s="41"/>
      <c r="I33" s="42"/>
      <c r="J33" s="42"/>
      <c r="K33" s="42"/>
      <c r="L33" s="42"/>
      <c r="M33" s="43">
        <f t="shared" si="1"/>
        <v>0</v>
      </c>
      <c r="N33" s="42"/>
      <c r="O33" s="53"/>
      <c r="P33" s="53"/>
      <c r="Q33" s="53"/>
      <c r="R33" s="72"/>
      <c r="S33" s="43">
        <f t="shared" si="2"/>
        <v>0</v>
      </c>
      <c r="T33" s="42"/>
      <c r="U33" s="53"/>
      <c r="V33" s="53"/>
      <c r="W33" s="53"/>
      <c r="X33" s="72"/>
      <c r="Y33" s="43">
        <f t="shared" si="3"/>
        <v>0</v>
      </c>
      <c r="Z33" s="43">
        <f t="shared" si="8"/>
        <v>0</v>
      </c>
      <c r="AA33" s="83"/>
      <c r="AB33" s="23" t="s">
        <v>41</v>
      </c>
      <c r="AC33" s="41"/>
      <c r="AD33" s="42"/>
      <c r="AE33" s="42"/>
      <c r="AF33" s="42"/>
      <c r="AG33" s="42"/>
      <c r="AH33" s="43">
        <f t="shared" si="4"/>
        <v>0</v>
      </c>
      <c r="AI33" s="41"/>
      <c r="AJ33" s="42"/>
      <c r="AK33" s="42"/>
      <c r="AL33" s="42"/>
      <c r="AM33" s="42"/>
      <c r="AN33" s="43">
        <f t="shared" si="5"/>
        <v>0</v>
      </c>
      <c r="AO33" s="42">
        <v>5</v>
      </c>
      <c r="AP33" s="53"/>
      <c r="AQ33" s="53"/>
      <c r="AR33" s="53"/>
      <c r="AS33" s="72"/>
      <c r="AT33" s="24">
        <f t="shared" si="6"/>
        <v>5</v>
      </c>
      <c r="AU33" s="42"/>
      <c r="AV33" s="53"/>
      <c r="AW33" s="53"/>
      <c r="AX33" s="53"/>
      <c r="AY33" s="72"/>
      <c r="AZ33" s="24">
        <f t="shared" si="7"/>
        <v>0</v>
      </c>
      <c r="BA33" s="24">
        <f t="shared" si="9"/>
        <v>5</v>
      </c>
      <c r="BB33" s="83">
        <v>43559</v>
      </c>
    </row>
    <row r="34" spans="1:54" ht="14.25" x14ac:dyDescent="0.15">
      <c r="A34" s="46"/>
      <c r="B34" s="41"/>
      <c r="C34" s="42"/>
      <c r="D34" s="42"/>
      <c r="E34" s="42"/>
      <c r="F34" s="42"/>
      <c r="G34" s="43">
        <f t="shared" si="0"/>
        <v>0</v>
      </c>
      <c r="H34" s="41"/>
      <c r="I34" s="42"/>
      <c r="J34" s="42"/>
      <c r="K34" s="42"/>
      <c r="L34" s="42"/>
      <c r="M34" s="43">
        <f t="shared" si="1"/>
        <v>0</v>
      </c>
      <c r="N34" s="42"/>
      <c r="O34" s="53"/>
      <c r="P34" s="53"/>
      <c r="Q34" s="53"/>
      <c r="R34" s="72"/>
      <c r="S34" s="43">
        <f t="shared" si="2"/>
        <v>0</v>
      </c>
      <c r="T34" s="42"/>
      <c r="U34" s="53"/>
      <c r="V34" s="53"/>
      <c r="W34" s="53"/>
      <c r="X34" s="72"/>
      <c r="Y34" s="43">
        <f t="shared" si="3"/>
        <v>0</v>
      </c>
      <c r="Z34" s="43">
        <f t="shared" si="8"/>
        <v>0</v>
      </c>
      <c r="AA34" s="83"/>
      <c r="AB34" s="23" t="s">
        <v>41</v>
      </c>
      <c r="AC34" s="41"/>
      <c r="AD34" s="42"/>
      <c r="AE34" s="42"/>
      <c r="AF34" s="42"/>
      <c r="AG34" s="42"/>
      <c r="AH34" s="43">
        <f t="shared" si="4"/>
        <v>0</v>
      </c>
      <c r="AI34" s="41"/>
      <c r="AJ34" s="42"/>
      <c r="AK34" s="42"/>
      <c r="AL34" s="42"/>
      <c r="AM34" s="42"/>
      <c r="AN34" s="43">
        <f t="shared" si="5"/>
        <v>0</v>
      </c>
      <c r="AO34" s="42"/>
      <c r="AP34" s="53"/>
      <c r="AQ34" s="53"/>
      <c r="AR34" s="53"/>
      <c r="AS34" s="72"/>
      <c r="AT34" s="24">
        <f>SUM(AO34:AS34)</f>
        <v>0</v>
      </c>
      <c r="AU34" s="42">
        <v>5</v>
      </c>
      <c r="AV34" s="53"/>
      <c r="AW34" s="53"/>
      <c r="AX34" s="53"/>
      <c r="AY34" s="72"/>
      <c r="AZ34" s="24">
        <f>SUM(AU34:AY34)</f>
        <v>5</v>
      </c>
      <c r="BA34" s="24">
        <f>AH34+AN34+AT34+AZ34</f>
        <v>5</v>
      </c>
      <c r="BB34" s="83">
        <v>43564</v>
      </c>
    </row>
    <row r="35" spans="1:54" ht="15" thickBot="1" x14ac:dyDescent="0.2">
      <c r="A35" s="96"/>
      <c r="B35" s="97"/>
      <c r="C35" s="98"/>
      <c r="D35" s="98"/>
      <c r="E35" s="98"/>
      <c r="F35" s="98"/>
      <c r="G35" s="24">
        <f t="shared" si="0"/>
        <v>0</v>
      </c>
      <c r="H35" s="97"/>
      <c r="I35" s="98"/>
      <c r="J35" s="98"/>
      <c r="K35" s="98"/>
      <c r="L35" s="98"/>
      <c r="M35" s="24">
        <f t="shared" si="1"/>
        <v>0</v>
      </c>
      <c r="N35" s="98"/>
      <c r="O35" s="99"/>
      <c r="P35" s="99"/>
      <c r="Q35" s="99"/>
      <c r="R35" s="100"/>
      <c r="S35" s="80">
        <f t="shared" si="2"/>
        <v>0</v>
      </c>
      <c r="T35" s="98"/>
      <c r="U35" s="99"/>
      <c r="V35" s="99"/>
      <c r="W35" s="99"/>
      <c r="X35" s="100"/>
      <c r="Y35" s="80">
        <f t="shared" si="3"/>
        <v>0</v>
      </c>
      <c r="Z35" s="80">
        <f t="shared" si="8"/>
        <v>0</v>
      </c>
      <c r="AA35" s="101"/>
      <c r="AB35" s="21" t="s">
        <v>29</v>
      </c>
      <c r="AC35" s="44"/>
      <c r="AD35" s="45"/>
      <c r="AE35" s="45"/>
      <c r="AF35" s="45"/>
      <c r="AG35" s="45"/>
      <c r="AH35" s="43">
        <f t="shared" si="4"/>
        <v>0</v>
      </c>
      <c r="AI35" s="44">
        <v>5</v>
      </c>
      <c r="AJ35" s="45"/>
      <c r="AK35" s="45">
        <v>5</v>
      </c>
      <c r="AL35" s="45"/>
      <c r="AM35" s="45"/>
      <c r="AN35" s="112">
        <f t="shared" si="5"/>
        <v>10</v>
      </c>
      <c r="AO35" s="45"/>
      <c r="AP35" s="78"/>
      <c r="AQ35" s="78"/>
      <c r="AR35" s="78"/>
      <c r="AS35" s="79"/>
      <c r="AT35" s="113">
        <f t="shared" si="6"/>
        <v>0</v>
      </c>
      <c r="AU35" s="45"/>
      <c r="AV35" s="78"/>
      <c r="AW35" s="78"/>
      <c r="AX35" s="78"/>
      <c r="AY35" s="79"/>
      <c r="AZ35" s="113">
        <f t="shared" si="7"/>
        <v>0</v>
      </c>
      <c r="BA35" s="82">
        <f t="shared" si="9"/>
        <v>10</v>
      </c>
      <c r="BB35" s="83">
        <v>43563</v>
      </c>
    </row>
    <row r="36" spans="1:54" ht="15" thickBot="1" x14ac:dyDescent="0.2">
      <c r="A36" s="9" t="s">
        <v>13</v>
      </c>
      <c r="B36" s="25">
        <f>SUM(B10:B35)</f>
        <v>2</v>
      </c>
      <c r="C36" s="26">
        <f>SUM(C10:C35)</f>
        <v>0</v>
      </c>
      <c r="D36" s="26">
        <f>SUM(D10:D35)</f>
        <v>0</v>
      </c>
      <c r="E36" s="26">
        <f>SUM(E10:E35)</f>
        <v>1</v>
      </c>
      <c r="F36" s="27">
        <f>SUM(F10:F35)</f>
        <v>-1</v>
      </c>
      <c r="G36" s="19">
        <f>SUM(B36:F36)</f>
        <v>2</v>
      </c>
      <c r="H36" s="25">
        <f>SUM(H10:H35)</f>
        <v>0</v>
      </c>
      <c r="I36" s="26">
        <f>SUM(I10:I35)</f>
        <v>2</v>
      </c>
      <c r="J36" s="26">
        <f>SUM(J10:J35)</f>
        <v>0</v>
      </c>
      <c r="K36" s="26">
        <f>SUM(K10:K35)</f>
        <v>1</v>
      </c>
      <c r="L36" s="27">
        <f>SUM(L10:L35)</f>
        <v>1</v>
      </c>
      <c r="M36" s="19">
        <f>SUM(H36:L36)</f>
        <v>4</v>
      </c>
      <c r="N36" s="65">
        <f>SUM(N10:N35)</f>
        <v>1</v>
      </c>
      <c r="O36" s="18">
        <f>SUM(O10:O35)</f>
        <v>-1</v>
      </c>
      <c r="P36" s="18">
        <f>SUM(P10:P35)</f>
        <v>-2</v>
      </c>
      <c r="Q36" s="18">
        <f>SUM(Q10:Q35)</f>
        <v>-2</v>
      </c>
      <c r="R36" s="70">
        <f>SUM(R10:R35)</f>
        <v>-2</v>
      </c>
      <c r="S36" s="50">
        <f t="shared" si="2"/>
        <v>-6</v>
      </c>
      <c r="T36" s="74">
        <f>SUM(T10:T35)</f>
        <v>0</v>
      </c>
      <c r="U36" s="18">
        <f>SUM(U10:U35)</f>
        <v>-1</v>
      </c>
      <c r="V36" s="18">
        <f>SUM(V10:V35)</f>
        <v>0</v>
      </c>
      <c r="W36" s="18">
        <f>SUM(W10:W35)</f>
        <v>-2</v>
      </c>
      <c r="X36" s="70">
        <f>SUM(X10:X35)</f>
        <v>-1</v>
      </c>
      <c r="Y36" s="50">
        <f t="shared" si="3"/>
        <v>-4</v>
      </c>
      <c r="Z36" s="84">
        <f t="shared" si="8"/>
        <v>-4</v>
      </c>
      <c r="AB36" s="9" t="s">
        <v>13</v>
      </c>
      <c r="AC36" s="25">
        <f>SUM(AC10:AC35)</f>
        <v>23</v>
      </c>
      <c r="AD36" s="26">
        <f>SUM(AD10:AD35)</f>
        <v>28</v>
      </c>
      <c r="AE36" s="26">
        <f>SUM(AE10:AE35)</f>
        <v>17</v>
      </c>
      <c r="AF36" s="26">
        <f>SUM(AF10:AF35)</f>
        <v>22</v>
      </c>
      <c r="AG36" s="27">
        <f>SUM(AG10:AG35)</f>
        <v>32</v>
      </c>
      <c r="AH36" s="19">
        <f>SUM(AC36:AG36)</f>
        <v>122</v>
      </c>
      <c r="AI36" s="25">
        <f>SUM(AI10:AI35)</f>
        <v>28</v>
      </c>
      <c r="AJ36" s="26">
        <f>SUM(AJ10:AJ35)</f>
        <v>18</v>
      </c>
      <c r="AK36" s="26">
        <f>SUM(AK10:AK35)</f>
        <v>22</v>
      </c>
      <c r="AL36" s="26">
        <f>SUM(AL10:AL35)</f>
        <v>27</v>
      </c>
      <c r="AM36" s="27">
        <f>SUM(AM10:AM35)</f>
        <v>27</v>
      </c>
      <c r="AN36" s="25">
        <f>SUM(AI36:AM36)</f>
        <v>122</v>
      </c>
      <c r="AO36" s="65">
        <f>SUM(AO10:AO35)</f>
        <v>16</v>
      </c>
      <c r="AP36" s="18">
        <f>SUM(AP10:AP35)</f>
        <v>21</v>
      </c>
      <c r="AQ36" s="18">
        <f>SUM(AQ10:AQ35)</f>
        <v>21</v>
      </c>
      <c r="AR36" s="18">
        <f>SUM(AR10:AR35)</f>
        <v>11</v>
      </c>
      <c r="AS36" s="70">
        <f>SUM(AS10:AS35)</f>
        <v>13</v>
      </c>
      <c r="AT36" s="49">
        <f>SUM(AO36:AS36)</f>
        <v>82</v>
      </c>
      <c r="AU36" s="74">
        <f>SUM(AU10:AU35)</f>
        <v>16</v>
      </c>
      <c r="AV36" s="18">
        <f>SUM(AV10:AV35)</f>
        <v>11</v>
      </c>
      <c r="AW36" s="18">
        <f>SUM(AW10:AW35)</f>
        <v>11</v>
      </c>
      <c r="AX36" s="18">
        <f>SUM(AX10:AX35)</f>
        <v>6</v>
      </c>
      <c r="AY36" s="70">
        <f>SUM(AY10:AY35)</f>
        <v>6</v>
      </c>
      <c r="AZ36" s="49">
        <f>SUM(AU36:AY36)</f>
        <v>50</v>
      </c>
      <c r="BA36" s="77">
        <f t="shared" si="9"/>
        <v>376</v>
      </c>
    </row>
    <row r="37" spans="1:54" ht="15" thickBot="1" x14ac:dyDescent="0.2">
      <c r="A37" s="28" t="s">
        <v>14</v>
      </c>
      <c r="B37" s="29">
        <f t="shared" ref="B37:M37" si="10">B9-B36</f>
        <v>7</v>
      </c>
      <c r="C37" s="30">
        <f t="shared" si="10"/>
        <v>8</v>
      </c>
      <c r="D37" s="30">
        <f t="shared" si="10"/>
        <v>7</v>
      </c>
      <c r="E37" s="30">
        <f>E9-E36</f>
        <v>6</v>
      </c>
      <c r="F37" s="31">
        <f t="shared" si="10"/>
        <v>8</v>
      </c>
      <c r="G37" s="31">
        <f t="shared" si="10"/>
        <v>36</v>
      </c>
      <c r="H37" s="29">
        <f t="shared" si="10"/>
        <v>11</v>
      </c>
      <c r="I37" s="30">
        <f t="shared" si="10"/>
        <v>7</v>
      </c>
      <c r="J37" s="30">
        <f t="shared" si="10"/>
        <v>7</v>
      </c>
      <c r="K37" s="30">
        <f>K9-K36</f>
        <v>8</v>
      </c>
      <c r="L37" s="31">
        <f t="shared" si="10"/>
        <v>6</v>
      </c>
      <c r="M37" s="20">
        <f t="shared" si="10"/>
        <v>39</v>
      </c>
      <c r="N37" s="29">
        <f>N9-N36</f>
        <v>0</v>
      </c>
      <c r="O37" s="30">
        <f>O9-O36</f>
        <v>1</v>
      </c>
      <c r="P37" s="30">
        <f>P9-P36</f>
        <v>2</v>
      </c>
      <c r="Q37" s="30">
        <f>Q9-Q36</f>
        <v>2</v>
      </c>
      <c r="R37" s="66">
        <f>R9-R36</f>
        <v>2</v>
      </c>
      <c r="S37" s="84">
        <f t="shared" si="2"/>
        <v>7</v>
      </c>
      <c r="T37" s="75">
        <f>T9-T36</f>
        <v>1</v>
      </c>
      <c r="U37" s="30">
        <f>U9-U36</f>
        <v>1</v>
      </c>
      <c r="V37" s="30">
        <f>V9-V36</f>
        <v>0</v>
      </c>
      <c r="W37" s="30">
        <f>W9-W36</f>
        <v>2</v>
      </c>
      <c r="X37" s="66">
        <f>X9-X36</f>
        <v>1</v>
      </c>
      <c r="Y37" s="84">
        <f t="shared" si="3"/>
        <v>5</v>
      </c>
      <c r="Z37" s="84">
        <f t="shared" si="8"/>
        <v>87</v>
      </c>
      <c r="AA37" s="194"/>
      <c r="AB37" s="32" t="s">
        <v>14</v>
      </c>
      <c r="AC37" s="29">
        <f t="shared" ref="AC37:AZ37" si="11">AC9-AC36</f>
        <v>95</v>
      </c>
      <c r="AD37" s="30">
        <f t="shared" si="11"/>
        <v>92</v>
      </c>
      <c r="AE37" s="30">
        <f t="shared" si="11"/>
        <v>103</v>
      </c>
      <c r="AF37" s="30">
        <f>AF9-AF36</f>
        <v>97</v>
      </c>
      <c r="AG37" s="31">
        <f t="shared" si="11"/>
        <v>88</v>
      </c>
      <c r="AH37" s="31">
        <f t="shared" si="11"/>
        <v>475</v>
      </c>
      <c r="AI37" s="29">
        <f t="shared" si="11"/>
        <v>91</v>
      </c>
      <c r="AJ37" s="30">
        <f t="shared" si="11"/>
        <v>102</v>
      </c>
      <c r="AK37" s="30">
        <f t="shared" si="11"/>
        <v>98</v>
      </c>
      <c r="AL37" s="30">
        <f>AL9-AL36</f>
        <v>92</v>
      </c>
      <c r="AM37" s="31">
        <f t="shared" si="11"/>
        <v>93</v>
      </c>
      <c r="AN37" s="66">
        <f t="shared" si="11"/>
        <v>476</v>
      </c>
      <c r="AO37" s="29">
        <f t="shared" si="11"/>
        <v>80</v>
      </c>
      <c r="AP37" s="30">
        <f t="shared" si="11"/>
        <v>79</v>
      </c>
      <c r="AQ37" s="30">
        <f t="shared" si="11"/>
        <v>78</v>
      </c>
      <c r="AR37" s="30">
        <f>AR9-AR36</f>
        <v>88</v>
      </c>
      <c r="AS37" s="66">
        <f t="shared" si="11"/>
        <v>87</v>
      </c>
      <c r="AT37" s="33">
        <f t="shared" si="11"/>
        <v>412</v>
      </c>
      <c r="AU37" s="75">
        <f t="shared" si="11"/>
        <v>83</v>
      </c>
      <c r="AV37" s="30">
        <f t="shared" si="11"/>
        <v>88</v>
      </c>
      <c r="AW37" s="30">
        <f t="shared" si="11"/>
        <v>88</v>
      </c>
      <c r="AX37" s="30">
        <f>AX9-AX36</f>
        <v>93</v>
      </c>
      <c r="AY37" s="66">
        <f t="shared" si="11"/>
        <v>94</v>
      </c>
      <c r="AZ37" s="33">
        <f t="shared" si="11"/>
        <v>446</v>
      </c>
      <c r="BA37" s="77">
        <f t="shared" si="9"/>
        <v>1809</v>
      </c>
    </row>
    <row r="40" spans="1:54" ht="19.5" thickBot="1" x14ac:dyDescent="0.25">
      <c r="A40" s="1" t="s">
        <v>15</v>
      </c>
      <c r="AB40" s="1" t="s">
        <v>16</v>
      </c>
    </row>
    <row r="41" spans="1:54" ht="15" thickBot="1" x14ac:dyDescent="0.2">
      <c r="A41" s="4"/>
      <c r="B41" s="245" t="s">
        <v>17</v>
      </c>
      <c r="C41" s="246"/>
      <c r="D41" s="246"/>
      <c r="E41" s="246"/>
      <c r="F41" s="246"/>
      <c r="G41" s="247"/>
      <c r="H41" s="245" t="s">
        <v>18</v>
      </c>
      <c r="I41" s="246"/>
      <c r="J41" s="246"/>
      <c r="K41" s="246"/>
      <c r="L41" s="246"/>
      <c r="M41" s="247"/>
      <c r="N41" s="248" t="s">
        <v>27</v>
      </c>
      <c r="O41" s="249"/>
      <c r="P41" s="249"/>
      <c r="Q41" s="249"/>
      <c r="R41" s="249"/>
      <c r="S41" s="250"/>
      <c r="T41" s="248" t="s">
        <v>28</v>
      </c>
      <c r="U41" s="249"/>
      <c r="V41" s="249"/>
      <c r="W41" s="249"/>
      <c r="X41" s="249"/>
      <c r="Y41" s="250"/>
      <c r="Z41" s="251" t="s">
        <v>1</v>
      </c>
      <c r="AB41" s="4"/>
      <c r="AC41" s="245" t="s">
        <v>17</v>
      </c>
      <c r="AD41" s="246"/>
      <c r="AE41" s="246"/>
      <c r="AF41" s="246"/>
      <c r="AG41" s="246"/>
      <c r="AH41" s="247"/>
      <c r="AI41" s="245" t="s">
        <v>18</v>
      </c>
      <c r="AJ41" s="246"/>
      <c r="AK41" s="246"/>
      <c r="AL41" s="246"/>
      <c r="AM41" s="246"/>
      <c r="AN41" s="247"/>
      <c r="AO41" s="248" t="s">
        <v>27</v>
      </c>
      <c r="AP41" s="249"/>
      <c r="AQ41" s="249"/>
      <c r="AR41" s="249"/>
      <c r="AS41" s="249"/>
      <c r="AT41" s="250"/>
      <c r="AU41" s="248" t="s">
        <v>28</v>
      </c>
      <c r="AV41" s="249"/>
      <c r="AW41" s="249"/>
      <c r="AX41" s="249"/>
      <c r="AY41" s="249"/>
      <c r="AZ41" s="250"/>
      <c r="BA41" s="251" t="s">
        <v>1</v>
      </c>
    </row>
    <row r="42" spans="1:54" ht="15" thickBot="1" x14ac:dyDescent="0.2">
      <c r="A42" s="9" t="s">
        <v>2</v>
      </c>
      <c r="B42" s="6" t="s">
        <v>3</v>
      </c>
      <c r="C42" s="7" t="s">
        <v>4</v>
      </c>
      <c r="D42" s="7" t="s">
        <v>5</v>
      </c>
      <c r="E42" s="48" t="s">
        <v>20</v>
      </c>
      <c r="F42" s="8" t="s">
        <v>21</v>
      </c>
      <c r="G42" s="5" t="s">
        <v>6</v>
      </c>
      <c r="H42" s="6" t="s">
        <v>3</v>
      </c>
      <c r="I42" s="7" t="s">
        <v>4</v>
      </c>
      <c r="J42" s="7" t="s">
        <v>5</v>
      </c>
      <c r="K42" s="48" t="s">
        <v>20</v>
      </c>
      <c r="L42" s="8" t="s">
        <v>21</v>
      </c>
      <c r="M42" s="5" t="s">
        <v>6</v>
      </c>
      <c r="N42" s="6" t="s">
        <v>3</v>
      </c>
      <c r="O42" s="7" t="s">
        <v>4</v>
      </c>
      <c r="P42" s="7" t="s">
        <v>5</v>
      </c>
      <c r="Q42" s="48" t="s">
        <v>20</v>
      </c>
      <c r="R42" s="8" t="s">
        <v>21</v>
      </c>
      <c r="S42" s="5" t="s">
        <v>6</v>
      </c>
      <c r="T42" s="7" t="s">
        <v>3</v>
      </c>
      <c r="U42" s="7" t="s">
        <v>4</v>
      </c>
      <c r="V42" s="7" t="s">
        <v>5</v>
      </c>
      <c r="W42" s="48" t="s">
        <v>20</v>
      </c>
      <c r="X42" s="109" t="s">
        <v>21</v>
      </c>
      <c r="Y42" s="62" t="s">
        <v>6</v>
      </c>
      <c r="Z42" s="252"/>
      <c r="AB42" s="9" t="s">
        <v>2</v>
      </c>
      <c r="AC42" s="6" t="s">
        <v>3</v>
      </c>
      <c r="AD42" s="7" t="s">
        <v>4</v>
      </c>
      <c r="AE42" s="7" t="s">
        <v>5</v>
      </c>
      <c r="AF42" s="48" t="s">
        <v>20</v>
      </c>
      <c r="AG42" s="8" t="s">
        <v>21</v>
      </c>
      <c r="AH42" s="5" t="s">
        <v>6</v>
      </c>
      <c r="AI42" s="6" t="s">
        <v>3</v>
      </c>
      <c r="AJ42" s="7" t="s">
        <v>4</v>
      </c>
      <c r="AK42" s="7" t="s">
        <v>5</v>
      </c>
      <c r="AL42" s="48" t="s">
        <v>20</v>
      </c>
      <c r="AM42" s="8" t="s">
        <v>21</v>
      </c>
      <c r="AN42" s="5" t="s">
        <v>6</v>
      </c>
      <c r="AO42" s="6" t="s">
        <v>3</v>
      </c>
      <c r="AP42" s="7" t="s">
        <v>4</v>
      </c>
      <c r="AQ42" s="7" t="s">
        <v>5</v>
      </c>
      <c r="AR42" s="48" t="s">
        <v>20</v>
      </c>
      <c r="AS42" s="8" t="s">
        <v>21</v>
      </c>
      <c r="AT42" s="5" t="s">
        <v>6</v>
      </c>
      <c r="AU42" s="7" t="s">
        <v>3</v>
      </c>
      <c r="AV42" s="7" t="s">
        <v>4</v>
      </c>
      <c r="AW42" s="7" t="s">
        <v>5</v>
      </c>
      <c r="AX42" s="48" t="s">
        <v>20</v>
      </c>
      <c r="AY42" s="109" t="s">
        <v>21</v>
      </c>
      <c r="AZ42" s="62" t="s">
        <v>6</v>
      </c>
      <c r="BA42" s="252"/>
    </row>
    <row r="43" spans="1:54" ht="14.25" x14ac:dyDescent="0.15">
      <c r="A43" s="103" t="s">
        <v>43</v>
      </c>
      <c r="B43" s="104">
        <f>B37</f>
        <v>7</v>
      </c>
      <c r="C43" s="105">
        <f>C37</f>
        <v>8</v>
      </c>
      <c r="D43" s="105">
        <f>D37</f>
        <v>7</v>
      </c>
      <c r="E43" s="105">
        <f>E37</f>
        <v>6</v>
      </c>
      <c r="F43" s="105">
        <f>F37</f>
        <v>8</v>
      </c>
      <c r="G43" s="106">
        <f t="shared" ref="G43:G74" si="12">SUM(B43:F43)</f>
        <v>36</v>
      </c>
      <c r="H43" s="104">
        <f>H37</f>
        <v>11</v>
      </c>
      <c r="I43" s="105">
        <f>I37</f>
        <v>7</v>
      </c>
      <c r="J43" s="105">
        <f>J37</f>
        <v>7</v>
      </c>
      <c r="K43" s="105">
        <f>K37</f>
        <v>8</v>
      </c>
      <c r="L43" s="105">
        <f>L37</f>
        <v>6</v>
      </c>
      <c r="M43" s="107">
        <f t="shared" ref="M43:M74" si="13">SUM(H43:L43)</f>
        <v>39</v>
      </c>
      <c r="N43" s="104">
        <f>N37</f>
        <v>0</v>
      </c>
      <c r="O43" s="105">
        <f>O37</f>
        <v>1</v>
      </c>
      <c r="P43" s="105">
        <f>P37</f>
        <v>2</v>
      </c>
      <c r="Q43" s="105">
        <f>Q37</f>
        <v>2</v>
      </c>
      <c r="R43" s="105">
        <f>R37</f>
        <v>2</v>
      </c>
      <c r="S43" s="108">
        <f t="shared" ref="S43:S72" si="14">SUM(N43:R43)</f>
        <v>7</v>
      </c>
      <c r="T43" s="104">
        <f>T37</f>
        <v>1</v>
      </c>
      <c r="U43" s="105">
        <f>U37</f>
        <v>1</v>
      </c>
      <c r="V43" s="105">
        <f>V37</f>
        <v>0</v>
      </c>
      <c r="W43" s="105">
        <f>W37</f>
        <v>2</v>
      </c>
      <c r="X43" s="105">
        <f>X37</f>
        <v>1</v>
      </c>
      <c r="Y43" s="106">
        <f t="shared" ref="Y43:Y72" si="15">SUM(T43:X43)</f>
        <v>5</v>
      </c>
      <c r="Z43" s="106">
        <f>G43+M43+S43+Y43</f>
        <v>87</v>
      </c>
      <c r="AB43" s="103" t="s">
        <v>43</v>
      </c>
      <c r="AC43" s="104">
        <f>AC37</f>
        <v>95</v>
      </c>
      <c r="AD43" s="105">
        <f>AD37</f>
        <v>92</v>
      </c>
      <c r="AE43" s="105">
        <f>AE37</f>
        <v>103</v>
      </c>
      <c r="AF43" s="105">
        <f>AF37</f>
        <v>97</v>
      </c>
      <c r="AG43" s="105">
        <f>AG37</f>
        <v>88</v>
      </c>
      <c r="AH43" s="106">
        <f t="shared" ref="AH43:AH74" si="16">SUM(AC43:AG43)</f>
        <v>475</v>
      </c>
      <c r="AI43" s="104">
        <f>AI37</f>
        <v>91</v>
      </c>
      <c r="AJ43" s="105">
        <f>AJ37</f>
        <v>102</v>
      </c>
      <c r="AK43" s="105">
        <f>AK37</f>
        <v>98</v>
      </c>
      <c r="AL43" s="105">
        <f>AL37</f>
        <v>92</v>
      </c>
      <c r="AM43" s="105">
        <f>AM37</f>
        <v>93</v>
      </c>
      <c r="AN43" s="107">
        <f t="shared" ref="AN43:AN74" si="17">SUM(AI43:AM43)</f>
        <v>476</v>
      </c>
      <c r="AO43" s="104">
        <f>AO37</f>
        <v>80</v>
      </c>
      <c r="AP43" s="105">
        <f>AP37</f>
        <v>79</v>
      </c>
      <c r="AQ43" s="105">
        <f>AQ37</f>
        <v>78</v>
      </c>
      <c r="AR43" s="105">
        <f>AR37</f>
        <v>88</v>
      </c>
      <c r="AS43" s="105">
        <f>AS37</f>
        <v>87</v>
      </c>
      <c r="AT43" s="108">
        <f t="shared" ref="AT43:AT71" si="18">SUM(AO43:AS43)</f>
        <v>412</v>
      </c>
      <c r="AU43" s="104">
        <f>AU37</f>
        <v>83</v>
      </c>
      <c r="AV43" s="105">
        <f>AV37</f>
        <v>88</v>
      </c>
      <c r="AW43" s="105">
        <f>AW37</f>
        <v>88</v>
      </c>
      <c r="AX43" s="105">
        <f>AX37</f>
        <v>93</v>
      </c>
      <c r="AY43" s="105">
        <f>AY37</f>
        <v>94</v>
      </c>
      <c r="AZ43" s="106">
        <f t="shared" ref="AZ43:AZ71" si="19">SUM(AU43:AY43)</f>
        <v>446</v>
      </c>
      <c r="BA43" s="106">
        <f>AH43+AN43+AT43+AZ43</f>
        <v>1809</v>
      </c>
      <c r="BB43" s="101"/>
    </row>
    <row r="44" spans="1:54" ht="14.25" x14ac:dyDescent="0.15">
      <c r="A44" s="10" t="s">
        <v>7</v>
      </c>
      <c r="B44" s="14"/>
      <c r="C44" s="15"/>
      <c r="D44" s="15"/>
      <c r="E44" s="15"/>
      <c r="F44" s="15"/>
      <c r="G44" s="16">
        <f t="shared" si="12"/>
        <v>0</v>
      </c>
      <c r="H44" s="14"/>
      <c r="I44" s="15"/>
      <c r="J44" s="15"/>
      <c r="K44" s="15"/>
      <c r="L44" s="15"/>
      <c r="M44" s="57">
        <f t="shared" si="13"/>
        <v>0</v>
      </c>
      <c r="N44" s="14">
        <v>3</v>
      </c>
      <c r="O44" s="55">
        <v>2</v>
      </c>
      <c r="P44" s="55">
        <v>1</v>
      </c>
      <c r="Q44" s="55">
        <v>1</v>
      </c>
      <c r="R44" s="67">
        <v>1</v>
      </c>
      <c r="S44" s="24">
        <f t="shared" si="14"/>
        <v>8</v>
      </c>
      <c r="T44" s="15">
        <v>2</v>
      </c>
      <c r="U44" s="55">
        <v>2</v>
      </c>
      <c r="V44" s="55">
        <v>3</v>
      </c>
      <c r="W44" s="55">
        <v>1</v>
      </c>
      <c r="X44" s="67">
        <v>2</v>
      </c>
      <c r="Y44" s="24">
        <f t="shared" si="15"/>
        <v>10</v>
      </c>
      <c r="Z44" s="24">
        <f t="shared" ref="Z44:Z72" si="20">G44+M44+S44+Y44</f>
        <v>18</v>
      </c>
      <c r="AA44" s="83">
        <v>43561</v>
      </c>
      <c r="AB44" s="10" t="s">
        <v>7</v>
      </c>
      <c r="AC44" s="14"/>
      <c r="AD44" s="15"/>
      <c r="AE44" s="15"/>
      <c r="AF44" s="15"/>
      <c r="AG44" s="15"/>
      <c r="AH44" s="16">
        <f t="shared" si="16"/>
        <v>0</v>
      </c>
      <c r="AI44" s="14"/>
      <c r="AJ44" s="15"/>
      <c r="AK44" s="15"/>
      <c r="AL44" s="15"/>
      <c r="AM44" s="15"/>
      <c r="AN44" s="57">
        <f t="shared" si="17"/>
        <v>0</v>
      </c>
      <c r="AO44" s="14"/>
      <c r="AP44" s="55"/>
      <c r="AQ44" s="55"/>
      <c r="AR44" s="55"/>
      <c r="AS44" s="67"/>
      <c r="AT44" s="24">
        <f t="shared" si="18"/>
        <v>0</v>
      </c>
      <c r="AU44" s="15"/>
      <c r="AV44" s="55"/>
      <c r="AW44" s="55"/>
      <c r="AX44" s="55"/>
      <c r="AY44" s="67"/>
      <c r="AZ44" s="24">
        <f t="shared" si="19"/>
        <v>0</v>
      </c>
      <c r="BA44" s="24">
        <f t="shared" ref="BA44:BA71" si="21">AH44+AN44+AT44+AZ44</f>
        <v>0</v>
      </c>
      <c r="BB44" s="83"/>
    </row>
    <row r="45" spans="1:54" ht="14.25" x14ac:dyDescent="0.15">
      <c r="A45" s="40" t="s">
        <v>50</v>
      </c>
      <c r="B45" s="41"/>
      <c r="C45" s="42"/>
      <c r="D45" s="42"/>
      <c r="E45" s="42"/>
      <c r="F45" s="42"/>
      <c r="G45" s="37">
        <f t="shared" si="12"/>
        <v>0</v>
      </c>
      <c r="H45" s="41"/>
      <c r="I45" s="42"/>
      <c r="J45" s="42"/>
      <c r="K45" s="42"/>
      <c r="L45" s="42"/>
      <c r="M45" s="114">
        <f t="shared" si="13"/>
        <v>0</v>
      </c>
      <c r="N45" s="41"/>
      <c r="O45" s="53">
        <v>1</v>
      </c>
      <c r="P45" s="53"/>
      <c r="Q45" s="53"/>
      <c r="R45" s="72"/>
      <c r="S45" s="24">
        <f t="shared" si="14"/>
        <v>1</v>
      </c>
      <c r="T45" s="42"/>
      <c r="U45" s="53"/>
      <c r="V45" s="53"/>
      <c r="W45" s="53"/>
      <c r="X45" s="72"/>
      <c r="Y45" s="24">
        <f t="shared" si="15"/>
        <v>0</v>
      </c>
      <c r="Z45" s="24">
        <f t="shared" si="20"/>
        <v>1</v>
      </c>
      <c r="AA45" s="93">
        <v>43566</v>
      </c>
      <c r="AB45" s="10" t="s">
        <v>9</v>
      </c>
      <c r="AC45" s="41"/>
      <c r="AD45" s="42"/>
      <c r="AE45" s="42"/>
      <c r="AF45" s="42"/>
      <c r="AG45" s="42"/>
      <c r="AH45" s="37">
        <f t="shared" si="16"/>
        <v>0</v>
      </c>
      <c r="AI45" s="41"/>
      <c r="AJ45" s="42"/>
      <c r="AK45" s="42"/>
      <c r="AL45" s="42"/>
      <c r="AM45" s="42"/>
      <c r="AN45" s="114">
        <f t="shared" si="17"/>
        <v>0</v>
      </c>
      <c r="AO45" s="41"/>
      <c r="AP45" s="53"/>
      <c r="AQ45" s="53"/>
      <c r="AR45" s="53"/>
      <c r="AS45" s="72"/>
      <c r="AT45" s="24">
        <f t="shared" si="18"/>
        <v>0</v>
      </c>
      <c r="AU45" s="42"/>
      <c r="AV45" s="53"/>
      <c r="AW45" s="53"/>
      <c r="AX45" s="53"/>
      <c r="AY45" s="72"/>
      <c r="AZ45" s="24">
        <f t="shared" si="19"/>
        <v>0</v>
      </c>
      <c r="BA45" s="24">
        <f t="shared" si="21"/>
        <v>0</v>
      </c>
      <c r="BB45" s="128"/>
    </row>
    <row r="46" spans="1:54" ht="14.25" x14ac:dyDescent="0.15">
      <c r="A46" s="40" t="s">
        <v>50</v>
      </c>
      <c r="B46" s="14"/>
      <c r="C46" s="15"/>
      <c r="D46" s="15"/>
      <c r="E46" s="15"/>
      <c r="F46" s="15"/>
      <c r="G46" s="16">
        <f t="shared" si="12"/>
        <v>0</v>
      </c>
      <c r="H46" s="14"/>
      <c r="I46" s="15"/>
      <c r="J46" s="15"/>
      <c r="K46" s="15"/>
      <c r="L46" s="15"/>
      <c r="M46" s="57">
        <f t="shared" si="13"/>
        <v>0</v>
      </c>
      <c r="N46" s="14"/>
      <c r="O46" s="55"/>
      <c r="P46" s="55">
        <v>2</v>
      </c>
      <c r="Q46" s="55"/>
      <c r="R46" s="67"/>
      <c r="S46" s="24">
        <f t="shared" si="14"/>
        <v>2</v>
      </c>
      <c r="T46" s="15"/>
      <c r="U46" s="55"/>
      <c r="V46" s="55"/>
      <c r="W46" s="55"/>
      <c r="X46" s="67"/>
      <c r="Y46" s="24">
        <f t="shared" si="15"/>
        <v>0</v>
      </c>
      <c r="Z46" s="24">
        <f t="shared" si="20"/>
        <v>2</v>
      </c>
      <c r="AA46" s="93">
        <v>43593</v>
      </c>
      <c r="AB46" s="10" t="s">
        <v>10</v>
      </c>
      <c r="AC46" s="14"/>
      <c r="AD46" s="15"/>
      <c r="AE46" s="15"/>
      <c r="AF46" s="15"/>
      <c r="AG46" s="15"/>
      <c r="AH46" s="16">
        <f t="shared" si="16"/>
        <v>0</v>
      </c>
      <c r="AI46" s="14"/>
      <c r="AJ46" s="15"/>
      <c r="AK46" s="15"/>
      <c r="AL46" s="15"/>
      <c r="AM46" s="15"/>
      <c r="AN46" s="57">
        <f t="shared" si="17"/>
        <v>0</v>
      </c>
      <c r="AO46" s="14"/>
      <c r="AP46" s="55"/>
      <c r="AQ46" s="55"/>
      <c r="AR46" s="55"/>
      <c r="AS46" s="67"/>
      <c r="AT46" s="24">
        <f t="shared" si="18"/>
        <v>0</v>
      </c>
      <c r="AU46" s="15"/>
      <c r="AV46" s="55"/>
      <c r="AW46" s="55"/>
      <c r="AX46" s="55"/>
      <c r="AY46" s="67"/>
      <c r="AZ46" s="24">
        <f t="shared" si="19"/>
        <v>0</v>
      </c>
      <c r="BA46" s="24">
        <f t="shared" si="21"/>
        <v>0</v>
      </c>
      <c r="BB46" s="83"/>
    </row>
    <row r="47" spans="1:54" ht="15" thickBot="1" x14ac:dyDescent="0.2">
      <c r="A47" s="40" t="s">
        <v>50</v>
      </c>
      <c r="B47" s="14"/>
      <c r="C47" s="15"/>
      <c r="D47" s="15"/>
      <c r="E47" s="15"/>
      <c r="F47" s="15"/>
      <c r="G47" s="16">
        <f t="shared" si="12"/>
        <v>0</v>
      </c>
      <c r="H47" s="14"/>
      <c r="I47" s="15"/>
      <c r="J47" s="15"/>
      <c r="K47" s="15"/>
      <c r="L47" s="15"/>
      <c r="M47" s="57">
        <f t="shared" si="13"/>
        <v>0</v>
      </c>
      <c r="N47" s="63"/>
      <c r="O47" s="64"/>
      <c r="P47" s="64"/>
      <c r="Q47" s="64"/>
      <c r="R47" s="69"/>
      <c r="S47" s="82">
        <f t="shared" si="14"/>
        <v>0</v>
      </c>
      <c r="T47" s="73"/>
      <c r="U47" s="64"/>
      <c r="V47" s="64">
        <v>1</v>
      </c>
      <c r="W47" s="64"/>
      <c r="X47" s="69"/>
      <c r="Y47" s="82">
        <f t="shared" si="15"/>
        <v>1</v>
      </c>
      <c r="Z47" s="82">
        <f t="shared" si="20"/>
        <v>1</v>
      </c>
      <c r="AA47" s="93">
        <v>43593</v>
      </c>
      <c r="AB47" s="10" t="s">
        <v>11</v>
      </c>
      <c r="AC47" s="14"/>
      <c r="AD47" s="15"/>
      <c r="AE47" s="15"/>
      <c r="AF47" s="15"/>
      <c r="AG47" s="15"/>
      <c r="AH47" s="16">
        <f t="shared" si="16"/>
        <v>0</v>
      </c>
      <c r="AI47" s="14"/>
      <c r="AJ47" s="15"/>
      <c r="AK47" s="15"/>
      <c r="AL47" s="15"/>
      <c r="AM47" s="15"/>
      <c r="AN47" s="57">
        <f t="shared" si="17"/>
        <v>0</v>
      </c>
      <c r="AO47" s="63"/>
      <c r="AP47" s="64"/>
      <c r="AQ47" s="64"/>
      <c r="AR47" s="64"/>
      <c r="AS47" s="69"/>
      <c r="AT47" s="82">
        <f t="shared" si="18"/>
        <v>0</v>
      </c>
      <c r="AU47" s="73"/>
      <c r="AV47" s="64"/>
      <c r="AW47" s="64"/>
      <c r="AX47" s="64"/>
      <c r="AY47" s="69"/>
      <c r="AZ47" s="82">
        <f t="shared" si="19"/>
        <v>0</v>
      </c>
      <c r="BA47" s="82">
        <f t="shared" si="21"/>
        <v>0</v>
      </c>
      <c r="BB47" s="128"/>
    </row>
    <row r="48" spans="1:54" ht="15" thickBot="1" x14ac:dyDescent="0.2">
      <c r="A48" s="4" t="s">
        <v>12</v>
      </c>
      <c r="B48" s="17">
        <f>SUM(B43:B47)</f>
        <v>7</v>
      </c>
      <c r="C48" s="18">
        <f>SUM(C43:C47)</f>
        <v>8</v>
      </c>
      <c r="D48" s="18">
        <f>SUM(D43:D47)</f>
        <v>7</v>
      </c>
      <c r="E48" s="18">
        <f>SUM(E43:E47)</f>
        <v>6</v>
      </c>
      <c r="F48" s="18">
        <f>SUM(F43:F47)</f>
        <v>8</v>
      </c>
      <c r="G48" s="19">
        <f t="shared" si="12"/>
        <v>36</v>
      </c>
      <c r="H48" s="17">
        <f>SUM(H43:H47)</f>
        <v>11</v>
      </c>
      <c r="I48" s="18">
        <f>SUM(I43:I47)</f>
        <v>7</v>
      </c>
      <c r="J48" s="18">
        <f>SUM(J43:J47)</f>
        <v>7</v>
      </c>
      <c r="K48" s="18">
        <f>SUM(K43:K47)</f>
        <v>8</v>
      </c>
      <c r="L48" s="18">
        <f>SUM(L43:L47)</f>
        <v>6</v>
      </c>
      <c r="M48" s="25">
        <f t="shared" si="13"/>
        <v>39</v>
      </c>
      <c r="N48" s="65">
        <f>SUM(N43:N47)</f>
        <v>3</v>
      </c>
      <c r="O48" s="18">
        <f>SUM(O43:O47)</f>
        <v>4</v>
      </c>
      <c r="P48" s="18">
        <f>SUM(P43:P47)</f>
        <v>5</v>
      </c>
      <c r="Q48" s="18">
        <f>SUM(Q43:Q47)</f>
        <v>3</v>
      </c>
      <c r="R48" s="70">
        <f>SUM(R43:R47)</f>
        <v>3</v>
      </c>
      <c r="S48" s="49">
        <f t="shared" si="14"/>
        <v>18</v>
      </c>
      <c r="T48" s="74">
        <f>SUM(T43:T47)</f>
        <v>3</v>
      </c>
      <c r="U48" s="18">
        <f>SUM(U43:U47)</f>
        <v>3</v>
      </c>
      <c r="V48" s="18">
        <f>SUM(V43:V47)</f>
        <v>4</v>
      </c>
      <c r="W48" s="18">
        <f>SUM(W43:W47)</f>
        <v>3</v>
      </c>
      <c r="X48" s="70">
        <f>SUM(X43:X47)</f>
        <v>3</v>
      </c>
      <c r="Y48" s="49">
        <f t="shared" si="15"/>
        <v>16</v>
      </c>
      <c r="Z48" s="33">
        <f t="shared" si="20"/>
        <v>109</v>
      </c>
      <c r="AB48" s="4" t="s">
        <v>12</v>
      </c>
      <c r="AC48" s="17">
        <f>SUM(AC43:AC47)</f>
        <v>95</v>
      </c>
      <c r="AD48" s="18">
        <f>SUM(AD43:AD47)</f>
        <v>92</v>
      </c>
      <c r="AE48" s="18">
        <f>SUM(AE43:AE47)</f>
        <v>103</v>
      </c>
      <c r="AF48" s="18">
        <f>SUM(AF43:AF47)</f>
        <v>97</v>
      </c>
      <c r="AG48" s="18">
        <f>SUM(AG43:AG47)</f>
        <v>88</v>
      </c>
      <c r="AH48" s="19">
        <f t="shared" si="16"/>
        <v>475</v>
      </c>
      <c r="AI48" s="17">
        <f>SUM(AI43:AI47)</f>
        <v>91</v>
      </c>
      <c r="AJ48" s="18">
        <f>SUM(AJ43:AJ47)</f>
        <v>102</v>
      </c>
      <c r="AK48" s="18">
        <f>SUM(AK43:AK47)</f>
        <v>98</v>
      </c>
      <c r="AL48" s="18">
        <f>SUM(AL43:AL47)</f>
        <v>92</v>
      </c>
      <c r="AM48" s="18">
        <f>SUM(AM43:AM47)</f>
        <v>93</v>
      </c>
      <c r="AN48" s="25">
        <f t="shared" si="17"/>
        <v>476</v>
      </c>
      <c r="AO48" s="65">
        <f>SUM(AO43:AO47)</f>
        <v>80</v>
      </c>
      <c r="AP48" s="18">
        <f>SUM(AP43:AP47)</f>
        <v>79</v>
      </c>
      <c r="AQ48" s="18">
        <f>SUM(AQ43:AQ47)</f>
        <v>78</v>
      </c>
      <c r="AR48" s="18">
        <f>SUM(AR43:AR47)</f>
        <v>88</v>
      </c>
      <c r="AS48" s="70">
        <f>SUM(AS43:AS47)</f>
        <v>87</v>
      </c>
      <c r="AT48" s="49">
        <f t="shared" si="18"/>
        <v>412</v>
      </c>
      <c r="AU48" s="74">
        <f>SUM(AU43:AU47)</f>
        <v>83</v>
      </c>
      <c r="AV48" s="18">
        <f>SUM(AV43:AV47)</f>
        <v>88</v>
      </c>
      <c r="AW48" s="18">
        <f>SUM(AW43:AW47)</f>
        <v>88</v>
      </c>
      <c r="AX48" s="18">
        <f>SUM(AX43:AX47)</f>
        <v>93</v>
      </c>
      <c r="AY48" s="70">
        <f>SUM(AY43:AY47)</f>
        <v>94</v>
      </c>
      <c r="AZ48" s="49">
        <f t="shared" si="19"/>
        <v>446</v>
      </c>
      <c r="BA48" s="33">
        <f t="shared" si="21"/>
        <v>1809</v>
      </c>
    </row>
    <row r="49" spans="1:54" ht="14.25" x14ac:dyDescent="0.15">
      <c r="A49" s="40" t="s">
        <v>48</v>
      </c>
      <c r="B49" s="34"/>
      <c r="C49" s="35"/>
      <c r="D49" s="35"/>
      <c r="E49" s="35"/>
      <c r="F49" s="35"/>
      <c r="G49" s="36">
        <f t="shared" si="12"/>
        <v>0</v>
      </c>
      <c r="H49" s="34"/>
      <c r="I49" s="35"/>
      <c r="J49" s="35"/>
      <c r="K49" s="35">
        <v>1</v>
      </c>
      <c r="L49" s="35"/>
      <c r="M49" s="36">
        <f t="shared" si="13"/>
        <v>1</v>
      </c>
      <c r="N49" s="39"/>
      <c r="O49" s="56"/>
      <c r="P49" s="56"/>
      <c r="Q49" s="56"/>
      <c r="R49" s="71"/>
      <c r="S49" s="16">
        <f t="shared" si="14"/>
        <v>0</v>
      </c>
      <c r="T49" s="39"/>
      <c r="U49" s="56"/>
      <c r="V49" s="56"/>
      <c r="W49" s="56"/>
      <c r="X49" s="71"/>
      <c r="Y49" s="16">
        <f t="shared" si="15"/>
        <v>0</v>
      </c>
      <c r="Z49" s="16">
        <f t="shared" si="20"/>
        <v>1</v>
      </c>
      <c r="AA49" s="93">
        <v>43573</v>
      </c>
      <c r="AB49" s="23" t="s">
        <v>41</v>
      </c>
      <c r="AC49" s="34"/>
      <c r="AD49" s="35"/>
      <c r="AE49" s="35"/>
      <c r="AF49" s="35"/>
      <c r="AG49" s="35"/>
      <c r="AH49" s="36">
        <f t="shared" si="16"/>
        <v>0</v>
      </c>
      <c r="AI49" s="34"/>
      <c r="AJ49" s="35"/>
      <c r="AK49" s="35"/>
      <c r="AL49" s="35"/>
      <c r="AM49" s="35"/>
      <c r="AN49" s="36">
        <f t="shared" si="17"/>
        <v>0</v>
      </c>
      <c r="AO49" s="39"/>
      <c r="AP49" s="56"/>
      <c r="AQ49" s="56"/>
      <c r="AR49" s="56"/>
      <c r="AS49" s="71"/>
      <c r="AT49" s="16">
        <f t="shared" si="18"/>
        <v>0</v>
      </c>
      <c r="AU49" s="39"/>
      <c r="AV49" s="56"/>
      <c r="AW49" s="56"/>
      <c r="AX49" s="56"/>
      <c r="AY49" s="71">
        <v>5</v>
      </c>
      <c r="AZ49" s="16">
        <f t="shared" si="19"/>
        <v>5</v>
      </c>
      <c r="BA49" s="16">
        <f t="shared" si="21"/>
        <v>5</v>
      </c>
      <c r="BB49" s="83">
        <v>43565</v>
      </c>
    </row>
    <row r="50" spans="1:54" ht="14.25" x14ac:dyDescent="0.15">
      <c r="A50" s="21" t="s">
        <v>56</v>
      </c>
      <c r="B50" s="41"/>
      <c r="C50" s="42"/>
      <c r="D50" s="42"/>
      <c r="E50" s="42"/>
      <c r="F50" s="42">
        <v>1</v>
      </c>
      <c r="G50" s="43">
        <f t="shared" si="12"/>
        <v>1</v>
      </c>
      <c r="H50" s="41"/>
      <c r="I50" s="42"/>
      <c r="J50" s="42"/>
      <c r="K50" s="42"/>
      <c r="L50" s="42"/>
      <c r="M50" s="43">
        <f t="shared" si="13"/>
        <v>0</v>
      </c>
      <c r="N50" s="42"/>
      <c r="O50" s="53"/>
      <c r="P50" s="53"/>
      <c r="Q50" s="53"/>
      <c r="R50" s="72"/>
      <c r="S50" s="24">
        <f t="shared" si="14"/>
        <v>0</v>
      </c>
      <c r="T50" s="42"/>
      <c r="U50" s="53"/>
      <c r="V50" s="53"/>
      <c r="W50" s="53"/>
      <c r="X50" s="72">
        <v>2</v>
      </c>
      <c r="Y50" s="24">
        <f t="shared" si="15"/>
        <v>2</v>
      </c>
      <c r="Z50" s="24">
        <f t="shared" si="20"/>
        <v>3</v>
      </c>
      <c r="AA50" s="83">
        <v>43573</v>
      </c>
      <c r="AB50" s="21" t="s">
        <v>30</v>
      </c>
      <c r="AC50" s="41"/>
      <c r="AD50" s="42"/>
      <c r="AE50" s="42"/>
      <c r="AF50" s="42"/>
      <c r="AG50" s="42"/>
      <c r="AH50" s="43">
        <f t="shared" si="16"/>
        <v>0</v>
      </c>
      <c r="AI50" s="41"/>
      <c r="AJ50" s="42"/>
      <c r="AK50" s="42"/>
      <c r="AL50" s="42"/>
      <c r="AM50" s="42"/>
      <c r="AN50" s="43">
        <f t="shared" si="17"/>
        <v>0</v>
      </c>
      <c r="AO50" s="42">
        <v>3</v>
      </c>
      <c r="AP50" s="53">
        <v>2</v>
      </c>
      <c r="AQ50" s="53">
        <v>1</v>
      </c>
      <c r="AR50" s="53">
        <v>1</v>
      </c>
      <c r="AS50" s="72">
        <v>1</v>
      </c>
      <c r="AT50" s="24">
        <f t="shared" si="18"/>
        <v>8</v>
      </c>
      <c r="AU50" s="42">
        <v>2</v>
      </c>
      <c r="AV50" s="53">
        <v>2</v>
      </c>
      <c r="AW50" s="53">
        <v>3</v>
      </c>
      <c r="AX50" s="53">
        <v>1</v>
      </c>
      <c r="AY50" s="72">
        <v>2</v>
      </c>
      <c r="AZ50" s="24">
        <f t="shared" si="19"/>
        <v>10</v>
      </c>
      <c r="BA50" s="24">
        <f t="shared" si="21"/>
        <v>18</v>
      </c>
      <c r="BB50" s="83">
        <v>43561</v>
      </c>
    </row>
    <row r="51" spans="1:54" ht="14.25" x14ac:dyDescent="0.15">
      <c r="A51" s="46" t="s">
        <v>57</v>
      </c>
      <c r="B51" s="41"/>
      <c r="C51" s="42"/>
      <c r="D51" s="42"/>
      <c r="E51" s="42"/>
      <c r="F51" s="42"/>
      <c r="G51" s="43">
        <f t="shared" si="12"/>
        <v>0</v>
      </c>
      <c r="H51" s="41"/>
      <c r="I51" s="42"/>
      <c r="J51" s="42"/>
      <c r="K51" s="42"/>
      <c r="L51" s="42"/>
      <c r="M51" s="43">
        <f t="shared" si="13"/>
        <v>0</v>
      </c>
      <c r="N51" s="42"/>
      <c r="O51" s="53">
        <v>1</v>
      </c>
      <c r="P51" s="53"/>
      <c r="Q51" s="53"/>
      <c r="R51" s="72"/>
      <c r="S51" s="43">
        <f t="shared" si="14"/>
        <v>1</v>
      </c>
      <c r="T51" s="42"/>
      <c r="U51" s="53"/>
      <c r="V51" s="53"/>
      <c r="W51" s="53"/>
      <c r="X51" s="72"/>
      <c r="Y51" s="43">
        <f t="shared" si="15"/>
        <v>0</v>
      </c>
      <c r="Z51" s="43">
        <f t="shared" si="20"/>
        <v>1</v>
      </c>
      <c r="AA51" s="83">
        <v>43575</v>
      </c>
      <c r="AB51" s="23" t="s">
        <v>41</v>
      </c>
      <c r="AC51" s="41"/>
      <c r="AD51" s="42"/>
      <c r="AE51" s="42"/>
      <c r="AF51" s="42"/>
      <c r="AG51" s="42"/>
      <c r="AH51" s="43">
        <f t="shared" si="16"/>
        <v>0</v>
      </c>
      <c r="AI51" s="41"/>
      <c r="AJ51" s="42"/>
      <c r="AK51" s="42"/>
      <c r="AL51" s="42"/>
      <c r="AM51" s="42"/>
      <c r="AN51" s="43">
        <f t="shared" si="17"/>
        <v>0</v>
      </c>
      <c r="AO51" s="42"/>
      <c r="AP51" s="53"/>
      <c r="AQ51" s="53"/>
      <c r="AR51" s="53"/>
      <c r="AS51" s="72"/>
      <c r="AT51" s="24">
        <f t="shared" si="18"/>
        <v>0</v>
      </c>
      <c r="AU51" s="42"/>
      <c r="AV51" s="53"/>
      <c r="AW51" s="53">
        <v>3</v>
      </c>
      <c r="AX51" s="53"/>
      <c r="AY51" s="72"/>
      <c r="AZ51" s="24">
        <f t="shared" si="19"/>
        <v>3</v>
      </c>
      <c r="BA51" s="24">
        <f t="shared" si="21"/>
        <v>3</v>
      </c>
      <c r="BB51" s="83">
        <v>43571</v>
      </c>
    </row>
    <row r="52" spans="1:54" ht="14.25" x14ac:dyDescent="0.15">
      <c r="A52" s="40" t="s">
        <v>48</v>
      </c>
      <c r="B52" s="41"/>
      <c r="C52" s="42"/>
      <c r="D52" s="42"/>
      <c r="E52" s="42"/>
      <c r="F52" s="42"/>
      <c r="G52" s="43">
        <f t="shared" si="12"/>
        <v>0</v>
      </c>
      <c r="H52" s="41"/>
      <c r="I52" s="42"/>
      <c r="J52" s="42"/>
      <c r="K52" s="42"/>
      <c r="L52" s="42">
        <v>1</v>
      </c>
      <c r="M52" s="43">
        <f t="shared" si="13"/>
        <v>1</v>
      </c>
      <c r="N52" s="42"/>
      <c r="O52" s="53"/>
      <c r="P52" s="53"/>
      <c r="Q52" s="53"/>
      <c r="R52" s="72"/>
      <c r="S52" s="43">
        <f t="shared" si="14"/>
        <v>0</v>
      </c>
      <c r="T52" s="42"/>
      <c r="U52" s="53"/>
      <c r="V52" s="53"/>
      <c r="W52" s="53"/>
      <c r="X52" s="72"/>
      <c r="Y52" s="43">
        <f t="shared" si="15"/>
        <v>0</v>
      </c>
      <c r="Z52" s="43">
        <f t="shared" si="20"/>
        <v>1</v>
      </c>
      <c r="AA52" s="93">
        <v>43577</v>
      </c>
      <c r="AB52" s="23" t="s">
        <v>41</v>
      </c>
      <c r="AC52" s="41"/>
      <c r="AD52" s="42"/>
      <c r="AE52" s="42"/>
      <c r="AF52" s="42"/>
      <c r="AG52" s="42"/>
      <c r="AH52" s="43">
        <f t="shared" si="16"/>
        <v>0</v>
      </c>
      <c r="AI52" s="41"/>
      <c r="AJ52" s="42"/>
      <c r="AK52" s="42"/>
      <c r="AL52" s="42"/>
      <c r="AM52" s="42"/>
      <c r="AN52" s="43">
        <f t="shared" si="17"/>
        <v>0</v>
      </c>
      <c r="AO52" s="42"/>
      <c r="AP52" s="53"/>
      <c r="AQ52" s="53"/>
      <c r="AR52" s="53"/>
      <c r="AS52" s="72"/>
      <c r="AT52" s="43">
        <f t="shared" si="18"/>
        <v>0</v>
      </c>
      <c r="AU52" s="42"/>
      <c r="AV52" s="53"/>
      <c r="AW52" s="53"/>
      <c r="AX52" s="53">
        <v>3</v>
      </c>
      <c r="AY52" s="72"/>
      <c r="AZ52" s="43">
        <f t="shared" si="19"/>
        <v>3</v>
      </c>
      <c r="BA52" s="43">
        <f t="shared" si="21"/>
        <v>3</v>
      </c>
      <c r="BB52" s="83">
        <v>43572</v>
      </c>
    </row>
    <row r="53" spans="1:54" ht="14.25" x14ac:dyDescent="0.15">
      <c r="A53" s="21" t="s">
        <v>70</v>
      </c>
      <c r="B53" s="41"/>
      <c r="C53" s="42"/>
      <c r="D53" s="42"/>
      <c r="E53" s="42"/>
      <c r="F53" s="42"/>
      <c r="G53" s="43">
        <f t="shared" si="12"/>
        <v>0</v>
      </c>
      <c r="H53" s="41"/>
      <c r="I53" s="42"/>
      <c r="J53" s="42"/>
      <c r="K53" s="42"/>
      <c r="L53" s="42"/>
      <c r="M53" s="43">
        <f t="shared" si="13"/>
        <v>0</v>
      </c>
      <c r="N53" s="42"/>
      <c r="O53" s="53"/>
      <c r="P53" s="53"/>
      <c r="Q53" s="53"/>
      <c r="R53" s="72"/>
      <c r="S53" s="24">
        <f t="shared" si="14"/>
        <v>0</v>
      </c>
      <c r="T53" s="42"/>
      <c r="U53" s="53"/>
      <c r="V53" s="53">
        <v>1</v>
      </c>
      <c r="W53" s="53"/>
      <c r="X53" s="72"/>
      <c r="Y53" s="24">
        <f t="shared" si="15"/>
        <v>1</v>
      </c>
      <c r="Z53" s="24">
        <f t="shared" si="20"/>
        <v>1</v>
      </c>
      <c r="AA53" s="83">
        <v>43594</v>
      </c>
      <c r="AB53" s="21" t="s">
        <v>29</v>
      </c>
      <c r="AC53" s="41"/>
      <c r="AD53" s="42"/>
      <c r="AE53" s="42">
        <v>5</v>
      </c>
      <c r="AF53" s="42"/>
      <c r="AG53" s="42"/>
      <c r="AH53" s="43">
        <f t="shared" si="16"/>
        <v>5</v>
      </c>
      <c r="AI53" s="41"/>
      <c r="AJ53" s="42"/>
      <c r="AK53" s="42"/>
      <c r="AL53" s="42"/>
      <c r="AM53" s="42"/>
      <c r="AN53" s="43">
        <f t="shared" si="17"/>
        <v>0</v>
      </c>
      <c r="AO53" s="42"/>
      <c r="AP53" s="53"/>
      <c r="AQ53" s="53"/>
      <c r="AR53" s="53"/>
      <c r="AS53" s="72"/>
      <c r="AT53" s="24">
        <f t="shared" si="18"/>
        <v>0</v>
      </c>
      <c r="AU53" s="42"/>
      <c r="AV53" s="53"/>
      <c r="AW53" s="53"/>
      <c r="AX53" s="53"/>
      <c r="AY53" s="72"/>
      <c r="AZ53" s="24">
        <f t="shared" si="19"/>
        <v>0</v>
      </c>
      <c r="BA53" s="24">
        <f t="shared" si="21"/>
        <v>5</v>
      </c>
      <c r="BB53" s="83">
        <v>43571</v>
      </c>
    </row>
    <row r="54" spans="1:54" ht="14.25" x14ac:dyDescent="0.15">
      <c r="A54" s="21"/>
      <c r="B54" s="41"/>
      <c r="C54" s="42"/>
      <c r="D54" s="42"/>
      <c r="E54" s="42"/>
      <c r="F54" s="42"/>
      <c r="G54" s="43">
        <f t="shared" si="12"/>
        <v>0</v>
      </c>
      <c r="H54" s="41"/>
      <c r="I54" s="42"/>
      <c r="J54" s="42"/>
      <c r="K54" s="42"/>
      <c r="L54" s="42"/>
      <c r="M54" s="43">
        <f t="shared" si="13"/>
        <v>0</v>
      </c>
      <c r="N54" s="42"/>
      <c r="O54" s="53"/>
      <c r="P54" s="53"/>
      <c r="Q54" s="53"/>
      <c r="R54" s="72"/>
      <c r="S54" s="24">
        <f t="shared" si="14"/>
        <v>0</v>
      </c>
      <c r="T54" s="42"/>
      <c r="U54" s="53"/>
      <c r="V54" s="53"/>
      <c r="W54" s="53"/>
      <c r="X54" s="72"/>
      <c r="Y54" s="24">
        <f t="shared" si="15"/>
        <v>0</v>
      </c>
      <c r="Z54" s="24">
        <f t="shared" si="20"/>
        <v>0</v>
      </c>
      <c r="AB54" s="21" t="s">
        <v>29</v>
      </c>
      <c r="AC54" s="41"/>
      <c r="AD54" s="42">
        <v>5</v>
      </c>
      <c r="AE54" s="42"/>
      <c r="AF54" s="42"/>
      <c r="AG54" s="42"/>
      <c r="AH54" s="43">
        <f t="shared" si="16"/>
        <v>5</v>
      </c>
      <c r="AI54" s="41"/>
      <c r="AJ54" s="42">
        <v>5</v>
      </c>
      <c r="AK54" s="42"/>
      <c r="AL54" s="42"/>
      <c r="AM54" s="42"/>
      <c r="AN54" s="43">
        <f t="shared" si="17"/>
        <v>5</v>
      </c>
      <c r="AO54" s="42"/>
      <c r="AP54" s="53"/>
      <c r="AQ54" s="53"/>
      <c r="AR54" s="53"/>
      <c r="AS54" s="72"/>
      <c r="AT54" s="24">
        <f t="shared" si="18"/>
        <v>0</v>
      </c>
      <c r="AU54" s="42"/>
      <c r="AV54" s="53"/>
      <c r="AW54" s="53"/>
      <c r="AX54" s="53"/>
      <c r="AY54" s="72"/>
      <c r="AZ54" s="24">
        <f t="shared" si="19"/>
        <v>0</v>
      </c>
      <c r="BA54" s="24">
        <f t="shared" si="21"/>
        <v>10</v>
      </c>
      <c r="BB54" s="83">
        <v>43573</v>
      </c>
    </row>
    <row r="55" spans="1:54" ht="14.25" x14ac:dyDescent="0.15">
      <c r="A55" s="21"/>
      <c r="B55" s="41"/>
      <c r="C55" s="42"/>
      <c r="D55" s="42"/>
      <c r="E55" s="42"/>
      <c r="F55" s="42"/>
      <c r="G55" s="43">
        <f t="shared" si="12"/>
        <v>0</v>
      </c>
      <c r="H55" s="41"/>
      <c r="I55" s="42"/>
      <c r="J55" s="42"/>
      <c r="K55" s="42"/>
      <c r="L55" s="42"/>
      <c r="M55" s="43">
        <f t="shared" si="13"/>
        <v>0</v>
      </c>
      <c r="N55" s="42"/>
      <c r="O55" s="53"/>
      <c r="P55" s="53"/>
      <c r="Q55" s="53"/>
      <c r="R55" s="72"/>
      <c r="S55" s="24">
        <f t="shared" si="14"/>
        <v>0</v>
      </c>
      <c r="T55" s="42"/>
      <c r="U55" s="53"/>
      <c r="V55" s="53"/>
      <c r="W55" s="53"/>
      <c r="X55" s="72"/>
      <c r="Y55" s="24">
        <f t="shared" si="15"/>
        <v>0</v>
      </c>
      <c r="Z55" s="24">
        <f t="shared" si="20"/>
        <v>0</v>
      </c>
      <c r="AB55" s="23" t="s">
        <v>41</v>
      </c>
      <c r="AC55" s="41"/>
      <c r="AD55" s="42"/>
      <c r="AE55" s="42"/>
      <c r="AF55" s="42"/>
      <c r="AG55" s="42"/>
      <c r="AH55" s="43">
        <f t="shared" si="16"/>
        <v>0</v>
      </c>
      <c r="AI55" s="41"/>
      <c r="AJ55" s="42"/>
      <c r="AK55" s="42"/>
      <c r="AL55" s="42"/>
      <c r="AM55" s="42"/>
      <c r="AN55" s="43">
        <f t="shared" si="17"/>
        <v>0</v>
      </c>
      <c r="AO55" s="42"/>
      <c r="AP55" s="53"/>
      <c r="AQ55" s="53"/>
      <c r="AR55" s="53"/>
      <c r="AS55" s="72"/>
      <c r="AT55" s="24">
        <f t="shared" si="18"/>
        <v>0</v>
      </c>
      <c r="AU55" s="42"/>
      <c r="AV55" s="53"/>
      <c r="AW55" s="53">
        <v>3</v>
      </c>
      <c r="AX55" s="53"/>
      <c r="AY55" s="72"/>
      <c r="AZ55" s="24">
        <f t="shared" si="19"/>
        <v>3</v>
      </c>
      <c r="BA55" s="24">
        <f t="shared" si="21"/>
        <v>3</v>
      </c>
      <c r="BB55" s="83">
        <v>43578</v>
      </c>
    </row>
    <row r="56" spans="1:54" ht="14.25" x14ac:dyDescent="0.15">
      <c r="A56" s="21"/>
      <c r="B56" s="41"/>
      <c r="C56" s="42"/>
      <c r="D56" s="42"/>
      <c r="E56" s="42"/>
      <c r="F56" s="42"/>
      <c r="G56" s="43">
        <f t="shared" si="12"/>
        <v>0</v>
      </c>
      <c r="H56" s="41"/>
      <c r="I56" s="42"/>
      <c r="J56" s="42"/>
      <c r="K56" s="42"/>
      <c r="L56" s="42"/>
      <c r="M56" s="43">
        <f t="shared" si="13"/>
        <v>0</v>
      </c>
      <c r="N56" s="42"/>
      <c r="O56" s="53"/>
      <c r="P56" s="53"/>
      <c r="Q56" s="53"/>
      <c r="R56" s="72"/>
      <c r="S56" s="24">
        <f t="shared" si="14"/>
        <v>0</v>
      </c>
      <c r="T56" s="42"/>
      <c r="U56" s="53"/>
      <c r="V56" s="53"/>
      <c r="W56" s="53"/>
      <c r="X56" s="72"/>
      <c r="Y56" s="24">
        <f t="shared" si="15"/>
        <v>0</v>
      </c>
      <c r="Z56" s="24">
        <f t="shared" si="20"/>
        <v>0</v>
      </c>
      <c r="AB56" s="21" t="s">
        <v>29</v>
      </c>
      <c r="AC56" s="41"/>
      <c r="AD56" s="42"/>
      <c r="AE56" s="42"/>
      <c r="AF56" s="42">
        <v>10</v>
      </c>
      <c r="AG56" s="42"/>
      <c r="AH56" s="43">
        <f t="shared" si="16"/>
        <v>10</v>
      </c>
      <c r="AI56" s="41"/>
      <c r="AJ56" s="42"/>
      <c r="AK56" s="42"/>
      <c r="AL56" s="42"/>
      <c r="AM56" s="42"/>
      <c r="AN56" s="43">
        <f t="shared" si="17"/>
        <v>0</v>
      </c>
      <c r="AO56" s="42"/>
      <c r="AP56" s="53"/>
      <c r="AQ56" s="53"/>
      <c r="AR56" s="53"/>
      <c r="AS56" s="72"/>
      <c r="AT56" s="24">
        <f t="shared" si="18"/>
        <v>0</v>
      </c>
      <c r="AU56" s="42"/>
      <c r="AV56" s="53"/>
      <c r="AW56" s="53"/>
      <c r="AX56" s="53"/>
      <c r="AY56" s="72"/>
      <c r="AZ56" s="24">
        <f t="shared" si="19"/>
        <v>0</v>
      </c>
      <c r="BA56" s="24">
        <f t="shared" si="21"/>
        <v>10</v>
      </c>
      <c r="BB56" s="83">
        <v>43579</v>
      </c>
    </row>
    <row r="57" spans="1:54" ht="14.25" x14ac:dyDescent="0.15">
      <c r="A57" s="21"/>
      <c r="B57" s="41"/>
      <c r="C57" s="42"/>
      <c r="D57" s="42"/>
      <c r="E57" s="42"/>
      <c r="F57" s="42"/>
      <c r="G57" s="43">
        <f t="shared" si="12"/>
        <v>0</v>
      </c>
      <c r="H57" s="41"/>
      <c r="I57" s="42"/>
      <c r="J57" s="42"/>
      <c r="K57" s="42"/>
      <c r="L57" s="42"/>
      <c r="M57" s="43">
        <f t="shared" si="13"/>
        <v>0</v>
      </c>
      <c r="N57" s="42"/>
      <c r="O57" s="53"/>
      <c r="P57" s="53"/>
      <c r="Q57" s="53"/>
      <c r="R57" s="72"/>
      <c r="S57" s="24">
        <f t="shared" si="14"/>
        <v>0</v>
      </c>
      <c r="T57" s="42"/>
      <c r="U57" s="53"/>
      <c r="V57" s="53"/>
      <c r="W57" s="53"/>
      <c r="X57" s="72"/>
      <c r="Y57" s="24">
        <f t="shared" si="15"/>
        <v>0</v>
      </c>
      <c r="Z57" s="24">
        <f t="shared" si="20"/>
        <v>0</v>
      </c>
      <c r="AB57" s="23" t="s">
        <v>41</v>
      </c>
      <c r="AC57" s="41"/>
      <c r="AD57" s="42"/>
      <c r="AE57" s="42"/>
      <c r="AF57" s="42"/>
      <c r="AG57" s="42"/>
      <c r="AH57" s="43">
        <f t="shared" si="16"/>
        <v>0</v>
      </c>
      <c r="AI57" s="41"/>
      <c r="AJ57" s="42"/>
      <c r="AK57" s="42"/>
      <c r="AL57" s="42"/>
      <c r="AM57" s="42"/>
      <c r="AN57" s="43">
        <f t="shared" si="17"/>
        <v>0</v>
      </c>
      <c r="AO57" s="42"/>
      <c r="AP57" s="53"/>
      <c r="AQ57" s="53"/>
      <c r="AR57" s="53"/>
      <c r="AS57" s="72"/>
      <c r="AT57" s="24">
        <f t="shared" si="18"/>
        <v>0</v>
      </c>
      <c r="AU57" s="42"/>
      <c r="AV57" s="53">
        <v>5</v>
      </c>
      <c r="AW57" s="53"/>
      <c r="AX57" s="53"/>
      <c r="AY57" s="72"/>
      <c r="AZ57" s="24">
        <f t="shared" si="19"/>
        <v>5</v>
      </c>
      <c r="BA57" s="24">
        <f t="shared" si="21"/>
        <v>5</v>
      </c>
      <c r="BB57" s="83">
        <v>43578</v>
      </c>
    </row>
    <row r="58" spans="1:54" ht="14.25" x14ac:dyDescent="0.15">
      <c r="A58" s="21"/>
      <c r="B58" s="44"/>
      <c r="C58" s="45"/>
      <c r="D58" s="45"/>
      <c r="E58" s="45"/>
      <c r="F58" s="45"/>
      <c r="G58" s="43">
        <f t="shared" si="12"/>
        <v>0</v>
      </c>
      <c r="H58" s="44"/>
      <c r="I58" s="45"/>
      <c r="J58" s="45"/>
      <c r="K58" s="45"/>
      <c r="L58" s="45"/>
      <c r="M58" s="43">
        <f t="shared" si="13"/>
        <v>0</v>
      </c>
      <c r="N58" s="42"/>
      <c r="O58" s="53"/>
      <c r="P58" s="53"/>
      <c r="Q58" s="53"/>
      <c r="R58" s="72"/>
      <c r="S58" s="24">
        <f t="shared" si="14"/>
        <v>0</v>
      </c>
      <c r="T58" s="42"/>
      <c r="U58" s="53"/>
      <c r="V58" s="53"/>
      <c r="W58" s="53"/>
      <c r="X58" s="72"/>
      <c r="Y58" s="24">
        <f t="shared" si="15"/>
        <v>0</v>
      </c>
      <c r="Z58" s="24">
        <f t="shared" si="20"/>
        <v>0</v>
      </c>
      <c r="AB58" s="21" t="s">
        <v>55</v>
      </c>
      <c r="AC58" s="44"/>
      <c r="AD58" s="45">
        <v>1</v>
      </c>
      <c r="AE58" s="45"/>
      <c r="AF58" s="45">
        <v>1</v>
      </c>
      <c r="AG58" s="45">
        <v>1</v>
      </c>
      <c r="AH58" s="43">
        <f t="shared" si="16"/>
        <v>3</v>
      </c>
      <c r="AI58" s="44"/>
      <c r="AJ58" s="45"/>
      <c r="AK58" s="45"/>
      <c r="AL58" s="45"/>
      <c r="AM58" s="45"/>
      <c r="AN58" s="43">
        <f t="shared" si="17"/>
        <v>0</v>
      </c>
      <c r="AO58" s="42">
        <v>1</v>
      </c>
      <c r="AP58" s="53"/>
      <c r="AQ58" s="53">
        <v>1</v>
      </c>
      <c r="AR58" s="53"/>
      <c r="AS58" s="72"/>
      <c r="AT58" s="24">
        <f t="shared" si="18"/>
        <v>2</v>
      </c>
      <c r="AU58" s="42"/>
      <c r="AV58" s="53"/>
      <c r="AW58" s="53"/>
      <c r="AX58" s="53"/>
      <c r="AY58" s="72"/>
      <c r="AZ58" s="24">
        <f t="shared" si="19"/>
        <v>0</v>
      </c>
      <c r="BA58" s="24">
        <f t="shared" si="21"/>
        <v>5</v>
      </c>
      <c r="BB58" s="83">
        <v>43575</v>
      </c>
    </row>
    <row r="59" spans="1:54" ht="14.25" x14ac:dyDescent="0.15">
      <c r="A59" s="21"/>
      <c r="B59" s="41"/>
      <c r="C59" s="42"/>
      <c r="D59" s="42"/>
      <c r="E59" s="42"/>
      <c r="F59" s="42"/>
      <c r="G59" s="43">
        <f t="shared" si="12"/>
        <v>0</v>
      </c>
      <c r="H59" s="41"/>
      <c r="I59" s="42"/>
      <c r="J59" s="42"/>
      <c r="K59" s="42"/>
      <c r="L59" s="42"/>
      <c r="M59" s="43">
        <f t="shared" si="13"/>
        <v>0</v>
      </c>
      <c r="N59" s="42"/>
      <c r="O59" s="53"/>
      <c r="P59" s="53"/>
      <c r="Q59" s="53"/>
      <c r="R59" s="72"/>
      <c r="S59" s="24">
        <f t="shared" si="14"/>
        <v>0</v>
      </c>
      <c r="T59" s="42"/>
      <c r="U59" s="53"/>
      <c r="V59" s="53"/>
      <c r="W59" s="53"/>
      <c r="X59" s="72"/>
      <c r="Y59" s="24">
        <f t="shared" si="15"/>
        <v>0</v>
      </c>
      <c r="Z59" s="24">
        <f t="shared" si="20"/>
        <v>0</v>
      </c>
      <c r="AB59" s="21" t="s">
        <v>58</v>
      </c>
      <c r="AC59" s="41">
        <v>1</v>
      </c>
      <c r="AD59" s="42">
        <v>8</v>
      </c>
      <c r="AE59" s="42">
        <v>5</v>
      </c>
      <c r="AF59" s="42">
        <v>8</v>
      </c>
      <c r="AG59" s="42">
        <v>5</v>
      </c>
      <c r="AH59" s="43">
        <f t="shared" si="16"/>
        <v>27</v>
      </c>
      <c r="AI59" s="41"/>
      <c r="AJ59" s="42"/>
      <c r="AK59" s="42"/>
      <c r="AL59" s="42"/>
      <c r="AM59" s="42"/>
      <c r="AN59" s="43">
        <f t="shared" si="17"/>
        <v>0</v>
      </c>
      <c r="AO59" s="42">
        <v>1</v>
      </c>
      <c r="AP59" s="53">
        <v>1</v>
      </c>
      <c r="AQ59" s="53"/>
      <c r="AR59" s="53">
        <v>2</v>
      </c>
      <c r="AS59" s="72"/>
      <c r="AT59" s="24">
        <f t="shared" si="18"/>
        <v>4</v>
      </c>
      <c r="AU59" s="42"/>
      <c r="AV59" s="53"/>
      <c r="AW59" s="53"/>
      <c r="AX59" s="53"/>
      <c r="AY59" s="72"/>
      <c r="AZ59" s="24">
        <f t="shared" si="19"/>
        <v>0</v>
      </c>
      <c r="BA59" s="24">
        <f t="shared" si="21"/>
        <v>31</v>
      </c>
      <c r="BB59" s="83">
        <v>43577</v>
      </c>
    </row>
    <row r="60" spans="1:54" ht="14.25" x14ac:dyDescent="0.15">
      <c r="A60" s="21"/>
      <c r="B60" s="41"/>
      <c r="C60" s="42"/>
      <c r="D60" s="42"/>
      <c r="E60" s="42"/>
      <c r="F60" s="42"/>
      <c r="G60" s="43">
        <f t="shared" si="12"/>
        <v>0</v>
      </c>
      <c r="H60" s="41"/>
      <c r="I60" s="42"/>
      <c r="J60" s="42"/>
      <c r="K60" s="42"/>
      <c r="L60" s="42"/>
      <c r="M60" s="43">
        <f t="shared" si="13"/>
        <v>0</v>
      </c>
      <c r="N60" s="42"/>
      <c r="O60" s="53"/>
      <c r="P60" s="53"/>
      <c r="Q60" s="53"/>
      <c r="R60" s="72"/>
      <c r="S60" s="24">
        <f t="shared" si="14"/>
        <v>0</v>
      </c>
      <c r="T60" s="42"/>
      <c r="U60" s="53"/>
      <c r="V60" s="53"/>
      <c r="W60" s="53"/>
      <c r="X60" s="72"/>
      <c r="Y60" s="24">
        <f t="shared" si="15"/>
        <v>0</v>
      </c>
      <c r="Z60" s="24">
        <f t="shared" si="20"/>
        <v>0</v>
      </c>
      <c r="AB60" s="21" t="s">
        <v>59</v>
      </c>
      <c r="AC60" s="41">
        <v>5</v>
      </c>
      <c r="AD60" s="42">
        <v>6</v>
      </c>
      <c r="AE60" s="42">
        <v>6</v>
      </c>
      <c r="AF60" s="42">
        <v>4</v>
      </c>
      <c r="AG60" s="42">
        <v>2</v>
      </c>
      <c r="AH60" s="43">
        <f t="shared" si="16"/>
        <v>23</v>
      </c>
      <c r="AI60" s="41"/>
      <c r="AJ60" s="42"/>
      <c r="AK60" s="42"/>
      <c r="AL60" s="42"/>
      <c r="AM60" s="42"/>
      <c r="AN60" s="43">
        <f t="shared" si="17"/>
        <v>0</v>
      </c>
      <c r="AO60" s="42">
        <v>4</v>
      </c>
      <c r="AP60" s="53"/>
      <c r="AQ60" s="53">
        <v>1</v>
      </c>
      <c r="AR60" s="53">
        <v>4</v>
      </c>
      <c r="AS60" s="72"/>
      <c r="AT60" s="24">
        <f t="shared" si="18"/>
        <v>9</v>
      </c>
      <c r="AU60" s="42"/>
      <c r="AV60" s="53">
        <v>7</v>
      </c>
      <c r="AW60" s="53">
        <v>1</v>
      </c>
      <c r="AX60" s="53">
        <v>2</v>
      </c>
      <c r="AY60" s="72">
        <v>4</v>
      </c>
      <c r="AZ60" s="24">
        <f t="shared" si="19"/>
        <v>14</v>
      </c>
      <c r="BA60" s="24">
        <f t="shared" si="21"/>
        <v>46</v>
      </c>
      <c r="BB60" s="83">
        <v>43578</v>
      </c>
    </row>
    <row r="61" spans="1:54" ht="14.25" x14ac:dyDescent="0.15">
      <c r="A61" s="21"/>
      <c r="B61" s="41"/>
      <c r="C61" s="42"/>
      <c r="D61" s="42"/>
      <c r="E61" s="42"/>
      <c r="F61" s="42"/>
      <c r="G61" s="43">
        <f t="shared" si="12"/>
        <v>0</v>
      </c>
      <c r="H61" s="41"/>
      <c r="I61" s="42"/>
      <c r="J61" s="42"/>
      <c r="K61" s="42"/>
      <c r="L61" s="42"/>
      <c r="M61" s="43">
        <f t="shared" si="13"/>
        <v>0</v>
      </c>
      <c r="N61" s="42"/>
      <c r="O61" s="53"/>
      <c r="P61" s="53"/>
      <c r="Q61" s="53"/>
      <c r="R61" s="72"/>
      <c r="S61" s="24">
        <f t="shared" si="14"/>
        <v>0</v>
      </c>
      <c r="T61" s="42"/>
      <c r="U61" s="53"/>
      <c r="V61" s="53"/>
      <c r="W61" s="53"/>
      <c r="X61" s="72"/>
      <c r="Y61" s="24">
        <f t="shared" si="15"/>
        <v>0</v>
      </c>
      <c r="Z61" s="24">
        <f t="shared" si="20"/>
        <v>0</v>
      </c>
      <c r="AB61" s="21" t="s">
        <v>60</v>
      </c>
      <c r="AC61" s="41">
        <v>2</v>
      </c>
      <c r="AD61" s="42">
        <v>2</v>
      </c>
      <c r="AE61" s="42">
        <v>2</v>
      </c>
      <c r="AF61" s="42">
        <v>4</v>
      </c>
      <c r="AG61" s="42">
        <v>2</v>
      </c>
      <c r="AH61" s="43">
        <f t="shared" si="16"/>
        <v>12</v>
      </c>
      <c r="AI61" s="41"/>
      <c r="AJ61" s="42"/>
      <c r="AK61" s="42"/>
      <c r="AL61" s="42"/>
      <c r="AM61" s="42"/>
      <c r="AN61" s="43">
        <f t="shared" si="17"/>
        <v>0</v>
      </c>
      <c r="AO61" s="42">
        <v>3</v>
      </c>
      <c r="AP61" s="53"/>
      <c r="AQ61" s="53"/>
      <c r="AR61" s="53">
        <v>2</v>
      </c>
      <c r="AS61" s="72"/>
      <c r="AT61" s="24">
        <f t="shared" si="18"/>
        <v>5</v>
      </c>
      <c r="AU61" s="42"/>
      <c r="AV61" s="53">
        <v>4</v>
      </c>
      <c r="AW61" s="53"/>
      <c r="AX61" s="53">
        <v>4</v>
      </c>
      <c r="AY61" s="72"/>
      <c r="AZ61" s="24">
        <f t="shared" si="19"/>
        <v>8</v>
      </c>
      <c r="BA61" s="24">
        <f t="shared" si="21"/>
        <v>25</v>
      </c>
      <c r="BB61" s="83">
        <v>43579</v>
      </c>
    </row>
    <row r="62" spans="1:54" ht="14.25" x14ac:dyDescent="0.15">
      <c r="A62" s="21"/>
      <c r="B62" s="38"/>
      <c r="C62" s="39"/>
      <c r="D62" s="39"/>
      <c r="E62" s="39"/>
      <c r="F62" s="39"/>
      <c r="G62" s="37">
        <f t="shared" si="12"/>
        <v>0</v>
      </c>
      <c r="H62" s="38"/>
      <c r="I62" s="39"/>
      <c r="J62" s="39"/>
      <c r="K62" s="39"/>
      <c r="L62" s="39"/>
      <c r="M62" s="37">
        <f t="shared" si="13"/>
        <v>0</v>
      </c>
      <c r="N62" s="42"/>
      <c r="O62" s="53"/>
      <c r="P62" s="53"/>
      <c r="Q62" s="53"/>
      <c r="R62" s="72"/>
      <c r="S62" s="24">
        <f t="shared" si="14"/>
        <v>0</v>
      </c>
      <c r="T62" s="42"/>
      <c r="U62" s="53"/>
      <c r="V62" s="53"/>
      <c r="W62" s="53"/>
      <c r="X62" s="72"/>
      <c r="Y62" s="24">
        <f t="shared" si="15"/>
        <v>0</v>
      </c>
      <c r="Z62" s="24">
        <f t="shared" si="20"/>
        <v>0</v>
      </c>
      <c r="AB62" s="23" t="s">
        <v>41</v>
      </c>
      <c r="AC62" s="38"/>
      <c r="AD62" s="39"/>
      <c r="AE62" s="39"/>
      <c r="AF62" s="39"/>
      <c r="AG62" s="39"/>
      <c r="AH62" s="37">
        <f t="shared" si="16"/>
        <v>0</v>
      </c>
      <c r="AI62" s="38"/>
      <c r="AJ62" s="39"/>
      <c r="AK62" s="39"/>
      <c r="AL62" s="39"/>
      <c r="AM62" s="39"/>
      <c r="AN62" s="37">
        <f t="shared" si="17"/>
        <v>0</v>
      </c>
      <c r="AO62" s="42"/>
      <c r="AP62" s="53"/>
      <c r="AQ62" s="53"/>
      <c r="AR62" s="53"/>
      <c r="AS62" s="72"/>
      <c r="AT62" s="24">
        <f t="shared" si="18"/>
        <v>0</v>
      </c>
      <c r="AU62" s="42"/>
      <c r="AV62" s="53"/>
      <c r="AW62" s="53"/>
      <c r="AX62" s="53"/>
      <c r="AY62" s="72">
        <v>5</v>
      </c>
      <c r="AZ62" s="24">
        <f t="shared" si="19"/>
        <v>5</v>
      </c>
      <c r="BA62" s="24">
        <f t="shared" si="21"/>
        <v>5</v>
      </c>
      <c r="BB62" s="83">
        <v>43593</v>
      </c>
    </row>
    <row r="63" spans="1:54" ht="14.25" x14ac:dyDescent="0.15">
      <c r="A63" s="21"/>
      <c r="B63" s="41"/>
      <c r="C63" s="42"/>
      <c r="D63" s="42"/>
      <c r="E63" s="42"/>
      <c r="F63" s="42"/>
      <c r="G63" s="43">
        <f t="shared" si="12"/>
        <v>0</v>
      </c>
      <c r="H63" s="41"/>
      <c r="I63" s="42"/>
      <c r="J63" s="42"/>
      <c r="K63" s="42"/>
      <c r="L63" s="42"/>
      <c r="M63" s="43">
        <f t="shared" si="13"/>
        <v>0</v>
      </c>
      <c r="N63" s="42"/>
      <c r="O63" s="53"/>
      <c r="P63" s="53"/>
      <c r="Q63" s="53"/>
      <c r="R63" s="72"/>
      <c r="S63" s="24">
        <f t="shared" si="14"/>
        <v>0</v>
      </c>
      <c r="T63" s="42"/>
      <c r="U63" s="53"/>
      <c r="V63" s="53"/>
      <c r="W63" s="53"/>
      <c r="X63" s="72"/>
      <c r="Y63" s="24">
        <f t="shared" si="15"/>
        <v>0</v>
      </c>
      <c r="Z63" s="24">
        <f t="shared" si="20"/>
        <v>0</v>
      </c>
      <c r="AB63" s="21" t="s">
        <v>29</v>
      </c>
      <c r="AC63" s="41"/>
      <c r="AD63" s="42"/>
      <c r="AE63" s="42"/>
      <c r="AF63" s="42"/>
      <c r="AG63" s="42"/>
      <c r="AH63" s="43">
        <f t="shared" si="16"/>
        <v>0</v>
      </c>
      <c r="AI63" s="41"/>
      <c r="AJ63" s="42"/>
      <c r="AK63" s="42"/>
      <c r="AL63" s="42">
        <v>5</v>
      </c>
      <c r="AM63" s="42"/>
      <c r="AN63" s="43">
        <f t="shared" si="17"/>
        <v>5</v>
      </c>
      <c r="AO63" s="42"/>
      <c r="AP63" s="53"/>
      <c r="AQ63" s="53"/>
      <c r="AR63" s="53"/>
      <c r="AS63" s="72"/>
      <c r="AT63" s="24">
        <f t="shared" si="18"/>
        <v>0</v>
      </c>
      <c r="AU63" s="42"/>
      <c r="AV63" s="53"/>
      <c r="AW63" s="53"/>
      <c r="AX63" s="53"/>
      <c r="AY63" s="72"/>
      <c r="AZ63" s="24">
        <f t="shared" si="19"/>
        <v>0</v>
      </c>
      <c r="BA63" s="24">
        <f t="shared" si="21"/>
        <v>5</v>
      </c>
      <c r="BB63" s="83">
        <v>43594</v>
      </c>
    </row>
    <row r="64" spans="1:54" ht="14.25" x14ac:dyDescent="0.15">
      <c r="A64" s="21"/>
      <c r="B64" s="14"/>
      <c r="C64" s="15"/>
      <c r="D64" s="15"/>
      <c r="E64" s="15"/>
      <c r="F64" s="15"/>
      <c r="G64" s="24">
        <f t="shared" si="12"/>
        <v>0</v>
      </c>
      <c r="H64" s="14"/>
      <c r="I64" s="15"/>
      <c r="J64" s="15"/>
      <c r="K64" s="15"/>
      <c r="L64" s="15"/>
      <c r="M64" s="24">
        <f t="shared" si="13"/>
        <v>0</v>
      </c>
      <c r="N64" s="15"/>
      <c r="O64" s="55"/>
      <c r="P64" s="55"/>
      <c r="Q64" s="55"/>
      <c r="R64" s="67"/>
      <c r="S64" s="24">
        <f t="shared" si="14"/>
        <v>0</v>
      </c>
      <c r="T64" s="15"/>
      <c r="U64" s="55"/>
      <c r="V64" s="55"/>
      <c r="W64" s="55"/>
      <c r="X64" s="67"/>
      <c r="Y64" s="24">
        <f t="shared" si="15"/>
        <v>0</v>
      </c>
      <c r="Z64" s="24">
        <f t="shared" si="20"/>
        <v>0</v>
      </c>
      <c r="AB64" s="21" t="s">
        <v>61</v>
      </c>
      <c r="AC64" s="14">
        <v>3</v>
      </c>
      <c r="AD64" s="15"/>
      <c r="AE64" s="15">
        <v>4</v>
      </c>
      <c r="AF64" s="15">
        <v>4</v>
      </c>
      <c r="AG64" s="15">
        <v>3</v>
      </c>
      <c r="AH64" s="24">
        <f t="shared" si="16"/>
        <v>14</v>
      </c>
      <c r="AI64" s="14"/>
      <c r="AJ64" s="15"/>
      <c r="AK64" s="15"/>
      <c r="AL64" s="15"/>
      <c r="AM64" s="15"/>
      <c r="AN64" s="24">
        <f t="shared" si="17"/>
        <v>0</v>
      </c>
      <c r="AO64" s="15">
        <v>2</v>
      </c>
      <c r="AP64" s="55"/>
      <c r="AQ64" s="55">
        <v>3</v>
      </c>
      <c r="AR64" s="55">
        <v>3</v>
      </c>
      <c r="AS64" s="67">
        <v>2</v>
      </c>
      <c r="AT64" s="24">
        <f t="shared" si="18"/>
        <v>10</v>
      </c>
      <c r="AU64" s="15"/>
      <c r="AV64" s="55">
        <v>1</v>
      </c>
      <c r="AW64" s="55"/>
      <c r="AX64" s="55"/>
      <c r="AY64" s="67">
        <v>5</v>
      </c>
      <c r="AZ64" s="24">
        <f t="shared" si="19"/>
        <v>6</v>
      </c>
      <c r="BA64" s="24">
        <f t="shared" si="21"/>
        <v>30</v>
      </c>
      <c r="BB64" s="83">
        <v>43580</v>
      </c>
    </row>
    <row r="65" spans="1:54" ht="14.25" x14ac:dyDescent="0.15">
      <c r="A65" s="23"/>
      <c r="B65" s="14"/>
      <c r="C65" s="15"/>
      <c r="D65" s="15"/>
      <c r="E65" s="15"/>
      <c r="F65" s="15"/>
      <c r="G65" s="24">
        <f t="shared" si="12"/>
        <v>0</v>
      </c>
      <c r="H65" s="14"/>
      <c r="I65" s="15"/>
      <c r="J65" s="15"/>
      <c r="K65" s="15"/>
      <c r="L65" s="15"/>
      <c r="M65" s="24">
        <f t="shared" si="13"/>
        <v>0</v>
      </c>
      <c r="N65" s="15"/>
      <c r="O65" s="55"/>
      <c r="P65" s="55"/>
      <c r="Q65" s="55"/>
      <c r="R65" s="67"/>
      <c r="S65" s="24">
        <f t="shared" si="14"/>
        <v>0</v>
      </c>
      <c r="T65" s="15"/>
      <c r="U65" s="55"/>
      <c r="V65" s="55"/>
      <c r="W65" s="55"/>
      <c r="X65" s="67"/>
      <c r="Y65" s="24">
        <f t="shared" si="15"/>
        <v>0</v>
      </c>
      <c r="Z65" s="24">
        <f t="shared" si="20"/>
        <v>0</v>
      </c>
      <c r="AB65" s="21" t="s">
        <v>64</v>
      </c>
      <c r="AC65" s="14"/>
      <c r="AD65" s="15">
        <v>1</v>
      </c>
      <c r="AE65" s="15"/>
      <c r="AF65" s="15">
        <v>4</v>
      </c>
      <c r="AG65" s="15">
        <v>5</v>
      </c>
      <c r="AH65" s="24">
        <f t="shared" si="16"/>
        <v>10</v>
      </c>
      <c r="AI65" s="14"/>
      <c r="AJ65" s="15"/>
      <c r="AK65" s="15"/>
      <c r="AL65" s="15"/>
      <c r="AM65" s="15"/>
      <c r="AN65" s="24">
        <f t="shared" si="17"/>
        <v>0</v>
      </c>
      <c r="AO65" s="15"/>
      <c r="AP65" s="55">
        <v>5</v>
      </c>
      <c r="AQ65" s="55"/>
      <c r="AR65" s="55">
        <v>1</v>
      </c>
      <c r="AS65" s="67"/>
      <c r="AT65" s="24">
        <f t="shared" si="18"/>
        <v>6</v>
      </c>
      <c r="AU65" s="15"/>
      <c r="AV65" s="55">
        <v>1</v>
      </c>
      <c r="AW65" s="55"/>
      <c r="AX65" s="55">
        <v>1</v>
      </c>
      <c r="AY65" s="67"/>
      <c r="AZ65" s="24">
        <f t="shared" si="19"/>
        <v>2</v>
      </c>
      <c r="BA65" s="24">
        <f t="shared" si="21"/>
        <v>18</v>
      </c>
      <c r="BB65" s="83">
        <v>43581</v>
      </c>
    </row>
    <row r="66" spans="1:54" ht="14.25" x14ac:dyDescent="0.15">
      <c r="A66" s="23"/>
      <c r="B66" s="14"/>
      <c r="C66" s="15"/>
      <c r="D66" s="15"/>
      <c r="E66" s="15"/>
      <c r="F66" s="15"/>
      <c r="G66" s="24">
        <f t="shared" si="12"/>
        <v>0</v>
      </c>
      <c r="H66" s="14"/>
      <c r="I66" s="15"/>
      <c r="J66" s="15"/>
      <c r="K66" s="15"/>
      <c r="L66" s="15"/>
      <c r="M66" s="24">
        <f t="shared" si="13"/>
        <v>0</v>
      </c>
      <c r="N66" s="15"/>
      <c r="O66" s="55"/>
      <c r="P66" s="55"/>
      <c r="Q66" s="55"/>
      <c r="R66" s="67"/>
      <c r="S66" s="24">
        <f t="shared" si="14"/>
        <v>0</v>
      </c>
      <c r="T66" s="15"/>
      <c r="U66" s="55"/>
      <c r="V66" s="55"/>
      <c r="W66" s="55"/>
      <c r="X66" s="67"/>
      <c r="Y66" s="24">
        <f t="shared" si="15"/>
        <v>0</v>
      </c>
      <c r="Z66" s="24">
        <f t="shared" si="20"/>
        <v>0</v>
      </c>
      <c r="AB66" s="21" t="s">
        <v>67</v>
      </c>
      <c r="AC66" s="14"/>
      <c r="AD66" s="15">
        <v>2</v>
      </c>
      <c r="AE66" s="15"/>
      <c r="AF66" s="15">
        <v>4</v>
      </c>
      <c r="AG66" s="15">
        <v>1</v>
      </c>
      <c r="AH66" s="24">
        <f t="shared" si="16"/>
        <v>7</v>
      </c>
      <c r="AI66" s="14"/>
      <c r="AJ66" s="15"/>
      <c r="AK66" s="15"/>
      <c r="AL66" s="15"/>
      <c r="AM66" s="15"/>
      <c r="AN66" s="24">
        <f t="shared" si="17"/>
        <v>0</v>
      </c>
      <c r="AO66" s="15"/>
      <c r="AP66" s="55">
        <v>4</v>
      </c>
      <c r="AQ66" s="55"/>
      <c r="AR66" s="55"/>
      <c r="AS66" s="67"/>
      <c r="AT66" s="24">
        <f t="shared" si="18"/>
        <v>4</v>
      </c>
      <c r="AU66" s="15"/>
      <c r="AV66" s="55"/>
      <c r="AW66" s="55">
        <v>1</v>
      </c>
      <c r="AX66" s="55"/>
      <c r="AY66" s="67"/>
      <c r="AZ66" s="24">
        <f t="shared" si="19"/>
        <v>1</v>
      </c>
      <c r="BA66" s="24">
        <f t="shared" si="21"/>
        <v>12</v>
      </c>
      <c r="BB66" s="83">
        <v>43582</v>
      </c>
    </row>
    <row r="67" spans="1:54" ht="14.25" x14ac:dyDescent="0.15">
      <c r="A67" s="23"/>
      <c r="B67" s="14"/>
      <c r="C67" s="15"/>
      <c r="D67" s="15"/>
      <c r="E67" s="15"/>
      <c r="F67" s="15"/>
      <c r="G67" s="24">
        <f t="shared" si="12"/>
        <v>0</v>
      </c>
      <c r="H67" s="14"/>
      <c r="I67" s="15"/>
      <c r="J67" s="15"/>
      <c r="K67" s="15"/>
      <c r="L67" s="15"/>
      <c r="M67" s="24">
        <f t="shared" si="13"/>
        <v>0</v>
      </c>
      <c r="N67" s="15"/>
      <c r="O67" s="55"/>
      <c r="P67" s="55"/>
      <c r="Q67" s="55"/>
      <c r="R67" s="67"/>
      <c r="S67" s="24">
        <f t="shared" si="14"/>
        <v>0</v>
      </c>
      <c r="T67" s="15"/>
      <c r="U67" s="55"/>
      <c r="V67" s="55"/>
      <c r="W67" s="55"/>
      <c r="X67" s="67"/>
      <c r="Y67" s="24">
        <f t="shared" si="15"/>
        <v>0</v>
      </c>
      <c r="Z67" s="24">
        <f t="shared" si="20"/>
        <v>0</v>
      </c>
      <c r="AB67" s="21" t="s">
        <v>68</v>
      </c>
      <c r="AC67" s="14">
        <v>2</v>
      </c>
      <c r="AD67" s="15">
        <v>3</v>
      </c>
      <c r="AE67" s="15">
        <v>6</v>
      </c>
      <c r="AF67" s="15">
        <v>3</v>
      </c>
      <c r="AG67" s="15"/>
      <c r="AH67" s="24">
        <f t="shared" si="16"/>
        <v>14</v>
      </c>
      <c r="AI67" s="14"/>
      <c r="AJ67" s="15"/>
      <c r="AK67" s="15"/>
      <c r="AL67" s="15"/>
      <c r="AM67" s="15"/>
      <c r="AN67" s="24">
        <f t="shared" si="17"/>
        <v>0</v>
      </c>
      <c r="AO67" s="15">
        <v>1</v>
      </c>
      <c r="AP67" s="55">
        <v>2</v>
      </c>
      <c r="AQ67" s="55"/>
      <c r="AR67" s="55"/>
      <c r="AS67" s="67"/>
      <c r="AT67" s="24">
        <f t="shared" si="18"/>
        <v>3</v>
      </c>
      <c r="AU67" s="15"/>
      <c r="AV67" s="55"/>
      <c r="AW67" s="55">
        <v>2</v>
      </c>
      <c r="AX67" s="55"/>
      <c r="AY67" s="67"/>
      <c r="AZ67" s="24">
        <f t="shared" si="19"/>
        <v>2</v>
      </c>
      <c r="BA67" s="24">
        <f t="shared" si="21"/>
        <v>19</v>
      </c>
      <c r="BB67" s="83">
        <v>43593</v>
      </c>
    </row>
    <row r="68" spans="1:54" ht="14.25" x14ac:dyDescent="0.15">
      <c r="A68" s="23"/>
      <c r="B68" s="14"/>
      <c r="C68" s="15"/>
      <c r="D68" s="15"/>
      <c r="E68" s="15"/>
      <c r="F68" s="15"/>
      <c r="G68" s="24">
        <f t="shared" si="12"/>
        <v>0</v>
      </c>
      <c r="H68" s="14"/>
      <c r="I68" s="15"/>
      <c r="J68" s="15"/>
      <c r="K68" s="15"/>
      <c r="L68" s="15"/>
      <c r="M68" s="24">
        <f t="shared" si="13"/>
        <v>0</v>
      </c>
      <c r="N68" s="15"/>
      <c r="O68" s="55"/>
      <c r="P68" s="55"/>
      <c r="Q68" s="55"/>
      <c r="R68" s="67"/>
      <c r="S68" s="24">
        <f t="shared" si="14"/>
        <v>0</v>
      </c>
      <c r="T68" s="15"/>
      <c r="U68" s="55"/>
      <c r="V68" s="55"/>
      <c r="W68" s="55"/>
      <c r="X68" s="67"/>
      <c r="Y68" s="24">
        <f t="shared" si="15"/>
        <v>0</v>
      </c>
      <c r="Z68" s="24">
        <f t="shared" si="20"/>
        <v>0</v>
      </c>
      <c r="AB68" s="21" t="s">
        <v>69</v>
      </c>
      <c r="AC68" s="14">
        <v>1</v>
      </c>
      <c r="AD68" s="15"/>
      <c r="AE68" s="15">
        <v>3</v>
      </c>
      <c r="AF68" s="15"/>
      <c r="AG68" s="15"/>
      <c r="AH68" s="24">
        <f t="shared" si="16"/>
        <v>4</v>
      </c>
      <c r="AI68" s="14"/>
      <c r="AJ68" s="15"/>
      <c r="AK68" s="15"/>
      <c r="AL68" s="15"/>
      <c r="AM68" s="15"/>
      <c r="AN68" s="24">
        <f t="shared" si="17"/>
        <v>0</v>
      </c>
      <c r="AO68" s="15"/>
      <c r="AP68" s="55"/>
      <c r="AQ68" s="55"/>
      <c r="AR68" s="55"/>
      <c r="AS68" s="67"/>
      <c r="AT68" s="24">
        <f t="shared" si="18"/>
        <v>0</v>
      </c>
      <c r="AU68" s="15"/>
      <c r="AV68" s="55"/>
      <c r="AW68" s="55"/>
      <c r="AX68" s="55">
        <v>1</v>
      </c>
      <c r="AY68" s="67"/>
      <c r="AZ68" s="24">
        <f t="shared" si="19"/>
        <v>1</v>
      </c>
      <c r="BA68" s="24">
        <f t="shared" si="21"/>
        <v>5</v>
      </c>
      <c r="BB68" s="83">
        <v>43594</v>
      </c>
    </row>
    <row r="69" spans="1:54" ht="14.25" x14ac:dyDescent="0.15">
      <c r="A69" s="23"/>
      <c r="B69" s="14"/>
      <c r="C69" s="15"/>
      <c r="D69" s="15"/>
      <c r="E69" s="15"/>
      <c r="F69" s="15"/>
      <c r="G69" s="24">
        <f t="shared" si="12"/>
        <v>0</v>
      </c>
      <c r="H69" s="14"/>
      <c r="I69" s="15"/>
      <c r="J69" s="15"/>
      <c r="K69" s="15"/>
      <c r="L69" s="15"/>
      <c r="M69" s="24">
        <f t="shared" si="13"/>
        <v>0</v>
      </c>
      <c r="N69" s="15"/>
      <c r="O69" s="55"/>
      <c r="P69" s="55"/>
      <c r="Q69" s="55"/>
      <c r="R69" s="67"/>
      <c r="S69" s="24">
        <f t="shared" si="14"/>
        <v>0</v>
      </c>
      <c r="T69" s="15"/>
      <c r="U69" s="55"/>
      <c r="V69" s="55"/>
      <c r="W69" s="55"/>
      <c r="X69" s="67"/>
      <c r="Y69" s="24">
        <f t="shared" si="15"/>
        <v>0</v>
      </c>
      <c r="Z69" s="24">
        <f t="shared" si="20"/>
        <v>0</v>
      </c>
      <c r="AB69" s="21" t="s">
        <v>29</v>
      </c>
      <c r="AC69" s="14"/>
      <c r="AD69" s="15"/>
      <c r="AE69" s="15">
        <v>10</v>
      </c>
      <c r="AF69" s="15"/>
      <c r="AG69" s="15"/>
      <c r="AH69" s="24">
        <f t="shared" si="16"/>
        <v>10</v>
      </c>
      <c r="AI69" s="14"/>
      <c r="AJ69" s="15">
        <v>5</v>
      </c>
      <c r="AK69" s="15"/>
      <c r="AL69" s="15"/>
      <c r="AM69" s="15"/>
      <c r="AN69" s="24">
        <f t="shared" si="17"/>
        <v>5</v>
      </c>
      <c r="AO69" s="15"/>
      <c r="AP69" s="55"/>
      <c r="AQ69" s="55"/>
      <c r="AR69" s="55"/>
      <c r="AS69" s="67"/>
      <c r="AT69" s="24">
        <f t="shared" si="18"/>
        <v>0</v>
      </c>
      <c r="AU69" s="15"/>
      <c r="AV69" s="55"/>
      <c r="AW69" s="55"/>
      <c r="AX69" s="55"/>
      <c r="AY69" s="67"/>
      <c r="AZ69" s="24">
        <f t="shared" si="19"/>
        <v>0</v>
      </c>
      <c r="BA69" s="24">
        <f t="shared" si="21"/>
        <v>15</v>
      </c>
      <c r="BB69" s="83">
        <v>43598</v>
      </c>
    </row>
    <row r="70" spans="1:54" ht="14.25" x14ac:dyDescent="0.15">
      <c r="A70" s="23"/>
      <c r="B70" s="44"/>
      <c r="C70" s="45"/>
      <c r="D70" s="45"/>
      <c r="E70" s="45"/>
      <c r="F70" s="45"/>
      <c r="G70" s="43">
        <f t="shared" si="12"/>
        <v>0</v>
      </c>
      <c r="H70" s="44"/>
      <c r="I70" s="45"/>
      <c r="J70" s="45"/>
      <c r="K70" s="45"/>
      <c r="L70" s="45"/>
      <c r="M70" s="43">
        <f t="shared" si="13"/>
        <v>0</v>
      </c>
      <c r="N70" s="42"/>
      <c r="O70" s="53"/>
      <c r="P70" s="53"/>
      <c r="Q70" s="53"/>
      <c r="R70" s="72"/>
      <c r="S70" s="24">
        <f t="shared" si="14"/>
        <v>0</v>
      </c>
      <c r="T70" s="42"/>
      <c r="U70" s="53"/>
      <c r="V70" s="53"/>
      <c r="W70" s="53"/>
      <c r="X70" s="72"/>
      <c r="Y70" s="24">
        <f t="shared" si="15"/>
        <v>0</v>
      </c>
      <c r="Z70" s="24">
        <f t="shared" si="20"/>
        <v>0</v>
      </c>
      <c r="AA70" s="128"/>
      <c r="AB70" s="21" t="s">
        <v>71</v>
      </c>
      <c r="AC70" s="44"/>
      <c r="AD70" s="45"/>
      <c r="AE70" s="45"/>
      <c r="AF70" s="45"/>
      <c r="AG70" s="45"/>
      <c r="AH70" s="43">
        <f t="shared" si="16"/>
        <v>0</v>
      </c>
      <c r="AI70" s="44"/>
      <c r="AJ70" s="45"/>
      <c r="AK70" s="45"/>
      <c r="AL70" s="45"/>
      <c r="AM70" s="45"/>
      <c r="AN70" s="43">
        <f t="shared" si="17"/>
        <v>0</v>
      </c>
      <c r="AO70" s="42"/>
      <c r="AP70" s="53"/>
      <c r="AQ70" s="53"/>
      <c r="AR70" s="53"/>
      <c r="AS70" s="72">
        <v>1</v>
      </c>
      <c r="AT70" s="24">
        <f t="shared" si="18"/>
        <v>1</v>
      </c>
      <c r="AU70" s="42"/>
      <c r="AV70" s="53"/>
      <c r="AW70" s="53"/>
      <c r="AX70" s="53"/>
      <c r="AY70" s="72"/>
      <c r="AZ70" s="24">
        <f t="shared" si="19"/>
        <v>0</v>
      </c>
      <c r="BA70" s="24">
        <f t="shared" si="21"/>
        <v>1</v>
      </c>
      <c r="BB70" s="83">
        <v>43596</v>
      </c>
    </row>
    <row r="71" spans="1:54" ht="14.25" x14ac:dyDescent="0.15">
      <c r="A71" s="110"/>
      <c r="B71" s="41"/>
      <c r="C71" s="42"/>
      <c r="D71" s="42"/>
      <c r="E71" s="42"/>
      <c r="F71" s="42"/>
      <c r="G71" s="43">
        <f t="shared" si="12"/>
        <v>0</v>
      </c>
      <c r="H71" s="41"/>
      <c r="I71" s="42"/>
      <c r="J71" s="42"/>
      <c r="K71" s="42"/>
      <c r="L71" s="42"/>
      <c r="M71" s="43">
        <f t="shared" si="13"/>
        <v>0</v>
      </c>
      <c r="N71" s="42"/>
      <c r="O71" s="53"/>
      <c r="P71" s="53"/>
      <c r="Q71" s="53"/>
      <c r="R71" s="72"/>
      <c r="S71" s="24">
        <f t="shared" si="14"/>
        <v>0</v>
      </c>
      <c r="T71" s="42"/>
      <c r="U71" s="53"/>
      <c r="V71" s="53"/>
      <c r="W71" s="53"/>
      <c r="X71" s="72"/>
      <c r="Y71" s="24">
        <f t="shared" si="15"/>
        <v>0</v>
      </c>
      <c r="Z71" s="24">
        <f t="shared" si="20"/>
        <v>0</v>
      </c>
      <c r="AA71" s="128"/>
      <c r="AB71" s="23" t="s">
        <v>41</v>
      </c>
      <c r="AC71" s="41"/>
      <c r="AD71" s="42"/>
      <c r="AE71" s="42"/>
      <c r="AF71" s="42"/>
      <c r="AG71" s="42"/>
      <c r="AH71" s="43">
        <f t="shared" si="16"/>
        <v>0</v>
      </c>
      <c r="AI71" s="41"/>
      <c r="AJ71" s="42"/>
      <c r="AK71" s="42"/>
      <c r="AL71" s="42"/>
      <c r="AM71" s="42"/>
      <c r="AN71" s="43">
        <f t="shared" si="17"/>
        <v>0</v>
      </c>
      <c r="AO71" s="42"/>
      <c r="AP71" s="53"/>
      <c r="AQ71" s="53"/>
      <c r="AR71" s="53"/>
      <c r="AS71" s="72"/>
      <c r="AT71" s="24">
        <f t="shared" si="18"/>
        <v>0</v>
      </c>
      <c r="AU71" s="42"/>
      <c r="AV71" s="53"/>
      <c r="AW71" s="53">
        <v>3</v>
      </c>
      <c r="AX71" s="53"/>
      <c r="AY71" s="72"/>
      <c r="AZ71" s="24">
        <f t="shared" si="19"/>
        <v>3</v>
      </c>
      <c r="BA71" s="24">
        <f t="shared" si="21"/>
        <v>3</v>
      </c>
      <c r="BB71" s="83">
        <v>43598</v>
      </c>
    </row>
    <row r="72" spans="1:54" ht="14.25" x14ac:dyDescent="0.15">
      <c r="A72" s="23"/>
      <c r="B72" s="41"/>
      <c r="C72" s="42"/>
      <c r="D72" s="42"/>
      <c r="E72" s="42"/>
      <c r="F72" s="42"/>
      <c r="G72" s="43">
        <f t="shared" si="12"/>
        <v>0</v>
      </c>
      <c r="H72" s="41"/>
      <c r="I72" s="42"/>
      <c r="J72" s="42"/>
      <c r="K72" s="42"/>
      <c r="L72" s="42"/>
      <c r="M72" s="43">
        <f t="shared" si="13"/>
        <v>0</v>
      </c>
      <c r="N72" s="42"/>
      <c r="O72" s="53"/>
      <c r="P72" s="53"/>
      <c r="Q72" s="53"/>
      <c r="R72" s="72"/>
      <c r="S72" s="24">
        <f t="shared" si="14"/>
        <v>0</v>
      </c>
      <c r="T72" s="42"/>
      <c r="U72" s="53"/>
      <c r="V72" s="53"/>
      <c r="W72" s="53"/>
      <c r="X72" s="72"/>
      <c r="Y72" s="24">
        <f t="shared" si="15"/>
        <v>0</v>
      </c>
      <c r="Z72" s="24">
        <f t="shared" si="20"/>
        <v>0</v>
      </c>
      <c r="AA72" s="128"/>
      <c r="AB72" s="23" t="s">
        <v>45</v>
      </c>
      <c r="AC72" s="44"/>
      <c r="AD72" s="45"/>
      <c r="AE72" s="45"/>
      <c r="AF72" s="45"/>
      <c r="AG72" s="45"/>
      <c r="AH72" s="43">
        <f>SUM(AC72:AG72)</f>
        <v>0</v>
      </c>
      <c r="AI72" s="119"/>
      <c r="AJ72" s="115"/>
      <c r="AK72" s="115"/>
      <c r="AL72" s="115"/>
      <c r="AM72" s="115"/>
      <c r="AN72" s="120">
        <f>SUM(AI72:AM72)</f>
        <v>0</v>
      </c>
      <c r="AO72" s="42"/>
      <c r="AP72" s="53"/>
      <c r="AQ72" s="53"/>
      <c r="AR72" s="53"/>
      <c r="AS72" s="72"/>
      <c r="AT72" s="24">
        <f>SUM(AO72:AS72)</f>
        <v>0</v>
      </c>
      <c r="AU72" s="42"/>
      <c r="AV72" s="53"/>
      <c r="AW72" s="53"/>
      <c r="AX72" s="53"/>
      <c r="AY72" s="72"/>
      <c r="AZ72" s="24">
        <f>SUM(AU72:AY72)</f>
        <v>0</v>
      </c>
      <c r="BA72" s="24">
        <f>AH72+AN72+AT72+AZ72</f>
        <v>0</v>
      </c>
      <c r="BB72" s="128" t="s">
        <v>46</v>
      </c>
    </row>
    <row r="73" spans="1:54" ht="14.25" x14ac:dyDescent="0.15">
      <c r="A73" s="23"/>
      <c r="B73" s="41"/>
      <c r="C73" s="42"/>
      <c r="D73" s="42"/>
      <c r="E73" s="42"/>
      <c r="F73" s="42"/>
      <c r="G73" s="43">
        <f t="shared" si="12"/>
        <v>0</v>
      </c>
      <c r="H73" s="41"/>
      <c r="I73" s="42"/>
      <c r="J73" s="42"/>
      <c r="K73" s="42"/>
      <c r="L73" s="42"/>
      <c r="M73" s="43">
        <f t="shared" si="13"/>
        <v>0</v>
      </c>
      <c r="N73" s="42"/>
      <c r="O73" s="53"/>
      <c r="P73" s="53"/>
      <c r="Q73" s="53"/>
      <c r="R73" s="72"/>
      <c r="S73" s="24">
        <f>SUM(N73:R73)</f>
        <v>0</v>
      </c>
      <c r="T73" s="42"/>
      <c r="U73" s="53"/>
      <c r="V73" s="53"/>
      <c r="W73" s="53"/>
      <c r="X73" s="72"/>
      <c r="Y73" s="24">
        <f>SUM(T73:X73)</f>
        <v>0</v>
      </c>
      <c r="Z73" s="24">
        <f>G73+M73+S73+Y73</f>
        <v>0</v>
      </c>
      <c r="AA73" s="128"/>
      <c r="AB73" s="23" t="s">
        <v>35</v>
      </c>
      <c r="AC73" s="41"/>
      <c r="AD73" s="42"/>
      <c r="AE73" s="42"/>
      <c r="AF73" s="42"/>
      <c r="AG73" s="42"/>
      <c r="AH73" s="43">
        <f>SUM(AC73:AG73)</f>
        <v>0</v>
      </c>
      <c r="AI73" s="41"/>
      <c r="AJ73" s="42"/>
      <c r="AK73" s="42"/>
      <c r="AL73" s="42"/>
      <c r="AM73" s="42"/>
      <c r="AN73" s="43">
        <f>SUM(AI73:AM73)</f>
        <v>0</v>
      </c>
      <c r="AO73" s="42"/>
      <c r="AP73" s="53"/>
      <c r="AQ73" s="53"/>
      <c r="AR73" s="53"/>
      <c r="AS73" s="72"/>
      <c r="AT73" s="24">
        <f>SUM(AO73:AS73)</f>
        <v>0</v>
      </c>
      <c r="AU73" s="42"/>
      <c r="AV73" s="53"/>
      <c r="AW73" s="53"/>
      <c r="AX73" s="53"/>
      <c r="AY73" s="72"/>
      <c r="AZ73" s="24">
        <f>SUM(AU73:AY73)</f>
        <v>0</v>
      </c>
      <c r="BA73" s="24">
        <f>AH73+AN73+AT73+AZ73</f>
        <v>0</v>
      </c>
      <c r="BB73" s="128" t="s">
        <v>40</v>
      </c>
    </row>
    <row r="74" spans="1:54" ht="15" thickBot="1" x14ac:dyDescent="0.2">
      <c r="A74" s="110"/>
      <c r="B74" s="44"/>
      <c r="C74" s="45"/>
      <c r="D74" s="45"/>
      <c r="E74" s="45"/>
      <c r="F74" s="45"/>
      <c r="G74" s="43">
        <f t="shared" si="12"/>
        <v>0</v>
      </c>
      <c r="H74" s="44"/>
      <c r="I74" s="45"/>
      <c r="J74" s="45"/>
      <c r="K74" s="45"/>
      <c r="L74" s="45"/>
      <c r="M74" s="112">
        <f t="shared" si="13"/>
        <v>0</v>
      </c>
      <c r="N74" s="45"/>
      <c r="O74" s="78"/>
      <c r="P74" s="78"/>
      <c r="Q74" s="78"/>
      <c r="R74" s="79"/>
      <c r="S74" s="113">
        <f>SUM(N74:R74)</f>
        <v>0</v>
      </c>
      <c r="T74" s="45"/>
      <c r="U74" s="78"/>
      <c r="V74" s="78"/>
      <c r="W74" s="78"/>
      <c r="X74" s="79"/>
      <c r="Y74" s="113">
        <f>SUM(T74:X74)</f>
        <v>0</v>
      </c>
      <c r="Z74" s="82">
        <f>G74+M74+S74+Y74</f>
        <v>0</v>
      </c>
      <c r="AA74" s="128"/>
      <c r="AB74" s="110" t="s">
        <v>24</v>
      </c>
      <c r="AC74" s="44"/>
      <c r="AD74" s="45"/>
      <c r="AE74" s="45"/>
      <c r="AF74" s="45"/>
      <c r="AG74" s="45"/>
      <c r="AH74" s="43">
        <f t="shared" si="16"/>
        <v>0</v>
      </c>
      <c r="AI74" s="44"/>
      <c r="AJ74" s="45"/>
      <c r="AK74" s="45"/>
      <c r="AL74" s="45"/>
      <c r="AM74" s="45"/>
      <c r="AN74" s="112">
        <f t="shared" si="17"/>
        <v>0</v>
      </c>
      <c r="AO74" s="115"/>
      <c r="AP74" s="116"/>
      <c r="AQ74" s="116"/>
      <c r="AR74" s="116"/>
      <c r="AS74" s="117"/>
      <c r="AT74" s="118">
        <f>SUM(AO74:AS74)</f>
        <v>0</v>
      </c>
      <c r="AU74" s="115"/>
      <c r="AV74" s="116"/>
      <c r="AW74" s="116"/>
      <c r="AX74" s="78"/>
      <c r="AY74" s="117"/>
      <c r="AZ74" s="118">
        <f>SUM(AU74:AY74)</f>
        <v>0</v>
      </c>
      <c r="BA74" s="82">
        <f>AH74+AN74+AT74+AZ74</f>
        <v>0</v>
      </c>
      <c r="BB74" s="128" t="s">
        <v>25</v>
      </c>
    </row>
    <row r="75" spans="1:54" ht="15" thickBot="1" x14ac:dyDescent="0.2">
      <c r="A75" s="9" t="s">
        <v>13</v>
      </c>
      <c r="B75" s="25">
        <f>SUM(B49:B74)</f>
        <v>0</v>
      </c>
      <c r="C75" s="26">
        <f>SUM(C49:C74)</f>
        <v>0</v>
      </c>
      <c r="D75" s="26">
        <f>SUM(D49:D74)</f>
        <v>0</v>
      </c>
      <c r="E75" s="26">
        <f>SUM(E49:E74)</f>
        <v>0</v>
      </c>
      <c r="F75" s="27">
        <f>SUM(F49:F74)</f>
        <v>1</v>
      </c>
      <c r="G75" s="19">
        <f>SUM(B75:F75)</f>
        <v>1</v>
      </c>
      <c r="H75" s="25">
        <f>SUM(H49:H74)</f>
        <v>0</v>
      </c>
      <c r="I75" s="26">
        <f>SUM(I49:I74)</f>
        <v>0</v>
      </c>
      <c r="J75" s="26">
        <f>SUM(J49:J74)</f>
        <v>0</v>
      </c>
      <c r="K75" s="26">
        <f>SUM(K49:K74)</f>
        <v>1</v>
      </c>
      <c r="L75" s="27">
        <f>SUM(L49:L74)</f>
        <v>1</v>
      </c>
      <c r="M75" s="25">
        <f>SUM(H75:L75)</f>
        <v>2</v>
      </c>
      <c r="N75" s="65">
        <f>SUM(N49:N74)</f>
        <v>0</v>
      </c>
      <c r="O75" s="18">
        <f>SUM(O49:O74)</f>
        <v>1</v>
      </c>
      <c r="P75" s="18">
        <f>SUM(P49:P74)</f>
        <v>0</v>
      </c>
      <c r="Q75" s="18">
        <f>SUM(Q49:Q74)</f>
        <v>0</v>
      </c>
      <c r="R75" s="70">
        <f>SUM(R49:R74)</f>
        <v>0</v>
      </c>
      <c r="S75" s="49">
        <f>SUM(N75:R75)</f>
        <v>1</v>
      </c>
      <c r="T75" s="74">
        <f>SUM(T49:T74)</f>
        <v>0</v>
      </c>
      <c r="U75" s="18">
        <f>SUM(U49:U74)</f>
        <v>0</v>
      </c>
      <c r="V75" s="18">
        <f>SUM(V49:V74)</f>
        <v>1</v>
      </c>
      <c r="W75" s="18">
        <f>SUM(W49:W74)</f>
        <v>0</v>
      </c>
      <c r="X75" s="70">
        <f>SUM(X49:X74)</f>
        <v>2</v>
      </c>
      <c r="Y75" s="49">
        <f>SUM(T75:X75)</f>
        <v>3</v>
      </c>
      <c r="Z75" s="77">
        <f>G75+M75+S75+Y75</f>
        <v>7</v>
      </c>
      <c r="AB75" s="9" t="s">
        <v>13</v>
      </c>
      <c r="AC75" s="25">
        <f>SUM(AC49:AC74)</f>
        <v>14</v>
      </c>
      <c r="AD75" s="26">
        <f>SUM(AD49:AD74)</f>
        <v>28</v>
      </c>
      <c r="AE75" s="26">
        <f>SUM(AE49:AE74)</f>
        <v>41</v>
      </c>
      <c r="AF75" s="26">
        <f>SUM(AF49:AF74)</f>
        <v>42</v>
      </c>
      <c r="AG75" s="27">
        <f>SUM(AG49:AG74)</f>
        <v>19</v>
      </c>
      <c r="AH75" s="19">
        <f>SUM(AC75:AG75)</f>
        <v>144</v>
      </c>
      <c r="AI75" s="25">
        <f>SUM(AI49:AI74)</f>
        <v>0</v>
      </c>
      <c r="AJ75" s="26">
        <f>SUM(AJ49:AJ74)</f>
        <v>10</v>
      </c>
      <c r="AK75" s="26">
        <f>SUM(AK49:AK74)</f>
        <v>0</v>
      </c>
      <c r="AL75" s="26">
        <f>SUM(AL49:AL74)</f>
        <v>5</v>
      </c>
      <c r="AM75" s="27">
        <f>SUM(AM49:AM74)</f>
        <v>0</v>
      </c>
      <c r="AN75" s="25">
        <f>SUM(AI75:AM75)</f>
        <v>15</v>
      </c>
      <c r="AO75" s="65">
        <f>SUM(AO49:AO74)</f>
        <v>15</v>
      </c>
      <c r="AP75" s="18">
        <f>SUM(AP49:AP74)</f>
        <v>14</v>
      </c>
      <c r="AQ75" s="18">
        <f>SUM(AQ49:AQ74)</f>
        <v>6</v>
      </c>
      <c r="AR75" s="18">
        <f>SUM(AR49:AR74)</f>
        <v>13</v>
      </c>
      <c r="AS75" s="70">
        <f>SUM(AS49:AS74)</f>
        <v>4</v>
      </c>
      <c r="AT75" s="49">
        <f>SUM(AO75:AS75)</f>
        <v>52</v>
      </c>
      <c r="AU75" s="74">
        <f>SUM(AU49:AU74)</f>
        <v>2</v>
      </c>
      <c r="AV75" s="18">
        <f>SUM(AV49:AV74)</f>
        <v>20</v>
      </c>
      <c r="AW75" s="18">
        <f>SUM(AW49:AW74)</f>
        <v>16</v>
      </c>
      <c r="AX75" s="18">
        <f>SUM(AX49:AX74)</f>
        <v>12</v>
      </c>
      <c r="AY75" s="70">
        <f>SUM(AY49:AY74)</f>
        <v>21</v>
      </c>
      <c r="AZ75" s="49">
        <f>SUM(AU75:AY75)</f>
        <v>71</v>
      </c>
      <c r="BA75" s="77">
        <f>AH75+AN75+AT75+AZ75</f>
        <v>282</v>
      </c>
    </row>
    <row r="76" spans="1:54" ht="15" thickBot="1" x14ac:dyDescent="0.2">
      <c r="A76" s="32" t="s">
        <v>14</v>
      </c>
      <c r="B76" s="29">
        <f t="shared" ref="B76:Q76" si="22">B48-B75</f>
        <v>7</v>
      </c>
      <c r="C76" s="30">
        <f t="shared" si="22"/>
        <v>8</v>
      </c>
      <c r="D76" s="30">
        <f t="shared" si="22"/>
        <v>7</v>
      </c>
      <c r="E76" s="30">
        <f t="shared" si="22"/>
        <v>6</v>
      </c>
      <c r="F76" s="31">
        <f t="shared" si="22"/>
        <v>7</v>
      </c>
      <c r="G76" s="31">
        <f t="shared" si="22"/>
        <v>35</v>
      </c>
      <c r="H76" s="29">
        <f t="shared" si="22"/>
        <v>11</v>
      </c>
      <c r="I76" s="30">
        <f t="shared" si="22"/>
        <v>7</v>
      </c>
      <c r="J76" s="30">
        <f t="shared" si="22"/>
        <v>7</v>
      </c>
      <c r="K76" s="30">
        <f t="shared" si="22"/>
        <v>7</v>
      </c>
      <c r="L76" s="31">
        <f t="shared" si="22"/>
        <v>5</v>
      </c>
      <c r="M76" s="66">
        <f t="shared" si="22"/>
        <v>37</v>
      </c>
      <c r="N76" s="29">
        <f t="shared" si="22"/>
        <v>3</v>
      </c>
      <c r="O76" s="30">
        <f t="shared" si="22"/>
        <v>3</v>
      </c>
      <c r="P76" s="30">
        <f t="shared" si="22"/>
        <v>5</v>
      </c>
      <c r="Q76" s="30">
        <f t="shared" si="22"/>
        <v>3</v>
      </c>
      <c r="R76" s="66">
        <f t="shared" ref="R76:Y76" si="23">R48-R75</f>
        <v>3</v>
      </c>
      <c r="S76" s="33">
        <f t="shared" si="23"/>
        <v>17</v>
      </c>
      <c r="T76" s="75">
        <f t="shared" si="23"/>
        <v>3</v>
      </c>
      <c r="U76" s="30">
        <f t="shared" si="23"/>
        <v>3</v>
      </c>
      <c r="V76" s="30">
        <f t="shared" si="23"/>
        <v>3</v>
      </c>
      <c r="W76" s="30">
        <f t="shared" si="23"/>
        <v>3</v>
      </c>
      <c r="X76" s="66">
        <f t="shared" si="23"/>
        <v>1</v>
      </c>
      <c r="Y76" s="33">
        <f t="shared" si="23"/>
        <v>13</v>
      </c>
      <c r="Z76" s="77">
        <f>G76+M76+S76+Y76</f>
        <v>102</v>
      </c>
      <c r="AB76" s="32" t="s">
        <v>14</v>
      </c>
      <c r="AC76" s="29">
        <f t="shared" ref="AC76:AR76" si="24">AC48-AC75</f>
        <v>81</v>
      </c>
      <c r="AD76" s="30">
        <f t="shared" si="24"/>
        <v>64</v>
      </c>
      <c r="AE76" s="30">
        <f t="shared" si="24"/>
        <v>62</v>
      </c>
      <c r="AF76" s="30">
        <f t="shared" si="24"/>
        <v>55</v>
      </c>
      <c r="AG76" s="31">
        <f t="shared" si="24"/>
        <v>69</v>
      </c>
      <c r="AH76" s="31">
        <f t="shared" si="24"/>
        <v>331</v>
      </c>
      <c r="AI76" s="29">
        <f t="shared" si="24"/>
        <v>91</v>
      </c>
      <c r="AJ76" s="30">
        <f t="shared" si="24"/>
        <v>92</v>
      </c>
      <c r="AK76" s="30">
        <f t="shared" si="24"/>
        <v>98</v>
      </c>
      <c r="AL76" s="30">
        <f t="shared" si="24"/>
        <v>87</v>
      </c>
      <c r="AM76" s="31">
        <f t="shared" si="24"/>
        <v>93</v>
      </c>
      <c r="AN76" s="66">
        <f t="shared" si="24"/>
        <v>461</v>
      </c>
      <c r="AO76" s="29">
        <f t="shared" si="24"/>
        <v>65</v>
      </c>
      <c r="AP76" s="30">
        <f t="shared" si="24"/>
        <v>65</v>
      </c>
      <c r="AQ76" s="30">
        <f t="shared" si="24"/>
        <v>72</v>
      </c>
      <c r="AR76" s="30">
        <f t="shared" si="24"/>
        <v>75</v>
      </c>
      <c r="AS76" s="66">
        <f t="shared" ref="AS76:AZ76" si="25">AS48-AS75</f>
        <v>83</v>
      </c>
      <c r="AT76" s="33">
        <f t="shared" si="25"/>
        <v>360</v>
      </c>
      <c r="AU76" s="75">
        <f t="shared" si="25"/>
        <v>81</v>
      </c>
      <c r="AV76" s="30">
        <f t="shared" si="25"/>
        <v>68</v>
      </c>
      <c r="AW76" s="30">
        <f t="shared" si="25"/>
        <v>72</v>
      </c>
      <c r="AX76" s="30">
        <f t="shared" si="25"/>
        <v>81</v>
      </c>
      <c r="AY76" s="66">
        <f t="shared" si="25"/>
        <v>73</v>
      </c>
      <c r="AZ76" s="33">
        <f t="shared" si="25"/>
        <v>375</v>
      </c>
      <c r="BA76" s="77">
        <f>AH76+AN76+AT76+AZ76</f>
        <v>1527</v>
      </c>
    </row>
    <row r="79" spans="1:54" ht="19.5" thickBot="1" x14ac:dyDescent="0.25">
      <c r="A79" s="1" t="s">
        <v>15</v>
      </c>
      <c r="AB79" s="1" t="s">
        <v>16</v>
      </c>
    </row>
    <row r="80" spans="1:54" ht="15" thickBot="1" x14ac:dyDescent="0.2">
      <c r="A80" s="4"/>
      <c r="B80" s="245" t="s">
        <v>17</v>
      </c>
      <c r="C80" s="246"/>
      <c r="D80" s="246"/>
      <c r="E80" s="246"/>
      <c r="F80" s="246"/>
      <c r="G80" s="247"/>
      <c r="H80" s="245" t="s">
        <v>18</v>
      </c>
      <c r="I80" s="246"/>
      <c r="J80" s="246"/>
      <c r="K80" s="246"/>
      <c r="L80" s="246"/>
      <c r="M80" s="247"/>
      <c r="N80" s="248" t="s">
        <v>27</v>
      </c>
      <c r="O80" s="249"/>
      <c r="P80" s="249"/>
      <c r="Q80" s="249"/>
      <c r="R80" s="249"/>
      <c r="S80" s="250"/>
      <c r="T80" s="248" t="s">
        <v>28</v>
      </c>
      <c r="U80" s="249"/>
      <c r="V80" s="249"/>
      <c r="W80" s="249"/>
      <c r="X80" s="249"/>
      <c r="Y80" s="250"/>
      <c r="Z80" s="251" t="s">
        <v>1</v>
      </c>
      <c r="AB80" s="4"/>
      <c r="AC80" s="245" t="s">
        <v>17</v>
      </c>
      <c r="AD80" s="246"/>
      <c r="AE80" s="246"/>
      <c r="AF80" s="246"/>
      <c r="AG80" s="246"/>
      <c r="AH80" s="247"/>
      <c r="AI80" s="245" t="s">
        <v>18</v>
      </c>
      <c r="AJ80" s="246"/>
      <c r="AK80" s="246"/>
      <c r="AL80" s="246"/>
      <c r="AM80" s="246"/>
      <c r="AN80" s="247"/>
      <c r="AO80" s="248" t="s">
        <v>27</v>
      </c>
      <c r="AP80" s="249"/>
      <c r="AQ80" s="249"/>
      <c r="AR80" s="249"/>
      <c r="AS80" s="249"/>
      <c r="AT80" s="250"/>
      <c r="AU80" s="248" t="s">
        <v>28</v>
      </c>
      <c r="AV80" s="249"/>
      <c r="AW80" s="249"/>
      <c r="AX80" s="249"/>
      <c r="AY80" s="249"/>
      <c r="AZ80" s="250"/>
      <c r="BA80" s="251" t="s">
        <v>1</v>
      </c>
    </row>
    <row r="81" spans="1:54" ht="15" thickBot="1" x14ac:dyDescent="0.2">
      <c r="A81" s="9" t="s">
        <v>2</v>
      </c>
      <c r="B81" s="6" t="s">
        <v>3</v>
      </c>
      <c r="C81" s="7" t="s">
        <v>4</v>
      </c>
      <c r="D81" s="7" t="s">
        <v>5</v>
      </c>
      <c r="E81" s="48" t="s">
        <v>20</v>
      </c>
      <c r="F81" s="8" t="s">
        <v>21</v>
      </c>
      <c r="G81" s="5" t="s">
        <v>6</v>
      </c>
      <c r="H81" s="6" t="s">
        <v>3</v>
      </c>
      <c r="I81" s="7" t="s">
        <v>4</v>
      </c>
      <c r="J81" s="7" t="s">
        <v>5</v>
      </c>
      <c r="K81" s="48" t="s">
        <v>20</v>
      </c>
      <c r="L81" s="8" t="s">
        <v>21</v>
      </c>
      <c r="M81" s="5" t="s">
        <v>6</v>
      </c>
      <c r="N81" s="6" t="s">
        <v>3</v>
      </c>
      <c r="O81" s="7" t="s">
        <v>4</v>
      </c>
      <c r="P81" s="7" t="s">
        <v>5</v>
      </c>
      <c r="Q81" s="48" t="s">
        <v>20</v>
      </c>
      <c r="R81" s="8" t="s">
        <v>21</v>
      </c>
      <c r="S81" s="5" t="s">
        <v>6</v>
      </c>
      <c r="T81" s="7" t="s">
        <v>3</v>
      </c>
      <c r="U81" s="7" t="s">
        <v>4</v>
      </c>
      <c r="V81" s="7" t="s">
        <v>5</v>
      </c>
      <c r="W81" s="48" t="s">
        <v>20</v>
      </c>
      <c r="X81" s="109" t="s">
        <v>21</v>
      </c>
      <c r="Y81" s="62" t="s">
        <v>6</v>
      </c>
      <c r="Z81" s="252"/>
      <c r="AB81" s="9" t="s">
        <v>2</v>
      </c>
      <c r="AC81" s="6" t="s">
        <v>3</v>
      </c>
      <c r="AD81" s="7" t="s">
        <v>4</v>
      </c>
      <c r="AE81" s="7" t="s">
        <v>5</v>
      </c>
      <c r="AF81" s="48" t="s">
        <v>20</v>
      </c>
      <c r="AG81" s="8" t="s">
        <v>21</v>
      </c>
      <c r="AH81" s="5" t="s">
        <v>6</v>
      </c>
      <c r="AI81" s="6" t="s">
        <v>3</v>
      </c>
      <c r="AJ81" s="7" t="s">
        <v>4</v>
      </c>
      <c r="AK81" s="7" t="s">
        <v>5</v>
      </c>
      <c r="AL81" s="48" t="s">
        <v>20</v>
      </c>
      <c r="AM81" s="8" t="s">
        <v>21</v>
      </c>
      <c r="AN81" s="5" t="s">
        <v>6</v>
      </c>
      <c r="AO81" s="6" t="s">
        <v>3</v>
      </c>
      <c r="AP81" s="7" t="s">
        <v>4</v>
      </c>
      <c r="AQ81" s="7" t="s">
        <v>5</v>
      </c>
      <c r="AR81" s="48" t="s">
        <v>20</v>
      </c>
      <c r="AS81" s="8" t="s">
        <v>21</v>
      </c>
      <c r="AT81" s="5" t="s">
        <v>6</v>
      </c>
      <c r="AU81" s="7" t="s">
        <v>3</v>
      </c>
      <c r="AV81" s="7" t="s">
        <v>4</v>
      </c>
      <c r="AW81" s="7" t="s">
        <v>5</v>
      </c>
      <c r="AX81" s="48" t="s">
        <v>20</v>
      </c>
      <c r="AY81" s="109" t="s">
        <v>21</v>
      </c>
      <c r="AZ81" s="62" t="s">
        <v>6</v>
      </c>
      <c r="BA81" s="252"/>
    </row>
    <row r="82" spans="1:54" ht="14.25" x14ac:dyDescent="0.15">
      <c r="A82" s="103" t="s">
        <v>43</v>
      </c>
      <c r="B82" s="104">
        <f>B76</f>
        <v>7</v>
      </c>
      <c r="C82" s="105">
        <f>C76</f>
        <v>8</v>
      </c>
      <c r="D82" s="105">
        <f>D76</f>
        <v>7</v>
      </c>
      <c r="E82" s="105">
        <f>E76</f>
        <v>6</v>
      </c>
      <c r="F82" s="105">
        <f>F76</f>
        <v>7</v>
      </c>
      <c r="G82" s="106">
        <f t="shared" ref="G82:G113" si="26">SUM(B82:F82)</f>
        <v>35</v>
      </c>
      <c r="H82" s="104">
        <f>H76</f>
        <v>11</v>
      </c>
      <c r="I82" s="105">
        <f>I76</f>
        <v>7</v>
      </c>
      <c r="J82" s="105">
        <f>J76</f>
        <v>7</v>
      </c>
      <c r="K82" s="105">
        <f>K76</f>
        <v>7</v>
      </c>
      <c r="L82" s="105">
        <f>L76</f>
        <v>5</v>
      </c>
      <c r="M82" s="107">
        <f t="shared" ref="M82:M113" si="27">SUM(H82:L82)</f>
        <v>37</v>
      </c>
      <c r="N82" s="104">
        <f>N76</f>
        <v>3</v>
      </c>
      <c r="O82" s="105">
        <f>O76</f>
        <v>3</v>
      </c>
      <c r="P82" s="105">
        <f>P76</f>
        <v>5</v>
      </c>
      <c r="Q82" s="105">
        <f>Q76</f>
        <v>3</v>
      </c>
      <c r="R82" s="105">
        <f>R76</f>
        <v>3</v>
      </c>
      <c r="S82" s="108">
        <f t="shared" ref="S82:S111" si="28">SUM(N82:R82)</f>
        <v>17</v>
      </c>
      <c r="T82" s="104">
        <f>T76</f>
        <v>3</v>
      </c>
      <c r="U82" s="105">
        <f>U76</f>
        <v>3</v>
      </c>
      <c r="V82" s="105">
        <f>V76</f>
        <v>3</v>
      </c>
      <c r="W82" s="105">
        <f>W76</f>
        <v>3</v>
      </c>
      <c r="X82" s="105">
        <f>X76</f>
        <v>1</v>
      </c>
      <c r="Y82" s="106">
        <f t="shared" ref="Y82:Y111" si="29">SUM(T82:X82)</f>
        <v>13</v>
      </c>
      <c r="Z82" s="106">
        <f>G82+M82+S82+Y82</f>
        <v>102</v>
      </c>
      <c r="AB82" s="103" t="s">
        <v>43</v>
      </c>
      <c r="AC82" s="104">
        <f>AC76</f>
        <v>81</v>
      </c>
      <c r="AD82" s="105">
        <f>AD76</f>
        <v>64</v>
      </c>
      <c r="AE82" s="105">
        <f>AE76</f>
        <v>62</v>
      </c>
      <c r="AF82" s="105">
        <f>AF76</f>
        <v>55</v>
      </c>
      <c r="AG82" s="105">
        <f>AG76</f>
        <v>69</v>
      </c>
      <c r="AH82" s="106">
        <f t="shared" ref="AH82:AH112" si="30">SUM(AC82:AG82)</f>
        <v>331</v>
      </c>
      <c r="AI82" s="104">
        <f>AI76</f>
        <v>91</v>
      </c>
      <c r="AJ82" s="105">
        <f>AJ76</f>
        <v>92</v>
      </c>
      <c r="AK82" s="105">
        <f>AK76</f>
        <v>98</v>
      </c>
      <c r="AL82" s="105">
        <f>AL76</f>
        <v>87</v>
      </c>
      <c r="AM82" s="105">
        <f>AM76</f>
        <v>93</v>
      </c>
      <c r="AN82" s="107">
        <f t="shared" ref="AN82:AN112" si="31">SUM(AI82:AM82)</f>
        <v>461</v>
      </c>
      <c r="AO82" s="104">
        <f>AO76</f>
        <v>65</v>
      </c>
      <c r="AP82" s="105">
        <f>AP76</f>
        <v>65</v>
      </c>
      <c r="AQ82" s="105">
        <f>AQ76</f>
        <v>72</v>
      </c>
      <c r="AR82" s="105">
        <f>AR76</f>
        <v>75</v>
      </c>
      <c r="AS82" s="105">
        <f>AS76</f>
        <v>83</v>
      </c>
      <c r="AT82" s="108">
        <f t="shared" ref="AT82:AT110" si="32">SUM(AO82:AS82)</f>
        <v>360</v>
      </c>
      <c r="AU82" s="104">
        <f>AU76</f>
        <v>81</v>
      </c>
      <c r="AV82" s="105">
        <f>AV76</f>
        <v>68</v>
      </c>
      <c r="AW82" s="105">
        <f>AW76</f>
        <v>72</v>
      </c>
      <c r="AX82" s="105">
        <f>AX76</f>
        <v>81</v>
      </c>
      <c r="AY82" s="105">
        <f>AY76</f>
        <v>73</v>
      </c>
      <c r="AZ82" s="106">
        <f t="shared" ref="AZ82:AZ110" si="33">SUM(AU82:AY82)</f>
        <v>375</v>
      </c>
      <c r="BA82" s="106">
        <f>AH82+AN82+AT82+AZ82</f>
        <v>1527</v>
      </c>
      <c r="BB82" s="101"/>
    </row>
    <row r="83" spans="1:54" ht="14.25" x14ac:dyDescent="0.15">
      <c r="A83" s="10" t="s">
        <v>33</v>
      </c>
      <c r="B83" s="14">
        <v>4</v>
      </c>
      <c r="C83" s="15">
        <v>1</v>
      </c>
      <c r="D83" s="15">
        <v>1</v>
      </c>
      <c r="E83" s="15"/>
      <c r="F83" s="15"/>
      <c r="G83" s="16">
        <f t="shared" si="26"/>
        <v>6</v>
      </c>
      <c r="H83" s="14">
        <v>1</v>
      </c>
      <c r="I83" s="15"/>
      <c r="J83" s="15">
        <v>5</v>
      </c>
      <c r="K83" s="15">
        <v>1</v>
      </c>
      <c r="L83" s="15"/>
      <c r="M83" s="57">
        <f t="shared" si="27"/>
        <v>7</v>
      </c>
      <c r="N83" s="14"/>
      <c r="O83" s="55"/>
      <c r="P83" s="55"/>
      <c r="Q83" s="55"/>
      <c r="R83" s="67"/>
      <c r="S83" s="24">
        <f t="shared" si="28"/>
        <v>0</v>
      </c>
      <c r="T83" s="15"/>
      <c r="U83" s="55"/>
      <c r="V83" s="55"/>
      <c r="W83" s="55"/>
      <c r="X83" s="67"/>
      <c r="Y83" s="24">
        <f t="shared" si="29"/>
        <v>0</v>
      </c>
      <c r="Z83" s="24">
        <f t="shared" ref="Z83:Z111" si="34">G83+M83+S83+Y83</f>
        <v>13</v>
      </c>
      <c r="AA83" s="83">
        <v>43598</v>
      </c>
      <c r="AB83" s="10" t="s">
        <v>80</v>
      </c>
      <c r="AC83" s="14"/>
      <c r="AD83" s="15">
        <v>2</v>
      </c>
      <c r="AE83" s="15"/>
      <c r="AF83" s="15">
        <v>3</v>
      </c>
      <c r="AG83" s="15">
        <v>1</v>
      </c>
      <c r="AH83" s="16">
        <f t="shared" si="30"/>
        <v>6</v>
      </c>
      <c r="AI83" s="14"/>
      <c r="AJ83" s="15"/>
      <c r="AK83" s="15"/>
      <c r="AL83" s="15"/>
      <c r="AM83" s="15"/>
      <c r="AN83" s="57">
        <f t="shared" si="31"/>
        <v>0</v>
      </c>
      <c r="AO83" s="14"/>
      <c r="AP83" s="55">
        <v>2</v>
      </c>
      <c r="AQ83" s="55"/>
      <c r="AR83" s="55">
        <v>2</v>
      </c>
      <c r="AS83" s="67"/>
      <c r="AT83" s="24">
        <f t="shared" si="32"/>
        <v>4</v>
      </c>
      <c r="AU83" s="15"/>
      <c r="AV83" s="55"/>
      <c r="AW83" s="55"/>
      <c r="AX83" s="55"/>
      <c r="AY83" s="67">
        <v>1</v>
      </c>
      <c r="AZ83" s="24">
        <f t="shared" si="33"/>
        <v>1</v>
      </c>
      <c r="BA83" s="24">
        <f t="shared" ref="BA83:BA110" si="35">AH83+AN83+AT83+AZ83</f>
        <v>11</v>
      </c>
      <c r="BB83" s="83">
        <v>43603</v>
      </c>
    </row>
    <row r="84" spans="1:54" ht="14.25" x14ac:dyDescent="0.15">
      <c r="A84" s="10" t="s">
        <v>33</v>
      </c>
      <c r="B84" s="41">
        <v>1</v>
      </c>
      <c r="C84" s="42"/>
      <c r="D84" s="42"/>
      <c r="E84" s="42"/>
      <c r="F84" s="42"/>
      <c r="G84" s="37">
        <f t="shared" si="26"/>
        <v>1</v>
      </c>
      <c r="H84" s="41"/>
      <c r="I84" s="42"/>
      <c r="J84" s="42"/>
      <c r="K84" s="42"/>
      <c r="L84" s="42"/>
      <c r="M84" s="114">
        <f t="shared" si="27"/>
        <v>0</v>
      </c>
      <c r="N84" s="41"/>
      <c r="O84" s="53"/>
      <c r="P84" s="53"/>
      <c r="Q84" s="53"/>
      <c r="R84" s="72"/>
      <c r="S84" s="24">
        <f t="shared" si="28"/>
        <v>0</v>
      </c>
      <c r="T84" s="42"/>
      <c r="U84" s="53"/>
      <c r="V84" s="53"/>
      <c r="W84" s="53"/>
      <c r="X84" s="72"/>
      <c r="Y84" s="24">
        <f t="shared" si="29"/>
        <v>0</v>
      </c>
      <c r="Z84" s="24">
        <f t="shared" si="34"/>
        <v>1</v>
      </c>
      <c r="AA84" s="93">
        <v>43601</v>
      </c>
      <c r="AB84" s="10" t="s">
        <v>80</v>
      </c>
      <c r="AC84" s="41">
        <v>12</v>
      </c>
      <c r="AD84" s="42">
        <v>6</v>
      </c>
      <c r="AE84" s="42">
        <v>6</v>
      </c>
      <c r="AF84" s="42">
        <v>1</v>
      </c>
      <c r="AG84" s="42">
        <v>3</v>
      </c>
      <c r="AH84" s="37">
        <f t="shared" si="30"/>
        <v>28</v>
      </c>
      <c r="AI84" s="41">
        <v>8</v>
      </c>
      <c r="AJ84" s="42">
        <v>4</v>
      </c>
      <c r="AK84" s="42">
        <v>9</v>
      </c>
      <c r="AL84" s="42">
        <v>5</v>
      </c>
      <c r="AM84" s="42">
        <v>2</v>
      </c>
      <c r="AN84" s="114">
        <f t="shared" si="31"/>
        <v>28</v>
      </c>
      <c r="AO84" s="41">
        <v>2</v>
      </c>
      <c r="AP84" s="53">
        <v>0</v>
      </c>
      <c r="AQ84" s="53">
        <v>2</v>
      </c>
      <c r="AR84" s="53">
        <v>3</v>
      </c>
      <c r="AS84" s="72">
        <v>0</v>
      </c>
      <c r="AT84" s="24">
        <f t="shared" si="32"/>
        <v>7</v>
      </c>
      <c r="AU84" s="42">
        <v>1</v>
      </c>
      <c r="AV84" s="53">
        <v>0</v>
      </c>
      <c r="AW84" s="53">
        <v>2</v>
      </c>
      <c r="AX84" s="53">
        <v>0</v>
      </c>
      <c r="AY84" s="72">
        <v>0</v>
      </c>
      <c r="AZ84" s="24">
        <f t="shared" si="33"/>
        <v>3</v>
      </c>
      <c r="BA84" s="24">
        <f t="shared" si="35"/>
        <v>66</v>
      </c>
      <c r="BB84" s="83">
        <v>43631</v>
      </c>
    </row>
    <row r="85" spans="1:54" ht="14.25" x14ac:dyDescent="0.15">
      <c r="A85" s="10" t="s">
        <v>77</v>
      </c>
      <c r="B85" s="14"/>
      <c r="C85" s="15">
        <v>2</v>
      </c>
      <c r="D85" s="15"/>
      <c r="E85" s="15">
        <v>3</v>
      </c>
      <c r="F85" s="15">
        <v>1</v>
      </c>
      <c r="G85" s="16">
        <f t="shared" si="26"/>
        <v>6</v>
      </c>
      <c r="H85" s="14"/>
      <c r="I85" s="15"/>
      <c r="J85" s="15"/>
      <c r="K85" s="15"/>
      <c r="L85" s="15"/>
      <c r="M85" s="57">
        <f t="shared" si="27"/>
        <v>0</v>
      </c>
      <c r="N85" s="14">
        <v>1</v>
      </c>
      <c r="O85" s="55">
        <v>2</v>
      </c>
      <c r="P85" s="55"/>
      <c r="Q85" s="55">
        <v>2</v>
      </c>
      <c r="R85" s="67"/>
      <c r="S85" s="24">
        <f t="shared" si="28"/>
        <v>5</v>
      </c>
      <c r="T85" s="15"/>
      <c r="U85" s="55"/>
      <c r="V85" s="55"/>
      <c r="W85" s="55"/>
      <c r="X85" s="67">
        <v>1</v>
      </c>
      <c r="Y85" s="24">
        <f t="shared" si="29"/>
        <v>1</v>
      </c>
      <c r="Z85" s="24">
        <f t="shared" si="34"/>
        <v>12</v>
      </c>
      <c r="AA85" s="93">
        <v>43602</v>
      </c>
      <c r="AB85" s="10" t="s">
        <v>10</v>
      </c>
      <c r="AC85" s="102"/>
      <c r="AD85" s="15"/>
      <c r="AE85" s="15"/>
      <c r="AF85" s="15"/>
      <c r="AG85" s="15"/>
      <c r="AH85" s="16">
        <f t="shared" si="30"/>
        <v>0</v>
      </c>
      <c r="AI85" s="14"/>
      <c r="AJ85" s="15"/>
      <c r="AK85" s="15"/>
      <c r="AL85" s="15"/>
      <c r="AM85" s="15"/>
      <c r="AN85" s="57">
        <f t="shared" si="31"/>
        <v>0</v>
      </c>
      <c r="AO85" s="14"/>
      <c r="AP85" s="55"/>
      <c r="AQ85" s="55"/>
      <c r="AR85" s="55"/>
      <c r="AS85" s="67"/>
      <c r="AT85" s="24">
        <f t="shared" si="32"/>
        <v>0</v>
      </c>
      <c r="AU85" s="15"/>
      <c r="AV85" s="55"/>
      <c r="AW85" s="55"/>
      <c r="AX85" s="55"/>
      <c r="AY85" s="67"/>
      <c r="AZ85" s="24">
        <f t="shared" si="33"/>
        <v>0</v>
      </c>
      <c r="BA85" s="24">
        <f t="shared" si="35"/>
        <v>0</v>
      </c>
      <c r="BB85" s="83"/>
    </row>
    <row r="86" spans="1:54" ht="15" thickBot="1" x14ac:dyDescent="0.2">
      <c r="A86" s="10" t="s">
        <v>83</v>
      </c>
      <c r="B86" s="14"/>
      <c r="C86" s="15"/>
      <c r="D86" s="15"/>
      <c r="E86" s="15"/>
      <c r="F86" s="15"/>
      <c r="G86" s="16">
        <f t="shared" si="26"/>
        <v>0</v>
      </c>
      <c r="H86" s="14"/>
      <c r="I86" s="15"/>
      <c r="J86" s="15"/>
      <c r="K86" s="15"/>
      <c r="L86" s="15"/>
      <c r="M86" s="57">
        <f t="shared" si="27"/>
        <v>0</v>
      </c>
      <c r="N86" s="63"/>
      <c r="O86" s="64"/>
      <c r="P86" s="64"/>
      <c r="Q86" s="64">
        <v>1</v>
      </c>
      <c r="R86" s="69"/>
      <c r="S86" s="82">
        <f t="shared" si="28"/>
        <v>1</v>
      </c>
      <c r="T86" s="73"/>
      <c r="U86" s="64"/>
      <c r="V86" s="64"/>
      <c r="W86" s="64"/>
      <c r="X86" s="69"/>
      <c r="Y86" s="82">
        <f t="shared" si="29"/>
        <v>0</v>
      </c>
      <c r="Z86" s="82">
        <f t="shared" si="34"/>
        <v>1</v>
      </c>
      <c r="AA86" s="93">
        <v>43606</v>
      </c>
      <c r="AB86" s="10" t="s">
        <v>11</v>
      </c>
      <c r="AC86" s="14"/>
      <c r="AD86" s="15"/>
      <c r="AE86" s="15"/>
      <c r="AF86" s="15"/>
      <c r="AG86" s="15"/>
      <c r="AH86" s="16">
        <f t="shared" si="30"/>
        <v>0</v>
      </c>
      <c r="AI86" s="14"/>
      <c r="AJ86" s="15"/>
      <c r="AK86" s="15"/>
      <c r="AL86" s="15"/>
      <c r="AM86" s="15"/>
      <c r="AN86" s="57">
        <f t="shared" si="31"/>
        <v>0</v>
      </c>
      <c r="AO86" s="63"/>
      <c r="AP86" s="64"/>
      <c r="AQ86" s="64"/>
      <c r="AR86" s="64"/>
      <c r="AS86" s="69"/>
      <c r="AT86" s="82">
        <f t="shared" si="32"/>
        <v>0</v>
      </c>
      <c r="AU86" s="73"/>
      <c r="AV86" s="64"/>
      <c r="AW86" s="64"/>
      <c r="AX86" s="64"/>
      <c r="AY86" s="69"/>
      <c r="AZ86" s="82">
        <f t="shared" si="33"/>
        <v>0</v>
      </c>
      <c r="BA86" s="82">
        <f t="shared" si="35"/>
        <v>0</v>
      </c>
      <c r="BB86" s="128"/>
    </row>
    <row r="87" spans="1:54" ht="15" thickBot="1" x14ac:dyDescent="0.2">
      <c r="A87" s="4" t="s">
        <v>12</v>
      </c>
      <c r="B87" s="17">
        <f>SUM(B82:B86)</f>
        <v>12</v>
      </c>
      <c r="C87" s="18">
        <f>SUM(C82:C86)</f>
        <v>11</v>
      </c>
      <c r="D87" s="18">
        <f>SUM(D82:D86)</f>
        <v>8</v>
      </c>
      <c r="E87" s="18">
        <f>SUM(E82:E86)</f>
        <v>9</v>
      </c>
      <c r="F87" s="18">
        <f>SUM(F82:F86)</f>
        <v>8</v>
      </c>
      <c r="G87" s="19">
        <f t="shared" si="26"/>
        <v>48</v>
      </c>
      <c r="H87" s="17">
        <f>SUM(H82:H86)</f>
        <v>12</v>
      </c>
      <c r="I87" s="18">
        <f>SUM(I82:I86)</f>
        <v>7</v>
      </c>
      <c r="J87" s="18">
        <f>SUM(J82:J86)</f>
        <v>12</v>
      </c>
      <c r="K87" s="18">
        <f>SUM(K82:K86)</f>
        <v>8</v>
      </c>
      <c r="L87" s="18">
        <f>SUM(L82:L86)</f>
        <v>5</v>
      </c>
      <c r="M87" s="25">
        <f t="shared" si="27"/>
        <v>44</v>
      </c>
      <c r="N87" s="65">
        <f>SUM(N82:N86)</f>
        <v>4</v>
      </c>
      <c r="O87" s="18">
        <f>SUM(O82:O86)</f>
        <v>5</v>
      </c>
      <c r="P87" s="18">
        <f>SUM(P82:P86)</f>
        <v>5</v>
      </c>
      <c r="Q87" s="18">
        <f>SUM(Q82:Q86)</f>
        <v>6</v>
      </c>
      <c r="R87" s="70">
        <f>SUM(R82:R86)</f>
        <v>3</v>
      </c>
      <c r="S87" s="49">
        <f t="shared" si="28"/>
        <v>23</v>
      </c>
      <c r="T87" s="74">
        <f>SUM(T82:T86)</f>
        <v>3</v>
      </c>
      <c r="U87" s="18">
        <f>SUM(U82:U86)</f>
        <v>3</v>
      </c>
      <c r="V87" s="18">
        <f>SUM(V82:V86)</f>
        <v>3</v>
      </c>
      <c r="W87" s="18">
        <f>SUM(W82:W86)</f>
        <v>3</v>
      </c>
      <c r="X87" s="70">
        <f>SUM(X82:X86)</f>
        <v>2</v>
      </c>
      <c r="Y87" s="49">
        <f t="shared" si="29"/>
        <v>14</v>
      </c>
      <c r="Z87" s="33">
        <f t="shared" si="34"/>
        <v>129</v>
      </c>
      <c r="AB87" s="4" t="s">
        <v>12</v>
      </c>
      <c r="AC87" s="17">
        <f>SUM(AC82:AC86)</f>
        <v>93</v>
      </c>
      <c r="AD87" s="18">
        <f>SUM(AD82:AD86)</f>
        <v>72</v>
      </c>
      <c r="AE87" s="18">
        <f>SUM(AE82:AE86)</f>
        <v>68</v>
      </c>
      <c r="AF87" s="18">
        <f>SUM(AF82:AF86)</f>
        <v>59</v>
      </c>
      <c r="AG87" s="18">
        <f>SUM(AG82:AG86)</f>
        <v>73</v>
      </c>
      <c r="AH87" s="19">
        <f t="shared" si="30"/>
        <v>365</v>
      </c>
      <c r="AI87" s="17">
        <f>SUM(AI82:AI86)</f>
        <v>99</v>
      </c>
      <c r="AJ87" s="18">
        <f>SUM(AJ82:AJ86)</f>
        <v>96</v>
      </c>
      <c r="AK87" s="18">
        <f>SUM(AK82:AK86)</f>
        <v>107</v>
      </c>
      <c r="AL87" s="18">
        <f>SUM(AL82:AL86)</f>
        <v>92</v>
      </c>
      <c r="AM87" s="18">
        <f>SUM(AM82:AM86)</f>
        <v>95</v>
      </c>
      <c r="AN87" s="25">
        <f t="shared" si="31"/>
        <v>489</v>
      </c>
      <c r="AO87" s="65">
        <f>SUM(AO82:AO86)</f>
        <v>67</v>
      </c>
      <c r="AP87" s="18">
        <f>SUM(AP82:AP86)</f>
        <v>67</v>
      </c>
      <c r="AQ87" s="18">
        <f>SUM(AQ82:AQ86)</f>
        <v>74</v>
      </c>
      <c r="AR87" s="18">
        <f>SUM(AR82:AR86)</f>
        <v>80</v>
      </c>
      <c r="AS87" s="70">
        <f>SUM(AS82:AS86)</f>
        <v>83</v>
      </c>
      <c r="AT87" s="49">
        <f t="shared" si="32"/>
        <v>371</v>
      </c>
      <c r="AU87" s="74">
        <f>SUM(AU82:AU86)</f>
        <v>82</v>
      </c>
      <c r="AV87" s="18">
        <f>SUM(AV82:AV86)</f>
        <v>68</v>
      </c>
      <c r="AW87" s="18">
        <f>SUM(AW82:AW86)</f>
        <v>74</v>
      </c>
      <c r="AX87" s="18">
        <f>SUM(AX82:AX86)</f>
        <v>81</v>
      </c>
      <c r="AY87" s="70">
        <f>SUM(AY82:AY86)</f>
        <v>74</v>
      </c>
      <c r="AZ87" s="49">
        <f t="shared" si="33"/>
        <v>379</v>
      </c>
      <c r="BA87" s="33">
        <f t="shared" si="35"/>
        <v>1604</v>
      </c>
    </row>
    <row r="88" spans="1:54" ht="14.25" x14ac:dyDescent="0.15">
      <c r="A88" s="40" t="s">
        <v>48</v>
      </c>
      <c r="B88" s="34"/>
      <c r="C88" s="35"/>
      <c r="D88" s="35"/>
      <c r="E88" s="35">
        <v>1</v>
      </c>
      <c r="F88" s="35"/>
      <c r="G88" s="36">
        <f t="shared" si="26"/>
        <v>1</v>
      </c>
      <c r="H88" s="34"/>
      <c r="I88" s="35"/>
      <c r="J88" s="35"/>
      <c r="K88" s="35"/>
      <c r="L88" s="35"/>
      <c r="M88" s="36">
        <f t="shared" si="27"/>
        <v>0</v>
      </c>
      <c r="N88" s="39"/>
      <c r="O88" s="56"/>
      <c r="P88" s="56"/>
      <c r="Q88" s="56"/>
      <c r="R88" s="71"/>
      <c r="S88" s="16">
        <f t="shared" si="28"/>
        <v>0</v>
      </c>
      <c r="T88" s="39"/>
      <c r="U88" s="56"/>
      <c r="V88" s="56"/>
      <c r="W88" s="56"/>
      <c r="X88" s="71"/>
      <c r="Y88" s="16">
        <f t="shared" si="29"/>
        <v>0</v>
      </c>
      <c r="Z88" s="16">
        <f t="shared" si="34"/>
        <v>1</v>
      </c>
      <c r="AA88" s="93">
        <v>43599</v>
      </c>
      <c r="AB88" s="21" t="s">
        <v>72</v>
      </c>
      <c r="AC88" s="34"/>
      <c r="AD88" s="35">
        <v>1</v>
      </c>
      <c r="AE88" s="35"/>
      <c r="AF88" s="35"/>
      <c r="AG88" s="35"/>
      <c r="AH88" s="36">
        <f t="shared" si="30"/>
        <v>1</v>
      </c>
      <c r="AI88" s="34"/>
      <c r="AJ88" s="35"/>
      <c r="AK88" s="35"/>
      <c r="AL88" s="35"/>
      <c r="AM88" s="35"/>
      <c r="AN88" s="36">
        <f t="shared" si="31"/>
        <v>0</v>
      </c>
      <c r="AO88" s="39"/>
      <c r="AP88" s="56"/>
      <c r="AQ88" s="56"/>
      <c r="AR88" s="56"/>
      <c r="AS88" s="71"/>
      <c r="AT88" s="16">
        <f t="shared" si="32"/>
        <v>0</v>
      </c>
      <c r="AU88" s="39"/>
      <c r="AV88" s="56"/>
      <c r="AW88" s="56"/>
      <c r="AX88" s="56"/>
      <c r="AY88" s="71"/>
      <c r="AZ88" s="16">
        <f t="shared" si="33"/>
        <v>0</v>
      </c>
      <c r="BA88" s="16">
        <f t="shared" si="35"/>
        <v>1</v>
      </c>
      <c r="BB88" s="83">
        <v>43598</v>
      </c>
    </row>
    <row r="89" spans="1:54" ht="14.25" x14ac:dyDescent="0.15">
      <c r="A89" s="121" t="s">
        <v>79</v>
      </c>
      <c r="B89" s="41"/>
      <c r="C89" s="42"/>
      <c r="D89" s="42"/>
      <c r="E89" s="42"/>
      <c r="F89" s="42"/>
      <c r="G89" s="43">
        <f t="shared" si="26"/>
        <v>0</v>
      </c>
      <c r="H89" s="41"/>
      <c r="I89" s="42"/>
      <c r="J89" s="42"/>
      <c r="K89" s="42"/>
      <c r="L89" s="42"/>
      <c r="M89" s="43">
        <f t="shared" si="27"/>
        <v>0</v>
      </c>
      <c r="N89" s="42">
        <v>1</v>
      </c>
      <c r="O89" s="53"/>
      <c r="P89" s="53"/>
      <c r="Q89" s="53"/>
      <c r="R89" s="72"/>
      <c r="S89" s="24">
        <f t="shared" si="28"/>
        <v>1</v>
      </c>
      <c r="T89" s="42"/>
      <c r="U89" s="53">
        <v>1</v>
      </c>
      <c r="V89" s="53"/>
      <c r="W89" s="53"/>
      <c r="X89" s="72"/>
      <c r="Y89" s="24">
        <f t="shared" si="29"/>
        <v>1</v>
      </c>
      <c r="Z89" s="24">
        <f t="shared" si="34"/>
        <v>2</v>
      </c>
      <c r="AA89" s="83">
        <v>43602</v>
      </c>
      <c r="AB89" s="21" t="s">
        <v>73</v>
      </c>
      <c r="AC89" s="41"/>
      <c r="AD89" s="42"/>
      <c r="AE89" s="42"/>
      <c r="AF89" s="42"/>
      <c r="AG89" s="42"/>
      <c r="AH89" s="43">
        <f t="shared" si="30"/>
        <v>0</v>
      </c>
      <c r="AI89" s="41"/>
      <c r="AJ89" s="42"/>
      <c r="AK89" s="42"/>
      <c r="AL89" s="42"/>
      <c r="AM89" s="42"/>
      <c r="AN89" s="43">
        <f t="shared" si="31"/>
        <v>0</v>
      </c>
      <c r="AO89" s="42"/>
      <c r="AP89" s="53"/>
      <c r="AQ89" s="53"/>
      <c r="AR89" s="53"/>
      <c r="AS89" s="72"/>
      <c r="AT89" s="24">
        <f t="shared" si="32"/>
        <v>0</v>
      </c>
      <c r="AU89" s="42">
        <v>1</v>
      </c>
      <c r="AV89" s="53"/>
      <c r="AW89" s="53"/>
      <c r="AX89" s="53"/>
      <c r="AY89" s="72"/>
      <c r="AZ89" s="24">
        <f t="shared" si="33"/>
        <v>1</v>
      </c>
      <c r="BA89" s="24">
        <f t="shared" si="35"/>
        <v>1</v>
      </c>
      <c r="BB89" s="83">
        <v>43599</v>
      </c>
    </row>
    <row r="90" spans="1:54" ht="14.25" x14ac:dyDescent="0.15">
      <c r="A90" s="121" t="s">
        <v>78</v>
      </c>
      <c r="B90" s="41"/>
      <c r="C90" s="42">
        <v>2</v>
      </c>
      <c r="D90" s="42"/>
      <c r="E90" s="42">
        <v>3</v>
      </c>
      <c r="F90" s="42">
        <v>1</v>
      </c>
      <c r="G90" s="43">
        <f>SUM(B90:F90)</f>
        <v>6</v>
      </c>
      <c r="H90" s="41"/>
      <c r="I90" s="42"/>
      <c r="J90" s="42"/>
      <c r="K90" s="42"/>
      <c r="L90" s="42"/>
      <c r="M90" s="43">
        <f>SUM(H90:L90)</f>
        <v>0</v>
      </c>
      <c r="N90" s="42"/>
      <c r="O90" s="53">
        <v>2</v>
      </c>
      <c r="P90" s="53"/>
      <c r="Q90" s="53">
        <v>2</v>
      </c>
      <c r="R90" s="72"/>
      <c r="S90" s="24">
        <f>SUM(N90:R90)</f>
        <v>4</v>
      </c>
      <c r="T90" s="42"/>
      <c r="U90" s="53"/>
      <c r="V90" s="53"/>
      <c r="W90" s="53"/>
      <c r="X90" s="72">
        <v>1</v>
      </c>
      <c r="Y90" s="24">
        <f>SUM(T90:X90)</f>
        <v>1</v>
      </c>
      <c r="Z90" s="24">
        <f>G90+M90+S90+Y90</f>
        <v>11</v>
      </c>
      <c r="AA90" s="83">
        <v>43603</v>
      </c>
      <c r="AB90" s="21" t="s">
        <v>29</v>
      </c>
      <c r="AC90" s="41"/>
      <c r="AD90" s="42"/>
      <c r="AE90" s="42"/>
      <c r="AF90" s="42"/>
      <c r="AG90" s="42">
        <v>5</v>
      </c>
      <c r="AH90" s="43">
        <f t="shared" si="30"/>
        <v>5</v>
      </c>
      <c r="AI90" s="41"/>
      <c r="AJ90" s="42"/>
      <c r="AK90" s="42"/>
      <c r="AL90" s="42"/>
      <c r="AM90" s="42"/>
      <c r="AN90" s="43">
        <f t="shared" si="31"/>
        <v>0</v>
      </c>
      <c r="AO90" s="42"/>
      <c r="AP90" s="53"/>
      <c r="AQ90" s="53"/>
      <c r="AR90" s="53"/>
      <c r="AS90" s="72"/>
      <c r="AT90" s="24">
        <f t="shared" si="32"/>
        <v>0</v>
      </c>
      <c r="AU90" s="42"/>
      <c r="AV90" s="53"/>
      <c r="AW90" s="53"/>
      <c r="AX90" s="53"/>
      <c r="AY90" s="72"/>
      <c r="AZ90" s="24">
        <f t="shared" si="33"/>
        <v>0</v>
      </c>
      <c r="BA90" s="24">
        <f t="shared" si="35"/>
        <v>5</v>
      </c>
      <c r="BB90" s="83">
        <v>43605</v>
      </c>
    </row>
    <row r="91" spans="1:54" ht="14.25" x14ac:dyDescent="0.15">
      <c r="A91" s="40" t="s">
        <v>48</v>
      </c>
      <c r="B91" s="41"/>
      <c r="C91" s="42"/>
      <c r="D91" s="42"/>
      <c r="E91" s="42">
        <v>1</v>
      </c>
      <c r="F91" s="42"/>
      <c r="G91" s="43">
        <f t="shared" si="26"/>
        <v>1</v>
      </c>
      <c r="H91" s="41"/>
      <c r="I91" s="42"/>
      <c r="J91" s="42"/>
      <c r="K91" s="42"/>
      <c r="L91" s="42"/>
      <c r="M91" s="43">
        <f t="shared" si="27"/>
        <v>0</v>
      </c>
      <c r="N91" s="42"/>
      <c r="O91" s="53"/>
      <c r="P91" s="53"/>
      <c r="Q91" s="53"/>
      <c r="R91" s="72"/>
      <c r="S91" s="43">
        <f t="shared" si="28"/>
        <v>0</v>
      </c>
      <c r="T91" s="42"/>
      <c r="U91" s="53"/>
      <c r="V91" s="53"/>
      <c r="W91" s="53"/>
      <c r="X91" s="72"/>
      <c r="Y91" s="43">
        <f t="shared" si="29"/>
        <v>0</v>
      </c>
      <c r="Z91" s="43">
        <f t="shared" si="34"/>
        <v>1</v>
      </c>
      <c r="AA91" s="93">
        <v>43602</v>
      </c>
      <c r="AB91" s="21" t="s">
        <v>74</v>
      </c>
      <c r="AC91" s="41"/>
      <c r="AD91" s="42">
        <v>1</v>
      </c>
      <c r="AE91" s="42"/>
      <c r="AF91" s="42"/>
      <c r="AG91" s="42"/>
      <c r="AH91" s="43">
        <f t="shared" si="30"/>
        <v>1</v>
      </c>
      <c r="AI91" s="41"/>
      <c r="AJ91" s="42"/>
      <c r="AK91" s="42"/>
      <c r="AL91" s="42"/>
      <c r="AM91" s="42"/>
      <c r="AN91" s="43">
        <f t="shared" si="31"/>
        <v>0</v>
      </c>
      <c r="AO91" s="42"/>
      <c r="AP91" s="53"/>
      <c r="AQ91" s="53"/>
      <c r="AR91" s="53"/>
      <c r="AS91" s="72"/>
      <c r="AT91" s="43">
        <f t="shared" si="32"/>
        <v>0</v>
      </c>
      <c r="AU91" s="42"/>
      <c r="AV91" s="53"/>
      <c r="AW91" s="53"/>
      <c r="AX91" s="53"/>
      <c r="AY91" s="72"/>
      <c r="AZ91" s="43">
        <f t="shared" si="33"/>
        <v>0</v>
      </c>
      <c r="BA91" s="43">
        <f t="shared" si="35"/>
        <v>1</v>
      </c>
      <c r="BB91" s="83">
        <v>43601</v>
      </c>
    </row>
    <row r="92" spans="1:54" ht="14.25" x14ac:dyDescent="0.15">
      <c r="A92" s="40" t="s">
        <v>48</v>
      </c>
      <c r="B92" s="41"/>
      <c r="C92" s="42"/>
      <c r="D92" s="42"/>
      <c r="E92" s="42"/>
      <c r="F92" s="42">
        <v>2</v>
      </c>
      <c r="G92" s="43">
        <f t="shared" si="26"/>
        <v>2</v>
      </c>
      <c r="H92" s="41"/>
      <c r="I92" s="42"/>
      <c r="J92" s="42"/>
      <c r="K92" s="42"/>
      <c r="L92" s="42"/>
      <c r="M92" s="43">
        <f t="shared" si="27"/>
        <v>0</v>
      </c>
      <c r="N92" s="42"/>
      <c r="O92" s="53"/>
      <c r="P92" s="53"/>
      <c r="Q92" s="53"/>
      <c r="R92" s="72"/>
      <c r="S92" s="24">
        <f t="shared" si="28"/>
        <v>0</v>
      </c>
      <c r="T92" s="42"/>
      <c r="U92" s="53"/>
      <c r="V92" s="53"/>
      <c r="W92" s="53"/>
      <c r="X92" s="72"/>
      <c r="Y92" s="24">
        <f t="shared" si="29"/>
        <v>0</v>
      </c>
      <c r="Z92" s="24">
        <f t="shared" si="34"/>
        <v>2</v>
      </c>
      <c r="AA92" s="93">
        <v>43603</v>
      </c>
      <c r="AB92" s="21" t="s">
        <v>75</v>
      </c>
      <c r="AC92" s="41"/>
      <c r="AD92" s="42"/>
      <c r="AE92" s="42"/>
      <c r="AF92" s="42"/>
      <c r="AG92" s="42"/>
      <c r="AH92" s="43">
        <f t="shared" si="30"/>
        <v>0</v>
      </c>
      <c r="AI92" s="41"/>
      <c r="AJ92" s="42"/>
      <c r="AK92" s="42"/>
      <c r="AL92" s="42"/>
      <c r="AM92" s="42"/>
      <c r="AN92" s="43">
        <f t="shared" si="31"/>
        <v>0</v>
      </c>
      <c r="AO92" s="42"/>
      <c r="AP92" s="53"/>
      <c r="AQ92" s="53"/>
      <c r="AR92" s="53"/>
      <c r="AS92" s="72">
        <v>1</v>
      </c>
      <c r="AT92" s="24">
        <f t="shared" si="32"/>
        <v>1</v>
      </c>
      <c r="AU92" s="42">
        <v>1</v>
      </c>
      <c r="AV92" s="53"/>
      <c r="AW92" s="53"/>
      <c r="AX92" s="53"/>
      <c r="AY92" s="72"/>
      <c r="AZ92" s="24">
        <f t="shared" si="33"/>
        <v>1</v>
      </c>
      <c r="BA92" s="24">
        <f t="shared" si="35"/>
        <v>2</v>
      </c>
      <c r="BB92" s="83">
        <v>43602</v>
      </c>
    </row>
    <row r="93" spans="1:54" ht="14.25" x14ac:dyDescent="0.15">
      <c r="A93" s="40" t="s">
        <v>48</v>
      </c>
      <c r="B93" s="41"/>
      <c r="C93" s="42"/>
      <c r="D93" s="42"/>
      <c r="E93" s="42"/>
      <c r="F93" s="42">
        <v>1</v>
      </c>
      <c r="G93" s="43">
        <f t="shared" si="26"/>
        <v>1</v>
      </c>
      <c r="H93" s="41"/>
      <c r="I93" s="42"/>
      <c r="J93" s="42"/>
      <c r="K93" s="42"/>
      <c r="L93" s="42"/>
      <c r="M93" s="43">
        <f t="shared" si="27"/>
        <v>0</v>
      </c>
      <c r="N93" s="42"/>
      <c r="O93" s="53"/>
      <c r="P93" s="53"/>
      <c r="Q93" s="53"/>
      <c r="R93" s="72"/>
      <c r="S93" s="24">
        <f t="shared" si="28"/>
        <v>0</v>
      </c>
      <c r="T93" s="42"/>
      <c r="U93" s="53"/>
      <c r="V93" s="53"/>
      <c r="W93" s="53"/>
      <c r="X93" s="72"/>
      <c r="Y93" s="24">
        <f t="shared" si="29"/>
        <v>0</v>
      </c>
      <c r="Z93" s="24">
        <f t="shared" si="34"/>
        <v>1</v>
      </c>
      <c r="AA93" s="93">
        <v>43606</v>
      </c>
      <c r="AB93" s="23" t="s">
        <v>41</v>
      </c>
      <c r="AC93" s="41"/>
      <c r="AD93" s="42"/>
      <c r="AE93" s="42"/>
      <c r="AF93" s="42"/>
      <c r="AG93" s="42"/>
      <c r="AH93" s="43">
        <f t="shared" si="30"/>
        <v>0</v>
      </c>
      <c r="AI93" s="41"/>
      <c r="AJ93" s="42"/>
      <c r="AK93" s="42"/>
      <c r="AL93" s="42"/>
      <c r="AM93" s="42"/>
      <c r="AN93" s="43">
        <f t="shared" si="31"/>
        <v>0</v>
      </c>
      <c r="AO93" s="42">
        <v>10</v>
      </c>
      <c r="AP93" s="53">
        <v>10</v>
      </c>
      <c r="AQ93" s="53"/>
      <c r="AR93" s="53">
        <v>5</v>
      </c>
      <c r="AS93" s="72">
        <v>5</v>
      </c>
      <c r="AT93" s="24">
        <f t="shared" si="32"/>
        <v>30</v>
      </c>
      <c r="AU93" s="42">
        <v>5</v>
      </c>
      <c r="AV93" s="53">
        <v>5</v>
      </c>
      <c r="AW93" s="53">
        <v>5</v>
      </c>
      <c r="AX93" s="53">
        <v>3</v>
      </c>
      <c r="AY93" s="72"/>
      <c r="AZ93" s="24">
        <f t="shared" si="33"/>
        <v>18</v>
      </c>
      <c r="BA93" s="24">
        <f t="shared" si="35"/>
        <v>48</v>
      </c>
      <c r="BB93" s="83">
        <v>43608</v>
      </c>
    </row>
    <row r="94" spans="1:54" ht="14.25" x14ac:dyDescent="0.15">
      <c r="A94" s="21" t="s">
        <v>84</v>
      </c>
      <c r="B94" s="41"/>
      <c r="C94" s="42"/>
      <c r="D94" s="42"/>
      <c r="E94" s="42"/>
      <c r="F94" s="42"/>
      <c r="G94" s="43">
        <f t="shared" si="26"/>
        <v>0</v>
      </c>
      <c r="H94" s="41"/>
      <c r="I94" s="42"/>
      <c r="J94" s="42"/>
      <c r="K94" s="42"/>
      <c r="L94" s="42"/>
      <c r="M94" s="43">
        <f t="shared" si="27"/>
        <v>0</v>
      </c>
      <c r="N94" s="42"/>
      <c r="O94" s="53">
        <v>1</v>
      </c>
      <c r="P94" s="53"/>
      <c r="Q94" s="53"/>
      <c r="R94" s="72"/>
      <c r="S94" s="24">
        <f t="shared" si="28"/>
        <v>1</v>
      </c>
      <c r="T94" s="42"/>
      <c r="U94" s="53"/>
      <c r="V94" s="53"/>
      <c r="W94" s="53"/>
      <c r="X94" s="72"/>
      <c r="Y94" s="24">
        <f t="shared" si="29"/>
        <v>0</v>
      </c>
      <c r="Z94" s="24">
        <f t="shared" si="34"/>
        <v>1</v>
      </c>
      <c r="AA94" s="83">
        <v>43608</v>
      </c>
      <c r="AB94" s="21" t="s">
        <v>76</v>
      </c>
      <c r="AC94" s="41"/>
      <c r="AD94" s="42"/>
      <c r="AE94" s="42">
        <v>1</v>
      </c>
      <c r="AF94" s="42"/>
      <c r="AG94" s="42"/>
      <c r="AH94" s="43">
        <f t="shared" si="30"/>
        <v>1</v>
      </c>
      <c r="AI94" s="41"/>
      <c r="AJ94" s="42"/>
      <c r="AK94" s="42"/>
      <c r="AL94" s="42"/>
      <c r="AM94" s="42"/>
      <c r="AN94" s="43">
        <f t="shared" si="31"/>
        <v>0</v>
      </c>
      <c r="AO94" s="42"/>
      <c r="AP94" s="53"/>
      <c r="AQ94" s="53"/>
      <c r="AR94" s="53"/>
      <c r="AS94" s="72"/>
      <c r="AT94" s="24">
        <f t="shared" si="32"/>
        <v>0</v>
      </c>
      <c r="AU94" s="42"/>
      <c r="AV94" s="53"/>
      <c r="AW94" s="53"/>
      <c r="AX94" s="53"/>
      <c r="AY94" s="72"/>
      <c r="AZ94" s="24">
        <f t="shared" si="33"/>
        <v>0</v>
      </c>
      <c r="BA94" s="24">
        <f t="shared" si="35"/>
        <v>1</v>
      </c>
      <c r="BB94" s="83">
        <v>43603</v>
      </c>
    </row>
    <row r="95" spans="1:54" ht="14.25" x14ac:dyDescent="0.15">
      <c r="A95" s="21" t="s">
        <v>85</v>
      </c>
      <c r="B95" s="41"/>
      <c r="C95" s="42">
        <v>1</v>
      </c>
      <c r="D95" s="42">
        <v>1</v>
      </c>
      <c r="E95" s="42"/>
      <c r="F95" s="42"/>
      <c r="G95" s="43">
        <f t="shared" si="26"/>
        <v>2</v>
      </c>
      <c r="H95" s="41"/>
      <c r="I95" s="42"/>
      <c r="J95" s="42"/>
      <c r="K95" s="42"/>
      <c r="L95" s="42"/>
      <c r="M95" s="43">
        <f t="shared" si="27"/>
        <v>0</v>
      </c>
      <c r="N95" s="42"/>
      <c r="O95" s="53"/>
      <c r="P95" s="53"/>
      <c r="Q95" s="53"/>
      <c r="R95" s="72">
        <v>1</v>
      </c>
      <c r="S95" s="24">
        <f t="shared" si="28"/>
        <v>1</v>
      </c>
      <c r="T95" s="42"/>
      <c r="U95" s="53"/>
      <c r="V95" s="53"/>
      <c r="W95" s="53"/>
      <c r="X95" s="72"/>
      <c r="Y95" s="24">
        <f t="shared" si="29"/>
        <v>0</v>
      </c>
      <c r="Z95" s="24">
        <f t="shared" si="34"/>
        <v>3</v>
      </c>
      <c r="AA95" s="83">
        <v>43610</v>
      </c>
      <c r="AB95" s="21" t="s">
        <v>81</v>
      </c>
      <c r="AC95" s="41"/>
      <c r="AD95" s="42"/>
      <c r="AE95" s="42">
        <v>1</v>
      </c>
      <c r="AF95" s="42"/>
      <c r="AG95" s="42"/>
      <c r="AH95" s="43">
        <f t="shared" si="30"/>
        <v>1</v>
      </c>
      <c r="AI95" s="41"/>
      <c r="AJ95" s="42"/>
      <c r="AK95" s="42"/>
      <c r="AL95" s="42"/>
      <c r="AM95" s="42"/>
      <c r="AN95" s="43">
        <f t="shared" si="31"/>
        <v>0</v>
      </c>
      <c r="AO95" s="42"/>
      <c r="AP95" s="53"/>
      <c r="AQ95" s="53"/>
      <c r="AR95" s="53"/>
      <c r="AS95" s="72"/>
      <c r="AT95" s="24">
        <f t="shared" si="32"/>
        <v>0</v>
      </c>
      <c r="AU95" s="42"/>
      <c r="AV95" s="53"/>
      <c r="AW95" s="53"/>
      <c r="AX95" s="53"/>
      <c r="AY95" s="72"/>
      <c r="AZ95" s="24">
        <f t="shared" si="33"/>
        <v>0</v>
      </c>
      <c r="BA95" s="24">
        <f t="shared" si="35"/>
        <v>1</v>
      </c>
      <c r="BB95" s="83">
        <v>43605</v>
      </c>
    </row>
    <row r="96" spans="1:54" ht="14.25" x14ac:dyDescent="0.15">
      <c r="A96" s="40" t="s">
        <v>86</v>
      </c>
      <c r="B96" s="41">
        <v>-1</v>
      </c>
      <c r="C96" s="42"/>
      <c r="D96" s="42"/>
      <c r="E96" s="42"/>
      <c r="F96" s="42"/>
      <c r="G96" s="43">
        <f t="shared" si="26"/>
        <v>-1</v>
      </c>
      <c r="H96" s="41"/>
      <c r="I96" s="42"/>
      <c r="J96" s="42"/>
      <c r="K96" s="42"/>
      <c r="L96" s="42"/>
      <c r="M96" s="43">
        <f t="shared" si="27"/>
        <v>0</v>
      </c>
      <c r="N96" s="42">
        <v>-1</v>
      </c>
      <c r="O96" s="53"/>
      <c r="P96" s="53"/>
      <c r="Q96" s="53"/>
      <c r="R96" s="72"/>
      <c r="S96" s="24">
        <f t="shared" si="28"/>
        <v>-1</v>
      </c>
      <c r="T96" s="42">
        <v>-1</v>
      </c>
      <c r="U96" s="53"/>
      <c r="V96" s="53"/>
      <c r="W96" s="53"/>
      <c r="X96" s="72"/>
      <c r="Y96" s="24">
        <f t="shared" si="29"/>
        <v>-1</v>
      </c>
      <c r="Z96" s="24">
        <f t="shared" si="34"/>
        <v>-3</v>
      </c>
      <c r="AA96" s="93">
        <v>43612</v>
      </c>
      <c r="AB96" s="21" t="s">
        <v>82</v>
      </c>
      <c r="AC96" s="41"/>
      <c r="AD96" s="42">
        <v>1</v>
      </c>
      <c r="AE96" s="42"/>
      <c r="AF96" s="42"/>
      <c r="AG96" s="42"/>
      <c r="AH96" s="43">
        <f t="shared" si="30"/>
        <v>1</v>
      </c>
      <c r="AI96" s="41"/>
      <c r="AJ96" s="42"/>
      <c r="AK96" s="42"/>
      <c r="AL96" s="42"/>
      <c r="AM96" s="42"/>
      <c r="AN96" s="43">
        <f t="shared" si="31"/>
        <v>0</v>
      </c>
      <c r="AO96" s="42"/>
      <c r="AP96" s="53"/>
      <c r="AQ96" s="53"/>
      <c r="AR96" s="53"/>
      <c r="AS96" s="72">
        <v>1</v>
      </c>
      <c r="AT96" s="24">
        <f t="shared" si="32"/>
        <v>1</v>
      </c>
      <c r="AU96" s="42"/>
      <c r="AV96" s="53"/>
      <c r="AW96" s="53"/>
      <c r="AX96" s="53"/>
      <c r="AY96" s="72"/>
      <c r="AZ96" s="24">
        <f t="shared" si="33"/>
        <v>0</v>
      </c>
      <c r="BA96" s="24">
        <f t="shared" si="35"/>
        <v>2</v>
      </c>
      <c r="BB96" s="83">
        <v>43607</v>
      </c>
    </row>
    <row r="97" spans="1:54" ht="14.25" x14ac:dyDescent="0.15">
      <c r="A97" s="10" t="s">
        <v>83</v>
      </c>
      <c r="B97" s="44"/>
      <c r="C97" s="45"/>
      <c r="D97" s="45"/>
      <c r="E97" s="45"/>
      <c r="F97" s="45"/>
      <c r="G97" s="43">
        <f t="shared" si="26"/>
        <v>0</v>
      </c>
      <c r="H97" s="44"/>
      <c r="I97" s="45"/>
      <c r="J97" s="45"/>
      <c r="K97" s="45"/>
      <c r="L97" s="45"/>
      <c r="M97" s="43">
        <f t="shared" si="27"/>
        <v>0</v>
      </c>
      <c r="N97" s="42">
        <v>-1</v>
      </c>
      <c r="O97" s="53"/>
      <c r="P97" s="53"/>
      <c r="Q97" s="53"/>
      <c r="R97" s="72"/>
      <c r="S97" s="24">
        <f t="shared" si="28"/>
        <v>-1</v>
      </c>
      <c r="T97" s="42"/>
      <c r="U97" s="53"/>
      <c r="V97" s="53"/>
      <c r="W97" s="53"/>
      <c r="X97" s="72"/>
      <c r="Y97" s="24">
        <f t="shared" si="29"/>
        <v>0</v>
      </c>
      <c r="Z97" s="24">
        <f t="shared" si="34"/>
        <v>-1</v>
      </c>
      <c r="AA97" s="93">
        <v>43613</v>
      </c>
      <c r="AB97" s="21" t="s">
        <v>29</v>
      </c>
      <c r="AC97" s="44">
        <v>5</v>
      </c>
      <c r="AD97" s="45"/>
      <c r="AE97" s="45"/>
      <c r="AF97" s="45"/>
      <c r="AG97" s="45"/>
      <c r="AH97" s="43">
        <f t="shared" si="30"/>
        <v>5</v>
      </c>
      <c r="AI97" s="44"/>
      <c r="AJ97" s="45"/>
      <c r="AK97" s="45">
        <v>5</v>
      </c>
      <c r="AL97" s="45"/>
      <c r="AM97" s="45"/>
      <c r="AN97" s="43">
        <f t="shared" si="31"/>
        <v>5</v>
      </c>
      <c r="AO97" s="42"/>
      <c r="AP97" s="53"/>
      <c r="AQ97" s="53"/>
      <c r="AR97" s="53"/>
      <c r="AS97" s="72"/>
      <c r="AT97" s="24">
        <f t="shared" si="32"/>
        <v>0</v>
      </c>
      <c r="AU97" s="42"/>
      <c r="AV97" s="53"/>
      <c r="AW97" s="53"/>
      <c r="AX97" s="53"/>
      <c r="AY97" s="72"/>
      <c r="AZ97" s="24">
        <f t="shared" si="33"/>
        <v>0</v>
      </c>
      <c r="BA97" s="24">
        <f t="shared" si="35"/>
        <v>10</v>
      </c>
      <c r="BB97" s="83">
        <v>43612</v>
      </c>
    </row>
    <row r="98" spans="1:54" ht="14.25" x14ac:dyDescent="0.15">
      <c r="A98" s="10" t="s">
        <v>77</v>
      </c>
      <c r="B98" s="41"/>
      <c r="C98" s="42"/>
      <c r="D98" s="42"/>
      <c r="E98" s="42"/>
      <c r="F98" s="42">
        <v>-1</v>
      </c>
      <c r="G98" s="43">
        <f t="shared" si="26"/>
        <v>-1</v>
      </c>
      <c r="H98" s="41"/>
      <c r="I98" s="42"/>
      <c r="J98" s="42"/>
      <c r="K98" s="42"/>
      <c r="L98" s="42"/>
      <c r="M98" s="43">
        <f t="shared" si="27"/>
        <v>0</v>
      </c>
      <c r="N98" s="42"/>
      <c r="O98" s="53"/>
      <c r="P98" s="53"/>
      <c r="Q98" s="53">
        <v>-1</v>
      </c>
      <c r="R98" s="72"/>
      <c r="S98" s="24">
        <f t="shared" si="28"/>
        <v>-1</v>
      </c>
      <c r="T98" s="42"/>
      <c r="U98" s="53"/>
      <c r="V98" s="53"/>
      <c r="W98" s="53"/>
      <c r="X98" s="72"/>
      <c r="Y98" s="24">
        <f t="shared" si="29"/>
        <v>0</v>
      </c>
      <c r="Z98" s="24">
        <f t="shared" si="34"/>
        <v>-2</v>
      </c>
      <c r="AA98" s="93">
        <v>43614</v>
      </c>
      <c r="AB98" s="23" t="s">
        <v>41</v>
      </c>
      <c r="AC98" s="41"/>
      <c r="AD98" s="42"/>
      <c r="AE98" s="42"/>
      <c r="AF98" s="42"/>
      <c r="AG98" s="42"/>
      <c r="AH98" s="43">
        <f t="shared" si="30"/>
        <v>0</v>
      </c>
      <c r="AI98" s="41"/>
      <c r="AJ98" s="42"/>
      <c r="AK98" s="42"/>
      <c r="AL98" s="42"/>
      <c r="AM98" s="42"/>
      <c r="AN98" s="43">
        <f t="shared" si="31"/>
        <v>0</v>
      </c>
      <c r="AO98" s="42"/>
      <c r="AP98" s="53"/>
      <c r="AQ98" s="53"/>
      <c r="AR98" s="53"/>
      <c r="AS98" s="72"/>
      <c r="AT98" s="24">
        <f t="shared" si="32"/>
        <v>0</v>
      </c>
      <c r="AU98" s="42"/>
      <c r="AV98" s="53"/>
      <c r="AW98" s="53"/>
      <c r="AX98" s="53">
        <v>3</v>
      </c>
      <c r="AY98" s="72"/>
      <c r="AZ98" s="24">
        <f t="shared" si="33"/>
        <v>3</v>
      </c>
      <c r="BA98" s="24">
        <f t="shared" si="35"/>
        <v>3</v>
      </c>
      <c r="BB98" s="83">
        <v>43613</v>
      </c>
    </row>
    <row r="99" spans="1:54" ht="14.25" x14ac:dyDescent="0.15">
      <c r="A99" s="21" t="s">
        <v>89</v>
      </c>
      <c r="B99" s="41">
        <v>-1</v>
      </c>
      <c r="C99" s="42"/>
      <c r="D99" s="42"/>
      <c r="E99" s="42"/>
      <c r="F99" s="42">
        <v>-1</v>
      </c>
      <c r="G99" s="43">
        <f t="shared" si="26"/>
        <v>-2</v>
      </c>
      <c r="H99" s="41"/>
      <c r="I99" s="42"/>
      <c r="J99" s="42"/>
      <c r="K99" s="42"/>
      <c r="L99" s="42"/>
      <c r="M99" s="43">
        <f t="shared" si="27"/>
        <v>0</v>
      </c>
      <c r="N99" s="42"/>
      <c r="O99" s="53">
        <v>-1</v>
      </c>
      <c r="P99" s="53"/>
      <c r="Q99" s="53">
        <v>-1</v>
      </c>
      <c r="R99" s="72"/>
      <c r="S99" s="24">
        <f t="shared" si="28"/>
        <v>-2</v>
      </c>
      <c r="T99" s="42"/>
      <c r="U99" s="53"/>
      <c r="V99" s="53">
        <v>-1</v>
      </c>
      <c r="W99" s="53"/>
      <c r="X99" s="72"/>
      <c r="Y99" s="24">
        <f t="shared" si="29"/>
        <v>-1</v>
      </c>
      <c r="Z99" s="24">
        <f t="shared" si="34"/>
        <v>-5</v>
      </c>
      <c r="AA99" s="93">
        <v>43615</v>
      </c>
      <c r="AB99" s="21" t="s">
        <v>29</v>
      </c>
      <c r="AC99" s="41">
        <v>5</v>
      </c>
      <c r="AD99" s="42"/>
      <c r="AE99" s="42"/>
      <c r="AF99" s="42"/>
      <c r="AG99" s="42"/>
      <c r="AH99" s="43">
        <f t="shared" si="30"/>
        <v>5</v>
      </c>
      <c r="AI99" s="41"/>
      <c r="AJ99" s="42">
        <v>5</v>
      </c>
      <c r="AK99" s="42">
        <v>5</v>
      </c>
      <c r="AL99" s="42">
        <v>5</v>
      </c>
      <c r="AM99" s="42"/>
      <c r="AN99" s="43">
        <f t="shared" si="31"/>
        <v>15</v>
      </c>
      <c r="AO99" s="42"/>
      <c r="AP99" s="53"/>
      <c r="AQ99" s="53"/>
      <c r="AR99" s="53"/>
      <c r="AS99" s="72"/>
      <c r="AT99" s="24">
        <f t="shared" si="32"/>
        <v>0</v>
      </c>
      <c r="AU99" s="42"/>
      <c r="AV99" s="53"/>
      <c r="AW99" s="53"/>
      <c r="AX99" s="53"/>
      <c r="AY99" s="72"/>
      <c r="AZ99" s="24">
        <f t="shared" si="33"/>
        <v>0</v>
      </c>
      <c r="BA99" s="24">
        <f t="shared" si="35"/>
        <v>20</v>
      </c>
      <c r="BB99" s="83">
        <v>43615</v>
      </c>
    </row>
    <row r="100" spans="1:54" ht="14.25" x14ac:dyDescent="0.15">
      <c r="A100" s="10" t="s">
        <v>33</v>
      </c>
      <c r="B100" s="41">
        <v>-1</v>
      </c>
      <c r="C100" s="42">
        <v>-1</v>
      </c>
      <c r="D100" s="42">
        <v>-1</v>
      </c>
      <c r="E100" s="42"/>
      <c r="F100" s="42"/>
      <c r="G100" s="43">
        <f t="shared" si="26"/>
        <v>-3</v>
      </c>
      <c r="H100" s="41"/>
      <c r="I100" s="42"/>
      <c r="J100" s="42"/>
      <c r="K100" s="42"/>
      <c r="L100" s="42"/>
      <c r="M100" s="43">
        <f t="shared" si="27"/>
        <v>0</v>
      </c>
      <c r="N100" s="42"/>
      <c r="O100" s="53"/>
      <c r="P100" s="53"/>
      <c r="Q100" s="53"/>
      <c r="R100" s="72"/>
      <c r="S100" s="24">
        <f t="shared" si="28"/>
        <v>0</v>
      </c>
      <c r="T100" s="42"/>
      <c r="U100" s="53"/>
      <c r="V100" s="53"/>
      <c r="W100" s="53"/>
      <c r="X100" s="72"/>
      <c r="Y100" s="24">
        <f t="shared" si="29"/>
        <v>0</v>
      </c>
      <c r="Z100" s="24">
        <f t="shared" si="34"/>
        <v>-3</v>
      </c>
      <c r="AA100" s="93">
        <v>43619</v>
      </c>
      <c r="AB100" s="23" t="s">
        <v>41</v>
      </c>
      <c r="AC100" s="41"/>
      <c r="AD100" s="42"/>
      <c r="AE100" s="42"/>
      <c r="AF100" s="42"/>
      <c r="AG100" s="42"/>
      <c r="AH100" s="43">
        <f t="shared" si="30"/>
        <v>0</v>
      </c>
      <c r="AI100" s="41"/>
      <c r="AJ100" s="42"/>
      <c r="AK100" s="42"/>
      <c r="AL100" s="42"/>
      <c r="AM100" s="42"/>
      <c r="AN100" s="43">
        <f t="shared" si="31"/>
        <v>0</v>
      </c>
      <c r="AO100" s="42">
        <v>10</v>
      </c>
      <c r="AP100" s="53">
        <v>10</v>
      </c>
      <c r="AQ100" s="53">
        <v>10</v>
      </c>
      <c r="AR100" s="53">
        <v>10</v>
      </c>
      <c r="AS100" s="72">
        <v>10</v>
      </c>
      <c r="AT100" s="24">
        <f t="shared" si="32"/>
        <v>50</v>
      </c>
      <c r="AU100" s="42">
        <v>10</v>
      </c>
      <c r="AV100" s="53">
        <v>10</v>
      </c>
      <c r="AW100" s="53">
        <v>10</v>
      </c>
      <c r="AX100" s="53">
        <v>10</v>
      </c>
      <c r="AY100" s="72">
        <v>10</v>
      </c>
      <c r="AZ100" s="24">
        <f t="shared" si="33"/>
        <v>50</v>
      </c>
      <c r="BA100" s="24">
        <f t="shared" si="35"/>
        <v>100</v>
      </c>
      <c r="BB100" s="83">
        <v>43615</v>
      </c>
    </row>
    <row r="101" spans="1:54" ht="14.25" x14ac:dyDescent="0.15">
      <c r="A101" s="10" t="s">
        <v>77</v>
      </c>
      <c r="B101" s="38"/>
      <c r="C101" s="39"/>
      <c r="D101" s="39"/>
      <c r="E101" s="39"/>
      <c r="F101" s="39"/>
      <c r="G101" s="37">
        <f t="shared" si="26"/>
        <v>0</v>
      </c>
      <c r="H101" s="38"/>
      <c r="I101" s="39"/>
      <c r="J101" s="39"/>
      <c r="K101" s="39"/>
      <c r="L101" s="39"/>
      <c r="M101" s="37">
        <f t="shared" si="27"/>
        <v>0</v>
      </c>
      <c r="N101" s="42"/>
      <c r="O101" s="53"/>
      <c r="P101" s="53"/>
      <c r="Q101" s="53"/>
      <c r="R101" s="72"/>
      <c r="S101" s="24">
        <f t="shared" si="28"/>
        <v>0</v>
      </c>
      <c r="T101" s="42"/>
      <c r="U101" s="53"/>
      <c r="V101" s="53"/>
      <c r="W101" s="53"/>
      <c r="X101" s="72">
        <v>-1</v>
      </c>
      <c r="Y101" s="24">
        <f t="shared" si="29"/>
        <v>-1</v>
      </c>
      <c r="Z101" s="24">
        <f t="shared" si="34"/>
        <v>-1</v>
      </c>
      <c r="AA101" s="93">
        <v>43622</v>
      </c>
      <c r="AB101" s="21" t="s">
        <v>87</v>
      </c>
      <c r="AC101" s="38"/>
      <c r="AD101" s="39"/>
      <c r="AE101" s="39">
        <v>1</v>
      </c>
      <c r="AF101" s="39"/>
      <c r="AG101" s="39"/>
      <c r="AH101" s="37">
        <f t="shared" si="30"/>
        <v>1</v>
      </c>
      <c r="AI101" s="38"/>
      <c r="AJ101" s="39"/>
      <c r="AK101" s="39"/>
      <c r="AL101" s="39"/>
      <c r="AM101" s="39"/>
      <c r="AN101" s="37">
        <f t="shared" si="31"/>
        <v>0</v>
      </c>
      <c r="AO101" s="42"/>
      <c r="AP101" s="53"/>
      <c r="AQ101" s="53"/>
      <c r="AR101" s="53"/>
      <c r="AS101" s="72"/>
      <c r="AT101" s="24">
        <f t="shared" si="32"/>
        <v>0</v>
      </c>
      <c r="AU101" s="42"/>
      <c r="AV101" s="53"/>
      <c r="AW101" s="53"/>
      <c r="AX101" s="53"/>
      <c r="AY101" s="72"/>
      <c r="AZ101" s="24">
        <f t="shared" si="33"/>
        <v>0</v>
      </c>
      <c r="BA101" s="24">
        <f t="shared" si="35"/>
        <v>1</v>
      </c>
      <c r="BB101" s="83">
        <v>43614</v>
      </c>
    </row>
    <row r="102" spans="1:54" ht="14.25" x14ac:dyDescent="0.15">
      <c r="A102" s="21" t="s">
        <v>47</v>
      </c>
      <c r="B102" s="41"/>
      <c r="C102" s="42"/>
      <c r="D102" s="42"/>
      <c r="E102" s="42"/>
      <c r="F102" s="42"/>
      <c r="G102" s="43">
        <f t="shared" si="26"/>
        <v>0</v>
      </c>
      <c r="H102" s="41"/>
      <c r="I102" s="42"/>
      <c r="J102" s="42"/>
      <c r="K102" s="42"/>
      <c r="L102" s="42"/>
      <c r="M102" s="43">
        <f t="shared" si="27"/>
        <v>0</v>
      </c>
      <c r="N102" s="42"/>
      <c r="O102" s="53"/>
      <c r="P102" s="53"/>
      <c r="Q102" s="53"/>
      <c r="R102" s="72">
        <v>1</v>
      </c>
      <c r="S102" s="24">
        <f t="shared" si="28"/>
        <v>1</v>
      </c>
      <c r="T102" s="42"/>
      <c r="U102" s="53"/>
      <c r="V102" s="53"/>
      <c r="W102" s="53"/>
      <c r="X102" s="72"/>
      <c r="Y102" s="24">
        <f t="shared" si="29"/>
        <v>0</v>
      </c>
      <c r="Z102" s="24">
        <f t="shared" si="34"/>
        <v>1</v>
      </c>
      <c r="AA102" s="83">
        <v>43627</v>
      </c>
      <c r="AB102" s="21" t="s">
        <v>88</v>
      </c>
      <c r="AC102" s="41"/>
      <c r="AD102" s="42">
        <v>1</v>
      </c>
      <c r="AE102" s="42"/>
      <c r="AF102" s="42"/>
      <c r="AG102" s="42"/>
      <c r="AH102" s="43">
        <f t="shared" si="30"/>
        <v>1</v>
      </c>
      <c r="AI102" s="41"/>
      <c r="AJ102" s="42"/>
      <c r="AK102" s="42"/>
      <c r="AL102" s="42"/>
      <c r="AM102" s="42"/>
      <c r="AN102" s="43">
        <f t="shared" si="31"/>
        <v>0</v>
      </c>
      <c r="AO102" s="42"/>
      <c r="AP102" s="53"/>
      <c r="AQ102" s="53"/>
      <c r="AR102" s="53"/>
      <c r="AS102" s="72"/>
      <c r="AT102" s="24">
        <f t="shared" si="32"/>
        <v>0</v>
      </c>
      <c r="AU102" s="42"/>
      <c r="AV102" s="53"/>
      <c r="AW102" s="53"/>
      <c r="AX102" s="53"/>
      <c r="AY102" s="72"/>
      <c r="AZ102" s="24">
        <f t="shared" si="33"/>
        <v>0</v>
      </c>
      <c r="BA102" s="24">
        <f t="shared" si="35"/>
        <v>1</v>
      </c>
      <c r="BB102" s="83">
        <v>43616</v>
      </c>
    </row>
    <row r="103" spans="1:54" ht="14.25" x14ac:dyDescent="0.15">
      <c r="A103" s="40" t="s">
        <v>48</v>
      </c>
      <c r="B103" s="14"/>
      <c r="C103" s="15"/>
      <c r="D103" s="15"/>
      <c r="E103" s="15"/>
      <c r="F103" s="15"/>
      <c r="G103" s="24">
        <f t="shared" si="26"/>
        <v>0</v>
      </c>
      <c r="H103" s="14"/>
      <c r="I103" s="15"/>
      <c r="J103" s="15"/>
      <c r="K103" s="15"/>
      <c r="L103" s="15"/>
      <c r="M103" s="24">
        <f t="shared" si="27"/>
        <v>0</v>
      </c>
      <c r="N103" s="15"/>
      <c r="O103" s="55">
        <v>1</v>
      </c>
      <c r="P103" s="55"/>
      <c r="Q103" s="55"/>
      <c r="R103" s="67"/>
      <c r="S103" s="24">
        <f t="shared" si="28"/>
        <v>1</v>
      </c>
      <c r="T103" s="15"/>
      <c r="U103" s="55"/>
      <c r="V103" s="55"/>
      <c r="W103" s="55"/>
      <c r="X103" s="67"/>
      <c r="Y103" s="24">
        <f t="shared" si="29"/>
        <v>0</v>
      </c>
      <c r="Z103" s="24">
        <f t="shared" si="34"/>
        <v>1</v>
      </c>
      <c r="AA103" s="93">
        <v>43626</v>
      </c>
      <c r="AB103" s="21" t="s">
        <v>90</v>
      </c>
      <c r="AC103" s="14"/>
      <c r="AD103" s="15"/>
      <c r="AE103" s="15">
        <v>1</v>
      </c>
      <c r="AF103" s="15"/>
      <c r="AG103" s="15"/>
      <c r="AH103" s="24">
        <f t="shared" si="30"/>
        <v>1</v>
      </c>
      <c r="AI103" s="14"/>
      <c r="AJ103" s="15"/>
      <c r="AK103" s="15"/>
      <c r="AL103" s="15"/>
      <c r="AM103" s="15"/>
      <c r="AN103" s="24">
        <f t="shared" si="31"/>
        <v>0</v>
      </c>
      <c r="AO103" s="15"/>
      <c r="AP103" s="55"/>
      <c r="AQ103" s="55"/>
      <c r="AR103" s="55"/>
      <c r="AS103" s="67"/>
      <c r="AT103" s="24">
        <f t="shared" si="32"/>
        <v>0</v>
      </c>
      <c r="AU103" s="15"/>
      <c r="AV103" s="55"/>
      <c r="AW103" s="55"/>
      <c r="AX103" s="55"/>
      <c r="AY103" s="67"/>
      <c r="AZ103" s="24">
        <f t="shared" si="33"/>
        <v>0</v>
      </c>
      <c r="BA103" s="24">
        <f t="shared" si="35"/>
        <v>1</v>
      </c>
      <c r="BB103" s="83">
        <v>43617</v>
      </c>
    </row>
    <row r="104" spans="1:54" ht="14.25" x14ac:dyDescent="0.15">
      <c r="A104" s="40" t="s">
        <v>48</v>
      </c>
      <c r="B104" s="14"/>
      <c r="C104" s="15"/>
      <c r="D104" s="15"/>
      <c r="E104" s="15"/>
      <c r="F104" s="15"/>
      <c r="G104" s="24">
        <f t="shared" si="26"/>
        <v>0</v>
      </c>
      <c r="H104" s="14">
        <v>1</v>
      </c>
      <c r="I104" s="15"/>
      <c r="J104" s="15"/>
      <c r="K104" s="15"/>
      <c r="L104" s="15"/>
      <c r="M104" s="24">
        <f t="shared" si="27"/>
        <v>1</v>
      </c>
      <c r="N104" s="15"/>
      <c r="O104" s="55"/>
      <c r="P104" s="55"/>
      <c r="Q104" s="55"/>
      <c r="R104" s="67"/>
      <c r="S104" s="24">
        <f t="shared" si="28"/>
        <v>0</v>
      </c>
      <c r="T104" s="15"/>
      <c r="U104" s="55"/>
      <c r="V104" s="55"/>
      <c r="W104" s="55"/>
      <c r="X104" s="67"/>
      <c r="Y104" s="24">
        <f t="shared" si="29"/>
        <v>0</v>
      </c>
      <c r="Z104" s="24">
        <f t="shared" si="34"/>
        <v>1</v>
      </c>
      <c r="AA104" s="93">
        <v>43630</v>
      </c>
      <c r="AB104" s="21" t="s">
        <v>29</v>
      </c>
      <c r="AC104" s="14"/>
      <c r="AD104" s="15"/>
      <c r="AE104" s="15"/>
      <c r="AF104" s="15"/>
      <c r="AG104" s="15"/>
      <c r="AH104" s="24">
        <f t="shared" si="30"/>
        <v>0</v>
      </c>
      <c r="AI104" s="14"/>
      <c r="AJ104" s="15"/>
      <c r="AK104" s="15"/>
      <c r="AL104" s="15"/>
      <c r="AM104" s="15">
        <v>5</v>
      </c>
      <c r="AN104" s="24">
        <f t="shared" si="31"/>
        <v>5</v>
      </c>
      <c r="AO104" s="15"/>
      <c r="AP104" s="55"/>
      <c r="AQ104" s="55"/>
      <c r="AR104" s="55"/>
      <c r="AS104" s="67"/>
      <c r="AT104" s="24">
        <f t="shared" si="32"/>
        <v>0</v>
      </c>
      <c r="AU104" s="15"/>
      <c r="AV104" s="55"/>
      <c r="AW104" s="55"/>
      <c r="AX104" s="55"/>
      <c r="AY104" s="67"/>
      <c r="AZ104" s="24">
        <f t="shared" si="33"/>
        <v>0</v>
      </c>
      <c r="BA104" s="24">
        <f t="shared" si="35"/>
        <v>5</v>
      </c>
      <c r="BB104" s="83">
        <v>43622</v>
      </c>
    </row>
    <row r="105" spans="1:54" ht="14.25" x14ac:dyDescent="0.15">
      <c r="A105" s="121" t="s">
        <v>78</v>
      </c>
      <c r="B105" s="14">
        <v>12</v>
      </c>
      <c r="C105" s="15">
        <v>6</v>
      </c>
      <c r="D105" s="15">
        <v>6</v>
      </c>
      <c r="E105" s="15">
        <v>1</v>
      </c>
      <c r="F105" s="15">
        <v>3</v>
      </c>
      <c r="G105" s="24">
        <f t="shared" si="26"/>
        <v>28</v>
      </c>
      <c r="H105" s="14">
        <v>8</v>
      </c>
      <c r="I105" s="15">
        <v>4</v>
      </c>
      <c r="J105" s="15">
        <v>9</v>
      </c>
      <c r="K105" s="15">
        <v>5</v>
      </c>
      <c r="L105" s="15">
        <v>2</v>
      </c>
      <c r="M105" s="24">
        <f t="shared" si="27"/>
        <v>28</v>
      </c>
      <c r="N105" s="15">
        <v>2</v>
      </c>
      <c r="O105" s="55">
        <v>0</v>
      </c>
      <c r="P105" s="55">
        <v>2</v>
      </c>
      <c r="Q105" s="55">
        <v>3</v>
      </c>
      <c r="R105" s="67">
        <v>0</v>
      </c>
      <c r="S105" s="24">
        <f t="shared" si="28"/>
        <v>7</v>
      </c>
      <c r="T105" s="15">
        <v>1</v>
      </c>
      <c r="U105" s="55">
        <v>0</v>
      </c>
      <c r="V105" s="55">
        <v>2</v>
      </c>
      <c r="W105" s="55">
        <v>0</v>
      </c>
      <c r="X105" s="67">
        <v>0</v>
      </c>
      <c r="Y105" s="24">
        <f t="shared" si="29"/>
        <v>3</v>
      </c>
      <c r="Z105" s="24">
        <f t="shared" si="34"/>
        <v>66</v>
      </c>
      <c r="AA105" s="93">
        <v>43631</v>
      </c>
      <c r="AB105" s="21" t="s">
        <v>93</v>
      </c>
      <c r="AC105" s="14">
        <v>1</v>
      </c>
      <c r="AD105" s="15"/>
      <c r="AE105" s="15"/>
      <c r="AF105" s="15"/>
      <c r="AG105" s="15"/>
      <c r="AH105" s="24">
        <f t="shared" si="30"/>
        <v>1</v>
      </c>
      <c r="AI105" s="14">
        <v>2</v>
      </c>
      <c r="AJ105" s="15">
        <v>2</v>
      </c>
      <c r="AK105" s="15">
        <v>2</v>
      </c>
      <c r="AL105" s="15">
        <v>2</v>
      </c>
      <c r="AM105" s="15">
        <v>2</v>
      </c>
      <c r="AN105" s="24">
        <f t="shared" si="31"/>
        <v>10</v>
      </c>
      <c r="AO105" s="15"/>
      <c r="AP105" s="55"/>
      <c r="AQ105" s="55"/>
      <c r="AR105" s="55"/>
      <c r="AS105" s="67"/>
      <c r="AT105" s="24">
        <f t="shared" si="32"/>
        <v>0</v>
      </c>
      <c r="AU105" s="15"/>
      <c r="AV105" s="55"/>
      <c r="AW105" s="55"/>
      <c r="AX105" s="55"/>
      <c r="AY105" s="67"/>
      <c r="AZ105" s="24">
        <f t="shared" si="33"/>
        <v>0</v>
      </c>
      <c r="BA105" s="24">
        <f t="shared" si="35"/>
        <v>11</v>
      </c>
      <c r="BB105" s="83">
        <v>43619</v>
      </c>
    </row>
    <row r="106" spans="1:54" ht="14.25" x14ac:dyDescent="0.15">
      <c r="A106" s="10" t="s">
        <v>83</v>
      </c>
      <c r="B106" s="14"/>
      <c r="C106" s="15"/>
      <c r="D106" s="15"/>
      <c r="E106" s="15"/>
      <c r="F106" s="15"/>
      <c r="G106" s="24">
        <f t="shared" si="26"/>
        <v>0</v>
      </c>
      <c r="H106" s="14"/>
      <c r="I106" s="15"/>
      <c r="J106" s="15"/>
      <c r="K106" s="15"/>
      <c r="L106" s="15"/>
      <c r="M106" s="24">
        <f t="shared" si="27"/>
        <v>0</v>
      </c>
      <c r="N106" s="15"/>
      <c r="O106" s="55"/>
      <c r="P106" s="55"/>
      <c r="Q106" s="55"/>
      <c r="R106" s="67"/>
      <c r="S106" s="24">
        <f t="shared" si="28"/>
        <v>0</v>
      </c>
      <c r="T106" s="15"/>
      <c r="U106" s="55"/>
      <c r="V106" s="55"/>
      <c r="W106" s="55">
        <v>-1</v>
      </c>
      <c r="X106" s="67">
        <v>-1</v>
      </c>
      <c r="Y106" s="24">
        <f t="shared" si="29"/>
        <v>-2</v>
      </c>
      <c r="Z106" s="24">
        <f t="shared" si="34"/>
        <v>-2</v>
      </c>
      <c r="AA106" s="93">
        <v>43631</v>
      </c>
      <c r="AB106" s="23" t="s">
        <v>41</v>
      </c>
      <c r="AC106" s="14"/>
      <c r="AD106" s="15"/>
      <c r="AE106" s="15"/>
      <c r="AF106" s="15"/>
      <c r="AG106" s="15"/>
      <c r="AH106" s="24">
        <f t="shared" si="30"/>
        <v>0</v>
      </c>
      <c r="AI106" s="14"/>
      <c r="AJ106" s="15"/>
      <c r="AK106" s="15"/>
      <c r="AL106" s="15"/>
      <c r="AM106" s="15"/>
      <c r="AN106" s="24">
        <f t="shared" si="31"/>
        <v>0</v>
      </c>
      <c r="AO106" s="15"/>
      <c r="AP106" s="55"/>
      <c r="AQ106" s="55"/>
      <c r="AR106" s="55"/>
      <c r="AS106" s="67"/>
      <c r="AT106" s="24">
        <f t="shared" si="32"/>
        <v>0</v>
      </c>
      <c r="AU106" s="15"/>
      <c r="AV106" s="55"/>
      <c r="AW106" s="55"/>
      <c r="AX106" s="55"/>
      <c r="AY106" s="67">
        <v>10</v>
      </c>
      <c r="AZ106" s="24">
        <f t="shared" si="33"/>
        <v>10</v>
      </c>
      <c r="BA106" s="24">
        <f t="shared" si="35"/>
        <v>10</v>
      </c>
      <c r="BB106" s="83">
        <v>43626</v>
      </c>
    </row>
    <row r="107" spans="1:54" ht="14.25" x14ac:dyDescent="0.15">
      <c r="A107" s="23"/>
      <c r="B107" s="14"/>
      <c r="C107" s="15"/>
      <c r="D107" s="15"/>
      <c r="E107" s="15"/>
      <c r="F107" s="15"/>
      <c r="G107" s="24">
        <f t="shared" si="26"/>
        <v>0</v>
      </c>
      <c r="H107" s="14"/>
      <c r="I107" s="15"/>
      <c r="J107" s="15"/>
      <c r="K107" s="15"/>
      <c r="L107" s="15"/>
      <c r="M107" s="24">
        <f t="shared" si="27"/>
        <v>0</v>
      </c>
      <c r="N107" s="15"/>
      <c r="O107" s="55"/>
      <c r="P107" s="55"/>
      <c r="Q107" s="55"/>
      <c r="R107" s="67"/>
      <c r="S107" s="24">
        <f t="shared" si="28"/>
        <v>0</v>
      </c>
      <c r="T107" s="15"/>
      <c r="U107" s="55"/>
      <c r="V107" s="55"/>
      <c r="W107" s="55"/>
      <c r="X107" s="67"/>
      <c r="Y107" s="24">
        <f t="shared" si="29"/>
        <v>0</v>
      </c>
      <c r="Z107" s="24">
        <f t="shared" si="34"/>
        <v>0</v>
      </c>
      <c r="AB107" s="23" t="s">
        <v>41</v>
      </c>
      <c r="AC107" s="14"/>
      <c r="AD107" s="15"/>
      <c r="AE107" s="15"/>
      <c r="AF107" s="15"/>
      <c r="AG107" s="15"/>
      <c r="AH107" s="24">
        <f t="shared" si="30"/>
        <v>0</v>
      </c>
      <c r="AI107" s="14"/>
      <c r="AJ107" s="15"/>
      <c r="AK107" s="15"/>
      <c r="AL107" s="15"/>
      <c r="AM107" s="15"/>
      <c r="AN107" s="24">
        <f t="shared" si="31"/>
        <v>0</v>
      </c>
      <c r="AO107" s="15">
        <v>10</v>
      </c>
      <c r="AP107" s="55"/>
      <c r="AQ107" s="55"/>
      <c r="AR107" s="55"/>
      <c r="AS107" s="67"/>
      <c r="AT107" s="24">
        <f t="shared" si="32"/>
        <v>10</v>
      </c>
      <c r="AU107" s="15"/>
      <c r="AV107" s="55"/>
      <c r="AW107" s="55"/>
      <c r="AX107" s="55"/>
      <c r="AY107" s="67"/>
      <c r="AZ107" s="24">
        <f t="shared" si="33"/>
        <v>0</v>
      </c>
      <c r="BA107" s="24">
        <f t="shared" si="35"/>
        <v>10</v>
      </c>
      <c r="BB107" s="83">
        <v>43627</v>
      </c>
    </row>
    <row r="108" spans="1:54" ht="14.25" x14ac:dyDescent="0.15">
      <c r="A108" s="23"/>
      <c r="B108" s="14"/>
      <c r="C108" s="15"/>
      <c r="D108" s="15"/>
      <c r="E108" s="15"/>
      <c r="F108" s="15"/>
      <c r="G108" s="24">
        <f t="shared" si="26"/>
        <v>0</v>
      </c>
      <c r="H108" s="14"/>
      <c r="I108" s="15"/>
      <c r="J108" s="15"/>
      <c r="K108" s="15"/>
      <c r="L108" s="15"/>
      <c r="M108" s="24">
        <f t="shared" si="27"/>
        <v>0</v>
      </c>
      <c r="N108" s="15"/>
      <c r="O108" s="55"/>
      <c r="P108" s="55"/>
      <c r="Q108" s="55"/>
      <c r="R108" s="67"/>
      <c r="S108" s="24">
        <f t="shared" si="28"/>
        <v>0</v>
      </c>
      <c r="T108" s="15"/>
      <c r="U108" s="55"/>
      <c r="V108" s="55"/>
      <c r="W108" s="55"/>
      <c r="X108" s="67"/>
      <c r="Y108" s="24">
        <f t="shared" si="29"/>
        <v>0</v>
      </c>
      <c r="Z108" s="24">
        <f t="shared" si="34"/>
        <v>0</v>
      </c>
      <c r="AB108" s="21" t="s">
        <v>29</v>
      </c>
      <c r="AC108" s="14"/>
      <c r="AD108" s="15"/>
      <c r="AE108" s="15"/>
      <c r="AF108" s="15"/>
      <c r="AG108" s="15"/>
      <c r="AH108" s="24">
        <f t="shared" si="30"/>
        <v>0</v>
      </c>
      <c r="AI108" s="14"/>
      <c r="AJ108" s="15"/>
      <c r="AK108" s="15">
        <v>10</v>
      </c>
      <c r="AL108" s="15"/>
      <c r="AM108" s="15"/>
      <c r="AN108" s="24">
        <f t="shared" si="31"/>
        <v>10</v>
      </c>
      <c r="AO108" s="15"/>
      <c r="AP108" s="55"/>
      <c r="AQ108" s="55"/>
      <c r="AR108" s="55"/>
      <c r="AS108" s="67"/>
      <c r="AT108" s="24">
        <f t="shared" si="32"/>
        <v>0</v>
      </c>
      <c r="AU108" s="15"/>
      <c r="AV108" s="55"/>
      <c r="AW108" s="55"/>
      <c r="AX108" s="55"/>
      <c r="AY108" s="67"/>
      <c r="AZ108" s="24">
        <f t="shared" si="33"/>
        <v>0</v>
      </c>
      <c r="BA108" s="24">
        <f t="shared" si="35"/>
        <v>10</v>
      </c>
      <c r="BB108" s="83">
        <v>43629</v>
      </c>
    </row>
    <row r="109" spans="1:54" ht="14.25" x14ac:dyDescent="0.15">
      <c r="A109" s="23"/>
      <c r="B109" s="44"/>
      <c r="C109" s="45"/>
      <c r="D109" s="45"/>
      <c r="E109" s="45"/>
      <c r="F109" s="45"/>
      <c r="G109" s="43">
        <f t="shared" si="26"/>
        <v>0</v>
      </c>
      <c r="H109" s="44"/>
      <c r="I109" s="45"/>
      <c r="J109" s="45"/>
      <c r="K109" s="45"/>
      <c r="L109" s="45"/>
      <c r="M109" s="43">
        <f t="shared" si="27"/>
        <v>0</v>
      </c>
      <c r="N109" s="42"/>
      <c r="O109" s="53"/>
      <c r="P109" s="53"/>
      <c r="Q109" s="53"/>
      <c r="R109" s="72"/>
      <c r="S109" s="24">
        <f t="shared" si="28"/>
        <v>0</v>
      </c>
      <c r="T109" s="42"/>
      <c r="U109" s="53"/>
      <c r="V109" s="53"/>
      <c r="W109" s="53"/>
      <c r="X109" s="72"/>
      <c r="Y109" s="24">
        <f t="shared" si="29"/>
        <v>0</v>
      </c>
      <c r="Z109" s="24">
        <f t="shared" si="34"/>
        <v>0</v>
      </c>
      <c r="AA109" s="128"/>
      <c r="AB109" s="21" t="s">
        <v>100</v>
      </c>
      <c r="AC109" s="44"/>
      <c r="AD109" s="45">
        <v>1</v>
      </c>
      <c r="AE109" s="45"/>
      <c r="AF109" s="45"/>
      <c r="AG109" s="45"/>
      <c r="AH109" s="43">
        <f t="shared" si="30"/>
        <v>1</v>
      </c>
      <c r="AI109" s="44"/>
      <c r="AJ109" s="45"/>
      <c r="AK109" s="45"/>
      <c r="AL109" s="45"/>
      <c r="AM109" s="45"/>
      <c r="AN109" s="43">
        <f t="shared" si="31"/>
        <v>0</v>
      </c>
      <c r="AO109" s="42"/>
      <c r="AP109" s="53"/>
      <c r="AQ109" s="53"/>
      <c r="AR109" s="53"/>
      <c r="AS109" s="72">
        <v>1</v>
      </c>
      <c r="AT109" s="24">
        <f t="shared" si="32"/>
        <v>1</v>
      </c>
      <c r="AU109" s="42"/>
      <c r="AV109" s="53"/>
      <c r="AW109" s="53">
        <v>1</v>
      </c>
      <c r="AX109" s="53"/>
      <c r="AY109" s="72">
        <v>1</v>
      </c>
      <c r="AZ109" s="24">
        <f t="shared" si="33"/>
        <v>2</v>
      </c>
      <c r="BA109" s="24">
        <f t="shared" si="35"/>
        <v>4</v>
      </c>
      <c r="BB109" s="83">
        <v>43628</v>
      </c>
    </row>
    <row r="110" spans="1:54" ht="14.25" x14ac:dyDescent="0.15">
      <c r="A110" s="110"/>
      <c r="B110" s="41"/>
      <c r="C110" s="42"/>
      <c r="D110" s="42"/>
      <c r="E110" s="42"/>
      <c r="F110" s="42"/>
      <c r="G110" s="43">
        <f t="shared" si="26"/>
        <v>0</v>
      </c>
      <c r="H110" s="41"/>
      <c r="I110" s="42"/>
      <c r="J110" s="42"/>
      <c r="K110" s="42"/>
      <c r="L110" s="42"/>
      <c r="M110" s="43">
        <f t="shared" si="27"/>
        <v>0</v>
      </c>
      <c r="N110" s="42"/>
      <c r="O110" s="53"/>
      <c r="P110" s="53"/>
      <c r="Q110" s="53"/>
      <c r="R110" s="72"/>
      <c r="S110" s="24">
        <f t="shared" si="28"/>
        <v>0</v>
      </c>
      <c r="T110" s="42"/>
      <c r="U110" s="53"/>
      <c r="V110" s="53"/>
      <c r="W110" s="53"/>
      <c r="X110" s="72"/>
      <c r="Y110" s="24">
        <f t="shared" si="29"/>
        <v>0</v>
      </c>
      <c r="Z110" s="24">
        <f t="shared" si="34"/>
        <v>0</v>
      </c>
      <c r="AA110" s="128"/>
      <c r="AB110" s="21" t="s">
        <v>29</v>
      </c>
      <c r="AC110" s="41"/>
      <c r="AD110" s="42"/>
      <c r="AE110" s="42"/>
      <c r="AF110" s="42"/>
      <c r="AG110" s="42">
        <v>10</v>
      </c>
      <c r="AH110" s="43">
        <f t="shared" si="30"/>
        <v>10</v>
      </c>
      <c r="AI110" s="41"/>
      <c r="AJ110" s="42">
        <v>5</v>
      </c>
      <c r="AK110" s="42"/>
      <c r="AL110" s="42"/>
      <c r="AM110" s="42">
        <v>5</v>
      </c>
      <c r="AN110" s="43">
        <f t="shared" si="31"/>
        <v>10</v>
      </c>
      <c r="AO110" s="42"/>
      <c r="AP110" s="53"/>
      <c r="AQ110" s="53"/>
      <c r="AR110" s="53"/>
      <c r="AS110" s="72"/>
      <c r="AT110" s="24">
        <f t="shared" si="32"/>
        <v>0</v>
      </c>
      <c r="AU110" s="42"/>
      <c r="AV110" s="53"/>
      <c r="AW110" s="53"/>
      <c r="AX110" s="53"/>
      <c r="AY110" s="72"/>
      <c r="AZ110" s="24">
        <f t="shared" si="33"/>
        <v>0</v>
      </c>
      <c r="BA110" s="24">
        <f t="shared" si="35"/>
        <v>20</v>
      </c>
      <c r="BB110" s="83">
        <v>43633</v>
      </c>
    </row>
    <row r="111" spans="1:54" ht="14.25" x14ac:dyDescent="0.15">
      <c r="A111" s="23"/>
      <c r="B111" s="41"/>
      <c r="C111" s="42"/>
      <c r="D111" s="42"/>
      <c r="E111" s="42"/>
      <c r="F111" s="42"/>
      <c r="G111" s="43">
        <f t="shared" si="26"/>
        <v>0</v>
      </c>
      <c r="H111" s="41"/>
      <c r="I111" s="42"/>
      <c r="J111" s="42"/>
      <c r="K111" s="42"/>
      <c r="L111" s="42"/>
      <c r="M111" s="43">
        <f t="shared" si="27"/>
        <v>0</v>
      </c>
      <c r="N111" s="42"/>
      <c r="O111" s="53"/>
      <c r="P111" s="53"/>
      <c r="Q111" s="53"/>
      <c r="R111" s="72"/>
      <c r="S111" s="24">
        <f t="shared" si="28"/>
        <v>0</v>
      </c>
      <c r="T111" s="42"/>
      <c r="U111" s="53"/>
      <c r="V111" s="53"/>
      <c r="W111" s="53"/>
      <c r="X111" s="72"/>
      <c r="Y111" s="24">
        <f t="shared" si="29"/>
        <v>0</v>
      </c>
      <c r="Z111" s="24">
        <f t="shared" si="34"/>
        <v>0</v>
      </c>
      <c r="AA111" s="128"/>
      <c r="AB111" s="21" t="s">
        <v>101</v>
      </c>
      <c r="AC111" s="14"/>
      <c r="AD111" s="15"/>
      <c r="AE111" s="15"/>
      <c r="AF111" s="15"/>
      <c r="AG111" s="15"/>
      <c r="AH111" s="24">
        <f>SUM(AC111:AG111)</f>
        <v>0</v>
      </c>
      <c r="AI111" s="14"/>
      <c r="AJ111" s="15"/>
      <c r="AK111" s="15"/>
      <c r="AL111" s="15"/>
      <c r="AM111" s="15"/>
      <c r="AN111" s="24">
        <f>SUM(AI111:AM111)</f>
        <v>0</v>
      </c>
      <c r="AO111" s="15"/>
      <c r="AP111" s="55"/>
      <c r="AQ111" s="55"/>
      <c r="AR111" s="55"/>
      <c r="AS111" s="67"/>
      <c r="AT111" s="24">
        <f>SUM(AO111:AS111)</f>
        <v>0</v>
      </c>
      <c r="AU111" s="15">
        <v>1</v>
      </c>
      <c r="AV111" s="55"/>
      <c r="AW111" s="55"/>
      <c r="AX111" s="55"/>
      <c r="AY111" s="67"/>
      <c r="AZ111" s="24">
        <f>SUM(AU111:AY111)</f>
        <v>1</v>
      </c>
      <c r="BA111" s="24">
        <f>AH111+AN111+AT111+AZ111</f>
        <v>1</v>
      </c>
      <c r="BB111" s="83">
        <v>43629</v>
      </c>
    </row>
    <row r="112" spans="1:54" ht="14.25" x14ac:dyDescent="0.15">
      <c r="A112" s="23"/>
      <c r="B112" s="41"/>
      <c r="C112" s="42"/>
      <c r="D112" s="42"/>
      <c r="E112" s="42"/>
      <c r="F112" s="42"/>
      <c r="G112" s="43">
        <f t="shared" si="26"/>
        <v>0</v>
      </c>
      <c r="H112" s="41"/>
      <c r="I112" s="42"/>
      <c r="J112" s="42"/>
      <c r="K112" s="42"/>
      <c r="L112" s="42"/>
      <c r="M112" s="43">
        <f t="shared" si="27"/>
        <v>0</v>
      </c>
      <c r="N112" s="42"/>
      <c r="O112" s="53"/>
      <c r="P112" s="53"/>
      <c r="Q112" s="53"/>
      <c r="R112" s="72"/>
      <c r="S112" s="24">
        <f>SUM(N112:R112)</f>
        <v>0</v>
      </c>
      <c r="T112" s="42"/>
      <c r="U112" s="53"/>
      <c r="V112" s="53"/>
      <c r="W112" s="53"/>
      <c r="X112" s="72"/>
      <c r="Y112" s="24">
        <f>SUM(T112:X112)</f>
        <v>0</v>
      </c>
      <c r="Z112" s="24">
        <f>G112+M112+S112+Y112</f>
        <v>0</v>
      </c>
      <c r="AA112" s="128"/>
      <c r="AB112" s="21" t="s">
        <v>102</v>
      </c>
      <c r="AC112" s="41"/>
      <c r="AD112" s="42"/>
      <c r="AE112" s="42">
        <v>1</v>
      </c>
      <c r="AF112" s="42"/>
      <c r="AG112" s="42">
        <v>2</v>
      </c>
      <c r="AH112" s="43">
        <f t="shared" si="30"/>
        <v>3</v>
      </c>
      <c r="AI112" s="41"/>
      <c r="AJ112" s="42"/>
      <c r="AK112" s="42"/>
      <c r="AL112" s="42"/>
      <c r="AM112" s="42"/>
      <c r="AN112" s="43">
        <f t="shared" si="31"/>
        <v>0</v>
      </c>
      <c r="AO112" s="42"/>
      <c r="AP112" s="53"/>
      <c r="AQ112" s="53"/>
      <c r="AR112" s="53"/>
      <c r="AS112" s="72"/>
      <c r="AT112" s="24">
        <f>SUM(AO112:AS112)</f>
        <v>0</v>
      </c>
      <c r="AU112" s="42">
        <v>1</v>
      </c>
      <c r="AV112" s="53"/>
      <c r="AW112" s="53"/>
      <c r="AX112" s="53"/>
      <c r="AY112" s="72"/>
      <c r="AZ112" s="24">
        <f>SUM(AU112:AY112)</f>
        <v>1</v>
      </c>
      <c r="BA112" s="24">
        <f>AH112+AN112+AT112+AZ112</f>
        <v>4</v>
      </c>
      <c r="BB112" s="83">
        <v>43630</v>
      </c>
    </row>
    <row r="113" spans="1:54" ht="15" thickBot="1" x14ac:dyDescent="0.2">
      <c r="A113" s="110"/>
      <c r="B113" s="44"/>
      <c r="C113" s="45"/>
      <c r="D113" s="45"/>
      <c r="E113" s="45"/>
      <c r="F113" s="45"/>
      <c r="G113" s="43">
        <f t="shared" si="26"/>
        <v>0</v>
      </c>
      <c r="H113" s="44"/>
      <c r="I113" s="45"/>
      <c r="J113" s="45"/>
      <c r="K113" s="45"/>
      <c r="L113" s="45"/>
      <c r="M113" s="112">
        <f t="shared" si="27"/>
        <v>0</v>
      </c>
      <c r="N113" s="45"/>
      <c r="O113" s="78"/>
      <c r="P113" s="78"/>
      <c r="Q113" s="78"/>
      <c r="R113" s="79"/>
      <c r="S113" s="113">
        <f>SUM(N113:R113)</f>
        <v>0</v>
      </c>
      <c r="T113" s="45"/>
      <c r="U113" s="78"/>
      <c r="V113" s="78"/>
      <c r="W113" s="78"/>
      <c r="X113" s="79"/>
      <c r="Y113" s="113">
        <f>SUM(T113:X113)</f>
        <v>0</v>
      </c>
      <c r="Z113" s="82">
        <f>G113+M113+S113+Y113</f>
        <v>0</v>
      </c>
      <c r="AA113" s="128"/>
      <c r="AB113" s="21" t="s">
        <v>29</v>
      </c>
      <c r="AC113" s="41"/>
      <c r="AD113" s="42"/>
      <c r="AE113" s="42"/>
      <c r="AF113" s="42"/>
      <c r="AG113" s="42"/>
      <c r="AH113" s="43">
        <f>SUM(AC113:AG113)</f>
        <v>0</v>
      </c>
      <c r="AI113" s="41"/>
      <c r="AJ113" s="42">
        <v>5</v>
      </c>
      <c r="AK113" s="42"/>
      <c r="AL113" s="42">
        <v>5</v>
      </c>
      <c r="AM113" s="42">
        <v>5</v>
      </c>
      <c r="AN113" s="43">
        <f>SUM(AI113:AM113)</f>
        <v>15</v>
      </c>
      <c r="AO113" s="42"/>
      <c r="AP113" s="53"/>
      <c r="AQ113" s="53"/>
      <c r="AR113" s="53"/>
      <c r="AS113" s="72"/>
      <c r="AT113" s="24">
        <f>SUM(AO113:AS113)</f>
        <v>0</v>
      </c>
      <c r="AU113" s="42"/>
      <c r="AV113" s="53"/>
      <c r="AW113" s="53"/>
      <c r="AX113" s="53"/>
      <c r="AY113" s="72"/>
      <c r="AZ113" s="24">
        <f>SUM(AU113:AY113)</f>
        <v>0</v>
      </c>
      <c r="BA113" s="24">
        <f>AH113+AN113+AT113+AZ113</f>
        <v>15</v>
      </c>
      <c r="BB113" s="83">
        <v>43636</v>
      </c>
    </row>
    <row r="114" spans="1:54" ht="15" thickBot="1" x14ac:dyDescent="0.2">
      <c r="A114" s="9" t="s">
        <v>13</v>
      </c>
      <c r="B114" s="25">
        <f>SUM(B88:B113)</f>
        <v>9</v>
      </c>
      <c r="C114" s="26">
        <f>SUM(C88:C113)</f>
        <v>8</v>
      </c>
      <c r="D114" s="26">
        <f>SUM(D88:D113)</f>
        <v>6</v>
      </c>
      <c r="E114" s="26">
        <f>SUM(E88:E113)</f>
        <v>6</v>
      </c>
      <c r="F114" s="27">
        <f>SUM(F88:F113)</f>
        <v>5</v>
      </c>
      <c r="G114" s="19">
        <f>SUM(B114:F114)</f>
        <v>34</v>
      </c>
      <c r="H114" s="25">
        <f>SUM(H88:H113)</f>
        <v>9</v>
      </c>
      <c r="I114" s="26">
        <f>SUM(I88:I113)</f>
        <v>4</v>
      </c>
      <c r="J114" s="26">
        <f>SUM(J88:J113)</f>
        <v>9</v>
      </c>
      <c r="K114" s="26">
        <f>SUM(K88:K113)</f>
        <v>5</v>
      </c>
      <c r="L114" s="27">
        <f>SUM(L88:L113)</f>
        <v>2</v>
      </c>
      <c r="M114" s="25">
        <f>SUM(H114:L114)</f>
        <v>29</v>
      </c>
      <c r="N114" s="65">
        <f>SUM(N88:N113)</f>
        <v>1</v>
      </c>
      <c r="O114" s="18">
        <f>SUM(O88:O113)</f>
        <v>3</v>
      </c>
      <c r="P114" s="18">
        <f>SUM(P88:P113)</f>
        <v>2</v>
      </c>
      <c r="Q114" s="18">
        <f>SUM(Q88:Q113)</f>
        <v>3</v>
      </c>
      <c r="R114" s="70">
        <f>SUM(R88:R113)</f>
        <v>2</v>
      </c>
      <c r="S114" s="49">
        <f>SUM(N114:R114)</f>
        <v>11</v>
      </c>
      <c r="T114" s="74">
        <f>SUM(T88:T113)</f>
        <v>0</v>
      </c>
      <c r="U114" s="18">
        <f>SUM(U88:U113)</f>
        <v>1</v>
      </c>
      <c r="V114" s="18">
        <f>SUM(V88:V113)</f>
        <v>1</v>
      </c>
      <c r="W114" s="18">
        <f>SUM(W88:W113)</f>
        <v>-1</v>
      </c>
      <c r="X114" s="70">
        <f>SUM(X88:X113)</f>
        <v>-1</v>
      </c>
      <c r="Y114" s="49">
        <f>SUM(T114:X114)</f>
        <v>0</v>
      </c>
      <c r="Z114" s="77">
        <f>G114+M114+S114+Y114</f>
        <v>74</v>
      </c>
      <c r="AB114" s="9" t="s">
        <v>13</v>
      </c>
      <c r="AC114" s="25">
        <f>SUM(AC88:AC113)</f>
        <v>11</v>
      </c>
      <c r="AD114" s="26">
        <f>SUM(AD88:AD113)</f>
        <v>5</v>
      </c>
      <c r="AE114" s="26">
        <f>SUM(AE88:AE113)</f>
        <v>5</v>
      </c>
      <c r="AF114" s="26">
        <f>SUM(AF88:AF113)</f>
        <v>0</v>
      </c>
      <c r="AG114" s="27">
        <f>SUM(AG88:AG113)</f>
        <v>17</v>
      </c>
      <c r="AH114" s="19">
        <f>SUM(AC114:AG114)</f>
        <v>38</v>
      </c>
      <c r="AI114" s="25">
        <f>SUM(AI88:AI113)</f>
        <v>2</v>
      </c>
      <c r="AJ114" s="26">
        <f>SUM(AJ88:AJ113)</f>
        <v>17</v>
      </c>
      <c r="AK114" s="26">
        <f>SUM(AK88:AK113)</f>
        <v>22</v>
      </c>
      <c r="AL114" s="26">
        <f>SUM(AL88:AL113)</f>
        <v>12</v>
      </c>
      <c r="AM114" s="27">
        <f>SUM(AM88:AM113)</f>
        <v>17</v>
      </c>
      <c r="AN114" s="25">
        <f>SUM(AI114:AM114)</f>
        <v>70</v>
      </c>
      <c r="AO114" s="65">
        <f>SUM(AO88:AO113)</f>
        <v>30</v>
      </c>
      <c r="AP114" s="18">
        <f>SUM(AP88:AP113)</f>
        <v>20</v>
      </c>
      <c r="AQ114" s="18">
        <f>SUM(AQ88:AQ113)</f>
        <v>10</v>
      </c>
      <c r="AR114" s="18">
        <f>SUM(AR88:AR113)</f>
        <v>15</v>
      </c>
      <c r="AS114" s="70">
        <f>SUM(AS88:AS113)</f>
        <v>18</v>
      </c>
      <c r="AT114" s="49">
        <f>SUM(AO114:AS114)</f>
        <v>93</v>
      </c>
      <c r="AU114" s="74">
        <f>SUM(AU88:AU113)</f>
        <v>19</v>
      </c>
      <c r="AV114" s="18">
        <f>SUM(AV88:AV113)</f>
        <v>15</v>
      </c>
      <c r="AW114" s="18">
        <f>SUM(AW88:AW113)</f>
        <v>16</v>
      </c>
      <c r="AX114" s="18">
        <f>SUM(AX88:AX113)</f>
        <v>16</v>
      </c>
      <c r="AY114" s="70">
        <f>SUM(AY88:AY113)</f>
        <v>21</v>
      </c>
      <c r="AZ114" s="49">
        <f>SUM(AU114:AY114)</f>
        <v>87</v>
      </c>
      <c r="BA114" s="77">
        <f>AH114+AN114+AT114+AZ114</f>
        <v>288</v>
      </c>
      <c r="BB114" s="128"/>
    </row>
    <row r="115" spans="1:54" ht="15" thickBot="1" x14ac:dyDescent="0.2">
      <c r="A115" s="32" t="s">
        <v>14</v>
      </c>
      <c r="B115" s="29">
        <f t="shared" ref="B115:Y115" si="36">B87-B114</f>
        <v>3</v>
      </c>
      <c r="C115" s="30">
        <f t="shared" si="36"/>
        <v>3</v>
      </c>
      <c r="D115" s="30">
        <f t="shared" si="36"/>
        <v>2</v>
      </c>
      <c r="E115" s="30">
        <f t="shared" si="36"/>
        <v>3</v>
      </c>
      <c r="F115" s="31">
        <f t="shared" si="36"/>
        <v>3</v>
      </c>
      <c r="G115" s="31">
        <f t="shared" si="36"/>
        <v>14</v>
      </c>
      <c r="H115" s="29">
        <f t="shared" si="36"/>
        <v>3</v>
      </c>
      <c r="I115" s="30">
        <f t="shared" si="36"/>
        <v>3</v>
      </c>
      <c r="J115" s="30">
        <f t="shared" si="36"/>
        <v>3</v>
      </c>
      <c r="K115" s="30">
        <f t="shared" si="36"/>
        <v>3</v>
      </c>
      <c r="L115" s="31">
        <f t="shared" si="36"/>
        <v>3</v>
      </c>
      <c r="M115" s="66">
        <f t="shared" si="36"/>
        <v>15</v>
      </c>
      <c r="N115" s="29">
        <f t="shared" si="36"/>
        <v>3</v>
      </c>
      <c r="O115" s="30">
        <f t="shared" si="36"/>
        <v>2</v>
      </c>
      <c r="P115" s="30">
        <f t="shared" si="36"/>
        <v>3</v>
      </c>
      <c r="Q115" s="30">
        <f t="shared" si="36"/>
        <v>3</v>
      </c>
      <c r="R115" s="66">
        <f t="shared" si="36"/>
        <v>1</v>
      </c>
      <c r="S115" s="33">
        <f t="shared" si="36"/>
        <v>12</v>
      </c>
      <c r="T115" s="75">
        <f t="shared" si="36"/>
        <v>3</v>
      </c>
      <c r="U115" s="30">
        <f t="shared" si="36"/>
        <v>2</v>
      </c>
      <c r="V115" s="30">
        <f t="shared" si="36"/>
        <v>2</v>
      </c>
      <c r="W115" s="30">
        <f t="shared" si="36"/>
        <v>4</v>
      </c>
      <c r="X115" s="66">
        <f t="shared" si="36"/>
        <v>3</v>
      </c>
      <c r="Y115" s="33">
        <f t="shared" si="36"/>
        <v>14</v>
      </c>
      <c r="Z115" s="77">
        <f>G115+M115+S115+Y115</f>
        <v>55</v>
      </c>
      <c r="AB115" s="32" t="s">
        <v>14</v>
      </c>
      <c r="AC115" s="29">
        <f t="shared" ref="AC115:AZ115" si="37">AC87-AC114</f>
        <v>82</v>
      </c>
      <c r="AD115" s="30">
        <f t="shared" si="37"/>
        <v>67</v>
      </c>
      <c r="AE115" s="30">
        <f t="shared" si="37"/>
        <v>63</v>
      </c>
      <c r="AF115" s="30">
        <f t="shared" si="37"/>
        <v>59</v>
      </c>
      <c r="AG115" s="31">
        <f t="shared" si="37"/>
        <v>56</v>
      </c>
      <c r="AH115" s="31">
        <f t="shared" si="37"/>
        <v>327</v>
      </c>
      <c r="AI115" s="29">
        <f t="shared" si="37"/>
        <v>97</v>
      </c>
      <c r="AJ115" s="30">
        <f t="shared" si="37"/>
        <v>79</v>
      </c>
      <c r="AK115" s="30">
        <f t="shared" si="37"/>
        <v>85</v>
      </c>
      <c r="AL115" s="30">
        <f t="shared" si="37"/>
        <v>80</v>
      </c>
      <c r="AM115" s="31">
        <f t="shared" si="37"/>
        <v>78</v>
      </c>
      <c r="AN115" s="66">
        <f t="shared" si="37"/>
        <v>419</v>
      </c>
      <c r="AO115" s="29">
        <f t="shared" si="37"/>
        <v>37</v>
      </c>
      <c r="AP115" s="30">
        <f t="shared" si="37"/>
        <v>47</v>
      </c>
      <c r="AQ115" s="30">
        <f t="shared" si="37"/>
        <v>64</v>
      </c>
      <c r="AR115" s="30">
        <f t="shared" si="37"/>
        <v>65</v>
      </c>
      <c r="AS115" s="66">
        <f t="shared" si="37"/>
        <v>65</v>
      </c>
      <c r="AT115" s="33">
        <f t="shared" si="37"/>
        <v>278</v>
      </c>
      <c r="AU115" s="75">
        <f t="shared" si="37"/>
        <v>63</v>
      </c>
      <c r="AV115" s="30">
        <f t="shared" si="37"/>
        <v>53</v>
      </c>
      <c r="AW115" s="30">
        <f t="shared" si="37"/>
        <v>58</v>
      </c>
      <c r="AX115" s="30">
        <f t="shared" si="37"/>
        <v>65</v>
      </c>
      <c r="AY115" s="66">
        <f t="shared" si="37"/>
        <v>53</v>
      </c>
      <c r="AZ115" s="33">
        <f t="shared" si="37"/>
        <v>292</v>
      </c>
      <c r="BA115" s="77">
        <f>AH115+AN115+AT115+AZ115</f>
        <v>1316</v>
      </c>
    </row>
    <row r="118" spans="1:54" ht="19.5" thickBot="1" x14ac:dyDescent="0.25">
      <c r="A118" s="1" t="s">
        <v>15</v>
      </c>
      <c r="AB118" s="1" t="s">
        <v>16</v>
      </c>
    </row>
    <row r="119" spans="1:54" ht="15" thickBot="1" x14ac:dyDescent="0.2">
      <c r="A119" s="4"/>
      <c r="B119" s="245" t="s">
        <v>17</v>
      </c>
      <c r="C119" s="246"/>
      <c r="D119" s="246"/>
      <c r="E119" s="246"/>
      <c r="F119" s="246"/>
      <c r="G119" s="247"/>
      <c r="H119" s="245" t="s">
        <v>18</v>
      </c>
      <c r="I119" s="246"/>
      <c r="J119" s="246"/>
      <c r="K119" s="246"/>
      <c r="L119" s="246"/>
      <c r="M119" s="247"/>
      <c r="N119" s="248" t="s">
        <v>27</v>
      </c>
      <c r="O119" s="249"/>
      <c r="P119" s="249"/>
      <c r="Q119" s="249"/>
      <c r="R119" s="249"/>
      <c r="S119" s="250"/>
      <c r="T119" s="248" t="s">
        <v>28</v>
      </c>
      <c r="U119" s="249"/>
      <c r="V119" s="249"/>
      <c r="W119" s="249"/>
      <c r="X119" s="249"/>
      <c r="Y119" s="250"/>
      <c r="Z119" s="251" t="s">
        <v>1</v>
      </c>
      <c r="AB119" s="4"/>
      <c r="AC119" s="245" t="s">
        <v>17</v>
      </c>
      <c r="AD119" s="246"/>
      <c r="AE119" s="246"/>
      <c r="AF119" s="246"/>
      <c r="AG119" s="246"/>
      <c r="AH119" s="247"/>
      <c r="AI119" s="245" t="s">
        <v>18</v>
      </c>
      <c r="AJ119" s="246"/>
      <c r="AK119" s="246"/>
      <c r="AL119" s="246"/>
      <c r="AM119" s="246"/>
      <c r="AN119" s="247"/>
      <c r="AO119" s="248" t="s">
        <v>27</v>
      </c>
      <c r="AP119" s="249"/>
      <c r="AQ119" s="249"/>
      <c r="AR119" s="249"/>
      <c r="AS119" s="249"/>
      <c r="AT119" s="250"/>
      <c r="AU119" s="248" t="s">
        <v>28</v>
      </c>
      <c r="AV119" s="249"/>
      <c r="AW119" s="249"/>
      <c r="AX119" s="249"/>
      <c r="AY119" s="249"/>
      <c r="AZ119" s="250"/>
      <c r="BA119" s="251" t="s">
        <v>1</v>
      </c>
    </row>
    <row r="120" spans="1:54" ht="15" thickBot="1" x14ac:dyDescent="0.2">
      <c r="A120" s="9" t="s">
        <v>2</v>
      </c>
      <c r="B120" s="6" t="s">
        <v>3</v>
      </c>
      <c r="C120" s="7" t="s">
        <v>4</v>
      </c>
      <c r="D120" s="7" t="s">
        <v>5</v>
      </c>
      <c r="E120" s="48" t="s">
        <v>20</v>
      </c>
      <c r="F120" s="8" t="s">
        <v>21</v>
      </c>
      <c r="G120" s="5" t="s">
        <v>6</v>
      </c>
      <c r="H120" s="6" t="s">
        <v>3</v>
      </c>
      <c r="I120" s="7" t="s">
        <v>4</v>
      </c>
      <c r="J120" s="7" t="s">
        <v>5</v>
      </c>
      <c r="K120" s="48" t="s">
        <v>20</v>
      </c>
      <c r="L120" s="8" t="s">
        <v>21</v>
      </c>
      <c r="M120" s="5" t="s">
        <v>6</v>
      </c>
      <c r="N120" s="6" t="s">
        <v>3</v>
      </c>
      <c r="O120" s="7" t="s">
        <v>4</v>
      </c>
      <c r="P120" s="7" t="s">
        <v>5</v>
      </c>
      <c r="Q120" s="48" t="s">
        <v>20</v>
      </c>
      <c r="R120" s="8" t="s">
        <v>21</v>
      </c>
      <c r="S120" s="5" t="s">
        <v>6</v>
      </c>
      <c r="T120" s="7" t="s">
        <v>3</v>
      </c>
      <c r="U120" s="7" t="s">
        <v>4</v>
      </c>
      <c r="V120" s="7" t="s">
        <v>5</v>
      </c>
      <c r="W120" s="48" t="s">
        <v>20</v>
      </c>
      <c r="X120" s="109" t="s">
        <v>21</v>
      </c>
      <c r="Y120" s="62" t="s">
        <v>6</v>
      </c>
      <c r="Z120" s="252"/>
      <c r="AB120" s="9" t="s">
        <v>2</v>
      </c>
      <c r="AC120" s="6" t="s">
        <v>3</v>
      </c>
      <c r="AD120" s="7" t="s">
        <v>4</v>
      </c>
      <c r="AE120" s="7" t="s">
        <v>5</v>
      </c>
      <c r="AF120" s="48" t="s">
        <v>20</v>
      </c>
      <c r="AG120" s="8" t="s">
        <v>21</v>
      </c>
      <c r="AH120" s="5" t="s">
        <v>6</v>
      </c>
      <c r="AI120" s="6" t="s">
        <v>3</v>
      </c>
      <c r="AJ120" s="7" t="s">
        <v>4</v>
      </c>
      <c r="AK120" s="7" t="s">
        <v>5</v>
      </c>
      <c r="AL120" s="48" t="s">
        <v>20</v>
      </c>
      <c r="AM120" s="8" t="s">
        <v>21</v>
      </c>
      <c r="AN120" s="5" t="s">
        <v>6</v>
      </c>
      <c r="AO120" s="6" t="s">
        <v>3</v>
      </c>
      <c r="AP120" s="7" t="s">
        <v>4</v>
      </c>
      <c r="AQ120" s="7" t="s">
        <v>5</v>
      </c>
      <c r="AR120" s="48" t="s">
        <v>20</v>
      </c>
      <c r="AS120" s="8" t="s">
        <v>21</v>
      </c>
      <c r="AT120" s="5" t="s">
        <v>6</v>
      </c>
      <c r="AU120" s="7" t="s">
        <v>3</v>
      </c>
      <c r="AV120" s="7" t="s">
        <v>4</v>
      </c>
      <c r="AW120" s="7" t="s">
        <v>5</v>
      </c>
      <c r="AX120" s="48" t="s">
        <v>20</v>
      </c>
      <c r="AY120" s="109" t="s">
        <v>21</v>
      </c>
      <c r="AZ120" s="62" t="s">
        <v>6</v>
      </c>
      <c r="BA120" s="252"/>
    </row>
    <row r="121" spans="1:54" ht="14.25" x14ac:dyDescent="0.15">
      <c r="A121" s="103" t="s">
        <v>43</v>
      </c>
      <c r="B121" s="104">
        <f>B115</f>
        <v>3</v>
      </c>
      <c r="C121" s="105">
        <f>C115</f>
        <v>3</v>
      </c>
      <c r="D121" s="105">
        <f>D115</f>
        <v>2</v>
      </c>
      <c r="E121" s="105">
        <f>E115</f>
        <v>3</v>
      </c>
      <c r="F121" s="105">
        <f>F115</f>
        <v>3</v>
      </c>
      <c r="G121" s="106">
        <f t="shared" ref="G121:G152" si="38">SUM(B121:F121)</f>
        <v>14</v>
      </c>
      <c r="H121" s="104">
        <f>H115</f>
        <v>3</v>
      </c>
      <c r="I121" s="105">
        <f>I115</f>
        <v>3</v>
      </c>
      <c r="J121" s="105">
        <f>J115</f>
        <v>3</v>
      </c>
      <c r="K121" s="105">
        <f>K115</f>
        <v>3</v>
      </c>
      <c r="L121" s="105">
        <f>L115</f>
        <v>3</v>
      </c>
      <c r="M121" s="107">
        <f t="shared" ref="M121:M152" si="39">SUM(H121:L121)</f>
        <v>15</v>
      </c>
      <c r="N121" s="104">
        <f>N115</f>
        <v>3</v>
      </c>
      <c r="O121" s="105">
        <f>O115</f>
        <v>2</v>
      </c>
      <c r="P121" s="105">
        <f>P115</f>
        <v>3</v>
      </c>
      <c r="Q121" s="105">
        <f>Q115</f>
        <v>3</v>
      </c>
      <c r="R121" s="105">
        <f>R115</f>
        <v>1</v>
      </c>
      <c r="S121" s="108">
        <f t="shared" ref="S121:S150" si="40">SUM(N121:R121)</f>
        <v>12</v>
      </c>
      <c r="T121" s="104">
        <f>T115</f>
        <v>3</v>
      </c>
      <c r="U121" s="105">
        <f>U115</f>
        <v>2</v>
      </c>
      <c r="V121" s="105">
        <f>V115</f>
        <v>2</v>
      </c>
      <c r="W121" s="105">
        <f>W115</f>
        <v>4</v>
      </c>
      <c r="X121" s="105">
        <f>X115</f>
        <v>3</v>
      </c>
      <c r="Y121" s="106">
        <f t="shared" ref="Y121:Y150" si="41">SUM(T121:X121)</f>
        <v>14</v>
      </c>
      <c r="Z121" s="106">
        <f>G121+M121+S121+Y121</f>
        <v>55</v>
      </c>
      <c r="AB121" s="103" t="s">
        <v>43</v>
      </c>
      <c r="AC121" s="104">
        <f>AC115</f>
        <v>82</v>
      </c>
      <c r="AD121" s="105">
        <f>AD115</f>
        <v>67</v>
      </c>
      <c r="AE121" s="105">
        <f>AE115</f>
        <v>63</v>
      </c>
      <c r="AF121" s="105">
        <f>AF115</f>
        <v>59</v>
      </c>
      <c r="AG121" s="105">
        <f>AG115</f>
        <v>56</v>
      </c>
      <c r="AH121" s="106">
        <f t="shared" ref="AH121:AH148" si="42">SUM(AC121:AG121)</f>
        <v>327</v>
      </c>
      <c r="AI121" s="104">
        <f>AI115</f>
        <v>97</v>
      </c>
      <c r="AJ121" s="105">
        <f>AJ115</f>
        <v>79</v>
      </c>
      <c r="AK121" s="105">
        <f>AK115</f>
        <v>85</v>
      </c>
      <c r="AL121" s="105">
        <f>AL115</f>
        <v>80</v>
      </c>
      <c r="AM121" s="105">
        <f>AM115</f>
        <v>78</v>
      </c>
      <c r="AN121" s="107">
        <f t="shared" ref="AN121:AN148" si="43">SUM(AI121:AM121)</f>
        <v>419</v>
      </c>
      <c r="AO121" s="104">
        <f>AO115</f>
        <v>37</v>
      </c>
      <c r="AP121" s="105">
        <f>AP115</f>
        <v>47</v>
      </c>
      <c r="AQ121" s="105">
        <f>AQ115</f>
        <v>64</v>
      </c>
      <c r="AR121" s="105">
        <f>AR115</f>
        <v>65</v>
      </c>
      <c r="AS121" s="105">
        <f>AS115</f>
        <v>65</v>
      </c>
      <c r="AT121" s="108">
        <f t="shared" ref="AT121:AT148" si="44">SUM(AO121:AS121)</f>
        <v>278</v>
      </c>
      <c r="AU121" s="104">
        <f>AU115</f>
        <v>63</v>
      </c>
      <c r="AV121" s="105">
        <f>AV115</f>
        <v>53</v>
      </c>
      <c r="AW121" s="105">
        <f>AW115</f>
        <v>58</v>
      </c>
      <c r="AX121" s="105">
        <f>AX115</f>
        <v>65</v>
      </c>
      <c r="AY121" s="105">
        <f>AY115</f>
        <v>53</v>
      </c>
      <c r="AZ121" s="106">
        <f t="shared" ref="AZ121:AZ148" si="45">SUM(AU121:AY121)</f>
        <v>292</v>
      </c>
      <c r="BA121" s="106">
        <f>AH121+AN121+AT121+AZ121</f>
        <v>1316</v>
      </c>
      <c r="BB121" s="101"/>
    </row>
    <row r="122" spans="1:54" ht="14.25" x14ac:dyDescent="0.15">
      <c r="A122" s="10" t="s">
        <v>33</v>
      </c>
      <c r="B122" s="14"/>
      <c r="C122" s="15"/>
      <c r="D122" s="15"/>
      <c r="E122" s="15">
        <v>1</v>
      </c>
      <c r="F122" s="15"/>
      <c r="G122" s="16">
        <f t="shared" si="38"/>
        <v>1</v>
      </c>
      <c r="H122" s="14"/>
      <c r="I122" s="15"/>
      <c r="J122" s="15">
        <v>1</v>
      </c>
      <c r="K122" s="15">
        <v>1</v>
      </c>
      <c r="L122" s="15">
        <v>1</v>
      </c>
      <c r="M122" s="57">
        <f t="shared" si="39"/>
        <v>3</v>
      </c>
      <c r="N122" s="14"/>
      <c r="O122" s="55"/>
      <c r="P122" s="55"/>
      <c r="Q122" s="55"/>
      <c r="R122" s="67"/>
      <c r="S122" s="24">
        <f t="shared" si="40"/>
        <v>0</v>
      </c>
      <c r="T122" s="15"/>
      <c r="U122" s="55"/>
      <c r="V122" s="55"/>
      <c r="W122" s="55"/>
      <c r="X122" s="67"/>
      <c r="Y122" s="24">
        <f t="shared" si="41"/>
        <v>0</v>
      </c>
      <c r="Z122" s="24">
        <f t="shared" ref="Z122:Z150" si="46">G122+M122+S122+Y122</f>
        <v>4</v>
      </c>
      <c r="AA122" s="83">
        <v>43636</v>
      </c>
      <c r="AB122" s="10" t="s">
        <v>7</v>
      </c>
      <c r="AC122" s="14"/>
      <c r="AD122" s="15"/>
      <c r="AE122" s="15"/>
      <c r="AF122" s="15"/>
      <c r="AG122" s="15"/>
      <c r="AH122" s="16">
        <f t="shared" si="42"/>
        <v>0</v>
      </c>
      <c r="AI122" s="14"/>
      <c r="AJ122" s="15"/>
      <c r="AK122" s="15"/>
      <c r="AL122" s="15"/>
      <c r="AM122" s="15"/>
      <c r="AN122" s="57">
        <f t="shared" si="43"/>
        <v>0</v>
      </c>
      <c r="AO122" s="14"/>
      <c r="AP122" s="55"/>
      <c r="AQ122" s="55"/>
      <c r="AR122" s="55"/>
      <c r="AS122" s="67"/>
      <c r="AT122" s="24">
        <f t="shared" si="44"/>
        <v>0</v>
      </c>
      <c r="AU122" s="15"/>
      <c r="AV122" s="55"/>
      <c r="AW122" s="55"/>
      <c r="AX122" s="55"/>
      <c r="AY122" s="67"/>
      <c r="AZ122" s="24">
        <f t="shared" si="45"/>
        <v>0</v>
      </c>
      <c r="BA122" s="24">
        <f t="shared" ref="BA122:BA148" si="47">AH122+AN122+AT122+AZ122</f>
        <v>0</v>
      </c>
      <c r="BB122" s="83"/>
    </row>
    <row r="123" spans="1:54" ht="14.25" x14ac:dyDescent="0.15">
      <c r="A123" s="10" t="s">
        <v>83</v>
      </c>
      <c r="B123" s="41"/>
      <c r="C123" s="42"/>
      <c r="D123" s="42"/>
      <c r="E123" s="42"/>
      <c r="F123" s="42"/>
      <c r="G123" s="37">
        <f t="shared" si="38"/>
        <v>0</v>
      </c>
      <c r="H123" s="41"/>
      <c r="I123" s="42"/>
      <c r="J123" s="42"/>
      <c r="K123" s="42"/>
      <c r="L123" s="42"/>
      <c r="M123" s="114">
        <f t="shared" si="39"/>
        <v>0</v>
      </c>
      <c r="N123" s="41"/>
      <c r="O123" s="53"/>
      <c r="P123" s="53"/>
      <c r="Q123" s="53"/>
      <c r="R123" s="72"/>
      <c r="S123" s="24">
        <f t="shared" si="40"/>
        <v>0</v>
      </c>
      <c r="T123" s="42"/>
      <c r="U123" s="53"/>
      <c r="V123" s="53"/>
      <c r="W123" s="53"/>
      <c r="X123" s="72">
        <v>1</v>
      </c>
      <c r="Y123" s="24">
        <f t="shared" si="41"/>
        <v>1</v>
      </c>
      <c r="Z123" s="24">
        <f t="shared" si="46"/>
        <v>1</v>
      </c>
      <c r="AA123" s="93">
        <v>43637</v>
      </c>
      <c r="AB123" s="10" t="s">
        <v>9</v>
      </c>
      <c r="AC123" s="41"/>
      <c r="AD123" s="42"/>
      <c r="AE123" s="42"/>
      <c r="AF123" s="42"/>
      <c r="AG123" s="42"/>
      <c r="AH123" s="37">
        <f t="shared" si="42"/>
        <v>0</v>
      </c>
      <c r="AI123" s="41"/>
      <c r="AJ123" s="42"/>
      <c r="AK123" s="42"/>
      <c r="AL123" s="42"/>
      <c r="AM123" s="42"/>
      <c r="AN123" s="114">
        <f t="shared" si="43"/>
        <v>0</v>
      </c>
      <c r="AO123" s="41"/>
      <c r="AP123" s="53"/>
      <c r="AQ123" s="53"/>
      <c r="AR123" s="53"/>
      <c r="AS123" s="72"/>
      <c r="AT123" s="24">
        <f t="shared" si="44"/>
        <v>0</v>
      </c>
      <c r="AU123" s="42"/>
      <c r="AV123" s="53"/>
      <c r="AW123" s="53"/>
      <c r="AX123" s="53"/>
      <c r="AY123" s="72"/>
      <c r="AZ123" s="24">
        <f t="shared" si="45"/>
        <v>0</v>
      </c>
      <c r="BA123" s="24">
        <f t="shared" si="47"/>
        <v>0</v>
      </c>
      <c r="BB123" s="128"/>
    </row>
    <row r="124" spans="1:54" ht="14.25" x14ac:dyDescent="0.15">
      <c r="A124" s="10" t="s">
        <v>77</v>
      </c>
      <c r="B124" s="14"/>
      <c r="C124" s="15"/>
      <c r="D124" s="15">
        <v>1</v>
      </c>
      <c r="E124" s="15"/>
      <c r="F124" s="15">
        <v>1</v>
      </c>
      <c r="G124" s="16">
        <f t="shared" si="38"/>
        <v>2</v>
      </c>
      <c r="H124" s="14"/>
      <c r="I124" s="15">
        <v>1</v>
      </c>
      <c r="J124" s="15"/>
      <c r="K124" s="15"/>
      <c r="L124" s="15"/>
      <c r="M124" s="57">
        <f t="shared" si="39"/>
        <v>1</v>
      </c>
      <c r="N124" s="14"/>
      <c r="O124" s="55"/>
      <c r="P124" s="55"/>
      <c r="Q124" s="55"/>
      <c r="R124" s="67"/>
      <c r="S124" s="24">
        <f t="shared" si="40"/>
        <v>0</v>
      </c>
      <c r="T124" s="15"/>
      <c r="U124" s="55"/>
      <c r="V124" s="55"/>
      <c r="W124" s="55"/>
      <c r="X124" s="67"/>
      <c r="Y124" s="24">
        <f t="shared" si="41"/>
        <v>0</v>
      </c>
      <c r="Z124" s="24">
        <f t="shared" si="46"/>
        <v>3</v>
      </c>
      <c r="AA124" s="93">
        <v>43642</v>
      </c>
      <c r="AB124" s="10" t="s">
        <v>10</v>
      </c>
      <c r="AC124" s="14">
        <v>57</v>
      </c>
      <c r="AD124" s="15">
        <v>59</v>
      </c>
      <c r="AE124" s="15">
        <v>50</v>
      </c>
      <c r="AF124" s="15">
        <v>50</v>
      </c>
      <c r="AG124" s="15">
        <v>79</v>
      </c>
      <c r="AH124" s="16">
        <f t="shared" si="42"/>
        <v>295</v>
      </c>
      <c r="AI124" s="14"/>
      <c r="AJ124" s="15"/>
      <c r="AK124" s="15"/>
      <c r="AL124" s="15"/>
      <c r="AM124" s="15"/>
      <c r="AN124" s="57">
        <f t="shared" si="43"/>
        <v>0</v>
      </c>
      <c r="AO124" s="14">
        <v>77</v>
      </c>
      <c r="AP124" s="55">
        <v>88</v>
      </c>
      <c r="AQ124" s="55">
        <v>50</v>
      </c>
      <c r="AR124" s="55">
        <v>48</v>
      </c>
      <c r="AS124" s="67">
        <v>30</v>
      </c>
      <c r="AT124" s="24">
        <f t="shared" si="44"/>
        <v>293</v>
      </c>
      <c r="AU124" s="15">
        <v>60</v>
      </c>
      <c r="AV124" s="55">
        <v>70</v>
      </c>
      <c r="AW124" s="55">
        <v>68</v>
      </c>
      <c r="AX124" s="55">
        <v>69</v>
      </c>
      <c r="AY124" s="67">
        <v>30</v>
      </c>
      <c r="AZ124" s="24">
        <f t="shared" si="45"/>
        <v>297</v>
      </c>
      <c r="BA124" s="24">
        <f t="shared" si="47"/>
        <v>885</v>
      </c>
      <c r="BB124" s="83">
        <v>43623</v>
      </c>
    </row>
    <row r="125" spans="1:54" ht="15" thickBot="1" x14ac:dyDescent="0.2">
      <c r="A125" s="10" t="s">
        <v>83</v>
      </c>
      <c r="B125" s="14"/>
      <c r="C125" s="15"/>
      <c r="D125" s="15"/>
      <c r="E125" s="15"/>
      <c r="F125" s="15"/>
      <c r="G125" s="16">
        <f t="shared" si="38"/>
        <v>0</v>
      </c>
      <c r="H125" s="14"/>
      <c r="I125" s="15"/>
      <c r="J125" s="15"/>
      <c r="K125" s="15"/>
      <c r="L125" s="15"/>
      <c r="M125" s="57">
        <f t="shared" si="39"/>
        <v>0</v>
      </c>
      <c r="N125" s="63"/>
      <c r="O125" s="64"/>
      <c r="P125" s="64">
        <v>2</v>
      </c>
      <c r="Q125" s="64"/>
      <c r="R125" s="69"/>
      <c r="S125" s="82">
        <f t="shared" si="40"/>
        <v>2</v>
      </c>
      <c r="T125" s="73"/>
      <c r="U125" s="64"/>
      <c r="V125" s="64"/>
      <c r="W125" s="64">
        <v>1</v>
      </c>
      <c r="X125" s="69">
        <v>1</v>
      </c>
      <c r="Y125" s="82">
        <f t="shared" si="41"/>
        <v>2</v>
      </c>
      <c r="Z125" s="82">
        <f t="shared" si="46"/>
        <v>4</v>
      </c>
      <c r="AA125" s="93">
        <v>43643</v>
      </c>
      <c r="AB125" s="10" t="s">
        <v>80</v>
      </c>
      <c r="AC125" s="14"/>
      <c r="AD125" s="15"/>
      <c r="AE125" s="15"/>
      <c r="AF125" s="15">
        <v>1</v>
      </c>
      <c r="AG125" s="15"/>
      <c r="AH125" s="16">
        <f t="shared" si="42"/>
        <v>1</v>
      </c>
      <c r="AI125" s="14"/>
      <c r="AJ125" s="15">
        <v>1</v>
      </c>
      <c r="AK125" s="15"/>
      <c r="AL125" s="15"/>
      <c r="AM125" s="15">
        <v>1</v>
      </c>
      <c r="AN125" s="57">
        <f t="shared" si="43"/>
        <v>2</v>
      </c>
      <c r="AO125" s="63">
        <v>1</v>
      </c>
      <c r="AP125" s="64"/>
      <c r="AQ125" s="64">
        <v>2</v>
      </c>
      <c r="AR125" s="64"/>
      <c r="AS125" s="69"/>
      <c r="AT125" s="82">
        <f t="shared" si="44"/>
        <v>3</v>
      </c>
      <c r="AU125" s="73"/>
      <c r="AV125" s="64"/>
      <c r="AW125" s="64">
        <v>1</v>
      </c>
      <c r="AX125" s="64">
        <v>1</v>
      </c>
      <c r="AY125" s="69">
        <v>1</v>
      </c>
      <c r="AZ125" s="82">
        <f t="shared" si="45"/>
        <v>3</v>
      </c>
      <c r="BA125" s="82">
        <f t="shared" si="47"/>
        <v>9</v>
      </c>
      <c r="BB125" s="83">
        <v>43645</v>
      </c>
    </row>
    <row r="126" spans="1:54" ht="15" thickBot="1" x14ac:dyDescent="0.2">
      <c r="A126" s="4" t="s">
        <v>12</v>
      </c>
      <c r="B126" s="17">
        <f>SUM(B121:B125)</f>
        <v>3</v>
      </c>
      <c r="C126" s="18">
        <f>SUM(C121:C125)</f>
        <v>3</v>
      </c>
      <c r="D126" s="18">
        <f>SUM(D121:D125)</f>
        <v>3</v>
      </c>
      <c r="E126" s="18">
        <f>SUM(E121:E125)</f>
        <v>4</v>
      </c>
      <c r="F126" s="18">
        <f>SUM(F121:F125)</f>
        <v>4</v>
      </c>
      <c r="G126" s="19">
        <f t="shared" si="38"/>
        <v>17</v>
      </c>
      <c r="H126" s="17">
        <f>SUM(H121:H125)</f>
        <v>3</v>
      </c>
      <c r="I126" s="18">
        <f>SUM(I121:I125)</f>
        <v>4</v>
      </c>
      <c r="J126" s="18">
        <f>SUM(J121:J125)</f>
        <v>4</v>
      </c>
      <c r="K126" s="18">
        <f>SUM(K121:K125)</f>
        <v>4</v>
      </c>
      <c r="L126" s="18">
        <f>SUM(L121:L125)</f>
        <v>4</v>
      </c>
      <c r="M126" s="25">
        <f t="shared" si="39"/>
        <v>19</v>
      </c>
      <c r="N126" s="65">
        <f>SUM(N121:N125)</f>
        <v>3</v>
      </c>
      <c r="O126" s="18">
        <f>SUM(O121:O125)</f>
        <v>2</v>
      </c>
      <c r="P126" s="18">
        <f>SUM(P121:P125)</f>
        <v>5</v>
      </c>
      <c r="Q126" s="18">
        <f>SUM(Q121:Q125)</f>
        <v>3</v>
      </c>
      <c r="R126" s="70">
        <f>SUM(R121:R125)</f>
        <v>1</v>
      </c>
      <c r="S126" s="49">
        <f t="shared" si="40"/>
        <v>14</v>
      </c>
      <c r="T126" s="74">
        <f>SUM(T121:T125)</f>
        <v>3</v>
      </c>
      <c r="U126" s="18">
        <f>SUM(U121:U125)</f>
        <v>2</v>
      </c>
      <c r="V126" s="18">
        <f>SUM(V121:V125)</f>
        <v>2</v>
      </c>
      <c r="W126" s="18">
        <f>SUM(W121:W125)</f>
        <v>5</v>
      </c>
      <c r="X126" s="70">
        <f>SUM(X121:X125)</f>
        <v>5</v>
      </c>
      <c r="Y126" s="49">
        <f t="shared" si="41"/>
        <v>17</v>
      </c>
      <c r="Z126" s="33">
        <f t="shared" si="46"/>
        <v>67</v>
      </c>
      <c r="AB126" s="4" t="s">
        <v>12</v>
      </c>
      <c r="AC126" s="17">
        <f>SUM(AC121:AC125)</f>
        <v>139</v>
      </c>
      <c r="AD126" s="18">
        <f>SUM(AD121:AD125)</f>
        <v>126</v>
      </c>
      <c r="AE126" s="18">
        <f>SUM(AE121:AE125)</f>
        <v>113</v>
      </c>
      <c r="AF126" s="18">
        <f>SUM(AF121:AF125)</f>
        <v>110</v>
      </c>
      <c r="AG126" s="18">
        <f>SUM(AG121:AG125)</f>
        <v>135</v>
      </c>
      <c r="AH126" s="19">
        <f t="shared" si="42"/>
        <v>623</v>
      </c>
      <c r="AI126" s="17">
        <f>SUM(AI121:AI125)</f>
        <v>97</v>
      </c>
      <c r="AJ126" s="18">
        <f>SUM(AJ121:AJ125)</f>
        <v>80</v>
      </c>
      <c r="AK126" s="18">
        <f>SUM(AK121:AK125)</f>
        <v>85</v>
      </c>
      <c r="AL126" s="18">
        <f>SUM(AL121:AL125)</f>
        <v>80</v>
      </c>
      <c r="AM126" s="18">
        <f>SUM(AM121:AM125)</f>
        <v>79</v>
      </c>
      <c r="AN126" s="25">
        <f t="shared" si="43"/>
        <v>421</v>
      </c>
      <c r="AO126" s="65">
        <f>SUM(AO121:AO125)</f>
        <v>115</v>
      </c>
      <c r="AP126" s="18">
        <f>SUM(AP121:AP125)</f>
        <v>135</v>
      </c>
      <c r="AQ126" s="18">
        <f>SUM(AQ121:AQ125)</f>
        <v>116</v>
      </c>
      <c r="AR126" s="18">
        <f>SUM(AR121:AR125)</f>
        <v>113</v>
      </c>
      <c r="AS126" s="70">
        <f>SUM(AS121:AS125)</f>
        <v>95</v>
      </c>
      <c r="AT126" s="49">
        <f t="shared" si="44"/>
        <v>574</v>
      </c>
      <c r="AU126" s="74">
        <f>SUM(AU121:AU125)</f>
        <v>123</v>
      </c>
      <c r="AV126" s="18">
        <f>SUM(AV121:AV125)</f>
        <v>123</v>
      </c>
      <c r="AW126" s="18">
        <f>SUM(AW121:AW125)</f>
        <v>127</v>
      </c>
      <c r="AX126" s="18">
        <f>SUM(AX121:AX125)</f>
        <v>135</v>
      </c>
      <c r="AY126" s="70">
        <f>SUM(AY121:AY125)</f>
        <v>84</v>
      </c>
      <c r="AZ126" s="49">
        <f t="shared" si="45"/>
        <v>592</v>
      </c>
      <c r="BA126" s="33">
        <f t="shared" si="47"/>
        <v>2210</v>
      </c>
    </row>
    <row r="127" spans="1:54" ht="14.25" x14ac:dyDescent="0.15">
      <c r="A127" s="21" t="s">
        <v>47</v>
      </c>
      <c r="B127" s="34"/>
      <c r="C127" s="35"/>
      <c r="D127" s="35"/>
      <c r="E127" s="35"/>
      <c r="F127" s="35"/>
      <c r="G127" s="36">
        <f t="shared" si="38"/>
        <v>0</v>
      </c>
      <c r="H127" s="34"/>
      <c r="I127" s="35"/>
      <c r="J127" s="35"/>
      <c r="K127" s="35"/>
      <c r="L127" s="35"/>
      <c r="M127" s="36">
        <f t="shared" si="39"/>
        <v>0</v>
      </c>
      <c r="N127" s="39"/>
      <c r="O127" s="56"/>
      <c r="P127" s="56">
        <v>1</v>
      </c>
      <c r="Q127" s="56"/>
      <c r="R127" s="71"/>
      <c r="S127" s="16">
        <f t="shared" si="40"/>
        <v>1</v>
      </c>
      <c r="T127" s="39"/>
      <c r="U127" s="56"/>
      <c r="V127" s="56"/>
      <c r="W127" s="56"/>
      <c r="X127" s="71"/>
      <c r="Y127" s="16">
        <f t="shared" si="41"/>
        <v>0</v>
      </c>
      <c r="Z127" s="16">
        <f t="shared" si="46"/>
        <v>1</v>
      </c>
      <c r="AA127" s="83">
        <v>43634</v>
      </c>
      <c r="AB127" s="21" t="s">
        <v>103</v>
      </c>
      <c r="AC127" s="34"/>
      <c r="AD127" s="35">
        <v>1</v>
      </c>
      <c r="AE127" s="35">
        <v>3</v>
      </c>
      <c r="AF127" s="35"/>
      <c r="AG127" s="35">
        <v>1</v>
      </c>
      <c r="AH127" s="36">
        <f t="shared" si="42"/>
        <v>5</v>
      </c>
      <c r="AI127" s="34"/>
      <c r="AJ127" s="35"/>
      <c r="AK127" s="35"/>
      <c r="AL127" s="35"/>
      <c r="AM127" s="35"/>
      <c r="AN127" s="36">
        <f t="shared" si="43"/>
        <v>0</v>
      </c>
      <c r="AO127" s="39"/>
      <c r="AP127" s="56"/>
      <c r="AQ127" s="56"/>
      <c r="AR127" s="56"/>
      <c r="AS127" s="71"/>
      <c r="AT127" s="16">
        <f t="shared" si="44"/>
        <v>0</v>
      </c>
      <c r="AU127" s="39"/>
      <c r="AV127" s="56"/>
      <c r="AW127" s="56"/>
      <c r="AX127" s="56"/>
      <c r="AY127" s="71"/>
      <c r="AZ127" s="16">
        <f t="shared" si="45"/>
        <v>0</v>
      </c>
      <c r="BA127" s="16">
        <f t="shared" si="47"/>
        <v>5</v>
      </c>
      <c r="BB127" s="83">
        <v>43631</v>
      </c>
    </row>
    <row r="128" spans="1:54" ht="14.25" x14ac:dyDescent="0.15">
      <c r="A128" s="21" t="s">
        <v>47</v>
      </c>
      <c r="B128" s="41"/>
      <c r="C128" s="42"/>
      <c r="D128" s="42"/>
      <c r="E128" s="42"/>
      <c r="F128" s="42">
        <v>1</v>
      </c>
      <c r="G128" s="43">
        <f t="shared" si="38"/>
        <v>1</v>
      </c>
      <c r="H128" s="41"/>
      <c r="I128" s="42"/>
      <c r="J128" s="42"/>
      <c r="K128" s="42"/>
      <c r="L128" s="42"/>
      <c r="M128" s="43">
        <f t="shared" si="39"/>
        <v>0</v>
      </c>
      <c r="N128" s="42"/>
      <c r="O128" s="53"/>
      <c r="P128" s="53"/>
      <c r="Q128" s="53"/>
      <c r="R128" s="72"/>
      <c r="S128" s="24">
        <f t="shared" si="40"/>
        <v>0</v>
      </c>
      <c r="T128" s="42"/>
      <c r="U128" s="53"/>
      <c r="V128" s="53"/>
      <c r="W128" s="53"/>
      <c r="X128" s="72"/>
      <c r="Y128" s="24">
        <f t="shared" si="41"/>
        <v>0</v>
      </c>
      <c r="Z128" s="24">
        <f t="shared" si="46"/>
        <v>1</v>
      </c>
      <c r="AA128" s="83">
        <v>43635</v>
      </c>
      <c r="AB128" s="21" t="s">
        <v>104</v>
      </c>
      <c r="AC128" s="41"/>
      <c r="AD128" s="42"/>
      <c r="AE128" s="42">
        <v>1</v>
      </c>
      <c r="AF128" s="42"/>
      <c r="AG128" s="42"/>
      <c r="AH128" s="43">
        <f t="shared" si="42"/>
        <v>1</v>
      </c>
      <c r="AI128" s="41"/>
      <c r="AJ128" s="42"/>
      <c r="AK128" s="42"/>
      <c r="AL128" s="42"/>
      <c r="AM128" s="42"/>
      <c r="AN128" s="43">
        <f t="shared" si="43"/>
        <v>0</v>
      </c>
      <c r="AO128" s="42"/>
      <c r="AP128" s="53"/>
      <c r="AQ128" s="53"/>
      <c r="AR128" s="53"/>
      <c r="AS128" s="72"/>
      <c r="AT128" s="24">
        <f t="shared" si="44"/>
        <v>0</v>
      </c>
      <c r="AU128" s="42"/>
      <c r="AV128" s="53"/>
      <c r="AW128" s="53"/>
      <c r="AX128" s="53"/>
      <c r="AY128" s="72"/>
      <c r="AZ128" s="24">
        <f t="shared" si="45"/>
        <v>0</v>
      </c>
      <c r="BA128" s="24">
        <f t="shared" si="47"/>
        <v>1</v>
      </c>
      <c r="BB128" s="83">
        <v>43633</v>
      </c>
    </row>
    <row r="129" spans="1:55" ht="14.25" x14ac:dyDescent="0.15">
      <c r="A129" s="40" t="s">
        <v>48</v>
      </c>
      <c r="B129" s="41"/>
      <c r="C129" s="42"/>
      <c r="D129" s="42"/>
      <c r="E129" s="42"/>
      <c r="F129" s="42"/>
      <c r="G129" s="43">
        <f t="shared" si="38"/>
        <v>0</v>
      </c>
      <c r="H129" s="41"/>
      <c r="I129" s="42">
        <v>1</v>
      </c>
      <c r="J129" s="42"/>
      <c r="K129" s="42"/>
      <c r="L129" s="42"/>
      <c r="M129" s="43">
        <f t="shared" si="39"/>
        <v>1</v>
      </c>
      <c r="N129" s="42"/>
      <c r="O129" s="53"/>
      <c r="P129" s="53"/>
      <c r="Q129" s="53"/>
      <c r="R129" s="72"/>
      <c r="S129" s="24">
        <f t="shared" si="40"/>
        <v>0</v>
      </c>
      <c r="T129" s="42"/>
      <c r="U129" s="53"/>
      <c r="V129" s="53"/>
      <c r="W129" s="53"/>
      <c r="X129" s="72"/>
      <c r="Y129" s="24">
        <f t="shared" si="41"/>
        <v>0</v>
      </c>
      <c r="Z129" s="24">
        <f t="shared" si="46"/>
        <v>1</v>
      </c>
      <c r="AA129" s="93">
        <v>43634</v>
      </c>
      <c r="AB129" s="21" t="s">
        <v>29</v>
      </c>
      <c r="AC129" s="41"/>
      <c r="AD129" s="42"/>
      <c r="AE129" s="42"/>
      <c r="AF129" s="42"/>
      <c r="AG129" s="42"/>
      <c r="AH129" s="43">
        <f t="shared" si="42"/>
        <v>0</v>
      </c>
      <c r="AI129" s="41"/>
      <c r="AJ129" s="42"/>
      <c r="AK129" s="42"/>
      <c r="AL129" s="42"/>
      <c r="AM129" s="42">
        <v>5</v>
      </c>
      <c r="AN129" s="43">
        <f t="shared" si="43"/>
        <v>5</v>
      </c>
      <c r="AO129" s="42"/>
      <c r="AP129" s="53"/>
      <c r="AQ129" s="53"/>
      <c r="AR129" s="53"/>
      <c r="AS129" s="72"/>
      <c r="AT129" s="24">
        <f t="shared" si="44"/>
        <v>0</v>
      </c>
      <c r="AU129" s="42"/>
      <c r="AV129" s="53"/>
      <c r="AW129" s="53"/>
      <c r="AX129" s="53"/>
      <c r="AY129" s="72"/>
      <c r="AZ129" s="24">
        <f t="shared" si="45"/>
        <v>0</v>
      </c>
      <c r="BA129" s="24">
        <f t="shared" si="47"/>
        <v>5</v>
      </c>
      <c r="BB129" s="83">
        <v>43640</v>
      </c>
    </row>
    <row r="130" spans="1:55" ht="14.25" x14ac:dyDescent="0.15">
      <c r="A130" s="40" t="s">
        <v>48</v>
      </c>
      <c r="B130" s="41"/>
      <c r="C130" s="42">
        <v>1</v>
      </c>
      <c r="D130" s="42"/>
      <c r="E130" s="42"/>
      <c r="F130" s="42"/>
      <c r="G130" s="43">
        <f t="shared" si="38"/>
        <v>1</v>
      </c>
      <c r="H130" s="41"/>
      <c r="I130" s="42"/>
      <c r="J130" s="42"/>
      <c r="K130" s="42"/>
      <c r="L130" s="42"/>
      <c r="M130" s="43">
        <f t="shared" si="39"/>
        <v>0</v>
      </c>
      <c r="N130" s="42"/>
      <c r="O130" s="53"/>
      <c r="P130" s="53"/>
      <c r="Q130" s="53"/>
      <c r="R130" s="72"/>
      <c r="S130" s="43">
        <f t="shared" si="40"/>
        <v>0</v>
      </c>
      <c r="T130" s="42"/>
      <c r="U130" s="53"/>
      <c r="V130" s="53"/>
      <c r="W130" s="53"/>
      <c r="X130" s="72"/>
      <c r="Y130" s="43">
        <f t="shared" si="41"/>
        <v>0</v>
      </c>
      <c r="Z130" s="43">
        <f t="shared" si="46"/>
        <v>1</v>
      </c>
      <c r="AA130" s="93">
        <v>43640</v>
      </c>
      <c r="AB130" s="21" t="s">
        <v>105</v>
      </c>
      <c r="AC130" s="41"/>
      <c r="AD130" s="42">
        <v>1</v>
      </c>
      <c r="AE130" s="42">
        <v>2</v>
      </c>
      <c r="AF130" s="42"/>
      <c r="AG130" s="42">
        <v>2</v>
      </c>
      <c r="AH130" s="43">
        <f t="shared" si="42"/>
        <v>5</v>
      </c>
      <c r="AI130" s="41"/>
      <c r="AJ130" s="42"/>
      <c r="AK130" s="42"/>
      <c r="AL130" s="42"/>
      <c r="AM130" s="42"/>
      <c r="AN130" s="43">
        <f t="shared" si="43"/>
        <v>0</v>
      </c>
      <c r="AO130" s="42"/>
      <c r="AP130" s="53"/>
      <c r="AQ130" s="53"/>
      <c r="AR130" s="53"/>
      <c r="AS130" s="72">
        <v>2</v>
      </c>
      <c r="AT130" s="43">
        <f t="shared" si="44"/>
        <v>2</v>
      </c>
      <c r="AU130" s="42">
        <v>1</v>
      </c>
      <c r="AV130" s="53"/>
      <c r="AW130" s="53"/>
      <c r="AX130" s="53"/>
      <c r="AY130" s="72">
        <v>1</v>
      </c>
      <c r="AZ130" s="43">
        <f t="shared" si="45"/>
        <v>2</v>
      </c>
      <c r="BA130" s="43">
        <f t="shared" si="47"/>
        <v>9</v>
      </c>
      <c r="BB130" s="83">
        <v>43635</v>
      </c>
    </row>
    <row r="131" spans="1:55" x14ac:dyDescent="0.15">
      <c r="A131" s="40" t="s">
        <v>115</v>
      </c>
      <c r="B131" s="41"/>
      <c r="C131" s="42"/>
      <c r="D131" s="42"/>
      <c r="E131" s="42">
        <v>-1</v>
      </c>
      <c r="F131" s="42"/>
      <c r="G131" s="43">
        <f t="shared" si="38"/>
        <v>-1</v>
      </c>
      <c r="H131" s="41"/>
      <c r="I131" s="42">
        <v>-1</v>
      </c>
      <c r="J131" s="42"/>
      <c r="K131" s="42"/>
      <c r="L131" s="42">
        <v>-1</v>
      </c>
      <c r="M131" s="43">
        <f t="shared" si="39"/>
        <v>-2</v>
      </c>
      <c r="N131" s="42">
        <v>-1</v>
      </c>
      <c r="O131" s="53"/>
      <c r="P131" s="53"/>
      <c r="Q131" s="53"/>
      <c r="R131" s="72"/>
      <c r="S131" s="24">
        <f t="shared" si="40"/>
        <v>-1</v>
      </c>
      <c r="T131" s="42"/>
      <c r="U131" s="53"/>
      <c r="V131" s="53">
        <v>-1</v>
      </c>
      <c r="W131" s="53"/>
      <c r="X131" s="72"/>
      <c r="Y131" s="24">
        <f t="shared" si="41"/>
        <v>-1</v>
      </c>
      <c r="Z131" s="24">
        <f t="shared" si="46"/>
        <v>-5</v>
      </c>
      <c r="AA131" s="83">
        <v>43645</v>
      </c>
      <c r="AB131" s="123" t="s">
        <v>131</v>
      </c>
      <c r="AC131" s="41">
        <v>2</v>
      </c>
      <c r="AD131" s="42">
        <v>1</v>
      </c>
      <c r="AE131" s="42">
        <v>3</v>
      </c>
      <c r="AF131" s="42">
        <v>2</v>
      </c>
      <c r="AG131" s="42">
        <v>2</v>
      </c>
      <c r="AH131" s="43">
        <f t="shared" si="42"/>
        <v>10</v>
      </c>
      <c r="AI131" s="41">
        <v>2</v>
      </c>
      <c r="AJ131" s="42">
        <v>1</v>
      </c>
      <c r="AK131" s="42">
        <v>3</v>
      </c>
      <c r="AL131" s="42">
        <v>2</v>
      </c>
      <c r="AM131" s="42">
        <v>2</v>
      </c>
      <c r="AN131" s="43">
        <f t="shared" si="43"/>
        <v>10</v>
      </c>
      <c r="AO131" s="42">
        <v>2</v>
      </c>
      <c r="AP131" s="53">
        <v>1</v>
      </c>
      <c r="AQ131" s="53">
        <v>3</v>
      </c>
      <c r="AR131" s="53">
        <v>2</v>
      </c>
      <c r="AS131" s="72">
        <v>2</v>
      </c>
      <c r="AT131" s="24">
        <f t="shared" si="44"/>
        <v>10</v>
      </c>
      <c r="AU131" s="42">
        <v>2</v>
      </c>
      <c r="AV131" s="53">
        <v>1</v>
      </c>
      <c r="AW131" s="53">
        <v>3</v>
      </c>
      <c r="AX131" s="53">
        <v>2</v>
      </c>
      <c r="AY131" s="72">
        <v>2</v>
      </c>
      <c r="AZ131" s="24">
        <f t="shared" si="45"/>
        <v>10</v>
      </c>
      <c r="BA131" s="24">
        <f t="shared" si="47"/>
        <v>40</v>
      </c>
      <c r="BB131" s="83">
        <v>43649</v>
      </c>
    </row>
    <row r="132" spans="1:55" ht="14.25" x14ac:dyDescent="0.15">
      <c r="A132" s="21" t="s">
        <v>78</v>
      </c>
      <c r="B132" s="41"/>
      <c r="C132" s="42"/>
      <c r="D132" s="42"/>
      <c r="E132" s="42">
        <v>1</v>
      </c>
      <c r="F132" s="42"/>
      <c r="G132" s="43">
        <f t="shared" si="38"/>
        <v>1</v>
      </c>
      <c r="H132" s="41"/>
      <c r="I132" s="42">
        <v>1</v>
      </c>
      <c r="J132" s="42"/>
      <c r="K132" s="42"/>
      <c r="L132" s="42">
        <v>1</v>
      </c>
      <c r="M132" s="43">
        <f t="shared" si="39"/>
        <v>2</v>
      </c>
      <c r="N132" s="42">
        <v>1</v>
      </c>
      <c r="O132" s="53"/>
      <c r="P132" s="53">
        <v>2</v>
      </c>
      <c r="Q132" s="53"/>
      <c r="R132" s="72"/>
      <c r="S132" s="24">
        <f t="shared" si="40"/>
        <v>3</v>
      </c>
      <c r="T132" s="42"/>
      <c r="U132" s="53"/>
      <c r="V132" s="53">
        <v>1</v>
      </c>
      <c r="W132" s="53">
        <v>1</v>
      </c>
      <c r="X132" s="72">
        <v>1</v>
      </c>
      <c r="Y132" s="24">
        <f t="shared" si="41"/>
        <v>3</v>
      </c>
      <c r="Z132" s="24">
        <f t="shared" si="46"/>
        <v>9</v>
      </c>
      <c r="AA132" s="83">
        <v>43645</v>
      </c>
      <c r="AB132" s="21" t="s">
        <v>107</v>
      </c>
      <c r="AC132" s="41"/>
      <c r="AD132" s="42">
        <v>1</v>
      </c>
      <c r="AE132" s="42">
        <v>1</v>
      </c>
      <c r="AF132" s="42"/>
      <c r="AG132" s="42"/>
      <c r="AH132" s="43">
        <f t="shared" si="42"/>
        <v>2</v>
      </c>
      <c r="AI132" s="41"/>
      <c r="AJ132" s="42"/>
      <c r="AK132" s="42"/>
      <c r="AL132" s="42"/>
      <c r="AM132" s="42"/>
      <c r="AN132" s="43">
        <f t="shared" si="43"/>
        <v>0</v>
      </c>
      <c r="AO132" s="42"/>
      <c r="AP132" s="53"/>
      <c r="AQ132" s="53"/>
      <c r="AR132" s="53"/>
      <c r="AS132" s="72"/>
      <c r="AT132" s="24">
        <f t="shared" si="44"/>
        <v>0</v>
      </c>
      <c r="AU132" s="42"/>
      <c r="AV132" s="53"/>
      <c r="AW132" s="53"/>
      <c r="AX132" s="53">
        <v>2</v>
      </c>
      <c r="AY132" s="72"/>
      <c r="AZ132" s="24">
        <f t="shared" si="45"/>
        <v>2</v>
      </c>
      <c r="BA132" s="24">
        <f t="shared" si="47"/>
        <v>4</v>
      </c>
      <c r="BB132" s="83">
        <v>43636</v>
      </c>
    </row>
    <row r="133" spans="1:55" ht="14.25" x14ac:dyDescent="0.15">
      <c r="A133" s="40" t="s">
        <v>48</v>
      </c>
      <c r="B133" s="41"/>
      <c r="C133" s="42">
        <v>1</v>
      </c>
      <c r="D133" s="42"/>
      <c r="E133" s="42">
        <v>1</v>
      </c>
      <c r="F133" s="42"/>
      <c r="G133" s="43">
        <f t="shared" si="38"/>
        <v>2</v>
      </c>
      <c r="H133" s="41"/>
      <c r="I133" s="42"/>
      <c r="J133" s="42"/>
      <c r="K133" s="42"/>
      <c r="L133" s="42"/>
      <c r="M133" s="43">
        <f t="shared" si="39"/>
        <v>0</v>
      </c>
      <c r="N133" s="42"/>
      <c r="O133" s="53"/>
      <c r="P133" s="53"/>
      <c r="Q133" s="53"/>
      <c r="R133" s="72"/>
      <c r="S133" s="24">
        <f t="shared" si="40"/>
        <v>0</v>
      </c>
      <c r="T133" s="42"/>
      <c r="U133" s="53"/>
      <c r="V133" s="53"/>
      <c r="W133" s="53"/>
      <c r="X133" s="72"/>
      <c r="Y133" s="24">
        <f t="shared" si="41"/>
        <v>0</v>
      </c>
      <c r="Z133" s="24">
        <f t="shared" si="46"/>
        <v>2</v>
      </c>
      <c r="AA133" s="93">
        <v>43648</v>
      </c>
      <c r="AB133" s="21" t="s">
        <v>108</v>
      </c>
      <c r="AC133" s="41">
        <v>1</v>
      </c>
      <c r="AD133" s="42">
        <v>1</v>
      </c>
      <c r="AE133" s="42">
        <v>2</v>
      </c>
      <c r="AF133" s="42">
        <v>3</v>
      </c>
      <c r="AG133" s="42">
        <v>1</v>
      </c>
      <c r="AH133" s="43">
        <f t="shared" si="42"/>
        <v>8</v>
      </c>
      <c r="AI133" s="41"/>
      <c r="AJ133" s="42"/>
      <c r="AK133" s="42"/>
      <c r="AL133" s="42"/>
      <c r="AM133" s="42"/>
      <c r="AN133" s="43">
        <f t="shared" si="43"/>
        <v>0</v>
      </c>
      <c r="AO133" s="42"/>
      <c r="AP133" s="53"/>
      <c r="AQ133" s="53"/>
      <c r="AR133" s="53"/>
      <c r="AS133" s="72">
        <v>1</v>
      </c>
      <c r="AT133" s="24">
        <f t="shared" si="44"/>
        <v>1</v>
      </c>
      <c r="AU133" s="42"/>
      <c r="AV133" s="53"/>
      <c r="AW133" s="53"/>
      <c r="AX133" s="53">
        <v>3</v>
      </c>
      <c r="AY133" s="72"/>
      <c r="AZ133" s="24">
        <f t="shared" si="45"/>
        <v>3</v>
      </c>
      <c r="BA133" s="24">
        <f t="shared" si="47"/>
        <v>12</v>
      </c>
      <c r="BB133" s="83">
        <v>43637</v>
      </c>
    </row>
    <row r="134" spans="1:55" ht="14.25" x14ac:dyDescent="0.15">
      <c r="A134" s="21" t="s">
        <v>47</v>
      </c>
      <c r="B134" s="41"/>
      <c r="C134" s="42"/>
      <c r="D134" s="42"/>
      <c r="E134" s="42"/>
      <c r="F134" s="42"/>
      <c r="G134" s="43">
        <f t="shared" si="38"/>
        <v>0</v>
      </c>
      <c r="H134" s="41"/>
      <c r="I134" s="42"/>
      <c r="J134" s="42"/>
      <c r="K134" s="42"/>
      <c r="L134" s="42"/>
      <c r="M134" s="43">
        <f t="shared" si="39"/>
        <v>0</v>
      </c>
      <c r="N134" s="42"/>
      <c r="O134" s="53"/>
      <c r="P134" s="53">
        <v>1</v>
      </c>
      <c r="Q134" s="53"/>
      <c r="R134" s="72"/>
      <c r="S134" s="24">
        <f t="shared" si="40"/>
        <v>1</v>
      </c>
      <c r="T134" s="42"/>
      <c r="U134" s="53"/>
      <c r="V134" s="53"/>
      <c r="W134" s="53"/>
      <c r="X134" s="72"/>
      <c r="Y134" s="24">
        <f t="shared" si="41"/>
        <v>0</v>
      </c>
      <c r="Z134" s="24">
        <f t="shared" si="46"/>
        <v>1</v>
      </c>
      <c r="AA134" s="83">
        <v>43650</v>
      </c>
      <c r="AB134" s="21" t="s">
        <v>29</v>
      </c>
      <c r="AC134" s="41"/>
      <c r="AD134" s="42">
        <v>5</v>
      </c>
      <c r="AE134" s="42"/>
      <c r="AF134" s="42">
        <v>5</v>
      </c>
      <c r="AG134" s="42"/>
      <c r="AH134" s="43">
        <f t="shared" si="42"/>
        <v>10</v>
      </c>
      <c r="AI134" s="41"/>
      <c r="AJ134" s="42"/>
      <c r="AK134" s="42"/>
      <c r="AL134" s="42"/>
      <c r="AM134" s="42"/>
      <c r="AN134" s="43">
        <f t="shared" si="43"/>
        <v>0</v>
      </c>
      <c r="AO134" s="42"/>
      <c r="AP134" s="53"/>
      <c r="AQ134" s="53"/>
      <c r="AR134" s="53"/>
      <c r="AS134" s="72"/>
      <c r="AT134" s="24">
        <f t="shared" si="44"/>
        <v>0</v>
      </c>
      <c r="AU134" s="42"/>
      <c r="AV134" s="53"/>
      <c r="AW134" s="53"/>
      <c r="AX134" s="53"/>
      <c r="AY134" s="72"/>
      <c r="AZ134" s="24">
        <f t="shared" si="45"/>
        <v>0</v>
      </c>
      <c r="BA134" s="24">
        <f t="shared" si="47"/>
        <v>10</v>
      </c>
      <c r="BB134" s="83">
        <v>43643</v>
      </c>
    </row>
    <row r="135" spans="1:55" ht="14.25" x14ac:dyDescent="0.15">
      <c r="A135" s="10" t="s">
        <v>33</v>
      </c>
      <c r="B135" s="41"/>
      <c r="C135" s="42"/>
      <c r="D135" s="42">
        <v>-1</v>
      </c>
      <c r="E135" s="42">
        <v>-1</v>
      </c>
      <c r="F135" s="42"/>
      <c r="G135" s="43">
        <f t="shared" si="38"/>
        <v>-2</v>
      </c>
      <c r="H135" s="41">
        <v>-1</v>
      </c>
      <c r="I135" s="42">
        <v>-1</v>
      </c>
      <c r="J135" s="42"/>
      <c r="K135" s="42"/>
      <c r="L135" s="42"/>
      <c r="M135" s="43">
        <f t="shared" si="39"/>
        <v>-2</v>
      </c>
      <c r="N135" s="42"/>
      <c r="O135" s="53"/>
      <c r="P135" s="53"/>
      <c r="Q135" s="53"/>
      <c r="R135" s="72"/>
      <c r="S135" s="24">
        <f t="shared" si="40"/>
        <v>0</v>
      </c>
      <c r="T135" s="42"/>
      <c r="U135" s="53"/>
      <c r="V135" s="53"/>
      <c r="W135" s="53"/>
      <c r="X135" s="72"/>
      <c r="Y135" s="24">
        <f t="shared" si="41"/>
        <v>0</v>
      </c>
      <c r="Z135" s="24">
        <f t="shared" si="46"/>
        <v>-4</v>
      </c>
      <c r="AA135" s="93">
        <v>43651</v>
      </c>
      <c r="AB135" s="21" t="s">
        <v>109</v>
      </c>
      <c r="AC135" s="41">
        <v>1</v>
      </c>
      <c r="AD135" s="42">
        <v>3</v>
      </c>
      <c r="AE135" s="42">
        <v>1</v>
      </c>
      <c r="AF135" s="42">
        <v>1</v>
      </c>
      <c r="AG135" s="42">
        <v>5</v>
      </c>
      <c r="AH135" s="43">
        <f t="shared" si="42"/>
        <v>11</v>
      </c>
      <c r="AI135" s="41"/>
      <c r="AJ135" s="42"/>
      <c r="AK135" s="42"/>
      <c r="AL135" s="42"/>
      <c r="AM135" s="42"/>
      <c r="AN135" s="43">
        <f t="shared" si="43"/>
        <v>0</v>
      </c>
      <c r="AO135" s="42"/>
      <c r="AP135" s="53"/>
      <c r="AQ135" s="53"/>
      <c r="AR135" s="53"/>
      <c r="AS135" s="72"/>
      <c r="AT135" s="24">
        <f t="shared" si="44"/>
        <v>0</v>
      </c>
      <c r="AU135" s="42"/>
      <c r="AV135" s="53"/>
      <c r="AW135" s="53"/>
      <c r="AX135" s="53"/>
      <c r="AY135" s="72"/>
      <c r="AZ135" s="24">
        <f t="shared" si="45"/>
        <v>0</v>
      </c>
      <c r="BA135" s="24">
        <f t="shared" si="47"/>
        <v>11</v>
      </c>
      <c r="BB135" s="83">
        <v>43638</v>
      </c>
    </row>
    <row r="136" spans="1:55" ht="14.25" x14ac:dyDescent="0.15">
      <c r="A136" s="21"/>
      <c r="B136" s="44"/>
      <c r="C136" s="45"/>
      <c r="D136" s="45"/>
      <c r="E136" s="45"/>
      <c r="F136" s="45"/>
      <c r="G136" s="43">
        <f t="shared" si="38"/>
        <v>0</v>
      </c>
      <c r="H136" s="44"/>
      <c r="I136" s="45"/>
      <c r="J136" s="45"/>
      <c r="K136" s="45"/>
      <c r="L136" s="45"/>
      <c r="M136" s="43">
        <f t="shared" si="39"/>
        <v>0</v>
      </c>
      <c r="N136" s="42"/>
      <c r="O136" s="53"/>
      <c r="P136" s="53"/>
      <c r="Q136" s="53"/>
      <c r="R136" s="72"/>
      <c r="S136" s="24">
        <f t="shared" si="40"/>
        <v>0</v>
      </c>
      <c r="T136" s="42"/>
      <c r="U136" s="53"/>
      <c r="V136" s="53"/>
      <c r="W136" s="53"/>
      <c r="X136" s="72"/>
      <c r="Y136" s="24">
        <f t="shared" si="41"/>
        <v>0</v>
      </c>
      <c r="Z136" s="24">
        <f t="shared" si="46"/>
        <v>0</v>
      </c>
      <c r="AB136" s="21" t="s">
        <v>110</v>
      </c>
      <c r="AC136" s="44"/>
      <c r="AD136" s="45">
        <v>2</v>
      </c>
      <c r="AE136" s="45">
        <v>1</v>
      </c>
      <c r="AF136" s="45">
        <v>2</v>
      </c>
      <c r="AG136" s="45">
        <v>2</v>
      </c>
      <c r="AH136" s="43">
        <f t="shared" si="42"/>
        <v>7</v>
      </c>
      <c r="AI136" s="44"/>
      <c r="AJ136" s="45"/>
      <c r="AK136" s="45"/>
      <c r="AL136" s="45"/>
      <c r="AM136" s="45"/>
      <c r="AN136" s="43">
        <f t="shared" si="43"/>
        <v>0</v>
      </c>
      <c r="AO136" s="42"/>
      <c r="AP136" s="53"/>
      <c r="AQ136" s="53">
        <v>1</v>
      </c>
      <c r="AR136" s="53"/>
      <c r="AS136" s="72"/>
      <c r="AT136" s="24">
        <f t="shared" si="44"/>
        <v>1</v>
      </c>
      <c r="AU136" s="42"/>
      <c r="AV136" s="53"/>
      <c r="AW136" s="53">
        <v>1</v>
      </c>
      <c r="AX136" s="53"/>
      <c r="AY136" s="72"/>
      <c r="AZ136" s="24">
        <f t="shared" si="45"/>
        <v>1</v>
      </c>
      <c r="BA136" s="24">
        <f t="shared" si="47"/>
        <v>9</v>
      </c>
      <c r="BB136" s="83">
        <v>43641</v>
      </c>
    </row>
    <row r="137" spans="1:55" ht="14.25" x14ac:dyDescent="0.15">
      <c r="A137" s="21"/>
      <c r="B137" s="41"/>
      <c r="C137" s="42"/>
      <c r="D137" s="42"/>
      <c r="E137" s="42"/>
      <c r="F137" s="42"/>
      <c r="G137" s="43">
        <f t="shared" si="38"/>
        <v>0</v>
      </c>
      <c r="H137" s="41"/>
      <c r="I137" s="42"/>
      <c r="J137" s="42"/>
      <c r="K137" s="42"/>
      <c r="L137" s="42"/>
      <c r="M137" s="43">
        <f t="shared" si="39"/>
        <v>0</v>
      </c>
      <c r="N137" s="42"/>
      <c r="O137" s="53"/>
      <c r="P137" s="53"/>
      <c r="Q137" s="53"/>
      <c r="R137" s="72"/>
      <c r="S137" s="24">
        <f t="shared" si="40"/>
        <v>0</v>
      </c>
      <c r="T137" s="42"/>
      <c r="U137" s="53"/>
      <c r="V137" s="53"/>
      <c r="W137" s="53"/>
      <c r="X137" s="72"/>
      <c r="Y137" s="24">
        <f t="shared" si="41"/>
        <v>0</v>
      </c>
      <c r="Z137" s="24">
        <f t="shared" si="46"/>
        <v>0</v>
      </c>
      <c r="AB137" s="21" t="s">
        <v>29</v>
      </c>
      <c r="AC137" s="41"/>
      <c r="AD137" s="42"/>
      <c r="AE137" s="42"/>
      <c r="AF137" s="42"/>
      <c r="AG137" s="42"/>
      <c r="AH137" s="43">
        <f t="shared" si="42"/>
        <v>0</v>
      </c>
      <c r="AI137" s="41">
        <v>5</v>
      </c>
      <c r="AJ137" s="42"/>
      <c r="AK137" s="42"/>
      <c r="AL137" s="42"/>
      <c r="AM137" s="42"/>
      <c r="AN137" s="43">
        <f t="shared" si="43"/>
        <v>5</v>
      </c>
      <c r="AO137" s="42"/>
      <c r="AP137" s="53"/>
      <c r="AQ137" s="53"/>
      <c r="AR137" s="53"/>
      <c r="AS137" s="72"/>
      <c r="AT137" s="24">
        <f t="shared" si="44"/>
        <v>0</v>
      </c>
      <c r="AU137" s="42"/>
      <c r="AV137" s="53"/>
      <c r="AW137" s="53"/>
      <c r="AX137" s="53"/>
      <c r="AY137" s="72"/>
      <c r="AZ137" s="24">
        <f t="shared" si="45"/>
        <v>0</v>
      </c>
      <c r="BA137" s="24">
        <f t="shared" si="47"/>
        <v>5</v>
      </c>
      <c r="BB137" s="83">
        <v>43650</v>
      </c>
    </row>
    <row r="138" spans="1:55" ht="14.25" x14ac:dyDescent="0.15">
      <c r="A138" s="21"/>
      <c r="B138" s="41"/>
      <c r="C138" s="42"/>
      <c r="D138" s="42"/>
      <c r="E138" s="42"/>
      <c r="F138" s="42"/>
      <c r="G138" s="43">
        <f t="shared" si="38"/>
        <v>0</v>
      </c>
      <c r="H138" s="41"/>
      <c r="I138" s="42"/>
      <c r="J138" s="42"/>
      <c r="K138" s="42"/>
      <c r="L138" s="42"/>
      <c r="M138" s="43">
        <f t="shared" si="39"/>
        <v>0</v>
      </c>
      <c r="N138" s="42"/>
      <c r="O138" s="53"/>
      <c r="P138" s="53"/>
      <c r="Q138" s="53"/>
      <c r="R138" s="72"/>
      <c r="S138" s="24">
        <f t="shared" si="40"/>
        <v>0</v>
      </c>
      <c r="T138" s="42"/>
      <c r="U138" s="53"/>
      <c r="V138" s="53"/>
      <c r="W138" s="53"/>
      <c r="X138" s="72"/>
      <c r="Y138" s="24">
        <f t="shared" si="41"/>
        <v>0</v>
      </c>
      <c r="Z138" s="24">
        <f t="shared" si="46"/>
        <v>0</v>
      </c>
      <c r="AB138" s="21" t="s">
        <v>111</v>
      </c>
      <c r="AC138" s="41"/>
      <c r="AD138" s="42"/>
      <c r="AE138" s="42">
        <v>1</v>
      </c>
      <c r="AF138" s="42">
        <v>1</v>
      </c>
      <c r="AG138" s="42"/>
      <c r="AH138" s="43">
        <f t="shared" si="42"/>
        <v>2</v>
      </c>
      <c r="AI138" s="41"/>
      <c r="AJ138" s="42"/>
      <c r="AK138" s="42"/>
      <c r="AL138" s="42"/>
      <c r="AM138" s="42"/>
      <c r="AN138" s="43">
        <f t="shared" si="43"/>
        <v>0</v>
      </c>
      <c r="AO138" s="42"/>
      <c r="AP138" s="53"/>
      <c r="AQ138" s="53"/>
      <c r="AR138" s="53"/>
      <c r="AS138" s="72"/>
      <c r="AT138" s="24">
        <f t="shared" si="44"/>
        <v>0</v>
      </c>
      <c r="AU138" s="42"/>
      <c r="AV138" s="53"/>
      <c r="AW138" s="53"/>
      <c r="AX138" s="53"/>
      <c r="AY138" s="72"/>
      <c r="AZ138" s="24">
        <f t="shared" si="45"/>
        <v>0</v>
      </c>
      <c r="BA138" s="24">
        <f t="shared" si="47"/>
        <v>2</v>
      </c>
      <c r="BB138" s="83">
        <v>43642</v>
      </c>
    </row>
    <row r="139" spans="1:55" ht="14.25" x14ac:dyDescent="0.15">
      <c r="A139" s="21"/>
      <c r="B139" s="41"/>
      <c r="C139" s="42"/>
      <c r="D139" s="42"/>
      <c r="E139" s="42"/>
      <c r="F139" s="42"/>
      <c r="G139" s="43">
        <f t="shared" si="38"/>
        <v>0</v>
      </c>
      <c r="H139" s="41"/>
      <c r="I139" s="42"/>
      <c r="J139" s="42"/>
      <c r="K139" s="42"/>
      <c r="L139" s="42"/>
      <c r="M139" s="43">
        <f t="shared" si="39"/>
        <v>0</v>
      </c>
      <c r="N139" s="42"/>
      <c r="O139" s="53"/>
      <c r="P139" s="53"/>
      <c r="Q139" s="53"/>
      <c r="R139" s="72"/>
      <c r="S139" s="24">
        <f t="shared" si="40"/>
        <v>0</v>
      </c>
      <c r="T139" s="42"/>
      <c r="U139" s="53"/>
      <c r="V139" s="53"/>
      <c r="W139" s="53"/>
      <c r="X139" s="72"/>
      <c r="Y139" s="24">
        <f t="shared" si="41"/>
        <v>0</v>
      </c>
      <c r="Z139" s="24">
        <f t="shared" si="46"/>
        <v>0</v>
      </c>
      <c r="AB139" s="21" t="s">
        <v>112</v>
      </c>
      <c r="AC139" s="41">
        <v>2</v>
      </c>
      <c r="AD139" s="42"/>
      <c r="AE139" s="42"/>
      <c r="AF139" s="42">
        <v>1</v>
      </c>
      <c r="AG139" s="42"/>
      <c r="AH139" s="43">
        <f t="shared" si="42"/>
        <v>3</v>
      </c>
      <c r="AI139" s="41"/>
      <c r="AJ139" s="42"/>
      <c r="AK139" s="42"/>
      <c r="AL139" s="42"/>
      <c r="AM139" s="42"/>
      <c r="AN139" s="43">
        <f t="shared" si="43"/>
        <v>0</v>
      </c>
      <c r="AO139" s="42"/>
      <c r="AP139" s="53"/>
      <c r="AQ139" s="53"/>
      <c r="AR139" s="53"/>
      <c r="AS139" s="72"/>
      <c r="AT139" s="24">
        <f t="shared" si="44"/>
        <v>0</v>
      </c>
      <c r="AU139" s="42"/>
      <c r="AV139" s="53"/>
      <c r="AW139" s="53"/>
      <c r="AX139" s="53"/>
      <c r="AY139" s="72">
        <v>1</v>
      </c>
      <c r="AZ139" s="24">
        <f t="shared" si="45"/>
        <v>1</v>
      </c>
      <c r="BA139" s="24">
        <f t="shared" si="47"/>
        <v>4</v>
      </c>
      <c r="BB139" s="83">
        <v>43643</v>
      </c>
    </row>
    <row r="140" spans="1:55" ht="14.25" x14ac:dyDescent="0.15">
      <c r="A140" s="21"/>
      <c r="B140" s="38"/>
      <c r="C140" s="39"/>
      <c r="D140" s="39"/>
      <c r="E140" s="39"/>
      <c r="F140" s="39"/>
      <c r="G140" s="37">
        <f t="shared" si="38"/>
        <v>0</v>
      </c>
      <c r="H140" s="38"/>
      <c r="I140" s="39"/>
      <c r="J140" s="39"/>
      <c r="K140" s="39"/>
      <c r="L140" s="39"/>
      <c r="M140" s="37">
        <f t="shared" si="39"/>
        <v>0</v>
      </c>
      <c r="N140" s="42"/>
      <c r="O140" s="53"/>
      <c r="P140" s="53"/>
      <c r="Q140" s="53"/>
      <c r="R140" s="72"/>
      <c r="S140" s="24">
        <f t="shared" si="40"/>
        <v>0</v>
      </c>
      <c r="T140" s="42"/>
      <c r="U140" s="53"/>
      <c r="V140" s="53"/>
      <c r="W140" s="53"/>
      <c r="X140" s="72"/>
      <c r="Y140" s="24">
        <f t="shared" si="41"/>
        <v>0</v>
      </c>
      <c r="Z140" s="24">
        <f t="shared" si="46"/>
        <v>0</v>
      </c>
      <c r="AB140" s="21" t="s">
        <v>113</v>
      </c>
      <c r="AC140" s="38"/>
      <c r="AD140" s="39">
        <v>2</v>
      </c>
      <c r="AE140" s="39"/>
      <c r="AF140" s="39"/>
      <c r="AG140" s="39"/>
      <c r="AH140" s="37">
        <f t="shared" si="42"/>
        <v>2</v>
      </c>
      <c r="AI140" s="38"/>
      <c r="AJ140" s="39">
        <v>1</v>
      </c>
      <c r="AK140" s="39"/>
      <c r="AL140" s="39"/>
      <c r="AM140" s="39"/>
      <c r="AN140" s="37">
        <f t="shared" si="43"/>
        <v>1</v>
      </c>
      <c r="AO140" s="42"/>
      <c r="AP140" s="53"/>
      <c r="AQ140" s="53"/>
      <c r="AR140" s="53"/>
      <c r="AS140" s="72"/>
      <c r="AT140" s="24">
        <f t="shared" si="44"/>
        <v>0</v>
      </c>
      <c r="AU140" s="42"/>
      <c r="AV140" s="53"/>
      <c r="AW140" s="53"/>
      <c r="AX140" s="53"/>
      <c r="AY140" s="72"/>
      <c r="AZ140" s="24">
        <f t="shared" si="45"/>
        <v>0</v>
      </c>
      <c r="BA140" s="24">
        <f t="shared" si="47"/>
        <v>3</v>
      </c>
      <c r="BB140" s="83">
        <v>43648</v>
      </c>
    </row>
    <row r="141" spans="1:55" ht="14.25" x14ac:dyDescent="0.15">
      <c r="A141" s="21"/>
      <c r="B141" s="41"/>
      <c r="C141" s="42"/>
      <c r="D141" s="42"/>
      <c r="E141" s="42"/>
      <c r="F141" s="42"/>
      <c r="G141" s="43">
        <f t="shared" si="38"/>
        <v>0</v>
      </c>
      <c r="H141" s="41"/>
      <c r="I141" s="42"/>
      <c r="J141" s="42"/>
      <c r="K141" s="42"/>
      <c r="L141" s="42"/>
      <c r="M141" s="43">
        <f t="shared" si="39"/>
        <v>0</v>
      </c>
      <c r="N141" s="42"/>
      <c r="O141" s="53"/>
      <c r="P141" s="53"/>
      <c r="Q141" s="53"/>
      <c r="R141" s="72"/>
      <c r="S141" s="24">
        <f t="shared" si="40"/>
        <v>0</v>
      </c>
      <c r="T141" s="42"/>
      <c r="U141" s="53"/>
      <c r="V141" s="53"/>
      <c r="W141" s="53"/>
      <c r="X141" s="72"/>
      <c r="Y141" s="24">
        <f t="shared" si="41"/>
        <v>0</v>
      </c>
      <c r="Z141" s="24">
        <f t="shared" si="46"/>
        <v>0</v>
      </c>
      <c r="AB141" s="21" t="s">
        <v>114</v>
      </c>
      <c r="AC141" s="41"/>
      <c r="AD141" s="42"/>
      <c r="AE141" s="42">
        <v>1</v>
      </c>
      <c r="AF141" s="42">
        <v>1</v>
      </c>
      <c r="AG141" s="42"/>
      <c r="AH141" s="43">
        <f t="shared" si="42"/>
        <v>2</v>
      </c>
      <c r="AI141" s="41"/>
      <c r="AJ141" s="42"/>
      <c r="AK141" s="42"/>
      <c r="AL141" s="42"/>
      <c r="AM141" s="42"/>
      <c r="AN141" s="43">
        <f t="shared" si="43"/>
        <v>0</v>
      </c>
      <c r="AO141" s="42"/>
      <c r="AP141" s="53"/>
      <c r="AQ141" s="53"/>
      <c r="AR141" s="53"/>
      <c r="AS141" s="72"/>
      <c r="AT141" s="24">
        <f t="shared" si="44"/>
        <v>0</v>
      </c>
      <c r="AU141" s="42"/>
      <c r="AV141" s="53"/>
      <c r="AW141" s="53"/>
      <c r="AX141" s="53"/>
      <c r="AY141" s="72"/>
      <c r="AZ141" s="24">
        <f t="shared" si="45"/>
        <v>0</v>
      </c>
      <c r="BA141" s="24">
        <f t="shared" si="47"/>
        <v>2</v>
      </c>
      <c r="BB141" s="83">
        <v>43648</v>
      </c>
    </row>
    <row r="142" spans="1:55" ht="14.25" x14ac:dyDescent="0.15">
      <c r="A142" s="21"/>
      <c r="B142" s="14"/>
      <c r="C142" s="15"/>
      <c r="D142" s="15"/>
      <c r="E142" s="15"/>
      <c r="F142" s="15"/>
      <c r="G142" s="24">
        <f t="shared" si="38"/>
        <v>0</v>
      </c>
      <c r="H142" s="14"/>
      <c r="I142" s="15"/>
      <c r="J142" s="15"/>
      <c r="K142" s="15"/>
      <c r="L142" s="15"/>
      <c r="M142" s="24">
        <f t="shared" si="39"/>
        <v>0</v>
      </c>
      <c r="N142" s="15"/>
      <c r="O142" s="55"/>
      <c r="P142" s="55"/>
      <c r="Q142" s="55"/>
      <c r="R142" s="67"/>
      <c r="S142" s="24">
        <f t="shared" si="40"/>
        <v>0</v>
      </c>
      <c r="T142" s="15"/>
      <c r="U142" s="55"/>
      <c r="V142" s="55"/>
      <c r="W142" s="55"/>
      <c r="X142" s="67"/>
      <c r="Y142" s="24">
        <f t="shared" si="41"/>
        <v>0</v>
      </c>
      <c r="Z142" s="24">
        <f t="shared" si="46"/>
        <v>0</v>
      </c>
      <c r="AB142" s="21" t="s">
        <v>29</v>
      </c>
      <c r="AC142" s="14"/>
      <c r="AD142" s="15">
        <v>5</v>
      </c>
      <c r="AE142" s="15">
        <v>5</v>
      </c>
      <c r="AF142" s="15"/>
      <c r="AG142" s="15"/>
      <c r="AH142" s="24">
        <f t="shared" si="42"/>
        <v>10</v>
      </c>
      <c r="AI142" s="14"/>
      <c r="AJ142" s="15"/>
      <c r="AK142" s="15"/>
      <c r="AL142" s="15"/>
      <c r="AM142" s="15"/>
      <c r="AN142" s="24">
        <f t="shared" si="43"/>
        <v>0</v>
      </c>
      <c r="AO142" s="15"/>
      <c r="AP142" s="55"/>
      <c r="AQ142" s="55"/>
      <c r="AR142" s="55"/>
      <c r="AS142" s="67"/>
      <c r="AT142" s="24">
        <f t="shared" si="44"/>
        <v>0</v>
      </c>
      <c r="AU142" s="15"/>
      <c r="AV142" s="55"/>
      <c r="AW142" s="55"/>
      <c r="AX142" s="55"/>
      <c r="AY142" s="67"/>
      <c r="AZ142" s="24">
        <f t="shared" si="45"/>
        <v>0</v>
      </c>
      <c r="BA142" s="24">
        <f t="shared" si="47"/>
        <v>10</v>
      </c>
      <c r="BB142" s="83">
        <v>43651</v>
      </c>
    </row>
    <row r="143" spans="1:55" ht="14.25" x14ac:dyDescent="0.15">
      <c r="A143" s="23"/>
      <c r="B143" s="14"/>
      <c r="C143" s="15"/>
      <c r="D143" s="15"/>
      <c r="E143" s="15"/>
      <c r="F143" s="15"/>
      <c r="G143" s="24">
        <f t="shared" si="38"/>
        <v>0</v>
      </c>
      <c r="H143" s="14"/>
      <c r="I143" s="15"/>
      <c r="J143" s="15"/>
      <c r="K143" s="15"/>
      <c r="L143" s="15"/>
      <c r="M143" s="24">
        <f t="shared" si="39"/>
        <v>0</v>
      </c>
      <c r="N143" s="15"/>
      <c r="O143" s="55"/>
      <c r="P143" s="55"/>
      <c r="Q143" s="55"/>
      <c r="R143" s="67"/>
      <c r="S143" s="24">
        <f t="shared" si="40"/>
        <v>0</v>
      </c>
      <c r="T143" s="15"/>
      <c r="U143" s="55"/>
      <c r="V143" s="55"/>
      <c r="W143" s="55"/>
      <c r="X143" s="67"/>
      <c r="Y143" s="24">
        <f t="shared" si="41"/>
        <v>0</v>
      </c>
      <c r="Z143" s="24">
        <f t="shared" si="46"/>
        <v>0</v>
      </c>
      <c r="AB143" s="21" t="s">
        <v>47</v>
      </c>
      <c r="AC143" s="41"/>
      <c r="AD143" s="42"/>
      <c r="AE143" s="42"/>
      <c r="AF143" s="42"/>
      <c r="AG143" s="42"/>
      <c r="AH143" s="43">
        <f t="shared" si="42"/>
        <v>0</v>
      </c>
      <c r="AI143" s="41"/>
      <c r="AJ143" s="42"/>
      <c r="AK143" s="42"/>
      <c r="AL143" s="42"/>
      <c r="AM143" s="42"/>
      <c r="AN143" s="43">
        <f t="shared" si="43"/>
        <v>0</v>
      </c>
      <c r="AO143" s="42"/>
      <c r="AP143" s="53"/>
      <c r="AQ143" s="53"/>
      <c r="AR143" s="53"/>
      <c r="AS143" s="72">
        <v>1</v>
      </c>
      <c r="AT143" s="24">
        <f t="shared" si="44"/>
        <v>1</v>
      </c>
      <c r="AU143" s="42"/>
      <c r="AV143" s="53"/>
      <c r="AW143" s="53"/>
      <c r="AX143" s="53"/>
      <c r="AY143" s="72"/>
      <c r="AZ143" s="24">
        <f t="shared" si="45"/>
        <v>0</v>
      </c>
      <c r="BA143" s="24">
        <f t="shared" si="47"/>
        <v>1</v>
      </c>
      <c r="BB143" s="83">
        <v>43645</v>
      </c>
    </row>
    <row r="144" spans="1:55" ht="14.25" x14ac:dyDescent="0.15">
      <c r="A144" s="23"/>
      <c r="B144" s="14"/>
      <c r="C144" s="15"/>
      <c r="D144" s="15"/>
      <c r="E144" s="15"/>
      <c r="F144" s="15"/>
      <c r="G144" s="24">
        <f t="shared" si="38"/>
        <v>0</v>
      </c>
      <c r="H144" s="14"/>
      <c r="I144" s="15"/>
      <c r="J144" s="15"/>
      <c r="K144" s="15"/>
      <c r="L144" s="15"/>
      <c r="M144" s="24">
        <f t="shared" si="39"/>
        <v>0</v>
      </c>
      <c r="N144" s="15"/>
      <c r="O144" s="55"/>
      <c r="P144" s="55"/>
      <c r="Q144" s="55"/>
      <c r="R144" s="67"/>
      <c r="S144" s="24">
        <f t="shared" si="40"/>
        <v>0</v>
      </c>
      <c r="T144" s="15"/>
      <c r="U144" s="55"/>
      <c r="V144" s="55"/>
      <c r="W144" s="55"/>
      <c r="X144" s="67"/>
      <c r="Y144" s="24">
        <f t="shared" si="41"/>
        <v>0</v>
      </c>
      <c r="Z144" s="24">
        <f t="shared" si="46"/>
        <v>0</v>
      </c>
      <c r="AB144" s="21" t="s">
        <v>116</v>
      </c>
      <c r="AC144" s="14"/>
      <c r="AD144" s="15">
        <v>2</v>
      </c>
      <c r="AE144" s="15"/>
      <c r="AF144" s="15"/>
      <c r="AG144" s="15"/>
      <c r="AH144" s="24">
        <f t="shared" si="42"/>
        <v>2</v>
      </c>
      <c r="AI144" s="14"/>
      <c r="AJ144" s="15">
        <v>1</v>
      </c>
      <c r="AK144" s="15"/>
      <c r="AL144" s="15"/>
      <c r="AM144" s="15"/>
      <c r="AN144" s="24">
        <f t="shared" si="43"/>
        <v>1</v>
      </c>
      <c r="AO144" s="15"/>
      <c r="AP144" s="55"/>
      <c r="AQ144" s="55"/>
      <c r="AR144" s="55"/>
      <c r="AS144" s="67"/>
      <c r="AT144" s="24">
        <f t="shared" si="44"/>
        <v>0</v>
      </c>
      <c r="AU144" s="15"/>
      <c r="AV144" s="55"/>
      <c r="AW144" s="55">
        <v>1</v>
      </c>
      <c r="AX144" s="55"/>
      <c r="AY144" s="67">
        <v>1</v>
      </c>
      <c r="AZ144" s="24">
        <f t="shared" si="45"/>
        <v>2</v>
      </c>
      <c r="BA144" s="24">
        <f t="shared" si="47"/>
        <v>5</v>
      </c>
      <c r="BB144" s="83">
        <v>43648</v>
      </c>
      <c r="BC144" s="111"/>
    </row>
    <row r="145" spans="1:55" ht="14.25" x14ac:dyDescent="0.15">
      <c r="A145" s="23"/>
      <c r="B145" s="14"/>
      <c r="C145" s="15"/>
      <c r="D145" s="15"/>
      <c r="E145" s="15"/>
      <c r="F145" s="15"/>
      <c r="G145" s="24">
        <f t="shared" si="38"/>
        <v>0</v>
      </c>
      <c r="H145" s="14"/>
      <c r="I145" s="15"/>
      <c r="J145" s="15"/>
      <c r="K145" s="15"/>
      <c r="L145" s="15"/>
      <c r="M145" s="24">
        <f t="shared" si="39"/>
        <v>0</v>
      </c>
      <c r="N145" s="15"/>
      <c r="O145" s="55"/>
      <c r="P145" s="55"/>
      <c r="Q145" s="55"/>
      <c r="R145" s="67"/>
      <c r="S145" s="24">
        <f t="shared" si="40"/>
        <v>0</v>
      </c>
      <c r="T145" s="15"/>
      <c r="U145" s="55"/>
      <c r="V145" s="55"/>
      <c r="W145" s="55"/>
      <c r="X145" s="67"/>
      <c r="Y145" s="24">
        <f t="shared" si="41"/>
        <v>0</v>
      </c>
      <c r="Z145" s="24">
        <f t="shared" si="46"/>
        <v>0</v>
      </c>
      <c r="AB145" s="21" t="s">
        <v>117</v>
      </c>
      <c r="AC145" s="14"/>
      <c r="AD145" s="15">
        <v>1</v>
      </c>
      <c r="AE145" s="15">
        <v>1</v>
      </c>
      <c r="AF145" s="15">
        <v>3</v>
      </c>
      <c r="AG145" s="15"/>
      <c r="AH145" s="24">
        <f t="shared" si="42"/>
        <v>5</v>
      </c>
      <c r="AI145" s="14"/>
      <c r="AJ145" s="15"/>
      <c r="AK145" s="15"/>
      <c r="AL145" s="15"/>
      <c r="AM145" s="15"/>
      <c r="AN145" s="24">
        <f t="shared" si="43"/>
        <v>0</v>
      </c>
      <c r="AO145" s="15"/>
      <c r="AP145" s="55"/>
      <c r="AQ145" s="55"/>
      <c r="AR145" s="55"/>
      <c r="AS145" s="67"/>
      <c r="AT145" s="24">
        <f t="shared" si="44"/>
        <v>0</v>
      </c>
      <c r="AU145" s="15"/>
      <c r="AV145" s="55"/>
      <c r="AW145" s="55"/>
      <c r="AX145" s="55"/>
      <c r="AY145" s="67"/>
      <c r="AZ145" s="24">
        <f t="shared" si="45"/>
        <v>0</v>
      </c>
      <c r="BA145" s="24">
        <f t="shared" si="47"/>
        <v>5</v>
      </c>
      <c r="BB145" s="83">
        <v>43648</v>
      </c>
      <c r="BC145" s="111"/>
    </row>
    <row r="146" spans="1:55" ht="14.25" x14ac:dyDescent="0.15">
      <c r="A146" s="23"/>
      <c r="B146" s="14"/>
      <c r="C146" s="15"/>
      <c r="D146" s="15"/>
      <c r="E146" s="15"/>
      <c r="F146" s="15"/>
      <c r="G146" s="24">
        <f t="shared" si="38"/>
        <v>0</v>
      </c>
      <c r="H146" s="14"/>
      <c r="I146" s="15"/>
      <c r="J146" s="15"/>
      <c r="K146" s="15"/>
      <c r="L146" s="15"/>
      <c r="M146" s="24">
        <f t="shared" si="39"/>
        <v>0</v>
      </c>
      <c r="N146" s="15"/>
      <c r="O146" s="55"/>
      <c r="P146" s="55"/>
      <c r="Q146" s="55"/>
      <c r="R146" s="67"/>
      <c r="S146" s="24">
        <f t="shared" si="40"/>
        <v>0</v>
      </c>
      <c r="T146" s="15"/>
      <c r="U146" s="55"/>
      <c r="V146" s="55"/>
      <c r="W146" s="55"/>
      <c r="X146" s="67"/>
      <c r="Y146" s="24">
        <f t="shared" si="41"/>
        <v>0</v>
      </c>
      <c r="Z146" s="24">
        <f t="shared" si="46"/>
        <v>0</v>
      </c>
      <c r="AB146" s="21" t="s">
        <v>29</v>
      </c>
      <c r="AC146" s="14"/>
      <c r="AD146" s="15">
        <v>10</v>
      </c>
      <c r="AE146" s="15"/>
      <c r="AF146" s="15">
        <v>5</v>
      </c>
      <c r="AG146" s="15">
        <v>5</v>
      </c>
      <c r="AH146" s="24">
        <f t="shared" si="42"/>
        <v>20</v>
      </c>
      <c r="AI146" s="14"/>
      <c r="AJ146" s="15"/>
      <c r="AK146" s="15"/>
      <c r="AL146" s="15"/>
      <c r="AM146" s="15"/>
      <c r="AN146" s="24">
        <f t="shared" si="43"/>
        <v>0</v>
      </c>
      <c r="AO146" s="15"/>
      <c r="AP146" s="55"/>
      <c r="AQ146" s="55"/>
      <c r="AR146" s="55"/>
      <c r="AS146" s="67"/>
      <c r="AT146" s="24">
        <f t="shared" si="44"/>
        <v>0</v>
      </c>
      <c r="AU146" s="15"/>
      <c r="AV146" s="55"/>
      <c r="AW146" s="55"/>
      <c r="AX146" s="55"/>
      <c r="AY146" s="67"/>
      <c r="AZ146" s="24">
        <f t="shared" si="45"/>
        <v>0</v>
      </c>
      <c r="BA146" s="24">
        <f t="shared" si="47"/>
        <v>20</v>
      </c>
      <c r="BB146" s="83">
        <v>43654</v>
      </c>
      <c r="BC146" s="111"/>
    </row>
    <row r="147" spans="1:55" ht="14.25" x14ac:dyDescent="0.15">
      <c r="A147" s="23"/>
      <c r="B147" s="14"/>
      <c r="C147" s="15"/>
      <c r="D147" s="15"/>
      <c r="E147" s="15"/>
      <c r="F147" s="15"/>
      <c r="G147" s="24">
        <f t="shared" si="38"/>
        <v>0</v>
      </c>
      <c r="H147" s="14"/>
      <c r="I147" s="15"/>
      <c r="J147" s="15"/>
      <c r="K147" s="15"/>
      <c r="L147" s="15"/>
      <c r="M147" s="24">
        <f t="shared" si="39"/>
        <v>0</v>
      </c>
      <c r="N147" s="15"/>
      <c r="O147" s="55"/>
      <c r="P147" s="55"/>
      <c r="Q147" s="55"/>
      <c r="R147" s="67"/>
      <c r="S147" s="24">
        <f t="shared" si="40"/>
        <v>0</v>
      </c>
      <c r="T147" s="15"/>
      <c r="U147" s="55"/>
      <c r="V147" s="55"/>
      <c r="W147" s="55"/>
      <c r="X147" s="67"/>
      <c r="Y147" s="24">
        <f t="shared" si="41"/>
        <v>0</v>
      </c>
      <c r="Z147" s="24">
        <f t="shared" si="46"/>
        <v>0</v>
      </c>
      <c r="AB147" s="21" t="s">
        <v>120</v>
      </c>
      <c r="AC147" s="14">
        <v>1</v>
      </c>
      <c r="AD147" s="15"/>
      <c r="AE147" s="15"/>
      <c r="AF147" s="15"/>
      <c r="AG147" s="15"/>
      <c r="AH147" s="24">
        <f t="shared" si="42"/>
        <v>1</v>
      </c>
      <c r="AI147" s="14"/>
      <c r="AJ147" s="15"/>
      <c r="AK147" s="15"/>
      <c r="AL147" s="15"/>
      <c r="AM147" s="15"/>
      <c r="AN147" s="24">
        <f t="shared" si="43"/>
        <v>0</v>
      </c>
      <c r="AO147" s="15"/>
      <c r="AP147" s="55"/>
      <c r="AQ147" s="55"/>
      <c r="AR147" s="55"/>
      <c r="AS147" s="67">
        <v>1</v>
      </c>
      <c r="AT147" s="24">
        <f t="shared" si="44"/>
        <v>1</v>
      </c>
      <c r="AU147" s="15">
        <v>1</v>
      </c>
      <c r="AV147" s="55">
        <v>1</v>
      </c>
      <c r="AW147" s="55">
        <v>1</v>
      </c>
      <c r="AX147" s="55">
        <v>1</v>
      </c>
      <c r="AY147" s="67"/>
      <c r="AZ147" s="24">
        <f t="shared" si="45"/>
        <v>4</v>
      </c>
      <c r="BA147" s="24">
        <f t="shared" si="47"/>
        <v>6</v>
      </c>
      <c r="BB147" s="83">
        <v>43650</v>
      </c>
      <c r="BC147" s="111"/>
    </row>
    <row r="148" spans="1:55" ht="14.25" x14ac:dyDescent="0.15">
      <c r="A148" s="23"/>
      <c r="B148" s="44"/>
      <c r="C148" s="45"/>
      <c r="D148" s="45"/>
      <c r="E148" s="45"/>
      <c r="F148" s="45"/>
      <c r="G148" s="43">
        <f t="shared" si="38"/>
        <v>0</v>
      </c>
      <c r="H148" s="44"/>
      <c r="I148" s="45"/>
      <c r="J148" s="45"/>
      <c r="K148" s="45"/>
      <c r="L148" s="45"/>
      <c r="M148" s="43">
        <f t="shared" si="39"/>
        <v>0</v>
      </c>
      <c r="N148" s="42"/>
      <c r="O148" s="53"/>
      <c r="P148" s="53"/>
      <c r="Q148" s="53"/>
      <c r="R148" s="72"/>
      <c r="S148" s="24">
        <f t="shared" si="40"/>
        <v>0</v>
      </c>
      <c r="T148" s="42"/>
      <c r="U148" s="53"/>
      <c r="V148" s="53"/>
      <c r="W148" s="53"/>
      <c r="X148" s="72"/>
      <c r="Y148" s="24">
        <f t="shared" si="41"/>
        <v>0</v>
      </c>
      <c r="Z148" s="24">
        <f t="shared" si="46"/>
        <v>0</v>
      </c>
      <c r="AA148" s="128"/>
      <c r="AB148" s="21" t="s">
        <v>121</v>
      </c>
      <c r="AC148" s="44"/>
      <c r="AD148" s="45">
        <v>1</v>
      </c>
      <c r="AE148" s="45"/>
      <c r="AF148" s="45"/>
      <c r="AG148" s="45"/>
      <c r="AH148" s="43">
        <f t="shared" si="42"/>
        <v>1</v>
      </c>
      <c r="AI148" s="44"/>
      <c r="AJ148" s="45"/>
      <c r="AK148" s="45"/>
      <c r="AL148" s="45"/>
      <c r="AM148" s="45"/>
      <c r="AN148" s="43">
        <f t="shared" si="43"/>
        <v>0</v>
      </c>
      <c r="AO148" s="42"/>
      <c r="AP148" s="53"/>
      <c r="AQ148" s="53"/>
      <c r="AR148" s="53"/>
      <c r="AS148" s="72"/>
      <c r="AT148" s="24">
        <f t="shared" si="44"/>
        <v>0</v>
      </c>
      <c r="AU148" s="42"/>
      <c r="AV148" s="53"/>
      <c r="AW148" s="53">
        <v>1</v>
      </c>
      <c r="AX148" s="53"/>
      <c r="AY148" s="72"/>
      <c r="AZ148" s="24">
        <f t="shared" si="45"/>
        <v>1</v>
      </c>
      <c r="BA148" s="24">
        <f t="shared" si="47"/>
        <v>2</v>
      </c>
      <c r="BB148" s="83">
        <v>43651</v>
      </c>
      <c r="BC148" s="111"/>
    </row>
    <row r="149" spans="1:55" ht="14.25" x14ac:dyDescent="0.15">
      <c r="A149" s="110"/>
      <c r="B149" s="41"/>
      <c r="C149" s="42"/>
      <c r="D149" s="42"/>
      <c r="E149" s="42"/>
      <c r="F149" s="42"/>
      <c r="G149" s="43">
        <f t="shared" si="38"/>
        <v>0</v>
      </c>
      <c r="H149" s="41"/>
      <c r="I149" s="42"/>
      <c r="J149" s="42"/>
      <c r="K149" s="42"/>
      <c r="L149" s="42"/>
      <c r="M149" s="43">
        <f t="shared" si="39"/>
        <v>0</v>
      </c>
      <c r="N149" s="42"/>
      <c r="O149" s="53"/>
      <c r="P149" s="53"/>
      <c r="Q149" s="53"/>
      <c r="R149" s="72"/>
      <c r="S149" s="24">
        <f t="shared" si="40"/>
        <v>0</v>
      </c>
      <c r="T149" s="42"/>
      <c r="U149" s="53"/>
      <c r="V149" s="53"/>
      <c r="W149" s="53"/>
      <c r="X149" s="72"/>
      <c r="Y149" s="24">
        <f t="shared" si="41"/>
        <v>0</v>
      </c>
      <c r="Z149" s="24">
        <f t="shared" si="46"/>
        <v>0</v>
      </c>
      <c r="AA149" s="128"/>
      <c r="AB149" s="21" t="s">
        <v>29</v>
      </c>
      <c r="AC149" s="14"/>
      <c r="AD149" s="15"/>
      <c r="AE149" s="15"/>
      <c r="AF149" s="15"/>
      <c r="AG149" s="15">
        <v>10</v>
      </c>
      <c r="AH149" s="43">
        <f>SUM(AC149:AG149)</f>
        <v>10</v>
      </c>
      <c r="AI149" s="44">
        <v>5</v>
      </c>
      <c r="AJ149" s="45"/>
      <c r="AK149" s="45"/>
      <c r="AL149" s="45">
        <v>5</v>
      </c>
      <c r="AM149" s="45"/>
      <c r="AN149" s="43">
        <f>SUM(AI149:AM149)</f>
        <v>10</v>
      </c>
      <c r="AO149" s="15"/>
      <c r="AP149" s="55"/>
      <c r="AQ149" s="55"/>
      <c r="AR149" s="55"/>
      <c r="AS149" s="67"/>
      <c r="AT149" s="24">
        <f>SUM(AO149:AS149)</f>
        <v>0</v>
      </c>
      <c r="AU149" s="15"/>
      <c r="AV149" s="55"/>
      <c r="AW149" s="55"/>
      <c r="AX149" s="55"/>
      <c r="AY149" s="67"/>
      <c r="AZ149" s="24">
        <f>SUM(AU149:AY149)</f>
        <v>0</v>
      </c>
      <c r="BA149" s="24">
        <f t="shared" ref="BA149:BA154" si="48">AH149+AN149+AT149+AZ149</f>
        <v>20</v>
      </c>
      <c r="BB149" s="83">
        <v>43657</v>
      </c>
    </row>
    <row r="150" spans="1:55" ht="14.25" x14ac:dyDescent="0.15">
      <c r="A150" s="23"/>
      <c r="B150" s="41"/>
      <c r="C150" s="42"/>
      <c r="D150" s="42"/>
      <c r="E150" s="42"/>
      <c r="F150" s="42"/>
      <c r="G150" s="43">
        <f t="shared" si="38"/>
        <v>0</v>
      </c>
      <c r="H150" s="41"/>
      <c r="I150" s="42"/>
      <c r="J150" s="42"/>
      <c r="K150" s="42"/>
      <c r="L150" s="42"/>
      <c r="M150" s="43">
        <f t="shared" si="39"/>
        <v>0</v>
      </c>
      <c r="N150" s="42"/>
      <c r="O150" s="53"/>
      <c r="P150" s="53"/>
      <c r="Q150" s="53"/>
      <c r="R150" s="72"/>
      <c r="S150" s="24">
        <f t="shared" si="40"/>
        <v>0</v>
      </c>
      <c r="T150" s="42"/>
      <c r="U150" s="53"/>
      <c r="V150" s="53"/>
      <c r="W150" s="53"/>
      <c r="X150" s="72"/>
      <c r="Y150" s="24">
        <f t="shared" si="41"/>
        <v>0</v>
      </c>
      <c r="Z150" s="24">
        <f t="shared" si="46"/>
        <v>0</v>
      </c>
      <c r="AA150" s="128"/>
      <c r="AB150" s="122" t="s">
        <v>94</v>
      </c>
      <c r="AC150" s="14"/>
      <c r="AD150" s="15"/>
      <c r="AE150" s="15"/>
      <c r="AF150" s="15"/>
      <c r="AG150" s="15"/>
      <c r="AH150" s="24">
        <f>SUM(AC150:AG150)</f>
        <v>0</v>
      </c>
      <c r="AI150" s="14"/>
      <c r="AJ150" s="15"/>
      <c r="AK150" s="15"/>
      <c r="AL150" s="15"/>
      <c r="AM150" s="15"/>
      <c r="AN150" s="24">
        <f>SUM(AI150:AM150)</f>
        <v>0</v>
      </c>
      <c r="AO150" s="15"/>
      <c r="AP150" s="55"/>
      <c r="AQ150" s="55"/>
      <c r="AR150" s="55"/>
      <c r="AS150" s="67"/>
      <c r="AT150" s="24">
        <f>SUM(AO150:AS150)</f>
        <v>0</v>
      </c>
      <c r="AU150" s="15"/>
      <c r="AV150" s="55"/>
      <c r="AW150" s="55"/>
      <c r="AX150" s="55"/>
      <c r="AY150" s="67"/>
      <c r="AZ150" s="24">
        <f>SUM(AU150:AY150)</f>
        <v>0</v>
      </c>
      <c r="BA150" s="24">
        <f t="shared" si="48"/>
        <v>0</v>
      </c>
      <c r="BB150" s="128" t="s">
        <v>118</v>
      </c>
    </row>
    <row r="151" spans="1:55" ht="14.25" x14ac:dyDescent="0.15">
      <c r="A151" s="23"/>
      <c r="B151" s="41"/>
      <c r="C151" s="42"/>
      <c r="D151" s="42"/>
      <c r="E151" s="42"/>
      <c r="F151" s="42"/>
      <c r="G151" s="43">
        <f t="shared" si="38"/>
        <v>0</v>
      </c>
      <c r="H151" s="41"/>
      <c r="I151" s="42"/>
      <c r="J151" s="42"/>
      <c r="K151" s="42"/>
      <c r="L151" s="42"/>
      <c r="M151" s="43">
        <f t="shared" si="39"/>
        <v>0</v>
      </c>
      <c r="N151" s="42"/>
      <c r="O151" s="53"/>
      <c r="P151" s="53"/>
      <c r="Q151" s="53"/>
      <c r="R151" s="72"/>
      <c r="S151" s="24">
        <f>SUM(N151:R151)</f>
        <v>0</v>
      </c>
      <c r="T151" s="42"/>
      <c r="U151" s="53"/>
      <c r="V151" s="53"/>
      <c r="W151" s="53"/>
      <c r="X151" s="72"/>
      <c r="Y151" s="24">
        <f>SUM(T151:X151)</f>
        <v>0</v>
      </c>
      <c r="Z151" s="24">
        <f>G151+M151+S151+Y151</f>
        <v>0</v>
      </c>
      <c r="AA151" s="128"/>
      <c r="AB151" s="23" t="s">
        <v>66</v>
      </c>
      <c r="AC151" s="14"/>
      <c r="AD151" s="15"/>
      <c r="AE151" s="15"/>
      <c r="AF151" s="15"/>
      <c r="AG151" s="15"/>
      <c r="AH151" s="43">
        <f>SUM(AC151:AG151)</f>
        <v>0</v>
      </c>
      <c r="AI151" s="44"/>
      <c r="AJ151" s="45"/>
      <c r="AK151" s="45"/>
      <c r="AL151" s="45"/>
      <c r="AM151" s="45"/>
      <c r="AN151" s="43">
        <f>SUM(AI151:AM151)</f>
        <v>0</v>
      </c>
      <c r="AO151" s="15"/>
      <c r="AP151" s="55"/>
      <c r="AQ151" s="55"/>
      <c r="AR151" s="55"/>
      <c r="AS151" s="67"/>
      <c r="AT151" s="24">
        <f>SUM(AO151:AS151)</f>
        <v>0</v>
      </c>
      <c r="AU151" s="15"/>
      <c r="AV151" s="55"/>
      <c r="AW151" s="55"/>
      <c r="AX151" s="55"/>
      <c r="AY151" s="67"/>
      <c r="AZ151" s="24">
        <f>SUM(AU151:AY151)</f>
        <v>0</v>
      </c>
      <c r="BA151" s="24">
        <f>AH151+AN151+AT151+AZ151</f>
        <v>0</v>
      </c>
      <c r="BB151" s="128" t="s">
        <v>62</v>
      </c>
    </row>
    <row r="152" spans="1:55" ht="15" thickBot="1" x14ac:dyDescent="0.2">
      <c r="A152" s="110"/>
      <c r="B152" s="44"/>
      <c r="C152" s="45"/>
      <c r="D152" s="45"/>
      <c r="E152" s="45"/>
      <c r="F152" s="45"/>
      <c r="G152" s="43">
        <f t="shared" si="38"/>
        <v>0</v>
      </c>
      <c r="H152" s="44"/>
      <c r="I152" s="45"/>
      <c r="J152" s="45"/>
      <c r="K152" s="45"/>
      <c r="L152" s="45"/>
      <c r="M152" s="112">
        <f t="shared" si="39"/>
        <v>0</v>
      </c>
      <c r="N152" s="45"/>
      <c r="O152" s="78"/>
      <c r="P152" s="78"/>
      <c r="Q152" s="78"/>
      <c r="R152" s="79"/>
      <c r="S152" s="113">
        <f>SUM(N152:R152)</f>
        <v>0</v>
      </c>
      <c r="T152" s="45"/>
      <c r="U152" s="78"/>
      <c r="V152" s="78"/>
      <c r="W152" s="78"/>
      <c r="X152" s="79"/>
      <c r="Y152" s="113">
        <f>SUM(T152:X152)</f>
        <v>0</v>
      </c>
      <c r="Z152" s="82">
        <f>G152+M152+S152+Y152</f>
        <v>0</v>
      </c>
      <c r="AA152" s="128"/>
      <c r="AB152" s="23" t="s">
        <v>53</v>
      </c>
      <c r="AC152" s="14"/>
      <c r="AD152" s="15"/>
      <c r="AE152" s="15"/>
      <c r="AF152" s="15"/>
      <c r="AG152" s="15"/>
      <c r="AH152" s="24">
        <f>SUM(AC152:AG152)</f>
        <v>0</v>
      </c>
      <c r="AI152" s="14"/>
      <c r="AJ152" s="15"/>
      <c r="AK152" s="15"/>
      <c r="AL152" s="15"/>
      <c r="AM152" s="15"/>
      <c r="AN152" s="24">
        <f>SUM(AI152:AM152)</f>
        <v>0</v>
      </c>
      <c r="AO152" s="15"/>
      <c r="AP152" s="55"/>
      <c r="AQ152" s="55"/>
      <c r="AR152" s="55"/>
      <c r="AS152" s="67"/>
      <c r="AT152" s="24">
        <f>SUM(AO152:AS152)</f>
        <v>0</v>
      </c>
      <c r="AU152" s="15"/>
      <c r="AV152" s="55"/>
      <c r="AW152" s="55"/>
      <c r="AX152" s="55"/>
      <c r="AY152" s="67"/>
      <c r="AZ152" s="24">
        <f>SUM(AU152:AY152)</f>
        <v>0</v>
      </c>
      <c r="BA152" s="24">
        <f>AH152+AN152+AT152+AZ152</f>
        <v>0</v>
      </c>
      <c r="BB152" s="128" t="s">
        <v>52</v>
      </c>
    </row>
    <row r="153" spans="1:55" ht="15" thickBot="1" x14ac:dyDescent="0.2">
      <c r="A153" s="9" t="s">
        <v>13</v>
      </c>
      <c r="B153" s="25">
        <f>SUM(B127:B152)</f>
        <v>0</v>
      </c>
      <c r="C153" s="26">
        <f>SUM(C127:C152)</f>
        <v>2</v>
      </c>
      <c r="D153" s="26">
        <f>SUM(D127:D152)</f>
        <v>-1</v>
      </c>
      <c r="E153" s="26">
        <f>SUM(E127:E152)</f>
        <v>0</v>
      </c>
      <c r="F153" s="27">
        <f>SUM(F127:F152)</f>
        <v>1</v>
      </c>
      <c r="G153" s="19">
        <f>SUM(B153:F153)</f>
        <v>2</v>
      </c>
      <c r="H153" s="25">
        <f>SUM(H127:H152)</f>
        <v>-1</v>
      </c>
      <c r="I153" s="26">
        <f>SUM(I127:I152)</f>
        <v>0</v>
      </c>
      <c r="J153" s="26">
        <f>SUM(J127:J152)</f>
        <v>0</v>
      </c>
      <c r="K153" s="26">
        <f>SUM(K127:K152)</f>
        <v>0</v>
      </c>
      <c r="L153" s="27">
        <f>SUM(L127:L152)</f>
        <v>0</v>
      </c>
      <c r="M153" s="25">
        <f>SUM(H153:L153)</f>
        <v>-1</v>
      </c>
      <c r="N153" s="65">
        <f>SUM(N127:N152)</f>
        <v>0</v>
      </c>
      <c r="O153" s="18">
        <f>SUM(O127:O152)</f>
        <v>0</v>
      </c>
      <c r="P153" s="18">
        <f>SUM(P127:P152)</f>
        <v>4</v>
      </c>
      <c r="Q153" s="18">
        <f>SUM(Q127:Q152)</f>
        <v>0</v>
      </c>
      <c r="R153" s="70">
        <f>SUM(R127:R152)</f>
        <v>0</v>
      </c>
      <c r="S153" s="49">
        <f>SUM(N153:R153)</f>
        <v>4</v>
      </c>
      <c r="T153" s="74">
        <f>SUM(T127:T152)</f>
        <v>0</v>
      </c>
      <c r="U153" s="18">
        <f>SUM(U127:U152)</f>
        <v>0</v>
      </c>
      <c r="V153" s="18">
        <f>SUM(V127:V152)</f>
        <v>0</v>
      </c>
      <c r="W153" s="18">
        <f>SUM(W127:W152)</f>
        <v>1</v>
      </c>
      <c r="X153" s="70">
        <f>SUM(X127:X152)</f>
        <v>1</v>
      </c>
      <c r="Y153" s="49">
        <f>SUM(T153:X153)</f>
        <v>2</v>
      </c>
      <c r="Z153" s="77">
        <f>G153+M153+S153+Y153</f>
        <v>7</v>
      </c>
      <c r="AB153" s="9" t="s">
        <v>13</v>
      </c>
      <c r="AC153" s="25">
        <f>SUM(AC127:AC152)</f>
        <v>7</v>
      </c>
      <c r="AD153" s="26">
        <f>SUM(AD127:AD152)</f>
        <v>36</v>
      </c>
      <c r="AE153" s="26">
        <f>SUM(AE127:AE152)</f>
        <v>22</v>
      </c>
      <c r="AF153" s="26">
        <f>SUM(AF127:AF152)</f>
        <v>24</v>
      </c>
      <c r="AG153" s="27">
        <f>SUM(AG127:AG152)</f>
        <v>28</v>
      </c>
      <c r="AH153" s="19">
        <f>SUM(AC153:AG153)</f>
        <v>117</v>
      </c>
      <c r="AI153" s="25">
        <f>SUM(AI127:AI152)</f>
        <v>12</v>
      </c>
      <c r="AJ153" s="26">
        <f>SUM(AJ127:AJ152)</f>
        <v>3</v>
      </c>
      <c r="AK153" s="26">
        <f>SUM(AK127:AK152)</f>
        <v>3</v>
      </c>
      <c r="AL153" s="26">
        <f>SUM(AL127:AL152)</f>
        <v>7</v>
      </c>
      <c r="AM153" s="27">
        <f>SUM(AM127:AM152)</f>
        <v>7</v>
      </c>
      <c r="AN153" s="25">
        <f>SUM(AI153:AM153)</f>
        <v>32</v>
      </c>
      <c r="AO153" s="65">
        <f>SUM(AO127:AO152)</f>
        <v>2</v>
      </c>
      <c r="AP153" s="18">
        <f>SUM(AP127:AP152)</f>
        <v>1</v>
      </c>
      <c r="AQ153" s="18">
        <f>SUM(AQ127:AQ152)</f>
        <v>4</v>
      </c>
      <c r="AR153" s="18">
        <f>SUM(AR127:AR152)</f>
        <v>2</v>
      </c>
      <c r="AS153" s="70">
        <f>SUM(AS127:AS152)</f>
        <v>7</v>
      </c>
      <c r="AT153" s="49">
        <f>SUM(AO153:AS153)</f>
        <v>16</v>
      </c>
      <c r="AU153" s="74">
        <f>SUM(AU127:AU152)</f>
        <v>4</v>
      </c>
      <c r="AV153" s="18">
        <f>SUM(AV127:AV152)</f>
        <v>2</v>
      </c>
      <c r="AW153" s="18">
        <f>SUM(AW127:AW152)</f>
        <v>7</v>
      </c>
      <c r="AX153" s="18">
        <f>SUM(AX127:AX152)</f>
        <v>8</v>
      </c>
      <c r="AY153" s="70">
        <f>SUM(AY127:AY152)</f>
        <v>5</v>
      </c>
      <c r="AZ153" s="49">
        <f>SUM(AU153:AY153)</f>
        <v>26</v>
      </c>
      <c r="BA153" s="77">
        <f t="shared" si="48"/>
        <v>191</v>
      </c>
    </row>
    <row r="154" spans="1:55" ht="15" thickBot="1" x14ac:dyDescent="0.2">
      <c r="A154" s="32" t="s">
        <v>14</v>
      </c>
      <c r="B154" s="29">
        <f t="shared" ref="B154:Y154" si="49">B126-B153</f>
        <v>3</v>
      </c>
      <c r="C154" s="30">
        <f t="shared" si="49"/>
        <v>1</v>
      </c>
      <c r="D154" s="30">
        <f t="shared" si="49"/>
        <v>4</v>
      </c>
      <c r="E154" s="30">
        <f t="shared" si="49"/>
        <v>4</v>
      </c>
      <c r="F154" s="31">
        <f t="shared" si="49"/>
        <v>3</v>
      </c>
      <c r="G154" s="31">
        <f t="shared" si="49"/>
        <v>15</v>
      </c>
      <c r="H154" s="29">
        <f t="shared" si="49"/>
        <v>4</v>
      </c>
      <c r="I154" s="30">
        <f t="shared" si="49"/>
        <v>4</v>
      </c>
      <c r="J154" s="30">
        <f t="shared" si="49"/>
        <v>4</v>
      </c>
      <c r="K154" s="30">
        <f t="shared" si="49"/>
        <v>4</v>
      </c>
      <c r="L154" s="31">
        <f t="shared" si="49"/>
        <v>4</v>
      </c>
      <c r="M154" s="66">
        <f t="shared" si="49"/>
        <v>20</v>
      </c>
      <c r="N154" s="29">
        <f t="shared" si="49"/>
        <v>3</v>
      </c>
      <c r="O154" s="30">
        <f t="shared" si="49"/>
        <v>2</v>
      </c>
      <c r="P154" s="30">
        <f t="shared" si="49"/>
        <v>1</v>
      </c>
      <c r="Q154" s="30">
        <f t="shared" si="49"/>
        <v>3</v>
      </c>
      <c r="R154" s="66">
        <f t="shared" si="49"/>
        <v>1</v>
      </c>
      <c r="S154" s="33">
        <f t="shared" si="49"/>
        <v>10</v>
      </c>
      <c r="T154" s="75">
        <f t="shared" si="49"/>
        <v>3</v>
      </c>
      <c r="U154" s="30">
        <f t="shared" si="49"/>
        <v>2</v>
      </c>
      <c r="V154" s="30">
        <f t="shared" si="49"/>
        <v>2</v>
      </c>
      <c r="W154" s="30">
        <f t="shared" si="49"/>
        <v>4</v>
      </c>
      <c r="X154" s="66">
        <f t="shared" si="49"/>
        <v>4</v>
      </c>
      <c r="Y154" s="33">
        <f t="shared" si="49"/>
        <v>15</v>
      </c>
      <c r="Z154" s="77">
        <f>G154+M154+S154+Y154</f>
        <v>60</v>
      </c>
      <c r="AB154" s="32" t="s">
        <v>14</v>
      </c>
      <c r="AC154" s="29">
        <f t="shared" ref="AC154:AZ154" si="50">AC126-AC153</f>
        <v>132</v>
      </c>
      <c r="AD154" s="30">
        <f t="shared" si="50"/>
        <v>90</v>
      </c>
      <c r="AE154" s="30">
        <f t="shared" si="50"/>
        <v>91</v>
      </c>
      <c r="AF154" s="30">
        <f t="shared" si="50"/>
        <v>86</v>
      </c>
      <c r="AG154" s="31">
        <f t="shared" si="50"/>
        <v>107</v>
      </c>
      <c r="AH154" s="31">
        <f t="shared" si="50"/>
        <v>506</v>
      </c>
      <c r="AI154" s="29">
        <f t="shared" si="50"/>
        <v>85</v>
      </c>
      <c r="AJ154" s="30">
        <f t="shared" si="50"/>
        <v>77</v>
      </c>
      <c r="AK154" s="30">
        <f t="shared" si="50"/>
        <v>82</v>
      </c>
      <c r="AL154" s="30">
        <f t="shared" si="50"/>
        <v>73</v>
      </c>
      <c r="AM154" s="31">
        <f t="shared" si="50"/>
        <v>72</v>
      </c>
      <c r="AN154" s="66">
        <f t="shared" si="50"/>
        <v>389</v>
      </c>
      <c r="AO154" s="29">
        <f t="shared" si="50"/>
        <v>113</v>
      </c>
      <c r="AP154" s="30">
        <f t="shared" si="50"/>
        <v>134</v>
      </c>
      <c r="AQ154" s="30">
        <f t="shared" si="50"/>
        <v>112</v>
      </c>
      <c r="AR154" s="30">
        <f t="shared" si="50"/>
        <v>111</v>
      </c>
      <c r="AS154" s="66">
        <f t="shared" si="50"/>
        <v>88</v>
      </c>
      <c r="AT154" s="33">
        <f t="shared" si="50"/>
        <v>558</v>
      </c>
      <c r="AU154" s="75">
        <f t="shared" si="50"/>
        <v>119</v>
      </c>
      <c r="AV154" s="30">
        <f t="shared" si="50"/>
        <v>121</v>
      </c>
      <c r="AW154" s="30">
        <f t="shared" si="50"/>
        <v>120</v>
      </c>
      <c r="AX154" s="30">
        <f t="shared" si="50"/>
        <v>127</v>
      </c>
      <c r="AY154" s="66">
        <f t="shared" si="50"/>
        <v>79</v>
      </c>
      <c r="AZ154" s="33">
        <f t="shared" si="50"/>
        <v>566</v>
      </c>
      <c r="BA154" s="77">
        <f t="shared" si="48"/>
        <v>2019</v>
      </c>
    </row>
    <row r="155" spans="1:55" x14ac:dyDescent="0.15">
      <c r="AC155" s="25">
        <f t="shared" ref="AC155:AZ155" si="51">AC153+AC114+AC75+AC36</f>
        <v>55</v>
      </c>
      <c r="AD155" s="124">
        <f t="shared" si="51"/>
        <v>97</v>
      </c>
      <c r="AE155" s="124">
        <f t="shared" si="51"/>
        <v>85</v>
      </c>
      <c r="AF155" s="124">
        <f t="shared" si="51"/>
        <v>88</v>
      </c>
      <c r="AG155" s="124">
        <f t="shared" si="51"/>
        <v>96</v>
      </c>
      <c r="AH155" s="19">
        <f t="shared" si="51"/>
        <v>421</v>
      </c>
      <c r="AI155" s="25">
        <f t="shared" si="51"/>
        <v>42</v>
      </c>
      <c r="AJ155" s="124">
        <f t="shared" si="51"/>
        <v>48</v>
      </c>
      <c r="AK155" s="124">
        <f t="shared" si="51"/>
        <v>47</v>
      </c>
      <c r="AL155" s="124">
        <f t="shared" si="51"/>
        <v>51</v>
      </c>
      <c r="AM155" s="124">
        <f t="shared" si="51"/>
        <v>51</v>
      </c>
      <c r="AN155" s="19">
        <f t="shared" si="51"/>
        <v>239</v>
      </c>
      <c r="AO155" s="25">
        <f t="shared" si="51"/>
        <v>63</v>
      </c>
      <c r="AP155" s="124">
        <f t="shared" si="51"/>
        <v>56</v>
      </c>
      <c r="AQ155" s="124">
        <f t="shared" si="51"/>
        <v>41</v>
      </c>
      <c r="AR155" s="124">
        <f t="shared" si="51"/>
        <v>41</v>
      </c>
      <c r="AS155" s="124">
        <f t="shared" si="51"/>
        <v>42</v>
      </c>
      <c r="AT155" s="19">
        <f t="shared" si="51"/>
        <v>243</v>
      </c>
      <c r="AU155" s="25">
        <f t="shared" si="51"/>
        <v>41</v>
      </c>
      <c r="AV155" s="124">
        <f t="shared" si="51"/>
        <v>48</v>
      </c>
      <c r="AW155" s="124">
        <f t="shared" si="51"/>
        <v>50</v>
      </c>
      <c r="AX155" s="124">
        <f t="shared" si="51"/>
        <v>42</v>
      </c>
      <c r="AY155" s="124">
        <f t="shared" si="51"/>
        <v>53</v>
      </c>
      <c r="AZ155" s="19">
        <f t="shared" si="51"/>
        <v>234</v>
      </c>
    </row>
    <row r="156" spans="1:55" ht="14.25" thickBot="1" x14ac:dyDescent="0.2">
      <c r="AC156" s="125">
        <f t="shared" ref="AC156:AH156" si="52">AC155/$AH$155*100</f>
        <v>13.064133016627078</v>
      </c>
      <c r="AD156" s="126">
        <f t="shared" si="52"/>
        <v>23.040380047505938</v>
      </c>
      <c r="AE156" s="126">
        <f t="shared" si="52"/>
        <v>20.190023752969122</v>
      </c>
      <c r="AF156" s="126">
        <f t="shared" si="52"/>
        <v>20.902612826603324</v>
      </c>
      <c r="AG156" s="126">
        <f t="shared" si="52"/>
        <v>22.802850356294538</v>
      </c>
      <c r="AH156" s="127">
        <f t="shared" si="52"/>
        <v>100</v>
      </c>
      <c r="AI156" s="125">
        <f t="shared" ref="AI156:AN156" si="53">AI155/$AN$155*100</f>
        <v>17.573221757322173</v>
      </c>
      <c r="AJ156" s="126">
        <f t="shared" si="53"/>
        <v>20.0836820083682</v>
      </c>
      <c r="AK156" s="126">
        <f t="shared" si="53"/>
        <v>19.665271966527197</v>
      </c>
      <c r="AL156" s="126">
        <f t="shared" si="53"/>
        <v>21.338912133891213</v>
      </c>
      <c r="AM156" s="126">
        <f t="shared" si="53"/>
        <v>21.338912133891213</v>
      </c>
      <c r="AN156" s="127">
        <f t="shared" si="53"/>
        <v>100</v>
      </c>
      <c r="AO156" s="125">
        <f t="shared" ref="AO156:AT156" si="54">AO155/$AT$155*100</f>
        <v>25.925925925925924</v>
      </c>
      <c r="AP156" s="126">
        <f t="shared" si="54"/>
        <v>23.045267489711936</v>
      </c>
      <c r="AQ156" s="126">
        <f t="shared" si="54"/>
        <v>16.872427983539097</v>
      </c>
      <c r="AR156" s="126">
        <f t="shared" si="54"/>
        <v>16.872427983539097</v>
      </c>
      <c r="AS156" s="126">
        <f t="shared" si="54"/>
        <v>17.283950617283949</v>
      </c>
      <c r="AT156" s="127">
        <f t="shared" si="54"/>
        <v>100</v>
      </c>
      <c r="AU156" s="125">
        <f t="shared" ref="AU156:AZ156" si="55">AU155/$AZ$155*100</f>
        <v>17.52136752136752</v>
      </c>
      <c r="AV156" s="126">
        <f t="shared" si="55"/>
        <v>20.512820512820511</v>
      </c>
      <c r="AW156" s="126">
        <f t="shared" si="55"/>
        <v>21.367521367521366</v>
      </c>
      <c r="AX156" s="209">
        <f t="shared" si="55"/>
        <v>17.948717948717949</v>
      </c>
      <c r="AY156" s="126">
        <f t="shared" si="55"/>
        <v>22.649572649572651</v>
      </c>
      <c r="AZ156" s="127">
        <f t="shared" si="55"/>
        <v>100</v>
      </c>
    </row>
    <row r="157" spans="1:55" ht="19.5" thickBot="1" x14ac:dyDescent="0.25">
      <c r="A157" s="1" t="s">
        <v>15</v>
      </c>
      <c r="AB157" s="1" t="s">
        <v>16</v>
      </c>
    </row>
    <row r="158" spans="1:55" ht="15" thickBot="1" x14ac:dyDescent="0.2">
      <c r="A158" s="4"/>
      <c r="B158" s="245" t="s">
        <v>17</v>
      </c>
      <c r="C158" s="246"/>
      <c r="D158" s="246"/>
      <c r="E158" s="246"/>
      <c r="F158" s="246"/>
      <c r="G158" s="247"/>
      <c r="H158" s="245" t="s">
        <v>18</v>
      </c>
      <c r="I158" s="246"/>
      <c r="J158" s="246"/>
      <c r="K158" s="246"/>
      <c r="L158" s="246"/>
      <c r="M158" s="247"/>
      <c r="N158" s="248" t="s">
        <v>27</v>
      </c>
      <c r="O158" s="249"/>
      <c r="P158" s="249"/>
      <c r="Q158" s="249"/>
      <c r="R158" s="249"/>
      <c r="S158" s="250"/>
      <c r="T158" s="248" t="s">
        <v>28</v>
      </c>
      <c r="U158" s="249"/>
      <c r="V158" s="249"/>
      <c r="W158" s="249"/>
      <c r="X158" s="249"/>
      <c r="Y158" s="250"/>
      <c r="Z158" s="251" t="s">
        <v>1</v>
      </c>
      <c r="AB158" s="4"/>
      <c r="AC158" s="245" t="s">
        <v>17</v>
      </c>
      <c r="AD158" s="246"/>
      <c r="AE158" s="246"/>
      <c r="AF158" s="246"/>
      <c r="AG158" s="246"/>
      <c r="AH158" s="247"/>
      <c r="AI158" s="245" t="s">
        <v>18</v>
      </c>
      <c r="AJ158" s="246"/>
      <c r="AK158" s="246"/>
      <c r="AL158" s="246"/>
      <c r="AM158" s="246"/>
      <c r="AN158" s="247"/>
      <c r="AO158" s="248" t="s">
        <v>27</v>
      </c>
      <c r="AP158" s="249"/>
      <c r="AQ158" s="249"/>
      <c r="AR158" s="249"/>
      <c r="AS158" s="249"/>
      <c r="AT158" s="250"/>
      <c r="AU158" s="248" t="s">
        <v>28</v>
      </c>
      <c r="AV158" s="249"/>
      <c r="AW158" s="249"/>
      <c r="AX158" s="249"/>
      <c r="AY158" s="249"/>
      <c r="AZ158" s="250"/>
      <c r="BA158" s="251" t="s">
        <v>1</v>
      </c>
    </row>
    <row r="159" spans="1:55" ht="15" thickBot="1" x14ac:dyDescent="0.2">
      <c r="A159" s="9" t="s">
        <v>2</v>
      </c>
      <c r="B159" s="6" t="s">
        <v>3</v>
      </c>
      <c r="C159" s="7" t="s">
        <v>4</v>
      </c>
      <c r="D159" s="7" t="s">
        <v>5</v>
      </c>
      <c r="E159" s="48" t="s">
        <v>20</v>
      </c>
      <c r="F159" s="8" t="s">
        <v>21</v>
      </c>
      <c r="G159" s="5" t="s">
        <v>6</v>
      </c>
      <c r="H159" s="6" t="s">
        <v>3</v>
      </c>
      <c r="I159" s="7" t="s">
        <v>4</v>
      </c>
      <c r="J159" s="7" t="s">
        <v>5</v>
      </c>
      <c r="K159" s="48" t="s">
        <v>20</v>
      </c>
      <c r="L159" s="8" t="s">
        <v>21</v>
      </c>
      <c r="M159" s="5" t="s">
        <v>6</v>
      </c>
      <c r="N159" s="6" t="s">
        <v>3</v>
      </c>
      <c r="O159" s="7" t="s">
        <v>4</v>
      </c>
      <c r="P159" s="7" t="s">
        <v>5</v>
      </c>
      <c r="Q159" s="48" t="s">
        <v>20</v>
      </c>
      <c r="R159" s="8" t="s">
        <v>21</v>
      </c>
      <c r="S159" s="5" t="s">
        <v>6</v>
      </c>
      <c r="T159" s="7" t="s">
        <v>3</v>
      </c>
      <c r="U159" s="7" t="s">
        <v>4</v>
      </c>
      <c r="V159" s="7" t="s">
        <v>5</v>
      </c>
      <c r="W159" s="48" t="s">
        <v>20</v>
      </c>
      <c r="X159" s="109" t="s">
        <v>21</v>
      </c>
      <c r="Y159" s="62" t="s">
        <v>6</v>
      </c>
      <c r="Z159" s="252"/>
      <c r="AB159" s="9" t="s">
        <v>2</v>
      </c>
      <c r="AC159" s="6" t="s">
        <v>3</v>
      </c>
      <c r="AD159" s="7" t="s">
        <v>4</v>
      </c>
      <c r="AE159" s="7" t="s">
        <v>5</v>
      </c>
      <c r="AF159" s="48" t="s">
        <v>20</v>
      </c>
      <c r="AG159" s="8" t="s">
        <v>21</v>
      </c>
      <c r="AH159" s="5" t="s">
        <v>6</v>
      </c>
      <c r="AI159" s="6" t="s">
        <v>3</v>
      </c>
      <c r="AJ159" s="7" t="s">
        <v>4</v>
      </c>
      <c r="AK159" s="7" t="s">
        <v>5</v>
      </c>
      <c r="AL159" s="48" t="s">
        <v>20</v>
      </c>
      <c r="AM159" s="8" t="s">
        <v>21</v>
      </c>
      <c r="AN159" s="5" t="s">
        <v>6</v>
      </c>
      <c r="AO159" s="6" t="s">
        <v>3</v>
      </c>
      <c r="AP159" s="7" t="s">
        <v>4</v>
      </c>
      <c r="AQ159" s="7" t="s">
        <v>5</v>
      </c>
      <c r="AR159" s="48" t="s">
        <v>20</v>
      </c>
      <c r="AS159" s="8" t="s">
        <v>21</v>
      </c>
      <c r="AT159" s="5" t="s">
        <v>6</v>
      </c>
      <c r="AU159" s="7" t="s">
        <v>3</v>
      </c>
      <c r="AV159" s="7" t="s">
        <v>4</v>
      </c>
      <c r="AW159" s="7" t="s">
        <v>5</v>
      </c>
      <c r="AX159" s="48" t="s">
        <v>20</v>
      </c>
      <c r="AY159" s="109" t="s">
        <v>21</v>
      </c>
      <c r="AZ159" s="62" t="s">
        <v>6</v>
      </c>
      <c r="BA159" s="252"/>
    </row>
    <row r="160" spans="1:55" ht="14.25" x14ac:dyDescent="0.15">
      <c r="A160" s="103" t="s">
        <v>43</v>
      </c>
      <c r="B160" s="104">
        <f>B154</f>
        <v>3</v>
      </c>
      <c r="C160" s="105">
        <f>C154</f>
        <v>1</v>
      </c>
      <c r="D160" s="105">
        <f>D154</f>
        <v>4</v>
      </c>
      <c r="E160" s="105">
        <f>E154</f>
        <v>4</v>
      </c>
      <c r="F160" s="105">
        <f>F154</f>
        <v>3</v>
      </c>
      <c r="G160" s="106">
        <f t="shared" ref="G160:G191" si="56">SUM(B160:F160)</f>
        <v>15</v>
      </c>
      <c r="H160" s="104">
        <f>H154</f>
        <v>4</v>
      </c>
      <c r="I160" s="105">
        <f>I154</f>
        <v>4</v>
      </c>
      <c r="J160" s="105">
        <f>J154</f>
        <v>4</v>
      </c>
      <c r="K160" s="105">
        <f>K154</f>
        <v>4</v>
      </c>
      <c r="L160" s="105">
        <f>L154</f>
        <v>4</v>
      </c>
      <c r="M160" s="107">
        <f t="shared" ref="M160:M191" si="57">SUM(H160:L160)</f>
        <v>20</v>
      </c>
      <c r="N160" s="104">
        <f>N154</f>
        <v>3</v>
      </c>
      <c r="O160" s="105">
        <f>O154</f>
        <v>2</v>
      </c>
      <c r="P160" s="105">
        <f>P154</f>
        <v>1</v>
      </c>
      <c r="Q160" s="105">
        <f>Q154</f>
        <v>3</v>
      </c>
      <c r="R160" s="105">
        <f>R154</f>
        <v>1</v>
      </c>
      <c r="S160" s="108">
        <f t="shared" ref="S160:S189" si="58">SUM(N160:R160)</f>
        <v>10</v>
      </c>
      <c r="T160" s="104">
        <f>T154</f>
        <v>3</v>
      </c>
      <c r="U160" s="105">
        <f>U154</f>
        <v>2</v>
      </c>
      <c r="V160" s="105">
        <f>V154</f>
        <v>2</v>
      </c>
      <c r="W160" s="105">
        <f>W154</f>
        <v>4</v>
      </c>
      <c r="X160" s="105">
        <f>X154</f>
        <v>4</v>
      </c>
      <c r="Y160" s="106">
        <f t="shared" ref="Y160:Y189" si="59">SUM(T160:X160)</f>
        <v>15</v>
      </c>
      <c r="Z160" s="106">
        <f>G160+M160+S160+Y160</f>
        <v>60</v>
      </c>
      <c r="AB160" s="103" t="s">
        <v>43</v>
      </c>
      <c r="AC160" s="104">
        <f>AC154</f>
        <v>132</v>
      </c>
      <c r="AD160" s="105">
        <f>AD154</f>
        <v>90</v>
      </c>
      <c r="AE160" s="105">
        <f>AE154</f>
        <v>91</v>
      </c>
      <c r="AF160" s="105">
        <f>AF154</f>
        <v>86</v>
      </c>
      <c r="AG160" s="105">
        <f>AG154</f>
        <v>107</v>
      </c>
      <c r="AH160" s="106">
        <f t="shared" ref="AH160:AH185" si="60">SUM(AC160:AG160)</f>
        <v>506</v>
      </c>
      <c r="AI160" s="104">
        <f>AI154</f>
        <v>85</v>
      </c>
      <c r="AJ160" s="105">
        <f>AJ154</f>
        <v>77</v>
      </c>
      <c r="AK160" s="105">
        <f>AK154</f>
        <v>82</v>
      </c>
      <c r="AL160" s="105">
        <f>AL154</f>
        <v>73</v>
      </c>
      <c r="AM160" s="105">
        <f>AM154</f>
        <v>72</v>
      </c>
      <c r="AN160" s="107">
        <f t="shared" ref="AN160:AN185" si="61">SUM(AI160:AM160)</f>
        <v>389</v>
      </c>
      <c r="AO160" s="104">
        <f>AO154</f>
        <v>113</v>
      </c>
      <c r="AP160" s="105">
        <f>AP154</f>
        <v>134</v>
      </c>
      <c r="AQ160" s="105">
        <f>AQ154</f>
        <v>112</v>
      </c>
      <c r="AR160" s="105">
        <f>AR154</f>
        <v>111</v>
      </c>
      <c r="AS160" s="105">
        <f>AS154</f>
        <v>88</v>
      </c>
      <c r="AT160" s="108">
        <f t="shared" ref="AT160:AT185" si="62">SUM(AO160:AS160)</f>
        <v>558</v>
      </c>
      <c r="AU160" s="104">
        <f>AU154</f>
        <v>119</v>
      </c>
      <c r="AV160" s="105">
        <f>AV154</f>
        <v>121</v>
      </c>
      <c r="AW160" s="105">
        <f>AW154</f>
        <v>120</v>
      </c>
      <c r="AX160" s="105">
        <f>AX154</f>
        <v>127</v>
      </c>
      <c r="AY160" s="105">
        <f>AY154</f>
        <v>79</v>
      </c>
      <c r="AZ160" s="106">
        <f t="shared" ref="AZ160:AZ185" si="63">SUM(AU160:AY160)</f>
        <v>566</v>
      </c>
      <c r="BA160" s="106">
        <f>AH160+AN160+AT160+AZ160</f>
        <v>2019</v>
      </c>
      <c r="BB160" s="101"/>
    </row>
    <row r="161" spans="1:54" ht="14.25" x14ac:dyDescent="0.15">
      <c r="A161" s="10" t="s">
        <v>33</v>
      </c>
      <c r="B161" s="14"/>
      <c r="C161" s="15"/>
      <c r="D161" s="15"/>
      <c r="E161" s="15"/>
      <c r="F161" s="15"/>
      <c r="G161" s="16">
        <f t="shared" si="56"/>
        <v>0</v>
      </c>
      <c r="H161" s="14"/>
      <c r="I161" s="15"/>
      <c r="J161" s="15"/>
      <c r="K161" s="15">
        <v>1</v>
      </c>
      <c r="L161" s="15"/>
      <c r="M161" s="57">
        <f t="shared" si="57"/>
        <v>1</v>
      </c>
      <c r="N161" s="14"/>
      <c r="O161" s="55"/>
      <c r="P161" s="55"/>
      <c r="Q161" s="55"/>
      <c r="R161" s="67"/>
      <c r="S161" s="24">
        <f t="shared" si="58"/>
        <v>0</v>
      </c>
      <c r="T161" s="15"/>
      <c r="U161" s="55"/>
      <c r="V161" s="55"/>
      <c r="W161" s="55"/>
      <c r="X161" s="67"/>
      <c r="Y161" s="24">
        <f t="shared" si="59"/>
        <v>0</v>
      </c>
      <c r="Z161" s="24">
        <f t="shared" ref="Z161:Z189" si="64">G161+M161+S161+Y161</f>
        <v>1</v>
      </c>
      <c r="AA161" s="93">
        <v>43654</v>
      </c>
      <c r="AB161" s="10" t="s">
        <v>7</v>
      </c>
      <c r="AC161" s="14">
        <v>1</v>
      </c>
      <c r="AD161" s="15"/>
      <c r="AE161" s="15">
        <v>2</v>
      </c>
      <c r="AF161" s="15">
        <v>2</v>
      </c>
      <c r="AG161" s="15">
        <v>2</v>
      </c>
      <c r="AH161" s="16">
        <f t="shared" si="60"/>
        <v>7</v>
      </c>
      <c r="AI161" s="14">
        <v>1</v>
      </c>
      <c r="AJ161" s="15">
        <v>2</v>
      </c>
      <c r="AK161" s="15">
        <v>1</v>
      </c>
      <c r="AL161" s="15">
        <v>2</v>
      </c>
      <c r="AM161" s="15">
        <v>1</v>
      </c>
      <c r="AN161" s="57">
        <f t="shared" si="61"/>
        <v>7</v>
      </c>
      <c r="AO161" s="14"/>
      <c r="AP161" s="55"/>
      <c r="AQ161" s="55">
        <v>1</v>
      </c>
      <c r="AR161" s="55"/>
      <c r="AS161" s="67">
        <v>1</v>
      </c>
      <c r="AT161" s="24">
        <f t="shared" si="62"/>
        <v>2</v>
      </c>
      <c r="AU161" s="15"/>
      <c r="AV161" s="55">
        <v>1</v>
      </c>
      <c r="AW161" s="55"/>
      <c r="AX161" s="55"/>
      <c r="AY161" s="67">
        <v>1</v>
      </c>
      <c r="AZ161" s="24">
        <f t="shared" si="63"/>
        <v>2</v>
      </c>
      <c r="BA161" s="24">
        <f t="shared" ref="BA161:BA193" si="65">AH161+AN161+AT161+AZ161</f>
        <v>18</v>
      </c>
      <c r="BB161" s="83">
        <v>43666</v>
      </c>
    </row>
    <row r="162" spans="1:54" ht="14.25" x14ac:dyDescent="0.15">
      <c r="A162" s="10" t="s">
        <v>77</v>
      </c>
      <c r="B162" s="41">
        <v>1</v>
      </c>
      <c r="C162" s="42"/>
      <c r="D162" s="42">
        <v>1</v>
      </c>
      <c r="E162" s="42">
        <v>1</v>
      </c>
      <c r="F162" s="42">
        <v>1</v>
      </c>
      <c r="G162" s="37">
        <f t="shared" si="56"/>
        <v>4</v>
      </c>
      <c r="H162" s="41"/>
      <c r="I162" s="42"/>
      <c r="J162" s="42"/>
      <c r="K162" s="42"/>
      <c r="L162" s="42"/>
      <c r="M162" s="114">
        <f t="shared" si="57"/>
        <v>0</v>
      </c>
      <c r="N162" s="41"/>
      <c r="O162" s="53"/>
      <c r="P162" s="53">
        <v>1</v>
      </c>
      <c r="Q162" s="53"/>
      <c r="R162" s="72">
        <v>1</v>
      </c>
      <c r="S162" s="24">
        <f t="shared" si="58"/>
        <v>2</v>
      </c>
      <c r="T162" s="42"/>
      <c r="U162" s="53">
        <v>1</v>
      </c>
      <c r="V162" s="53"/>
      <c r="W162" s="53"/>
      <c r="X162" s="72"/>
      <c r="Y162" s="24">
        <f t="shared" si="59"/>
        <v>1</v>
      </c>
      <c r="Z162" s="24">
        <f t="shared" si="64"/>
        <v>7</v>
      </c>
      <c r="AA162" s="83">
        <v>43655</v>
      </c>
      <c r="AB162" s="10" t="s">
        <v>9</v>
      </c>
      <c r="AC162" s="41"/>
      <c r="AD162" s="42"/>
      <c r="AE162" s="42"/>
      <c r="AF162" s="42"/>
      <c r="AG162" s="42"/>
      <c r="AH162" s="37">
        <f t="shared" si="60"/>
        <v>0</v>
      </c>
      <c r="AI162" s="41"/>
      <c r="AJ162" s="42"/>
      <c r="AK162" s="42"/>
      <c r="AL162" s="42"/>
      <c r="AM162" s="42"/>
      <c r="AN162" s="114">
        <f t="shared" si="61"/>
        <v>0</v>
      </c>
      <c r="AO162" s="41"/>
      <c r="AP162" s="53"/>
      <c r="AQ162" s="53"/>
      <c r="AR162" s="53"/>
      <c r="AS162" s="72"/>
      <c r="AT162" s="24">
        <f t="shared" si="62"/>
        <v>0</v>
      </c>
      <c r="AU162" s="42"/>
      <c r="AV162" s="53"/>
      <c r="AW162" s="53"/>
      <c r="AX162" s="53"/>
      <c r="AY162" s="72"/>
      <c r="AZ162" s="24">
        <f t="shared" si="63"/>
        <v>0</v>
      </c>
      <c r="BA162" s="24">
        <f t="shared" si="65"/>
        <v>0</v>
      </c>
      <c r="BB162" s="128"/>
    </row>
    <row r="163" spans="1:54" ht="14.25" x14ac:dyDescent="0.15">
      <c r="A163" s="10" t="s">
        <v>10</v>
      </c>
      <c r="B163" s="14"/>
      <c r="C163" s="15"/>
      <c r="D163" s="15"/>
      <c r="E163" s="15"/>
      <c r="F163" s="15"/>
      <c r="G163" s="16">
        <f t="shared" si="56"/>
        <v>0</v>
      </c>
      <c r="H163" s="14"/>
      <c r="I163" s="15"/>
      <c r="J163" s="15"/>
      <c r="K163" s="15"/>
      <c r="L163" s="15"/>
      <c r="M163" s="57">
        <f t="shared" si="57"/>
        <v>0</v>
      </c>
      <c r="N163" s="14"/>
      <c r="O163" s="55"/>
      <c r="P163" s="55"/>
      <c r="Q163" s="55">
        <v>6</v>
      </c>
      <c r="R163" s="67"/>
      <c r="S163" s="24">
        <f t="shared" si="58"/>
        <v>6</v>
      </c>
      <c r="T163" s="15"/>
      <c r="U163" s="55"/>
      <c r="V163" s="55"/>
      <c r="W163" s="55"/>
      <c r="X163" s="67"/>
      <c r="Y163" s="24">
        <f t="shared" si="59"/>
        <v>0</v>
      </c>
      <c r="Z163" s="24">
        <f t="shared" si="64"/>
        <v>6</v>
      </c>
      <c r="AA163" s="83">
        <v>43656</v>
      </c>
      <c r="AB163" s="10" t="s">
        <v>10</v>
      </c>
      <c r="AC163" s="14"/>
      <c r="AD163" s="15"/>
      <c r="AE163" s="15"/>
      <c r="AF163" s="15"/>
      <c r="AG163" s="15"/>
      <c r="AH163" s="16">
        <f t="shared" si="60"/>
        <v>0</v>
      </c>
      <c r="AI163" s="14"/>
      <c r="AJ163" s="15"/>
      <c r="AK163" s="15"/>
      <c r="AL163" s="15"/>
      <c r="AM163" s="15"/>
      <c r="AN163" s="57">
        <f t="shared" si="61"/>
        <v>0</v>
      </c>
      <c r="AO163" s="14"/>
      <c r="AP163" s="55"/>
      <c r="AQ163" s="55"/>
      <c r="AR163" s="55"/>
      <c r="AS163" s="67"/>
      <c r="AT163" s="24">
        <f t="shared" si="62"/>
        <v>0</v>
      </c>
      <c r="AU163" s="15"/>
      <c r="AV163" s="55"/>
      <c r="AW163" s="55"/>
      <c r="AX163" s="55"/>
      <c r="AY163" s="67"/>
      <c r="AZ163" s="24">
        <f t="shared" si="63"/>
        <v>0</v>
      </c>
      <c r="BA163" s="24">
        <f t="shared" si="65"/>
        <v>0</v>
      </c>
      <c r="BB163" s="83"/>
    </row>
    <row r="164" spans="1:54" ht="15" thickBot="1" x14ac:dyDescent="0.2">
      <c r="A164" s="10" t="s">
        <v>83</v>
      </c>
      <c r="B164" s="14"/>
      <c r="C164" s="15"/>
      <c r="D164" s="15"/>
      <c r="E164" s="15"/>
      <c r="F164" s="15"/>
      <c r="G164" s="16">
        <f t="shared" si="56"/>
        <v>0</v>
      </c>
      <c r="H164" s="14"/>
      <c r="I164" s="15"/>
      <c r="J164" s="15"/>
      <c r="K164" s="15"/>
      <c r="L164" s="15"/>
      <c r="M164" s="57">
        <f t="shared" si="57"/>
        <v>0</v>
      </c>
      <c r="N164" s="63"/>
      <c r="O164" s="64">
        <v>1</v>
      </c>
      <c r="P164" s="64"/>
      <c r="Q164" s="64"/>
      <c r="R164" s="69"/>
      <c r="S164" s="82">
        <f t="shared" si="58"/>
        <v>1</v>
      </c>
      <c r="T164" s="73"/>
      <c r="U164" s="64"/>
      <c r="V164" s="64">
        <v>1</v>
      </c>
      <c r="W164" s="64"/>
      <c r="X164" s="69"/>
      <c r="Y164" s="82">
        <f t="shared" si="59"/>
        <v>1</v>
      </c>
      <c r="Z164" s="82">
        <f t="shared" si="64"/>
        <v>2</v>
      </c>
      <c r="AA164" s="93">
        <v>43658</v>
      </c>
      <c r="AB164" s="10" t="s">
        <v>11</v>
      </c>
      <c r="AC164" s="14"/>
      <c r="AD164" s="15"/>
      <c r="AE164" s="15"/>
      <c r="AF164" s="15"/>
      <c r="AG164" s="15"/>
      <c r="AH164" s="16">
        <f t="shared" si="60"/>
        <v>0</v>
      </c>
      <c r="AI164" s="14"/>
      <c r="AJ164" s="15"/>
      <c r="AK164" s="15"/>
      <c r="AL164" s="15"/>
      <c r="AM164" s="15"/>
      <c r="AN164" s="57">
        <f t="shared" si="61"/>
        <v>0</v>
      </c>
      <c r="AO164" s="63"/>
      <c r="AP164" s="64"/>
      <c r="AQ164" s="64"/>
      <c r="AR164" s="64"/>
      <c r="AS164" s="69"/>
      <c r="AT164" s="82">
        <f t="shared" si="62"/>
        <v>0</v>
      </c>
      <c r="AU164" s="73"/>
      <c r="AV164" s="64"/>
      <c r="AW164" s="64"/>
      <c r="AX164" s="64"/>
      <c r="AY164" s="69"/>
      <c r="AZ164" s="82">
        <f t="shared" si="63"/>
        <v>0</v>
      </c>
      <c r="BA164" s="82">
        <f t="shared" si="65"/>
        <v>0</v>
      </c>
      <c r="BB164" s="128"/>
    </row>
    <row r="165" spans="1:54" ht="15" thickBot="1" x14ac:dyDescent="0.2">
      <c r="A165" s="4" t="s">
        <v>12</v>
      </c>
      <c r="B165" s="17">
        <f>SUM(B160:B164)</f>
        <v>4</v>
      </c>
      <c r="C165" s="18">
        <f>SUM(C160:C164)</f>
        <v>1</v>
      </c>
      <c r="D165" s="18">
        <f>SUM(D160:D164)</f>
        <v>5</v>
      </c>
      <c r="E165" s="18">
        <f>SUM(E160:E164)</f>
        <v>5</v>
      </c>
      <c r="F165" s="18">
        <f>SUM(F160:F164)</f>
        <v>4</v>
      </c>
      <c r="G165" s="19">
        <f t="shared" si="56"/>
        <v>19</v>
      </c>
      <c r="H165" s="17">
        <f>SUM(H160:H164)</f>
        <v>4</v>
      </c>
      <c r="I165" s="18">
        <f>SUM(I160:I164)</f>
        <v>4</v>
      </c>
      <c r="J165" s="18">
        <f>SUM(J160:J164)</f>
        <v>4</v>
      </c>
      <c r="K165" s="18">
        <f>SUM(K160:K164)</f>
        <v>5</v>
      </c>
      <c r="L165" s="18">
        <f>SUM(L160:L164)</f>
        <v>4</v>
      </c>
      <c r="M165" s="25">
        <f t="shared" si="57"/>
        <v>21</v>
      </c>
      <c r="N165" s="65">
        <f>SUM(N160:N164)</f>
        <v>3</v>
      </c>
      <c r="O165" s="18">
        <f>SUM(O160:O164)</f>
        <v>3</v>
      </c>
      <c r="P165" s="18">
        <f>SUM(P160:P164)</f>
        <v>2</v>
      </c>
      <c r="Q165" s="18">
        <f>SUM(Q160:Q164)</f>
        <v>9</v>
      </c>
      <c r="R165" s="70">
        <f>SUM(R160:R164)</f>
        <v>2</v>
      </c>
      <c r="S165" s="49">
        <f t="shared" si="58"/>
        <v>19</v>
      </c>
      <c r="T165" s="74">
        <f>SUM(T160:T164)</f>
        <v>3</v>
      </c>
      <c r="U165" s="18">
        <f>SUM(U160:U164)</f>
        <v>3</v>
      </c>
      <c r="V165" s="18">
        <f>SUM(V160:V164)</f>
        <v>3</v>
      </c>
      <c r="W165" s="18">
        <f>SUM(W160:W164)</f>
        <v>4</v>
      </c>
      <c r="X165" s="70">
        <f>SUM(X160:X164)</f>
        <v>4</v>
      </c>
      <c r="Y165" s="49">
        <f t="shared" si="59"/>
        <v>17</v>
      </c>
      <c r="Z165" s="33">
        <f t="shared" si="64"/>
        <v>76</v>
      </c>
      <c r="AB165" s="4" t="s">
        <v>12</v>
      </c>
      <c r="AC165" s="17">
        <f>SUM(AC160:AC164)</f>
        <v>133</v>
      </c>
      <c r="AD165" s="18">
        <f>SUM(AD160:AD164)</f>
        <v>90</v>
      </c>
      <c r="AE165" s="18">
        <f>SUM(AE160:AE164)</f>
        <v>93</v>
      </c>
      <c r="AF165" s="18">
        <f>SUM(AF160:AF164)</f>
        <v>88</v>
      </c>
      <c r="AG165" s="18">
        <f>SUM(AG160:AG164)</f>
        <v>109</v>
      </c>
      <c r="AH165" s="19">
        <f t="shared" si="60"/>
        <v>513</v>
      </c>
      <c r="AI165" s="17">
        <f>SUM(AI160:AI164)</f>
        <v>86</v>
      </c>
      <c r="AJ165" s="18">
        <f>SUM(AJ160:AJ164)</f>
        <v>79</v>
      </c>
      <c r="AK165" s="18">
        <f>SUM(AK160:AK164)</f>
        <v>83</v>
      </c>
      <c r="AL165" s="18">
        <f>SUM(AL160:AL164)</f>
        <v>75</v>
      </c>
      <c r="AM165" s="18">
        <f>SUM(AM160:AM164)</f>
        <v>73</v>
      </c>
      <c r="AN165" s="25">
        <f t="shared" si="61"/>
        <v>396</v>
      </c>
      <c r="AO165" s="65">
        <f>SUM(AO160:AO164)</f>
        <v>113</v>
      </c>
      <c r="AP165" s="18">
        <f>SUM(AP160:AP164)</f>
        <v>134</v>
      </c>
      <c r="AQ165" s="18">
        <f>SUM(AQ160:AQ164)</f>
        <v>113</v>
      </c>
      <c r="AR165" s="18">
        <f>SUM(AR160:AR164)</f>
        <v>111</v>
      </c>
      <c r="AS165" s="70">
        <f>SUM(AS160:AS164)</f>
        <v>89</v>
      </c>
      <c r="AT165" s="49">
        <f t="shared" si="62"/>
        <v>560</v>
      </c>
      <c r="AU165" s="74">
        <f>SUM(AU160:AU164)</f>
        <v>119</v>
      </c>
      <c r="AV165" s="18">
        <f>SUM(AV160:AV164)</f>
        <v>122</v>
      </c>
      <c r="AW165" s="18">
        <f>SUM(AW160:AW164)</f>
        <v>120</v>
      </c>
      <c r="AX165" s="18">
        <f>SUM(AX160:AX164)</f>
        <v>127</v>
      </c>
      <c r="AY165" s="70">
        <f>SUM(AY160:AY164)</f>
        <v>80</v>
      </c>
      <c r="AZ165" s="49">
        <f t="shared" si="63"/>
        <v>568</v>
      </c>
      <c r="BA165" s="33">
        <f t="shared" si="65"/>
        <v>2037</v>
      </c>
    </row>
    <row r="166" spans="1:54" ht="14.25" x14ac:dyDescent="0.15">
      <c r="A166" s="40" t="s">
        <v>48</v>
      </c>
      <c r="B166" s="34"/>
      <c r="C166" s="35"/>
      <c r="D166" s="35"/>
      <c r="E166" s="35"/>
      <c r="F166" s="35"/>
      <c r="G166" s="36">
        <f t="shared" si="56"/>
        <v>0</v>
      </c>
      <c r="H166" s="34"/>
      <c r="I166" s="35"/>
      <c r="J166" s="35">
        <v>1</v>
      </c>
      <c r="K166" s="35"/>
      <c r="L166" s="35"/>
      <c r="M166" s="36">
        <f t="shared" si="57"/>
        <v>1</v>
      </c>
      <c r="N166" s="39"/>
      <c r="O166" s="56"/>
      <c r="P166" s="56"/>
      <c r="Q166" s="56"/>
      <c r="R166" s="71"/>
      <c r="S166" s="16">
        <f t="shared" si="58"/>
        <v>0</v>
      </c>
      <c r="T166" s="39"/>
      <c r="U166" s="56"/>
      <c r="V166" s="56"/>
      <c r="W166" s="56"/>
      <c r="X166" s="71"/>
      <c r="Y166" s="16">
        <f t="shared" si="59"/>
        <v>0</v>
      </c>
      <c r="Z166" s="16">
        <f t="shared" si="64"/>
        <v>1</v>
      </c>
      <c r="AA166" s="93">
        <v>43652</v>
      </c>
      <c r="AB166" s="21" t="s">
        <v>122</v>
      </c>
      <c r="AC166" s="34"/>
      <c r="AD166" s="35"/>
      <c r="AE166" s="35">
        <v>2</v>
      </c>
      <c r="AF166" s="35"/>
      <c r="AG166" s="35"/>
      <c r="AH166" s="36">
        <f t="shared" si="60"/>
        <v>2</v>
      </c>
      <c r="AI166" s="34"/>
      <c r="AJ166" s="35"/>
      <c r="AK166" s="35"/>
      <c r="AL166" s="35"/>
      <c r="AM166" s="35"/>
      <c r="AN166" s="36">
        <f t="shared" si="61"/>
        <v>0</v>
      </c>
      <c r="AO166" s="39"/>
      <c r="AP166" s="56">
        <v>1</v>
      </c>
      <c r="AQ166" s="56">
        <v>1</v>
      </c>
      <c r="AR166" s="56">
        <v>1</v>
      </c>
      <c r="AS166" s="71"/>
      <c r="AT166" s="16">
        <f t="shared" si="62"/>
        <v>3</v>
      </c>
      <c r="AU166" s="39"/>
      <c r="AV166" s="56"/>
      <c r="AW166" s="56"/>
      <c r="AX166" s="56"/>
      <c r="AY166" s="71"/>
      <c r="AZ166" s="16">
        <f t="shared" si="63"/>
        <v>0</v>
      </c>
      <c r="BA166" s="16">
        <f t="shared" si="65"/>
        <v>5</v>
      </c>
      <c r="BB166" s="83">
        <v>43655</v>
      </c>
    </row>
    <row r="167" spans="1:54" ht="14.25" x14ac:dyDescent="0.15">
      <c r="A167" s="40" t="s">
        <v>48</v>
      </c>
      <c r="B167" s="41"/>
      <c r="C167" s="42">
        <v>1</v>
      </c>
      <c r="D167" s="42">
        <v>1</v>
      </c>
      <c r="E167" s="42"/>
      <c r="F167" s="42"/>
      <c r="G167" s="43">
        <f t="shared" si="56"/>
        <v>2</v>
      </c>
      <c r="H167" s="41"/>
      <c r="I167" s="42"/>
      <c r="J167" s="42"/>
      <c r="K167" s="42"/>
      <c r="L167" s="42">
        <v>1</v>
      </c>
      <c r="M167" s="43">
        <f t="shared" si="57"/>
        <v>1</v>
      </c>
      <c r="N167" s="42"/>
      <c r="O167" s="53"/>
      <c r="P167" s="53"/>
      <c r="Q167" s="53"/>
      <c r="R167" s="72"/>
      <c r="S167" s="24">
        <f t="shared" si="58"/>
        <v>0</v>
      </c>
      <c r="T167" s="42"/>
      <c r="U167" s="53"/>
      <c r="V167" s="53"/>
      <c r="W167" s="53"/>
      <c r="X167" s="72"/>
      <c r="Y167" s="24">
        <f t="shared" si="59"/>
        <v>0</v>
      </c>
      <c r="Z167" s="24">
        <f t="shared" si="64"/>
        <v>3</v>
      </c>
      <c r="AA167" s="93">
        <v>43654</v>
      </c>
      <c r="AB167" s="21" t="s">
        <v>29</v>
      </c>
      <c r="AC167" s="41"/>
      <c r="AD167" s="42"/>
      <c r="AE167" s="42"/>
      <c r="AF167" s="42"/>
      <c r="AG167" s="42"/>
      <c r="AH167" s="43">
        <f t="shared" si="60"/>
        <v>0</v>
      </c>
      <c r="AI167" s="41"/>
      <c r="AJ167" s="42">
        <v>5</v>
      </c>
      <c r="AK167" s="42"/>
      <c r="AL167" s="42"/>
      <c r="AM167" s="42"/>
      <c r="AN167" s="43">
        <f t="shared" si="61"/>
        <v>5</v>
      </c>
      <c r="AO167" s="42"/>
      <c r="AP167" s="53"/>
      <c r="AQ167" s="53"/>
      <c r="AR167" s="53"/>
      <c r="AS167" s="72"/>
      <c r="AT167" s="24">
        <f t="shared" si="62"/>
        <v>0</v>
      </c>
      <c r="AU167" s="42"/>
      <c r="AV167" s="53"/>
      <c r="AW167" s="53"/>
      <c r="AX167" s="53"/>
      <c r="AY167" s="72"/>
      <c r="AZ167" s="24">
        <f t="shared" si="63"/>
        <v>0</v>
      </c>
      <c r="BA167" s="24">
        <f t="shared" si="65"/>
        <v>5</v>
      </c>
      <c r="BB167" s="83">
        <v>43662</v>
      </c>
    </row>
    <row r="168" spans="1:54" ht="14.25" x14ac:dyDescent="0.15">
      <c r="A168" s="21" t="s">
        <v>124</v>
      </c>
      <c r="B168" s="41"/>
      <c r="C168" s="42"/>
      <c r="D168" s="42"/>
      <c r="E168" s="42">
        <v>2</v>
      </c>
      <c r="F168" s="42"/>
      <c r="G168" s="43">
        <f t="shared" si="56"/>
        <v>2</v>
      </c>
      <c r="H168" s="41"/>
      <c r="I168" s="42"/>
      <c r="J168" s="42"/>
      <c r="K168" s="42"/>
      <c r="L168" s="42"/>
      <c r="M168" s="43">
        <f t="shared" si="57"/>
        <v>0</v>
      </c>
      <c r="N168" s="42"/>
      <c r="O168" s="53"/>
      <c r="P168" s="53"/>
      <c r="Q168" s="53"/>
      <c r="R168" s="72"/>
      <c r="S168" s="24">
        <f t="shared" si="58"/>
        <v>0</v>
      </c>
      <c r="T168" s="42"/>
      <c r="U168" s="53"/>
      <c r="V168" s="53"/>
      <c r="W168" s="53"/>
      <c r="X168" s="72"/>
      <c r="Y168" s="24">
        <f t="shared" si="59"/>
        <v>0</v>
      </c>
      <c r="Z168" s="24">
        <f t="shared" si="64"/>
        <v>2</v>
      </c>
      <c r="AA168" s="83">
        <v>43656</v>
      </c>
      <c r="AB168" s="21" t="s">
        <v>123</v>
      </c>
      <c r="AC168" s="41"/>
      <c r="AD168" s="42"/>
      <c r="AE168" s="42"/>
      <c r="AF168" s="42">
        <v>1</v>
      </c>
      <c r="AG168" s="42"/>
      <c r="AH168" s="43">
        <f t="shared" si="60"/>
        <v>1</v>
      </c>
      <c r="AI168" s="41"/>
      <c r="AJ168" s="42"/>
      <c r="AK168" s="42"/>
      <c r="AL168" s="42"/>
      <c r="AM168" s="42"/>
      <c r="AN168" s="43">
        <f t="shared" si="61"/>
        <v>0</v>
      </c>
      <c r="AO168" s="42"/>
      <c r="AP168" s="53"/>
      <c r="AQ168" s="53"/>
      <c r="AR168" s="53"/>
      <c r="AS168" s="72"/>
      <c r="AT168" s="24">
        <f t="shared" si="62"/>
        <v>0</v>
      </c>
      <c r="AU168" s="42"/>
      <c r="AV168" s="53"/>
      <c r="AW168" s="53"/>
      <c r="AX168" s="53"/>
      <c r="AY168" s="72"/>
      <c r="AZ168" s="24">
        <f t="shared" si="63"/>
        <v>0</v>
      </c>
      <c r="BA168" s="24">
        <f t="shared" si="65"/>
        <v>1</v>
      </c>
      <c r="BB168" s="83">
        <v>43656</v>
      </c>
    </row>
    <row r="169" spans="1:54" ht="14.25" x14ac:dyDescent="0.15">
      <c r="A169" s="21" t="s">
        <v>124</v>
      </c>
      <c r="B169" s="41"/>
      <c r="C169" s="42"/>
      <c r="D169" s="42"/>
      <c r="E169" s="42"/>
      <c r="F169" s="42"/>
      <c r="G169" s="43">
        <f t="shared" si="56"/>
        <v>0</v>
      </c>
      <c r="H169" s="41"/>
      <c r="I169" s="42"/>
      <c r="J169" s="42"/>
      <c r="K169" s="42"/>
      <c r="L169" s="42"/>
      <c r="M169" s="43">
        <f t="shared" si="57"/>
        <v>0</v>
      </c>
      <c r="N169" s="42"/>
      <c r="O169" s="53"/>
      <c r="P169" s="53"/>
      <c r="Q169" s="53">
        <v>2</v>
      </c>
      <c r="R169" s="72"/>
      <c r="S169" s="43">
        <f t="shared" si="58"/>
        <v>2</v>
      </c>
      <c r="T169" s="42"/>
      <c r="U169" s="53"/>
      <c r="V169" s="53"/>
      <c r="W169" s="53">
        <v>2</v>
      </c>
      <c r="X169" s="72"/>
      <c r="Y169" s="43">
        <f t="shared" si="59"/>
        <v>2</v>
      </c>
      <c r="Z169" s="43">
        <f t="shared" si="64"/>
        <v>4</v>
      </c>
      <c r="AA169" s="83">
        <v>43658</v>
      </c>
      <c r="AB169" s="21" t="s">
        <v>132</v>
      </c>
      <c r="AC169" s="41"/>
      <c r="AD169" s="42"/>
      <c r="AE169" s="42"/>
      <c r="AF169" s="42">
        <v>6</v>
      </c>
      <c r="AG169" s="42"/>
      <c r="AH169" s="43">
        <f t="shared" si="60"/>
        <v>6</v>
      </c>
      <c r="AI169" s="41"/>
      <c r="AJ169" s="42"/>
      <c r="AK169" s="42"/>
      <c r="AL169" s="42"/>
      <c r="AM169" s="42"/>
      <c r="AN169" s="43">
        <f t="shared" si="61"/>
        <v>0</v>
      </c>
      <c r="AO169" s="42"/>
      <c r="AP169" s="53"/>
      <c r="AQ169" s="53"/>
      <c r="AR169" s="53">
        <v>2</v>
      </c>
      <c r="AS169" s="72">
        <v>2</v>
      </c>
      <c r="AT169" s="43">
        <f t="shared" si="62"/>
        <v>4</v>
      </c>
      <c r="AU169" s="42"/>
      <c r="AV169" s="53"/>
      <c r="AW169" s="53"/>
      <c r="AX169" s="53"/>
      <c r="AY169" s="72"/>
      <c r="AZ169" s="43">
        <f t="shared" si="63"/>
        <v>0</v>
      </c>
      <c r="BA169" s="43">
        <f t="shared" si="65"/>
        <v>10</v>
      </c>
      <c r="BB169" s="83">
        <v>43657</v>
      </c>
    </row>
    <row r="170" spans="1:54" ht="14.25" x14ac:dyDescent="0.15">
      <c r="A170" s="40" t="s">
        <v>48</v>
      </c>
      <c r="B170" s="41"/>
      <c r="C170" s="42"/>
      <c r="D170" s="42">
        <v>1</v>
      </c>
      <c r="E170" s="42"/>
      <c r="F170" s="42"/>
      <c r="G170" s="43">
        <f t="shared" si="56"/>
        <v>1</v>
      </c>
      <c r="H170" s="41"/>
      <c r="I170" s="42"/>
      <c r="J170" s="42"/>
      <c r="K170" s="42"/>
      <c r="L170" s="42"/>
      <c r="M170" s="43">
        <f t="shared" si="57"/>
        <v>0</v>
      </c>
      <c r="N170" s="42"/>
      <c r="O170" s="53"/>
      <c r="P170" s="53"/>
      <c r="Q170" s="53"/>
      <c r="R170" s="72"/>
      <c r="S170" s="24">
        <f t="shared" si="58"/>
        <v>0</v>
      </c>
      <c r="T170" s="42"/>
      <c r="U170" s="53"/>
      <c r="V170" s="53"/>
      <c r="W170" s="53"/>
      <c r="X170" s="72"/>
      <c r="Y170" s="24">
        <f t="shared" si="59"/>
        <v>0</v>
      </c>
      <c r="Z170" s="24">
        <f t="shared" si="64"/>
        <v>1</v>
      </c>
      <c r="AA170" s="93">
        <v>43657</v>
      </c>
      <c r="AB170" s="21" t="s">
        <v>125</v>
      </c>
      <c r="AC170" s="41">
        <v>1</v>
      </c>
      <c r="AD170" s="42">
        <v>1</v>
      </c>
      <c r="AE170" s="42">
        <v>1</v>
      </c>
      <c r="AF170" s="42"/>
      <c r="AG170" s="42"/>
      <c r="AH170" s="43">
        <f t="shared" si="60"/>
        <v>3</v>
      </c>
      <c r="AI170" s="41"/>
      <c r="AJ170" s="42"/>
      <c r="AK170" s="42"/>
      <c r="AL170" s="42"/>
      <c r="AM170" s="42"/>
      <c r="AN170" s="43">
        <f t="shared" si="61"/>
        <v>0</v>
      </c>
      <c r="AO170" s="42"/>
      <c r="AP170" s="53"/>
      <c r="AQ170" s="53"/>
      <c r="AR170" s="53"/>
      <c r="AS170" s="72"/>
      <c r="AT170" s="24">
        <f t="shared" si="62"/>
        <v>0</v>
      </c>
      <c r="AU170" s="42"/>
      <c r="AV170" s="53"/>
      <c r="AW170" s="53"/>
      <c r="AX170" s="53"/>
      <c r="AY170" s="72"/>
      <c r="AZ170" s="24">
        <f t="shared" si="63"/>
        <v>0</v>
      </c>
      <c r="BA170" s="24">
        <f t="shared" si="65"/>
        <v>3</v>
      </c>
      <c r="BB170" s="83">
        <v>43657</v>
      </c>
    </row>
    <row r="171" spans="1:54" ht="14.25" x14ac:dyDescent="0.15">
      <c r="A171" s="40" t="s">
        <v>48</v>
      </c>
      <c r="B171" s="41"/>
      <c r="C171" s="42"/>
      <c r="D171" s="42"/>
      <c r="E171" s="42"/>
      <c r="F171" s="42"/>
      <c r="G171" s="43">
        <f t="shared" si="56"/>
        <v>0</v>
      </c>
      <c r="H171" s="41"/>
      <c r="I171" s="42"/>
      <c r="J171" s="42">
        <v>1</v>
      </c>
      <c r="K171" s="42"/>
      <c r="L171" s="42">
        <v>1</v>
      </c>
      <c r="M171" s="43">
        <f t="shared" si="57"/>
        <v>2</v>
      </c>
      <c r="N171" s="42"/>
      <c r="O171" s="53"/>
      <c r="P171" s="53"/>
      <c r="Q171" s="53"/>
      <c r="R171" s="72"/>
      <c r="S171" s="24">
        <f t="shared" si="58"/>
        <v>0</v>
      </c>
      <c r="T171" s="42"/>
      <c r="U171" s="53"/>
      <c r="V171" s="53"/>
      <c r="W171" s="53"/>
      <c r="X171" s="72"/>
      <c r="Y171" s="24">
        <f t="shared" si="59"/>
        <v>0</v>
      </c>
      <c r="Z171" s="24">
        <f t="shared" si="64"/>
        <v>2</v>
      </c>
      <c r="AA171" s="93">
        <v>43658</v>
      </c>
      <c r="AB171" s="23" t="s">
        <v>126</v>
      </c>
      <c r="AC171" s="41"/>
      <c r="AD171" s="42"/>
      <c r="AE171" s="42"/>
      <c r="AF171" s="42"/>
      <c r="AG171" s="42"/>
      <c r="AH171" s="43">
        <f t="shared" si="60"/>
        <v>0</v>
      </c>
      <c r="AI171" s="41"/>
      <c r="AJ171" s="42"/>
      <c r="AK171" s="42"/>
      <c r="AL171" s="42"/>
      <c r="AM171" s="42"/>
      <c r="AN171" s="43">
        <f t="shared" si="61"/>
        <v>0</v>
      </c>
      <c r="AO171" s="42"/>
      <c r="AP171" s="53"/>
      <c r="AQ171" s="53"/>
      <c r="AR171" s="53">
        <v>6</v>
      </c>
      <c r="AS171" s="72"/>
      <c r="AT171" s="24">
        <f t="shared" si="62"/>
        <v>6</v>
      </c>
      <c r="AU171" s="42"/>
      <c r="AV171" s="53"/>
      <c r="AW171" s="53"/>
      <c r="AX171" s="53"/>
      <c r="AY171" s="72"/>
      <c r="AZ171" s="24">
        <f t="shared" si="63"/>
        <v>0</v>
      </c>
      <c r="BA171" s="24">
        <f t="shared" si="65"/>
        <v>6</v>
      </c>
      <c r="BB171" s="83">
        <v>43656</v>
      </c>
    </row>
    <row r="172" spans="1:54" ht="14.25" x14ac:dyDescent="0.15">
      <c r="A172" s="21" t="s">
        <v>136</v>
      </c>
      <c r="B172" s="41"/>
      <c r="C172" s="42"/>
      <c r="D172" s="42">
        <v>-1</v>
      </c>
      <c r="E172" s="42"/>
      <c r="F172" s="42"/>
      <c r="G172" s="43">
        <f t="shared" si="56"/>
        <v>-1</v>
      </c>
      <c r="H172" s="41"/>
      <c r="I172" s="42"/>
      <c r="J172" s="42"/>
      <c r="K172" s="42"/>
      <c r="L172" s="42"/>
      <c r="M172" s="43">
        <f t="shared" si="57"/>
        <v>0</v>
      </c>
      <c r="N172" s="42"/>
      <c r="O172" s="53"/>
      <c r="P172" s="53"/>
      <c r="Q172" s="53"/>
      <c r="R172" s="72"/>
      <c r="S172" s="24">
        <f t="shared" si="58"/>
        <v>0</v>
      </c>
      <c r="T172" s="42"/>
      <c r="U172" s="53"/>
      <c r="V172" s="53"/>
      <c r="W172" s="53"/>
      <c r="X172" s="72"/>
      <c r="Y172" s="24">
        <f t="shared" si="59"/>
        <v>0</v>
      </c>
      <c r="Z172" s="24">
        <f t="shared" si="64"/>
        <v>-1</v>
      </c>
      <c r="AA172" s="93">
        <v>43662</v>
      </c>
      <c r="AB172" s="21" t="s">
        <v>127</v>
      </c>
      <c r="AC172" s="41"/>
      <c r="AD172" s="42"/>
      <c r="AE172" s="42">
        <v>3</v>
      </c>
      <c r="AF172" s="42">
        <v>3</v>
      </c>
      <c r="AG172" s="42">
        <v>1</v>
      </c>
      <c r="AH172" s="43">
        <f t="shared" si="60"/>
        <v>7</v>
      </c>
      <c r="AI172" s="41"/>
      <c r="AJ172" s="42"/>
      <c r="AK172" s="42"/>
      <c r="AL172" s="42"/>
      <c r="AM172" s="42"/>
      <c r="AN172" s="43">
        <f t="shared" si="61"/>
        <v>0</v>
      </c>
      <c r="AO172" s="42"/>
      <c r="AP172" s="53"/>
      <c r="AQ172" s="53">
        <v>1</v>
      </c>
      <c r="AR172" s="53"/>
      <c r="AS172" s="72"/>
      <c r="AT172" s="24">
        <f t="shared" si="62"/>
        <v>1</v>
      </c>
      <c r="AU172" s="42"/>
      <c r="AV172" s="53"/>
      <c r="AW172" s="53"/>
      <c r="AX172" s="53"/>
      <c r="AY172" s="72"/>
      <c r="AZ172" s="24">
        <f t="shared" si="63"/>
        <v>0</v>
      </c>
      <c r="BA172" s="24">
        <f t="shared" si="65"/>
        <v>8</v>
      </c>
      <c r="BB172" s="83">
        <v>43658</v>
      </c>
    </row>
    <row r="173" spans="1:54" ht="14.25" x14ac:dyDescent="0.15">
      <c r="A173" s="21" t="s">
        <v>138</v>
      </c>
      <c r="B173" s="41"/>
      <c r="C173" s="42"/>
      <c r="D173" s="42"/>
      <c r="E173" s="42"/>
      <c r="F173" s="42"/>
      <c r="G173" s="43">
        <f t="shared" si="56"/>
        <v>0</v>
      </c>
      <c r="H173" s="41"/>
      <c r="I173" s="42"/>
      <c r="J173" s="42"/>
      <c r="K173" s="42"/>
      <c r="L173" s="42"/>
      <c r="M173" s="43">
        <f t="shared" si="57"/>
        <v>0</v>
      </c>
      <c r="N173" s="42"/>
      <c r="O173" s="53"/>
      <c r="P173" s="53"/>
      <c r="Q173" s="53"/>
      <c r="R173" s="72"/>
      <c r="S173" s="24">
        <f t="shared" si="58"/>
        <v>0</v>
      </c>
      <c r="T173" s="42"/>
      <c r="U173" s="53">
        <v>2</v>
      </c>
      <c r="V173" s="53"/>
      <c r="W173" s="53"/>
      <c r="X173" s="72"/>
      <c r="Y173" s="24">
        <f t="shared" si="59"/>
        <v>2</v>
      </c>
      <c r="Z173" s="24">
        <f t="shared" si="64"/>
        <v>2</v>
      </c>
      <c r="AA173" s="83">
        <v>43665</v>
      </c>
      <c r="AB173" s="21" t="s">
        <v>133</v>
      </c>
      <c r="AC173" s="41"/>
      <c r="AD173" s="42"/>
      <c r="AE173" s="42"/>
      <c r="AF173" s="42"/>
      <c r="AG173" s="42">
        <v>1</v>
      </c>
      <c r="AH173" s="43">
        <f t="shared" si="60"/>
        <v>1</v>
      </c>
      <c r="AI173" s="41"/>
      <c r="AJ173" s="42"/>
      <c r="AK173" s="42"/>
      <c r="AL173" s="42"/>
      <c r="AM173" s="42"/>
      <c r="AN173" s="43">
        <f t="shared" si="61"/>
        <v>0</v>
      </c>
      <c r="AO173" s="42"/>
      <c r="AP173" s="53"/>
      <c r="AQ173" s="53"/>
      <c r="AR173" s="53"/>
      <c r="AS173" s="72"/>
      <c r="AT173" s="24">
        <f t="shared" si="62"/>
        <v>0</v>
      </c>
      <c r="AU173" s="42"/>
      <c r="AV173" s="53"/>
      <c r="AW173" s="53"/>
      <c r="AX173" s="53"/>
      <c r="AY173" s="72"/>
      <c r="AZ173" s="24">
        <f t="shared" si="63"/>
        <v>0</v>
      </c>
      <c r="BA173" s="24">
        <f t="shared" si="65"/>
        <v>1</v>
      </c>
      <c r="BB173" s="83">
        <v>43662</v>
      </c>
    </row>
    <row r="174" spans="1:54" ht="14.25" x14ac:dyDescent="0.15">
      <c r="A174" s="21" t="s">
        <v>77</v>
      </c>
      <c r="B174" s="41"/>
      <c r="C174" s="42"/>
      <c r="D174" s="42">
        <v>-1</v>
      </c>
      <c r="E174" s="42"/>
      <c r="F174" s="42"/>
      <c r="G174" s="43">
        <f t="shared" si="56"/>
        <v>-1</v>
      </c>
      <c r="H174" s="41"/>
      <c r="I174" s="42"/>
      <c r="J174" s="42"/>
      <c r="K174" s="42"/>
      <c r="L174" s="42"/>
      <c r="M174" s="43">
        <f t="shared" si="57"/>
        <v>0</v>
      </c>
      <c r="N174" s="42"/>
      <c r="O174" s="53"/>
      <c r="P174" s="53"/>
      <c r="Q174" s="53"/>
      <c r="R174" s="72"/>
      <c r="S174" s="24">
        <f t="shared" si="58"/>
        <v>0</v>
      </c>
      <c r="T174" s="42"/>
      <c r="U174" s="53">
        <v>-1</v>
      </c>
      <c r="V174" s="53"/>
      <c r="W174" s="53"/>
      <c r="X174" s="72"/>
      <c r="Y174" s="24">
        <f t="shared" si="59"/>
        <v>-1</v>
      </c>
      <c r="Z174" s="24">
        <f t="shared" si="64"/>
        <v>-2</v>
      </c>
      <c r="AA174" s="93">
        <v>43665</v>
      </c>
      <c r="AB174" s="21" t="s">
        <v>29</v>
      </c>
      <c r="AC174" s="41"/>
      <c r="AD174" s="42"/>
      <c r="AE174" s="42">
        <v>5</v>
      </c>
      <c r="AF174" s="42">
        <v>10</v>
      </c>
      <c r="AG174" s="42"/>
      <c r="AH174" s="43">
        <f t="shared" si="60"/>
        <v>15</v>
      </c>
      <c r="AI174" s="41"/>
      <c r="AJ174" s="42"/>
      <c r="AK174" s="42"/>
      <c r="AL174" s="42"/>
      <c r="AM174" s="42"/>
      <c r="AN174" s="43">
        <f t="shared" si="61"/>
        <v>0</v>
      </c>
      <c r="AO174" s="42"/>
      <c r="AP174" s="53"/>
      <c r="AQ174" s="53"/>
      <c r="AR174" s="53"/>
      <c r="AS174" s="72"/>
      <c r="AT174" s="24">
        <f t="shared" si="62"/>
        <v>0</v>
      </c>
      <c r="AU174" s="42"/>
      <c r="AV174" s="53"/>
      <c r="AW174" s="53"/>
      <c r="AX174" s="53"/>
      <c r="AY174" s="72"/>
      <c r="AZ174" s="24">
        <f t="shared" si="63"/>
        <v>0</v>
      </c>
      <c r="BA174" s="24">
        <f t="shared" si="65"/>
        <v>15</v>
      </c>
      <c r="BB174" s="83">
        <v>43664</v>
      </c>
    </row>
    <row r="175" spans="1:54" ht="14.25" x14ac:dyDescent="0.15">
      <c r="A175" s="21" t="s">
        <v>78</v>
      </c>
      <c r="B175" s="44">
        <v>1</v>
      </c>
      <c r="C175" s="45"/>
      <c r="D175" s="45">
        <v>2</v>
      </c>
      <c r="E175" s="45">
        <v>2</v>
      </c>
      <c r="F175" s="45">
        <v>2</v>
      </c>
      <c r="G175" s="43">
        <f t="shared" si="56"/>
        <v>7</v>
      </c>
      <c r="H175" s="44">
        <v>1</v>
      </c>
      <c r="I175" s="45">
        <v>2</v>
      </c>
      <c r="J175" s="45">
        <v>1</v>
      </c>
      <c r="K175" s="45">
        <v>2</v>
      </c>
      <c r="L175" s="45">
        <v>1</v>
      </c>
      <c r="M175" s="43">
        <f t="shared" si="57"/>
        <v>7</v>
      </c>
      <c r="N175" s="42"/>
      <c r="O175" s="53"/>
      <c r="P175" s="53">
        <v>1</v>
      </c>
      <c r="Q175" s="53"/>
      <c r="R175" s="72">
        <v>1</v>
      </c>
      <c r="S175" s="24">
        <f t="shared" si="58"/>
        <v>2</v>
      </c>
      <c r="T175" s="42"/>
      <c r="U175" s="53">
        <v>1</v>
      </c>
      <c r="V175" s="53"/>
      <c r="W175" s="53"/>
      <c r="X175" s="72">
        <v>1</v>
      </c>
      <c r="Y175" s="24">
        <f t="shared" si="59"/>
        <v>2</v>
      </c>
      <c r="Z175" s="24">
        <f t="shared" si="64"/>
        <v>18</v>
      </c>
      <c r="AA175" s="93">
        <v>43666</v>
      </c>
      <c r="AB175" s="21" t="s">
        <v>128</v>
      </c>
      <c r="AC175" s="44">
        <v>1</v>
      </c>
      <c r="AD175" s="45">
        <v>1</v>
      </c>
      <c r="AE175" s="45">
        <v>5</v>
      </c>
      <c r="AF175" s="45">
        <v>5</v>
      </c>
      <c r="AG175" s="45">
        <v>1</v>
      </c>
      <c r="AH175" s="43">
        <f t="shared" si="60"/>
        <v>13</v>
      </c>
      <c r="AI175" s="44"/>
      <c r="AJ175" s="45"/>
      <c r="AK175" s="45"/>
      <c r="AL175" s="45"/>
      <c r="AM175" s="45"/>
      <c r="AN175" s="43">
        <f t="shared" si="61"/>
        <v>0</v>
      </c>
      <c r="AO175" s="42"/>
      <c r="AP175" s="53">
        <v>1</v>
      </c>
      <c r="AQ175" s="53"/>
      <c r="AR175" s="53"/>
      <c r="AS175" s="72">
        <v>1</v>
      </c>
      <c r="AT175" s="24">
        <f t="shared" si="62"/>
        <v>2</v>
      </c>
      <c r="AU175" s="42"/>
      <c r="AV175" s="53">
        <v>1</v>
      </c>
      <c r="AW175" s="53"/>
      <c r="AX175" s="53"/>
      <c r="AY175" s="72"/>
      <c r="AZ175" s="24">
        <f t="shared" si="63"/>
        <v>1</v>
      </c>
      <c r="BA175" s="24">
        <f t="shared" si="65"/>
        <v>16</v>
      </c>
      <c r="BB175" s="83">
        <v>43661</v>
      </c>
    </row>
    <row r="176" spans="1:54" ht="14.25" x14ac:dyDescent="0.15">
      <c r="A176" s="40" t="s">
        <v>48</v>
      </c>
      <c r="B176" s="41"/>
      <c r="C176" s="42"/>
      <c r="D176" s="42"/>
      <c r="E176" s="42"/>
      <c r="F176" s="42">
        <v>1</v>
      </c>
      <c r="G176" s="43">
        <f t="shared" si="56"/>
        <v>1</v>
      </c>
      <c r="H176" s="41"/>
      <c r="I176" s="42"/>
      <c r="J176" s="42"/>
      <c r="K176" s="42"/>
      <c r="L176" s="42"/>
      <c r="M176" s="43">
        <f t="shared" si="57"/>
        <v>0</v>
      </c>
      <c r="N176" s="42"/>
      <c r="O176" s="53"/>
      <c r="P176" s="53"/>
      <c r="Q176" s="53"/>
      <c r="R176" s="72"/>
      <c r="S176" s="24">
        <f t="shared" si="58"/>
        <v>0</v>
      </c>
      <c r="T176" s="42"/>
      <c r="U176" s="53"/>
      <c r="V176" s="53"/>
      <c r="W176" s="53"/>
      <c r="X176" s="72"/>
      <c r="Y176" s="24">
        <f t="shared" si="59"/>
        <v>0</v>
      </c>
      <c r="Z176" s="24">
        <f t="shared" si="64"/>
        <v>1</v>
      </c>
      <c r="AA176" s="93">
        <v>43666</v>
      </c>
      <c r="AB176" s="21" t="s">
        <v>134</v>
      </c>
      <c r="AC176" s="41"/>
      <c r="AD176" s="42">
        <v>3</v>
      </c>
      <c r="AE176" s="42"/>
      <c r="AF176" s="42">
        <v>1</v>
      </c>
      <c r="AG176" s="42">
        <v>1</v>
      </c>
      <c r="AH176" s="43">
        <f t="shared" si="60"/>
        <v>5</v>
      </c>
      <c r="AI176" s="41"/>
      <c r="AJ176" s="42"/>
      <c r="AK176" s="42"/>
      <c r="AL176" s="42"/>
      <c r="AM176" s="42"/>
      <c r="AN176" s="43">
        <f t="shared" si="61"/>
        <v>0</v>
      </c>
      <c r="AO176" s="42"/>
      <c r="AP176" s="53"/>
      <c r="AQ176" s="53"/>
      <c r="AR176" s="53"/>
      <c r="AS176" s="72">
        <v>2</v>
      </c>
      <c r="AT176" s="24">
        <f t="shared" si="62"/>
        <v>2</v>
      </c>
      <c r="AU176" s="42"/>
      <c r="AV176" s="53"/>
      <c r="AW176" s="53"/>
      <c r="AX176" s="53"/>
      <c r="AY176" s="72"/>
      <c r="AZ176" s="24">
        <f t="shared" si="63"/>
        <v>0</v>
      </c>
      <c r="BA176" s="24">
        <f t="shared" si="65"/>
        <v>7</v>
      </c>
      <c r="BB176" s="83">
        <v>43663</v>
      </c>
    </row>
    <row r="177" spans="1:54" ht="14.25" x14ac:dyDescent="0.15">
      <c r="A177" s="21"/>
      <c r="B177" s="41"/>
      <c r="C177" s="42"/>
      <c r="D177" s="42"/>
      <c r="E177" s="42"/>
      <c r="F177" s="42"/>
      <c r="G177" s="43">
        <f t="shared" si="56"/>
        <v>0</v>
      </c>
      <c r="H177" s="41"/>
      <c r="I177" s="42"/>
      <c r="J177" s="42"/>
      <c r="K177" s="42"/>
      <c r="L177" s="42"/>
      <c r="M177" s="43">
        <f t="shared" si="57"/>
        <v>0</v>
      </c>
      <c r="N177" s="42"/>
      <c r="O177" s="53"/>
      <c r="P177" s="53"/>
      <c r="Q177" s="53"/>
      <c r="R177" s="72"/>
      <c r="S177" s="24">
        <f t="shared" si="58"/>
        <v>0</v>
      </c>
      <c r="T177" s="42"/>
      <c r="U177" s="53"/>
      <c r="V177" s="53"/>
      <c r="W177" s="53"/>
      <c r="X177" s="72"/>
      <c r="Y177" s="24">
        <f t="shared" si="59"/>
        <v>0</v>
      </c>
      <c r="Z177" s="24">
        <f t="shared" si="64"/>
        <v>0</v>
      </c>
      <c r="AB177" s="21" t="s">
        <v>129</v>
      </c>
      <c r="AC177" s="41"/>
      <c r="AD177" s="42">
        <v>1</v>
      </c>
      <c r="AE177" s="42">
        <v>3</v>
      </c>
      <c r="AF177" s="42">
        <v>1</v>
      </c>
      <c r="AG177" s="42">
        <v>5</v>
      </c>
      <c r="AH177" s="43">
        <f t="shared" si="60"/>
        <v>10</v>
      </c>
      <c r="AI177" s="41"/>
      <c r="AJ177" s="42">
        <v>1</v>
      </c>
      <c r="AK177" s="42"/>
      <c r="AL177" s="42"/>
      <c r="AM177" s="42"/>
      <c r="AN177" s="43">
        <f t="shared" si="61"/>
        <v>1</v>
      </c>
      <c r="AO177" s="42"/>
      <c r="AP177" s="53">
        <v>1</v>
      </c>
      <c r="AQ177" s="53"/>
      <c r="AR177" s="53"/>
      <c r="AS177" s="72"/>
      <c r="AT177" s="24">
        <f t="shared" si="62"/>
        <v>1</v>
      </c>
      <c r="AU177" s="42"/>
      <c r="AV177" s="53">
        <v>1</v>
      </c>
      <c r="AW177" s="53">
        <v>1</v>
      </c>
      <c r="AX177" s="53"/>
      <c r="AY177" s="72"/>
      <c r="AZ177" s="24">
        <f t="shared" si="63"/>
        <v>2</v>
      </c>
      <c r="BA177" s="24">
        <f t="shared" si="65"/>
        <v>14</v>
      </c>
      <c r="BB177" s="83">
        <v>43663</v>
      </c>
    </row>
    <row r="178" spans="1:54" ht="14.25" x14ac:dyDescent="0.15">
      <c r="A178" s="21"/>
      <c r="B178" s="41"/>
      <c r="C178" s="42"/>
      <c r="D178" s="42"/>
      <c r="E178" s="42"/>
      <c r="F178" s="42"/>
      <c r="G178" s="43">
        <f t="shared" si="56"/>
        <v>0</v>
      </c>
      <c r="H178" s="41"/>
      <c r="I178" s="42"/>
      <c r="J178" s="42"/>
      <c r="K178" s="42"/>
      <c r="L178" s="42"/>
      <c r="M178" s="43">
        <f t="shared" si="57"/>
        <v>0</v>
      </c>
      <c r="N178" s="42"/>
      <c r="O178" s="53"/>
      <c r="P178" s="53"/>
      <c r="Q178" s="53"/>
      <c r="R178" s="72"/>
      <c r="S178" s="24">
        <f t="shared" si="58"/>
        <v>0</v>
      </c>
      <c r="T178" s="42"/>
      <c r="U178" s="53"/>
      <c r="V178" s="53"/>
      <c r="W178" s="53"/>
      <c r="X178" s="72"/>
      <c r="Y178" s="24">
        <f t="shared" si="59"/>
        <v>0</v>
      </c>
      <c r="Z178" s="24">
        <f t="shared" si="64"/>
        <v>0</v>
      </c>
      <c r="AB178" s="21" t="s">
        <v>135</v>
      </c>
      <c r="AC178" s="41"/>
      <c r="AD178" s="42">
        <v>1</v>
      </c>
      <c r="AE178" s="42">
        <v>1</v>
      </c>
      <c r="AF178" s="42"/>
      <c r="AG178" s="42"/>
      <c r="AH178" s="43">
        <f t="shared" si="60"/>
        <v>2</v>
      </c>
      <c r="AI178" s="41"/>
      <c r="AJ178" s="42"/>
      <c r="AK178" s="42"/>
      <c r="AL178" s="42"/>
      <c r="AM178" s="42"/>
      <c r="AN178" s="43">
        <f t="shared" si="61"/>
        <v>0</v>
      </c>
      <c r="AO178" s="42"/>
      <c r="AP178" s="53"/>
      <c r="AQ178" s="53"/>
      <c r="AR178" s="53"/>
      <c r="AS178" s="72"/>
      <c r="AT178" s="24">
        <f t="shared" si="62"/>
        <v>0</v>
      </c>
      <c r="AU178" s="42"/>
      <c r="AV178" s="53"/>
      <c r="AW178" s="53"/>
      <c r="AX178" s="53"/>
      <c r="AY178" s="72"/>
      <c r="AZ178" s="24">
        <f t="shared" si="63"/>
        <v>0</v>
      </c>
      <c r="BA178" s="24">
        <f t="shared" si="65"/>
        <v>2</v>
      </c>
      <c r="BB178" s="83">
        <v>43664</v>
      </c>
    </row>
    <row r="179" spans="1:54" ht="14.25" x14ac:dyDescent="0.15">
      <c r="A179" s="21"/>
      <c r="B179" s="38"/>
      <c r="C179" s="39"/>
      <c r="D179" s="39"/>
      <c r="E179" s="39"/>
      <c r="F179" s="39"/>
      <c r="G179" s="37">
        <f t="shared" si="56"/>
        <v>0</v>
      </c>
      <c r="H179" s="38"/>
      <c r="I179" s="39"/>
      <c r="J179" s="39"/>
      <c r="K179" s="39"/>
      <c r="L179" s="39"/>
      <c r="M179" s="37">
        <f t="shared" si="57"/>
        <v>0</v>
      </c>
      <c r="N179" s="42"/>
      <c r="O179" s="53"/>
      <c r="P179" s="53"/>
      <c r="Q179" s="53"/>
      <c r="R179" s="72"/>
      <c r="S179" s="24">
        <f t="shared" si="58"/>
        <v>0</v>
      </c>
      <c r="T179" s="42"/>
      <c r="U179" s="53"/>
      <c r="V179" s="53"/>
      <c r="W179" s="53"/>
      <c r="X179" s="72"/>
      <c r="Y179" s="24">
        <f t="shared" si="59"/>
        <v>0</v>
      </c>
      <c r="Z179" s="24">
        <f t="shared" si="64"/>
        <v>0</v>
      </c>
      <c r="AB179" s="21" t="s">
        <v>137</v>
      </c>
      <c r="AC179" s="38">
        <v>2</v>
      </c>
      <c r="AD179" s="39">
        <v>2</v>
      </c>
      <c r="AE179" s="39"/>
      <c r="AF179" s="39"/>
      <c r="AG179" s="39">
        <v>1</v>
      </c>
      <c r="AH179" s="37">
        <f t="shared" si="60"/>
        <v>5</v>
      </c>
      <c r="AI179" s="38"/>
      <c r="AJ179" s="39"/>
      <c r="AK179" s="39"/>
      <c r="AL179" s="39"/>
      <c r="AM179" s="39"/>
      <c r="AN179" s="37">
        <f t="shared" si="61"/>
        <v>0</v>
      </c>
      <c r="AO179" s="42"/>
      <c r="AP179" s="53"/>
      <c r="AQ179" s="53">
        <v>1</v>
      </c>
      <c r="AR179" s="53"/>
      <c r="AS179" s="72"/>
      <c r="AT179" s="24">
        <f t="shared" si="62"/>
        <v>1</v>
      </c>
      <c r="AU179" s="42"/>
      <c r="AV179" s="53">
        <v>1</v>
      </c>
      <c r="AW179" s="53">
        <v>1</v>
      </c>
      <c r="AX179" s="53">
        <v>2</v>
      </c>
      <c r="AY179" s="72">
        <v>2</v>
      </c>
      <c r="AZ179" s="24">
        <f t="shared" si="63"/>
        <v>6</v>
      </c>
      <c r="BA179" s="24">
        <f t="shared" si="65"/>
        <v>12</v>
      </c>
      <c r="BB179" s="83">
        <v>43664</v>
      </c>
    </row>
    <row r="180" spans="1:54" ht="14.25" x14ac:dyDescent="0.15">
      <c r="A180" s="21"/>
      <c r="B180" s="41"/>
      <c r="C180" s="42"/>
      <c r="D180" s="42"/>
      <c r="E180" s="42"/>
      <c r="F180" s="42"/>
      <c r="G180" s="43">
        <f t="shared" si="56"/>
        <v>0</v>
      </c>
      <c r="H180" s="41"/>
      <c r="I180" s="42"/>
      <c r="J180" s="42"/>
      <c r="K180" s="42"/>
      <c r="L180" s="42"/>
      <c r="M180" s="43">
        <f t="shared" si="57"/>
        <v>0</v>
      </c>
      <c r="N180" s="42"/>
      <c r="O180" s="53"/>
      <c r="P180" s="53"/>
      <c r="Q180" s="53"/>
      <c r="R180" s="72"/>
      <c r="S180" s="24">
        <f t="shared" si="58"/>
        <v>0</v>
      </c>
      <c r="T180" s="42"/>
      <c r="U180" s="53"/>
      <c r="V180" s="53"/>
      <c r="W180" s="53"/>
      <c r="X180" s="72"/>
      <c r="Y180" s="24">
        <f t="shared" si="59"/>
        <v>0</v>
      </c>
      <c r="Z180" s="24">
        <f t="shared" si="64"/>
        <v>0</v>
      </c>
      <c r="AB180" s="21" t="s">
        <v>29</v>
      </c>
      <c r="AC180" s="41"/>
      <c r="AD180" s="42"/>
      <c r="AE180" s="42"/>
      <c r="AF180" s="42"/>
      <c r="AG180" s="42"/>
      <c r="AH180" s="43">
        <f t="shared" si="60"/>
        <v>0</v>
      </c>
      <c r="AI180" s="41"/>
      <c r="AJ180" s="42">
        <v>5</v>
      </c>
      <c r="AK180" s="42"/>
      <c r="AL180" s="42"/>
      <c r="AM180" s="42"/>
      <c r="AN180" s="43">
        <f t="shared" si="61"/>
        <v>5</v>
      </c>
      <c r="AO180" s="42"/>
      <c r="AP180" s="53"/>
      <c r="AQ180" s="53"/>
      <c r="AR180" s="53"/>
      <c r="AS180" s="72"/>
      <c r="AT180" s="24">
        <f t="shared" si="62"/>
        <v>0</v>
      </c>
      <c r="AU180" s="42"/>
      <c r="AV180" s="53"/>
      <c r="AW180" s="53"/>
      <c r="AX180" s="53"/>
      <c r="AY180" s="72"/>
      <c r="AZ180" s="24">
        <f t="shared" si="63"/>
        <v>0</v>
      </c>
      <c r="BA180" s="24">
        <f t="shared" si="65"/>
        <v>5</v>
      </c>
      <c r="BB180" s="83">
        <v>43668</v>
      </c>
    </row>
    <row r="181" spans="1:54" ht="14.25" x14ac:dyDescent="0.15">
      <c r="A181" s="21"/>
      <c r="B181" s="14"/>
      <c r="C181" s="15"/>
      <c r="D181" s="15"/>
      <c r="E181" s="15"/>
      <c r="F181" s="15"/>
      <c r="G181" s="24">
        <f t="shared" si="56"/>
        <v>0</v>
      </c>
      <c r="H181" s="14"/>
      <c r="I181" s="15"/>
      <c r="J181" s="15"/>
      <c r="K181" s="15"/>
      <c r="L181" s="15"/>
      <c r="M181" s="24">
        <f t="shared" si="57"/>
        <v>0</v>
      </c>
      <c r="N181" s="15"/>
      <c r="O181" s="55"/>
      <c r="P181" s="55"/>
      <c r="Q181" s="55"/>
      <c r="R181" s="67"/>
      <c r="S181" s="24">
        <f t="shared" si="58"/>
        <v>0</v>
      </c>
      <c r="T181" s="15"/>
      <c r="U181" s="55"/>
      <c r="V181" s="55"/>
      <c r="W181" s="55"/>
      <c r="X181" s="67"/>
      <c r="Y181" s="24">
        <f t="shared" si="59"/>
        <v>0</v>
      </c>
      <c r="Z181" s="24">
        <f t="shared" si="64"/>
        <v>0</v>
      </c>
      <c r="AB181" s="21" t="s">
        <v>139</v>
      </c>
      <c r="AC181" s="14"/>
      <c r="AD181" s="15"/>
      <c r="AE181" s="15">
        <v>1</v>
      </c>
      <c r="AF181" s="15"/>
      <c r="AG181" s="15"/>
      <c r="AH181" s="24">
        <f t="shared" si="60"/>
        <v>1</v>
      </c>
      <c r="AI181" s="14">
        <v>1</v>
      </c>
      <c r="AJ181" s="15">
        <v>2</v>
      </c>
      <c r="AK181" s="15">
        <v>1</v>
      </c>
      <c r="AL181" s="15"/>
      <c r="AM181" s="15">
        <v>1</v>
      </c>
      <c r="AN181" s="24">
        <f t="shared" si="61"/>
        <v>5</v>
      </c>
      <c r="AO181" s="15"/>
      <c r="AP181" s="55"/>
      <c r="AQ181" s="55"/>
      <c r="AR181" s="55"/>
      <c r="AS181" s="67"/>
      <c r="AT181" s="24">
        <f t="shared" si="62"/>
        <v>0</v>
      </c>
      <c r="AU181" s="15"/>
      <c r="AV181" s="55"/>
      <c r="AW181" s="55">
        <v>1</v>
      </c>
      <c r="AX181" s="55">
        <v>2</v>
      </c>
      <c r="AY181" s="67"/>
      <c r="AZ181" s="24">
        <f t="shared" si="63"/>
        <v>3</v>
      </c>
      <c r="BA181" s="24">
        <f t="shared" si="65"/>
        <v>9</v>
      </c>
      <c r="BB181" s="83">
        <v>43665</v>
      </c>
    </row>
    <row r="182" spans="1:54" ht="14.25" x14ac:dyDescent="0.15">
      <c r="A182" s="23"/>
      <c r="B182" s="14"/>
      <c r="C182" s="15"/>
      <c r="D182" s="15"/>
      <c r="E182" s="15"/>
      <c r="F182" s="15"/>
      <c r="G182" s="24">
        <f t="shared" si="56"/>
        <v>0</v>
      </c>
      <c r="H182" s="14"/>
      <c r="I182" s="15"/>
      <c r="J182" s="15"/>
      <c r="K182" s="15"/>
      <c r="L182" s="15"/>
      <c r="M182" s="24">
        <f t="shared" si="57"/>
        <v>0</v>
      </c>
      <c r="N182" s="15"/>
      <c r="O182" s="55"/>
      <c r="P182" s="55"/>
      <c r="Q182" s="55"/>
      <c r="R182" s="67"/>
      <c r="S182" s="24">
        <f t="shared" si="58"/>
        <v>0</v>
      </c>
      <c r="T182" s="15"/>
      <c r="U182" s="55"/>
      <c r="V182" s="55"/>
      <c r="W182" s="55"/>
      <c r="X182" s="67"/>
      <c r="Y182" s="24">
        <f t="shared" si="59"/>
        <v>0</v>
      </c>
      <c r="Z182" s="24">
        <f t="shared" si="64"/>
        <v>0</v>
      </c>
      <c r="AB182" s="21" t="s">
        <v>140</v>
      </c>
      <c r="AC182" s="14"/>
      <c r="AD182" s="15">
        <v>1</v>
      </c>
      <c r="AE182" s="15"/>
      <c r="AF182" s="15"/>
      <c r="AG182" s="15"/>
      <c r="AH182" s="24">
        <f t="shared" si="60"/>
        <v>1</v>
      </c>
      <c r="AI182" s="14"/>
      <c r="AJ182" s="15">
        <v>2</v>
      </c>
      <c r="AK182" s="15">
        <v>3</v>
      </c>
      <c r="AL182" s="15">
        <v>1</v>
      </c>
      <c r="AM182" s="15"/>
      <c r="AN182" s="24">
        <f t="shared" si="61"/>
        <v>6</v>
      </c>
      <c r="AO182" s="15"/>
      <c r="AP182" s="55"/>
      <c r="AQ182" s="55">
        <v>2</v>
      </c>
      <c r="AR182" s="55"/>
      <c r="AS182" s="67"/>
      <c r="AT182" s="24">
        <f t="shared" si="62"/>
        <v>2</v>
      </c>
      <c r="AU182" s="15"/>
      <c r="AV182" s="55"/>
      <c r="AW182" s="55"/>
      <c r="AX182" s="55"/>
      <c r="AY182" s="67">
        <v>1</v>
      </c>
      <c r="AZ182" s="24">
        <f t="shared" si="63"/>
        <v>1</v>
      </c>
      <c r="BA182" s="24">
        <f t="shared" si="65"/>
        <v>10</v>
      </c>
      <c r="BB182" s="83">
        <v>43666</v>
      </c>
    </row>
    <row r="183" spans="1:54" ht="14.25" x14ac:dyDescent="0.15">
      <c r="A183" s="23"/>
      <c r="B183" s="14"/>
      <c r="C183" s="15"/>
      <c r="D183" s="15"/>
      <c r="E183" s="15"/>
      <c r="F183" s="15"/>
      <c r="G183" s="24">
        <f t="shared" si="56"/>
        <v>0</v>
      </c>
      <c r="H183" s="14"/>
      <c r="I183" s="15"/>
      <c r="J183" s="15"/>
      <c r="K183" s="15"/>
      <c r="L183" s="15"/>
      <c r="M183" s="24">
        <f t="shared" si="57"/>
        <v>0</v>
      </c>
      <c r="N183" s="15"/>
      <c r="O183" s="55"/>
      <c r="P183" s="55"/>
      <c r="Q183" s="55"/>
      <c r="R183" s="67"/>
      <c r="S183" s="24">
        <f t="shared" si="58"/>
        <v>0</v>
      </c>
      <c r="T183" s="15"/>
      <c r="U183" s="55"/>
      <c r="V183" s="55"/>
      <c r="W183" s="55"/>
      <c r="X183" s="67"/>
      <c r="Y183" s="24">
        <f t="shared" si="59"/>
        <v>0</v>
      </c>
      <c r="Z183" s="24">
        <f t="shared" si="64"/>
        <v>0</v>
      </c>
      <c r="AB183" s="21" t="s">
        <v>141</v>
      </c>
      <c r="AC183" s="14"/>
      <c r="AD183" s="15">
        <v>1</v>
      </c>
      <c r="AE183" s="15"/>
      <c r="AF183" s="15"/>
      <c r="AG183" s="15">
        <v>2</v>
      </c>
      <c r="AH183" s="24">
        <f t="shared" si="60"/>
        <v>3</v>
      </c>
      <c r="AI183" s="14"/>
      <c r="AJ183" s="15"/>
      <c r="AK183" s="15"/>
      <c r="AL183" s="15"/>
      <c r="AM183" s="15"/>
      <c r="AN183" s="24">
        <f t="shared" si="61"/>
        <v>0</v>
      </c>
      <c r="AO183" s="15"/>
      <c r="AP183" s="55"/>
      <c r="AQ183" s="55"/>
      <c r="AR183" s="55"/>
      <c r="AS183" s="67"/>
      <c r="AT183" s="24">
        <f t="shared" si="62"/>
        <v>0</v>
      </c>
      <c r="AU183" s="15"/>
      <c r="AV183" s="55"/>
      <c r="AW183" s="55"/>
      <c r="AX183" s="55"/>
      <c r="AY183" s="67"/>
      <c r="AZ183" s="24">
        <f t="shared" si="63"/>
        <v>0</v>
      </c>
      <c r="BA183" s="24">
        <f t="shared" si="65"/>
        <v>3</v>
      </c>
      <c r="BB183" s="83">
        <v>43669</v>
      </c>
    </row>
    <row r="184" spans="1:54" ht="14.25" x14ac:dyDescent="0.15">
      <c r="A184" s="23"/>
      <c r="B184" s="14"/>
      <c r="C184" s="15"/>
      <c r="D184" s="15"/>
      <c r="E184" s="15"/>
      <c r="F184" s="15"/>
      <c r="G184" s="24">
        <f t="shared" si="56"/>
        <v>0</v>
      </c>
      <c r="H184" s="14"/>
      <c r="I184" s="15"/>
      <c r="J184" s="15"/>
      <c r="K184" s="15"/>
      <c r="L184" s="15"/>
      <c r="M184" s="24">
        <f t="shared" si="57"/>
        <v>0</v>
      </c>
      <c r="N184" s="15"/>
      <c r="O184" s="55"/>
      <c r="P184" s="55"/>
      <c r="Q184" s="55"/>
      <c r="R184" s="67"/>
      <c r="S184" s="24">
        <f t="shared" si="58"/>
        <v>0</v>
      </c>
      <c r="T184" s="15"/>
      <c r="U184" s="55"/>
      <c r="V184" s="55"/>
      <c r="W184" s="55"/>
      <c r="X184" s="67"/>
      <c r="Y184" s="24">
        <f t="shared" si="59"/>
        <v>0</v>
      </c>
      <c r="Z184" s="24">
        <f t="shared" si="64"/>
        <v>0</v>
      </c>
      <c r="AB184" s="21" t="s">
        <v>142</v>
      </c>
      <c r="AC184" s="14"/>
      <c r="AD184" s="15"/>
      <c r="AE184" s="15"/>
      <c r="AF184" s="15"/>
      <c r="AG184" s="15"/>
      <c r="AH184" s="24">
        <f t="shared" si="60"/>
        <v>0</v>
      </c>
      <c r="AI184" s="14"/>
      <c r="AJ184" s="15"/>
      <c r="AK184" s="15"/>
      <c r="AL184" s="15"/>
      <c r="AM184" s="15"/>
      <c r="AN184" s="24">
        <f t="shared" si="61"/>
        <v>0</v>
      </c>
      <c r="AO184" s="15"/>
      <c r="AP184" s="55"/>
      <c r="AQ184" s="55"/>
      <c r="AR184" s="55"/>
      <c r="AS184" s="67"/>
      <c r="AT184" s="24">
        <f t="shared" si="62"/>
        <v>0</v>
      </c>
      <c r="AU184" s="15"/>
      <c r="AV184" s="55"/>
      <c r="AW184" s="55"/>
      <c r="AX184" s="55">
        <v>1</v>
      </c>
      <c r="AY184" s="67"/>
      <c r="AZ184" s="24">
        <f t="shared" si="63"/>
        <v>1</v>
      </c>
      <c r="BA184" s="24">
        <f t="shared" si="65"/>
        <v>1</v>
      </c>
      <c r="BB184" s="83">
        <v>43668</v>
      </c>
    </row>
    <row r="185" spans="1:54" ht="14.25" x14ac:dyDescent="0.15">
      <c r="A185" s="23"/>
      <c r="B185" s="14"/>
      <c r="C185" s="15"/>
      <c r="D185" s="15"/>
      <c r="E185" s="15"/>
      <c r="F185" s="15"/>
      <c r="G185" s="24">
        <f t="shared" si="56"/>
        <v>0</v>
      </c>
      <c r="H185" s="14"/>
      <c r="I185" s="15"/>
      <c r="J185" s="15"/>
      <c r="K185" s="15"/>
      <c r="L185" s="15"/>
      <c r="M185" s="24">
        <f t="shared" si="57"/>
        <v>0</v>
      </c>
      <c r="N185" s="15"/>
      <c r="O185" s="55"/>
      <c r="P185" s="55"/>
      <c r="Q185" s="55"/>
      <c r="R185" s="67"/>
      <c r="S185" s="24">
        <f t="shared" si="58"/>
        <v>0</v>
      </c>
      <c r="T185" s="15"/>
      <c r="U185" s="55"/>
      <c r="V185" s="55"/>
      <c r="W185" s="55"/>
      <c r="X185" s="67"/>
      <c r="Y185" s="24">
        <f t="shared" si="59"/>
        <v>0</v>
      </c>
      <c r="Z185" s="24">
        <f t="shared" si="64"/>
        <v>0</v>
      </c>
      <c r="AB185" s="23"/>
      <c r="AC185" s="14"/>
      <c r="AD185" s="15"/>
      <c r="AE185" s="15"/>
      <c r="AF185" s="15"/>
      <c r="AG185" s="15"/>
      <c r="AH185" s="24">
        <f t="shared" si="60"/>
        <v>0</v>
      </c>
      <c r="AI185" s="14"/>
      <c r="AJ185" s="15"/>
      <c r="AK185" s="15"/>
      <c r="AL185" s="15"/>
      <c r="AM185" s="15"/>
      <c r="AN185" s="24">
        <f t="shared" si="61"/>
        <v>0</v>
      </c>
      <c r="AO185" s="15"/>
      <c r="AP185" s="55"/>
      <c r="AQ185" s="55"/>
      <c r="AR185" s="55"/>
      <c r="AS185" s="67"/>
      <c r="AT185" s="24">
        <f t="shared" si="62"/>
        <v>0</v>
      </c>
      <c r="AU185" s="15"/>
      <c r="AV185" s="55"/>
      <c r="AW185" s="55"/>
      <c r="AX185" s="55"/>
      <c r="AY185" s="67"/>
      <c r="AZ185" s="24">
        <f t="shared" si="63"/>
        <v>0</v>
      </c>
      <c r="BA185" s="24">
        <f t="shared" si="65"/>
        <v>0</v>
      </c>
      <c r="BB185" s="128"/>
    </row>
    <row r="186" spans="1:54" ht="14.25" x14ac:dyDescent="0.15">
      <c r="A186" s="23"/>
      <c r="B186" s="14"/>
      <c r="C186" s="15"/>
      <c r="D186" s="15"/>
      <c r="E186" s="15"/>
      <c r="F186" s="15"/>
      <c r="G186" s="24">
        <f t="shared" si="56"/>
        <v>0</v>
      </c>
      <c r="H186" s="14"/>
      <c r="I186" s="15"/>
      <c r="J186" s="15"/>
      <c r="K186" s="15"/>
      <c r="L186" s="15"/>
      <c r="M186" s="24">
        <f t="shared" si="57"/>
        <v>0</v>
      </c>
      <c r="N186" s="15"/>
      <c r="O186" s="55"/>
      <c r="P186" s="55"/>
      <c r="Q186" s="55"/>
      <c r="R186" s="67"/>
      <c r="S186" s="24">
        <f t="shared" si="58"/>
        <v>0</v>
      </c>
      <c r="T186" s="15"/>
      <c r="U186" s="55"/>
      <c r="V186" s="55"/>
      <c r="W186" s="55"/>
      <c r="X186" s="67"/>
      <c r="Y186" s="24">
        <f t="shared" si="59"/>
        <v>0</v>
      </c>
      <c r="Z186" s="24">
        <f t="shared" si="64"/>
        <v>0</v>
      </c>
      <c r="AB186" s="23" t="s">
        <v>106</v>
      </c>
      <c r="AC186" s="14"/>
      <c r="AD186" s="15"/>
      <c r="AE186" s="15"/>
      <c r="AF186" s="15"/>
      <c r="AG186" s="15"/>
      <c r="AH186" s="24">
        <f t="shared" ref="AH186:AH192" si="66">SUM(AC186:AG186)</f>
        <v>0</v>
      </c>
      <c r="AI186" s="14"/>
      <c r="AJ186" s="15"/>
      <c r="AK186" s="15"/>
      <c r="AL186" s="15"/>
      <c r="AM186" s="15"/>
      <c r="AN186" s="24">
        <f t="shared" ref="AN186:AN192" si="67">SUM(AI186:AM186)</f>
        <v>0</v>
      </c>
      <c r="AO186" s="15"/>
      <c r="AP186" s="55"/>
      <c r="AQ186" s="55"/>
      <c r="AR186" s="55"/>
      <c r="AS186" s="67"/>
      <c r="AT186" s="24">
        <f t="shared" ref="AT186:AT192" si="68">SUM(AO186:AS186)</f>
        <v>0</v>
      </c>
      <c r="AU186" s="15"/>
      <c r="AV186" s="55"/>
      <c r="AW186" s="55"/>
      <c r="AX186" s="55"/>
      <c r="AY186" s="67"/>
      <c r="AZ186" s="24">
        <f t="shared" ref="AZ186:AZ192" si="69">SUM(AU186:AY186)</f>
        <v>0</v>
      </c>
      <c r="BA186" s="24">
        <f>AH186+AN186+AT186+AZ186</f>
        <v>0</v>
      </c>
      <c r="BB186" s="128" t="s">
        <v>96</v>
      </c>
    </row>
    <row r="187" spans="1:54" ht="14.25" x14ac:dyDescent="0.15">
      <c r="A187" s="23"/>
      <c r="B187" s="44"/>
      <c r="C187" s="45"/>
      <c r="D187" s="45"/>
      <c r="E187" s="45"/>
      <c r="F187" s="45"/>
      <c r="G187" s="43">
        <f t="shared" si="56"/>
        <v>0</v>
      </c>
      <c r="H187" s="44"/>
      <c r="I187" s="45"/>
      <c r="J187" s="45"/>
      <c r="K187" s="45"/>
      <c r="L187" s="45"/>
      <c r="M187" s="43">
        <f t="shared" si="57"/>
        <v>0</v>
      </c>
      <c r="N187" s="42"/>
      <c r="O187" s="53"/>
      <c r="P187" s="53"/>
      <c r="Q187" s="53"/>
      <c r="R187" s="72"/>
      <c r="S187" s="24">
        <f t="shared" si="58"/>
        <v>0</v>
      </c>
      <c r="T187" s="42"/>
      <c r="U187" s="53"/>
      <c r="V187" s="53"/>
      <c r="W187" s="53"/>
      <c r="X187" s="72"/>
      <c r="Y187" s="24">
        <f t="shared" si="59"/>
        <v>0</v>
      </c>
      <c r="Z187" s="24">
        <f t="shared" si="64"/>
        <v>0</v>
      </c>
      <c r="AB187" s="23" t="s">
        <v>98</v>
      </c>
      <c r="AC187" s="14"/>
      <c r="AD187" s="15"/>
      <c r="AE187" s="15"/>
      <c r="AF187" s="15"/>
      <c r="AG187" s="15"/>
      <c r="AH187" s="24">
        <f t="shared" si="66"/>
        <v>0</v>
      </c>
      <c r="AI187" s="14"/>
      <c r="AJ187" s="15"/>
      <c r="AK187" s="15"/>
      <c r="AL187" s="15"/>
      <c r="AM187" s="15"/>
      <c r="AN187" s="24">
        <f t="shared" si="67"/>
        <v>0</v>
      </c>
      <c r="AO187" s="15"/>
      <c r="AP187" s="55"/>
      <c r="AQ187" s="55"/>
      <c r="AR187" s="55"/>
      <c r="AS187" s="67"/>
      <c r="AT187" s="24">
        <f t="shared" si="68"/>
        <v>0</v>
      </c>
      <c r="AU187" s="15"/>
      <c r="AV187" s="55"/>
      <c r="AW187" s="55"/>
      <c r="AX187" s="55"/>
      <c r="AY187" s="67"/>
      <c r="AZ187" s="24">
        <f t="shared" si="69"/>
        <v>0</v>
      </c>
      <c r="BA187" s="24">
        <f>AH187+AN187+AT187+AZ187</f>
        <v>0</v>
      </c>
      <c r="BB187" s="83" t="s">
        <v>99</v>
      </c>
    </row>
    <row r="188" spans="1:54" ht="14.25" x14ac:dyDescent="0.15">
      <c r="A188" s="110"/>
      <c r="B188" s="41"/>
      <c r="C188" s="42"/>
      <c r="D188" s="42"/>
      <c r="E188" s="42"/>
      <c r="F188" s="42"/>
      <c r="G188" s="43">
        <f t="shared" si="56"/>
        <v>0</v>
      </c>
      <c r="H188" s="41"/>
      <c r="I188" s="42"/>
      <c r="J188" s="42"/>
      <c r="K188" s="42"/>
      <c r="L188" s="42"/>
      <c r="M188" s="43">
        <f t="shared" si="57"/>
        <v>0</v>
      </c>
      <c r="N188" s="42"/>
      <c r="O188" s="53"/>
      <c r="P188" s="53"/>
      <c r="Q188" s="53"/>
      <c r="R188" s="72"/>
      <c r="S188" s="24">
        <f t="shared" si="58"/>
        <v>0</v>
      </c>
      <c r="T188" s="42"/>
      <c r="U188" s="53"/>
      <c r="V188" s="53"/>
      <c r="W188" s="53"/>
      <c r="X188" s="72"/>
      <c r="Y188" s="24">
        <f t="shared" si="59"/>
        <v>0</v>
      </c>
      <c r="Z188" s="24">
        <f t="shared" si="64"/>
        <v>0</v>
      </c>
      <c r="AB188" s="23" t="s">
        <v>97</v>
      </c>
      <c r="AC188" s="14"/>
      <c r="AD188" s="15"/>
      <c r="AE188" s="15"/>
      <c r="AF188" s="15"/>
      <c r="AG188" s="15"/>
      <c r="AH188" s="24">
        <f t="shared" si="66"/>
        <v>0</v>
      </c>
      <c r="AI188" s="14"/>
      <c r="AJ188" s="15"/>
      <c r="AK188" s="15"/>
      <c r="AL188" s="15"/>
      <c r="AM188" s="15"/>
      <c r="AN188" s="24">
        <f t="shared" si="67"/>
        <v>0</v>
      </c>
      <c r="AO188" s="15"/>
      <c r="AP188" s="55"/>
      <c r="AQ188" s="55"/>
      <c r="AR188" s="55"/>
      <c r="AS188" s="67"/>
      <c r="AT188" s="24">
        <f t="shared" si="68"/>
        <v>0</v>
      </c>
      <c r="AU188" s="15"/>
      <c r="AV188" s="55"/>
      <c r="AW188" s="55"/>
      <c r="AX188" s="55"/>
      <c r="AY188" s="67"/>
      <c r="AZ188" s="24">
        <f t="shared" si="69"/>
        <v>0</v>
      </c>
      <c r="BA188" s="24">
        <f>AH188+AN188+AT188+AZ188</f>
        <v>0</v>
      </c>
      <c r="BB188" s="128" t="s">
        <v>96</v>
      </c>
    </row>
    <row r="189" spans="1:54" ht="14.25" x14ac:dyDescent="0.15">
      <c r="A189" s="23"/>
      <c r="B189" s="41"/>
      <c r="C189" s="42"/>
      <c r="D189" s="42"/>
      <c r="E189" s="42"/>
      <c r="F189" s="42"/>
      <c r="G189" s="43">
        <f t="shared" si="56"/>
        <v>0</v>
      </c>
      <c r="H189" s="41"/>
      <c r="I189" s="42"/>
      <c r="J189" s="42"/>
      <c r="K189" s="42"/>
      <c r="L189" s="42"/>
      <c r="M189" s="43">
        <f t="shared" si="57"/>
        <v>0</v>
      </c>
      <c r="N189" s="42"/>
      <c r="O189" s="53"/>
      <c r="P189" s="53"/>
      <c r="Q189" s="53"/>
      <c r="R189" s="72"/>
      <c r="S189" s="24">
        <f t="shared" si="58"/>
        <v>0</v>
      </c>
      <c r="T189" s="42"/>
      <c r="U189" s="53"/>
      <c r="V189" s="53"/>
      <c r="W189" s="53"/>
      <c r="X189" s="72"/>
      <c r="Y189" s="24">
        <f t="shared" si="59"/>
        <v>0</v>
      </c>
      <c r="Z189" s="24">
        <f t="shared" si="64"/>
        <v>0</v>
      </c>
      <c r="AB189" s="23" t="s">
        <v>95</v>
      </c>
      <c r="AC189" s="14"/>
      <c r="AD189" s="15"/>
      <c r="AE189" s="15"/>
      <c r="AF189" s="15"/>
      <c r="AG189" s="15"/>
      <c r="AH189" s="24">
        <f t="shared" si="66"/>
        <v>0</v>
      </c>
      <c r="AI189" s="14"/>
      <c r="AJ189" s="15"/>
      <c r="AK189" s="15"/>
      <c r="AL189" s="15"/>
      <c r="AM189" s="15"/>
      <c r="AN189" s="24">
        <f t="shared" si="67"/>
        <v>0</v>
      </c>
      <c r="AO189" s="15"/>
      <c r="AP189" s="55"/>
      <c r="AQ189" s="55"/>
      <c r="AR189" s="55"/>
      <c r="AS189" s="67"/>
      <c r="AT189" s="24">
        <f t="shared" si="68"/>
        <v>0</v>
      </c>
      <c r="AU189" s="15"/>
      <c r="AV189" s="55"/>
      <c r="AW189" s="55"/>
      <c r="AX189" s="55"/>
      <c r="AY189" s="67"/>
      <c r="AZ189" s="24">
        <f t="shared" si="69"/>
        <v>0</v>
      </c>
      <c r="BA189" s="24">
        <f>AH189+AN189+AT189+AZ189</f>
        <v>0</v>
      </c>
      <c r="BB189" s="128" t="s">
        <v>96</v>
      </c>
    </row>
    <row r="190" spans="1:54" ht="14.25" x14ac:dyDescent="0.15">
      <c r="A190" s="23"/>
      <c r="B190" s="41"/>
      <c r="C190" s="42"/>
      <c r="D190" s="42"/>
      <c r="E190" s="42"/>
      <c r="F190" s="42"/>
      <c r="G190" s="43">
        <f t="shared" si="56"/>
        <v>0</v>
      </c>
      <c r="H190" s="41"/>
      <c r="I190" s="42"/>
      <c r="J190" s="42"/>
      <c r="K190" s="42"/>
      <c r="L190" s="42"/>
      <c r="M190" s="43">
        <f t="shared" si="57"/>
        <v>0</v>
      </c>
      <c r="N190" s="42"/>
      <c r="O190" s="53"/>
      <c r="P190" s="53"/>
      <c r="Q190" s="53"/>
      <c r="R190" s="72"/>
      <c r="S190" s="24">
        <f>SUM(N190:R190)</f>
        <v>0</v>
      </c>
      <c r="T190" s="42"/>
      <c r="U190" s="53"/>
      <c r="V190" s="53"/>
      <c r="W190" s="53"/>
      <c r="X190" s="72"/>
      <c r="Y190" s="24">
        <f>SUM(T190:X190)</f>
        <v>0</v>
      </c>
      <c r="Z190" s="24">
        <f>G190+M190+S190+Y190</f>
        <v>0</v>
      </c>
      <c r="AB190" s="110" t="s">
        <v>54</v>
      </c>
      <c r="AC190" s="41"/>
      <c r="AD190" s="42"/>
      <c r="AE190" s="42"/>
      <c r="AF190" s="42"/>
      <c r="AG190" s="42"/>
      <c r="AH190" s="43">
        <f t="shared" si="66"/>
        <v>0</v>
      </c>
      <c r="AI190" s="41"/>
      <c r="AJ190" s="42"/>
      <c r="AK190" s="42"/>
      <c r="AL190" s="42"/>
      <c r="AM190" s="42"/>
      <c r="AN190" s="43">
        <f t="shared" si="67"/>
        <v>0</v>
      </c>
      <c r="AO190" s="42"/>
      <c r="AP190" s="53"/>
      <c r="AQ190" s="53"/>
      <c r="AR190" s="53"/>
      <c r="AS190" s="72"/>
      <c r="AT190" s="24">
        <f t="shared" si="68"/>
        <v>0</v>
      </c>
      <c r="AU190" s="42"/>
      <c r="AV190" s="53"/>
      <c r="AW190" s="53"/>
      <c r="AX190" s="53"/>
      <c r="AY190" s="72"/>
      <c r="AZ190" s="24">
        <f t="shared" si="69"/>
        <v>0</v>
      </c>
      <c r="BA190" s="24">
        <f>AH190+AN190+AT190+AZ190</f>
        <v>0</v>
      </c>
      <c r="BB190" s="128" t="s">
        <v>130</v>
      </c>
    </row>
    <row r="191" spans="1:54" ht="15" thickBot="1" x14ac:dyDescent="0.2">
      <c r="A191" s="110"/>
      <c r="B191" s="44"/>
      <c r="C191" s="45"/>
      <c r="D191" s="45"/>
      <c r="E191" s="45"/>
      <c r="F191" s="45"/>
      <c r="G191" s="43">
        <f t="shared" si="56"/>
        <v>0</v>
      </c>
      <c r="H191" s="44"/>
      <c r="I191" s="45"/>
      <c r="J191" s="45"/>
      <c r="K191" s="45"/>
      <c r="L191" s="45"/>
      <c r="M191" s="112">
        <f t="shared" si="57"/>
        <v>0</v>
      </c>
      <c r="N191" s="45"/>
      <c r="O191" s="78"/>
      <c r="P191" s="78"/>
      <c r="Q191" s="78"/>
      <c r="R191" s="79"/>
      <c r="S191" s="113">
        <f>SUM(N191:R191)</f>
        <v>0</v>
      </c>
      <c r="T191" s="45"/>
      <c r="U191" s="78"/>
      <c r="V191" s="78"/>
      <c r="W191" s="78"/>
      <c r="X191" s="79"/>
      <c r="Y191" s="113">
        <f>SUM(T191:X191)</f>
        <v>0</v>
      </c>
      <c r="Z191" s="82">
        <f>G191+M191+S191+Y191</f>
        <v>0</v>
      </c>
      <c r="AB191" s="123" t="s">
        <v>63</v>
      </c>
      <c r="AC191" s="14"/>
      <c r="AD191" s="15"/>
      <c r="AE191" s="15"/>
      <c r="AF191" s="15"/>
      <c r="AG191" s="15"/>
      <c r="AH191" s="24">
        <f t="shared" si="66"/>
        <v>0</v>
      </c>
      <c r="AI191" s="14"/>
      <c r="AJ191" s="15"/>
      <c r="AK191" s="15"/>
      <c r="AL191" s="15"/>
      <c r="AM191" s="15"/>
      <c r="AN191" s="24">
        <f t="shared" si="67"/>
        <v>0</v>
      </c>
      <c r="AO191" s="15"/>
      <c r="AP191" s="55"/>
      <c r="AQ191" s="55"/>
      <c r="AR191" s="55"/>
      <c r="AS191" s="67"/>
      <c r="AT191" s="24">
        <f t="shared" si="68"/>
        <v>0</v>
      </c>
      <c r="AU191" s="15"/>
      <c r="AV191" s="55"/>
      <c r="AW191" s="55"/>
      <c r="AX191" s="55"/>
      <c r="AY191" s="67"/>
      <c r="AZ191" s="24">
        <f t="shared" si="69"/>
        <v>0</v>
      </c>
      <c r="BA191" s="24">
        <f t="shared" si="65"/>
        <v>0</v>
      </c>
      <c r="BB191" s="128" t="s">
        <v>65</v>
      </c>
    </row>
    <row r="192" spans="1:54" ht="15" thickBot="1" x14ac:dyDescent="0.2">
      <c r="A192" s="9" t="s">
        <v>13</v>
      </c>
      <c r="B192" s="25">
        <f>SUM(B166:B191)</f>
        <v>1</v>
      </c>
      <c r="C192" s="26">
        <f>SUM(C166:C191)</f>
        <v>1</v>
      </c>
      <c r="D192" s="26">
        <f>SUM(D166:D191)</f>
        <v>2</v>
      </c>
      <c r="E192" s="26">
        <f>SUM(E166:E191)</f>
        <v>4</v>
      </c>
      <c r="F192" s="27">
        <f>SUM(F166:F191)</f>
        <v>3</v>
      </c>
      <c r="G192" s="19">
        <f>SUM(B192:F192)</f>
        <v>11</v>
      </c>
      <c r="H192" s="25">
        <f>SUM(H166:H191)</f>
        <v>1</v>
      </c>
      <c r="I192" s="26">
        <f>SUM(I166:I191)</f>
        <v>2</v>
      </c>
      <c r="J192" s="26">
        <f>SUM(J166:J191)</f>
        <v>3</v>
      </c>
      <c r="K192" s="26">
        <f>SUM(K166:K191)</f>
        <v>2</v>
      </c>
      <c r="L192" s="27">
        <f>SUM(L166:L191)</f>
        <v>3</v>
      </c>
      <c r="M192" s="25">
        <f>SUM(H192:L192)</f>
        <v>11</v>
      </c>
      <c r="N192" s="65">
        <f>SUM(N166:N191)</f>
        <v>0</v>
      </c>
      <c r="O192" s="18">
        <f>SUM(O166:O191)</f>
        <v>0</v>
      </c>
      <c r="P192" s="18">
        <f>SUM(P166:P191)</f>
        <v>1</v>
      </c>
      <c r="Q192" s="18">
        <f>SUM(Q166:Q191)</f>
        <v>2</v>
      </c>
      <c r="R192" s="70">
        <f>SUM(R166:R191)</f>
        <v>1</v>
      </c>
      <c r="S192" s="49">
        <f>SUM(N192:R192)</f>
        <v>4</v>
      </c>
      <c r="T192" s="74">
        <f>SUM(T166:T191)</f>
        <v>0</v>
      </c>
      <c r="U192" s="18">
        <f>SUM(U166:U191)</f>
        <v>2</v>
      </c>
      <c r="V192" s="18">
        <f>SUM(V166:V191)</f>
        <v>0</v>
      </c>
      <c r="W192" s="18">
        <f>SUM(W166:W191)</f>
        <v>2</v>
      </c>
      <c r="X192" s="70">
        <f>SUM(X166:X191)</f>
        <v>1</v>
      </c>
      <c r="Y192" s="49">
        <f>SUM(T192:X192)</f>
        <v>5</v>
      </c>
      <c r="Z192" s="77">
        <f>G192+M192+S192+Y192</f>
        <v>31</v>
      </c>
      <c r="AB192" s="9" t="s">
        <v>13</v>
      </c>
      <c r="AC192" s="25">
        <f>SUM(AC166:AC191)</f>
        <v>4</v>
      </c>
      <c r="AD192" s="26">
        <f>SUM(AD166:AD191)</f>
        <v>11</v>
      </c>
      <c r="AE192" s="26">
        <f>SUM(AE166:AE191)</f>
        <v>21</v>
      </c>
      <c r="AF192" s="26">
        <f>SUM(AF166:AF191)</f>
        <v>27</v>
      </c>
      <c r="AG192" s="27">
        <f>SUM(AG166:AG191)</f>
        <v>12</v>
      </c>
      <c r="AH192" s="19">
        <f t="shared" si="66"/>
        <v>75</v>
      </c>
      <c r="AI192" s="25">
        <f>SUM(AI166:AI191)</f>
        <v>1</v>
      </c>
      <c r="AJ192" s="26">
        <f>SUM(AJ166:AJ191)</f>
        <v>15</v>
      </c>
      <c r="AK192" s="26">
        <f>SUM(AK166:AK191)</f>
        <v>4</v>
      </c>
      <c r="AL192" s="26">
        <f>SUM(AL166:AL191)</f>
        <v>1</v>
      </c>
      <c r="AM192" s="27">
        <f>SUM(AM166:AM191)</f>
        <v>1</v>
      </c>
      <c r="AN192" s="25">
        <f t="shared" si="67"/>
        <v>22</v>
      </c>
      <c r="AO192" s="65">
        <f>SUM(AO166:AO191)</f>
        <v>0</v>
      </c>
      <c r="AP192" s="18">
        <f>SUM(AP166:AP191)</f>
        <v>3</v>
      </c>
      <c r="AQ192" s="18">
        <f>SUM(AQ166:AQ191)</f>
        <v>5</v>
      </c>
      <c r="AR192" s="18">
        <f>SUM(AR166:AR191)</f>
        <v>9</v>
      </c>
      <c r="AS192" s="70">
        <f>SUM(AS166:AS191)</f>
        <v>5</v>
      </c>
      <c r="AT192" s="49">
        <f t="shared" si="68"/>
        <v>22</v>
      </c>
      <c r="AU192" s="74">
        <f>SUM(AU166:AU191)</f>
        <v>0</v>
      </c>
      <c r="AV192" s="18">
        <f>SUM(AV166:AV191)</f>
        <v>3</v>
      </c>
      <c r="AW192" s="18">
        <f>SUM(AW166:AW191)</f>
        <v>3</v>
      </c>
      <c r="AX192" s="18">
        <f>SUM(AX166:AX191)</f>
        <v>5</v>
      </c>
      <c r="AY192" s="70">
        <f>SUM(AY166:AY191)</f>
        <v>3</v>
      </c>
      <c r="AZ192" s="49">
        <f t="shared" si="69"/>
        <v>14</v>
      </c>
      <c r="BA192" s="77">
        <f t="shared" si="65"/>
        <v>133</v>
      </c>
    </row>
    <row r="193" spans="1:55" ht="15" thickBot="1" x14ac:dyDescent="0.2">
      <c r="A193" s="32" t="s">
        <v>14</v>
      </c>
      <c r="B193" s="29">
        <f t="shared" ref="B193:Y193" si="70">B165-B192</f>
        <v>3</v>
      </c>
      <c r="C193" s="30">
        <f t="shared" si="70"/>
        <v>0</v>
      </c>
      <c r="D193" s="30">
        <f t="shared" si="70"/>
        <v>3</v>
      </c>
      <c r="E193" s="30">
        <f t="shared" si="70"/>
        <v>1</v>
      </c>
      <c r="F193" s="31">
        <f t="shared" si="70"/>
        <v>1</v>
      </c>
      <c r="G193" s="31">
        <f t="shared" si="70"/>
        <v>8</v>
      </c>
      <c r="H193" s="29">
        <f t="shared" si="70"/>
        <v>3</v>
      </c>
      <c r="I193" s="30">
        <f t="shared" si="70"/>
        <v>2</v>
      </c>
      <c r="J193" s="30">
        <f t="shared" si="70"/>
        <v>1</v>
      </c>
      <c r="K193" s="30">
        <f t="shared" si="70"/>
        <v>3</v>
      </c>
      <c r="L193" s="31">
        <f t="shared" si="70"/>
        <v>1</v>
      </c>
      <c r="M193" s="66">
        <f t="shared" si="70"/>
        <v>10</v>
      </c>
      <c r="N193" s="29">
        <f t="shared" si="70"/>
        <v>3</v>
      </c>
      <c r="O193" s="30">
        <f t="shared" si="70"/>
        <v>3</v>
      </c>
      <c r="P193" s="30">
        <f t="shared" si="70"/>
        <v>1</v>
      </c>
      <c r="Q193" s="30">
        <f t="shared" si="70"/>
        <v>7</v>
      </c>
      <c r="R193" s="66">
        <f t="shared" si="70"/>
        <v>1</v>
      </c>
      <c r="S193" s="33">
        <f t="shared" si="70"/>
        <v>15</v>
      </c>
      <c r="T193" s="75">
        <f t="shared" si="70"/>
        <v>3</v>
      </c>
      <c r="U193" s="30">
        <f t="shared" si="70"/>
        <v>1</v>
      </c>
      <c r="V193" s="30">
        <f t="shared" si="70"/>
        <v>3</v>
      </c>
      <c r="W193" s="30">
        <f t="shared" si="70"/>
        <v>2</v>
      </c>
      <c r="X193" s="66">
        <f t="shared" si="70"/>
        <v>3</v>
      </c>
      <c r="Y193" s="33">
        <f t="shared" si="70"/>
        <v>12</v>
      </c>
      <c r="Z193" s="77">
        <f>G193+M193+S193+Y193</f>
        <v>45</v>
      </c>
      <c r="AB193" s="32" t="s">
        <v>14</v>
      </c>
      <c r="AC193" s="29">
        <f t="shared" ref="AC193:AZ193" si="71">AC165-AC192</f>
        <v>129</v>
      </c>
      <c r="AD193" s="30">
        <f t="shared" si="71"/>
        <v>79</v>
      </c>
      <c r="AE193" s="30">
        <f t="shared" si="71"/>
        <v>72</v>
      </c>
      <c r="AF193" s="30">
        <f t="shared" si="71"/>
        <v>61</v>
      </c>
      <c r="AG193" s="31">
        <f t="shared" si="71"/>
        <v>97</v>
      </c>
      <c r="AH193" s="31">
        <f t="shared" si="71"/>
        <v>438</v>
      </c>
      <c r="AI193" s="29">
        <f t="shared" si="71"/>
        <v>85</v>
      </c>
      <c r="AJ193" s="30">
        <f t="shared" si="71"/>
        <v>64</v>
      </c>
      <c r="AK193" s="30">
        <f t="shared" si="71"/>
        <v>79</v>
      </c>
      <c r="AL193" s="30">
        <f t="shared" si="71"/>
        <v>74</v>
      </c>
      <c r="AM193" s="31">
        <f t="shared" si="71"/>
        <v>72</v>
      </c>
      <c r="AN193" s="66">
        <f t="shared" si="71"/>
        <v>374</v>
      </c>
      <c r="AO193" s="29">
        <f t="shared" si="71"/>
        <v>113</v>
      </c>
      <c r="AP193" s="30">
        <f t="shared" si="71"/>
        <v>131</v>
      </c>
      <c r="AQ193" s="30">
        <f t="shared" si="71"/>
        <v>108</v>
      </c>
      <c r="AR193" s="30">
        <f t="shared" si="71"/>
        <v>102</v>
      </c>
      <c r="AS193" s="66">
        <f t="shared" si="71"/>
        <v>84</v>
      </c>
      <c r="AT193" s="33">
        <f t="shared" si="71"/>
        <v>538</v>
      </c>
      <c r="AU193" s="75">
        <f t="shared" si="71"/>
        <v>119</v>
      </c>
      <c r="AV193" s="30">
        <f t="shared" si="71"/>
        <v>119</v>
      </c>
      <c r="AW193" s="30">
        <f t="shared" si="71"/>
        <v>117</v>
      </c>
      <c r="AX193" s="30">
        <f t="shared" si="71"/>
        <v>122</v>
      </c>
      <c r="AY193" s="66">
        <f t="shared" si="71"/>
        <v>77</v>
      </c>
      <c r="AZ193" s="33">
        <f t="shared" si="71"/>
        <v>554</v>
      </c>
      <c r="BA193" s="77">
        <f t="shared" si="65"/>
        <v>1904</v>
      </c>
    </row>
    <row r="196" spans="1:55" ht="19.5" thickBot="1" x14ac:dyDescent="0.25">
      <c r="A196" s="1" t="s">
        <v>15</v>
      </c>
      <c r="AB196" s="1" t="s">
        <v>16</v>
      </c>
    </row>
    <row r="197" spans="1:55" ht="15" thickBot="1" x14ac:dyDescent="0.2">
      <c r="A197" s="4"/>
      <c r="B197" s="245" t="s">
        <v>17</v>
      </c>
      <c r="C197" s="246"/>
      <c r="D197" s="246"/>
      <c r="E197" s="246"/>
      <c r="F197" s="246"/>
      <c r="G197" s="247"/>
      <c r="H197" s="245" t="s">
        <v>18</v>
      </c>
      <c r="I197" s="246"/>
      <c r="J197" s="246"/>
      <c r="K197" s="246"/>
      <c r="L197" s="246"/>
      <c r="M197" s="247"/>
      <c r="N197" s="248" t="s">
        <v>27</v>
      </c>
      <c r="O197" s="249"/>
      <c r="P197" s="249"/>
      <c r="Q197" s="249"/>
      <c r="R197" s="249"/>
      <c r="S197" s="250"/>
      <c r="T197" s="248" t="s">
        <v>28</v>
      </c>
      <c r="U197" s="249"/>
      <c r="V197" s="249"/>
      <c r="W197" s="249"/>
      <c r="X197" s="249"/>
      <c r="Y197" s="250"/>
      <c r="Z197" s="251" t="s">
        <v>1</v>
      </c>
      <c r="AB197" s="4"/>
      <c r="AC197" s="245" t="s">
        <v>17</v>
      </c>
      <c r="AD197" s="246"/>
      <c r="AE197" s="246"/>
      <c r="AF197" s="246"/>
      <c r="AG197" s="246"/>
      <c r="AH197" s="247"/>
      <c r="AI197" s="245" t="s">
        <v>18</v>
      </c>
      <c r="AJ197" s="246"/>
      <c r="AK197" s="246"/>
      <c r="AL197" s="246"/>
      <c r="AM197" s="246"/>
      <c r="AN197" s="247"/>
      <c r="AO197" s="248" t="s">
        <v>27</v>
      </c>
      <c r="AP197" s="249"/>
      <c r="AQ197" s="249"/>
      <c r="AR197" s="249"/>
      <c r="AS197" s="249"/>
      <c r="AT197" s="250"/>
      <c r="AU197" s="248" t="s">
        <v>28</v>
      </c>
      <c r="AV197" s="249"/>
      <c r="AW197" s="249"/>
      <c r="AX197" s="249"/>
      <c r="AY197" s="249"/>
      <c r="AZ197" s="250"/>
      <c r="BA197" s="251" t="s">
        <v>1</v>
      </c>
    </row>
    <row r="198" spans="1:55" ht="15" thickBot="1" x14ac:dyDescent="0.2">
      <c r="A198" s="9" t="s">
        <v>2</v>
      </c>
      <c r="B198" s="6" t="s">
        <v>3</v>
      </c>
      <c r="C198" s="7" t="s">
        <v>4</v>
      </c>
      <c r="D198" s="7" t="s">
        <v>5</v>
      </c>
      <c r="E198" s="48" t="s">
        <v>20</v>
      </c>
      <c r="F198" s="8" t="s">
        <v>21</v>
      </c>
      <c r="G198" s="5" t="s">
        <v>6</v>
      </c>
      <c r="H198" s="6" t="s">
        <v>3</v>
      </c>
      <c r="I198" s="7" t="s">
        <v>4</v>
      </c>
      <c r="J198" s="7" t="s">
        <v>5</v>
      </c>
      <c r="K198" s="48" t="s">
        <v>20</v>
      </c>
      <c r="L198" s="8" t="s">
        <v>21</v>
      </c>
      <c r="M198" s="5" t="s">
        <v>6</v>
      </c>
      <c r="N198" s="6" t="s">
        <v>3</v>
      </c>
      <c r="O198" s="7" t="s">
        <v>4</v>
      </c>
      <c r="P198" s="7" t="s">
        <v>5</v>
      </c>
      <c r="Q198" s="48" t="s">
        <v>20</v>
      </c>
      <c r="R198" s="8" t="s">
        <v>21</v>
      </c>
      <c r="S198" s="5" t="s">
        <v>6</v>
      </c>
      <c r="T198" s="7" t="s">
        <v>3</v>
      </c>
      <c r="U198" s="7" t="s">
        <v>4</v>
      </c>
      <c r="V198" s="7" t="s">
        <v>5</v>
      </c>
      <c r="W198" s="48" t="s">
        <v>20</v>
      </c>
      <c r="X198" s="109" t="s">
        <v>21</v>
      </c>
      <c r="Y198" s="62" t="s">
        <v>6</v>
      </c>
      <c r="Z198" s="252"/>
      <c r="AB198" s="9" t="s">
        <v>2</v>
      </c>
      <c r="AC198" s="6" t="s">
        <v>3</v>
      </c>
      <c r="AD198" s="7" t="s">
        <v>4</v>
      </c>
      <c r="AE198" s="7" t="s">
        <v>5</v>
      </c>
      <c r="AF198" s="48" t="s">
        <v>20</v>
      </c>
      <c r="AG198" s="8" t="s">
        <v>21</v>
      </c>
      <c r="AH198" s="5" t="s">
        <v>6</v>
      </c>
      <c r="AI198" s="6" t="s">
        <v>3</v>
      </c>
      <c r="AJ198" s="7" t="s">
        <v>4</v>
      </c>
      <c r="AK198" s="7" t="s">
        <v>5</v>
      </c>
      <c r="AL198" s="48" t="s">
        <v>20</v>
      </c>
      <c r="AM198" s="8" t="s">
        <v>21</v>
      </c>
      <c r="AN198" s="5" t="s">
        <v>6</v>
      </c>
      <c r="AO198" s="6" t="s">
        <v>3</v>
      </c>
      <c r="AP198" s="7" t="s">
        <v>4</v>
      </c>
      <c r="AQ198" s="7" t="s">
        <v>5</v>
      </c>
      <c r="AR198" s="48" t="s">
        <v>20</v>
      </c>
      <c r="AS198" s="8" t="s">
        <v>21</v>
      </c>
      <c r="AT198" s="5" t="s">
        <v>6</v>
      </c>
      <c r="AU198" s="7" t="s">
        <v>3</v>
      </c>
      <c r="AV198" s="7" t="s">
        <v>4</v>
      </c>
      <c r="AW198" s="7" t="s">
        <v>5</v>
      </c>
      <c r="AX198" s="48" t="s">
        <v>20</v>
      </c>
      <c r="AY198" s="109" t="s">
        <v>21</v>
      </c>
      <c r="AZ198" s="62" t="s">
        <v>6</v>
      </c>
      <c r="BA198" s="252"/>
    </row>
    <row r="199" spans="1:55" ht="14.25" x14ac:dyDescent="0.15">
      <c r="A199" s="103" t="s">
        <v>43</v>
      </c>
      <c r="B199" s="104">
        <f>B193</f>
        <v>3</v>
      </c>
      <c r="C199" s="105">
        <f>C193</f>
        <v>0</v>
      </c>
      <c r="D199" s="105">
        <f>D193</f>
        <v>3</v>
      </c>
      <c r="E199" s="105">
        <f>E193</f>
        <v>1</v>
      </c>
      <c r="F199" s="105">
        <f>F193</f>
        <v>1</v>
      </c>
      <c r="G199" s="106">
        <f t="shared" ref="G199:G230" si="72">SUM(B199:F199)</f>
        <v>8</v>
      </c>
      <c r="H199" s="104">
        <f>H193</f>
        <v>3</v>
      </c>
      <c r="I199" s="105">
        <f>I193</f>
        <v>2</v>
      </c>
      <c r="J199" s="105">
        <f>J193</f>
        <v>1</v>
      </c>
      <c r="K199" s="105">
        <f>K193</f>
        <v>3</v>
      </c>
      <c r="L199" s="105">
        <f>L193</f>
        <v>1</v>
      </c>
      <c r="M199" s="107">
        <f t="shared" ref="M199:M230" si="73">SUM(H199:L199)</f>
        <v>10</v>
      </c>
      <c r="N199" s="104">
        <f>N193</f>
        <v>3</v>
      </c>
      <c r="O199" s="105">
        <f>O193</f>
        <v>3</v>
      </c>
      <c r="P199" s="105">
        <f>P193</f>
        <v>1</v>
      </c>
      <c r="Q199" s="105">
        <f>Q193</f>
        <v>7</v>
      </c>
      <c r="R199" s="105">
        <f>R193</f>
        <v>1</v>
      </c>
      <c r="S199" s="108">
        <f t="shared" ref="S199:S228" si="74">SUM(N199:R199)</f>
        <v>15</v>
      </c>
      <c r="T199" s="104">
        <f>T193</f>
        <v>3</v>
      </c>
      <c r="U199" s="105">
        <f>U193</f>
        <v>1</v>
      </c>
      <c r="V199" s="105">
        <f>V193</f>
        <v>3</v>
      </c>
      <c r="W199" s="105">
        <f>W193</f>
        <v>2</v>
      </c>
      <c r="X199" s="105">
        <f>X193</f>
        <v>3</v>
      </c>
      <c r="Y199" s="106">
        <f t="shared" ref="Y199:Y228" si="75">SUM(T199:X199)</f>
        <v>12</v>
      </c>
      <c r="Z199" s="106">
        <f>G199+M199+S199+Y199</f>
        <v>45</v>
      </c>
      <c r="AB199" s="103" t="s">
        <v>43</v>
      </c>
      <c r="AC199" s="104">
        <f>AC193</f>
        <v>129</v>
      </c>
      <c r="AD199" s="105">
        <f>AD193</f>
        <v>79</v>
      </c>
      <c r="AE199" s="105">
        <f>AE193</f>
        <v>72</v>
      </c>
      <c r="AF199" s="105">
        <f>AF193</f>
        <v>61</v>
      </c>
      <c r="AG199" s="105">
        <f>AG193</f>
        <v>97</v>
      </c>
      <c r="AH199" s="106">
        <f t="shared" ref="AH199:AH231" si="76">SUM(AC199:AG199)</f>
        <v>438</v>
      </c>
      <c r="AI199" s="104">
        <f>AI193</f>
        <v>85</v>
      </c>
      <c r="AJ199" s="105">
        <f>AJ193</f>
        <v>64</v>
      </c>
      <c r="AK199" s="105">
        <f>AK193</f>
        <v>79</v>
      </c>
      <c r="AL199" s="105">
        <f>AL193</f>
        <v>74</v>
      </c>
      <c r="AM199" s="105">
        <f>AM193</f>
        <v>72</v>
      </c>
      <c r="AN199" s="107">
        <f t="shared" ref="AN199:AN231" si="77">SUM(AI199:AM199)</f>
        <v>374</v>
      </c>
      <c r="AO199" s="104">
        <f>AO193</f>
        <v>113</v>
      </c>
      <c r="AP199" s="105">
        <f>AP193</f>
        <v>131</v>
      </c>
      <c r="AQ199" s="105">
        <f>AQ193</f>
        <v>108</v>
      </c>
      <c r="AR199" s="105">
        <f>AR193</f>
        <v>102</v>
      </c>
      <c r="AS199" s="105">
        <f>AS193</f>
        <v>84</v>
      </c>
      <c r="AT199" s="108">
        <f t="shared" ref="AT199:AT231" si="78">SUM(AO199:AS199)</f>
        <v>538</v>
      </c>
      <c r="AU199" s="104">
        <f>AU193</f>
        <v>119</v>
      </c>
      <c r="AV199" s="105">
        <f>AV193</f>
        <v>119</v>
      </c>
      <c r="AW199" s="105">
        <f>AW193</f>
        <v>117</v>
      </c>
      <c r="AX199" s="105">
        <f>AX193</f>
        <v>122</v>
      </c>
      <c r="AY199" s="105">
        <f>AY193</f>
        <v>77</v>
      </c>
      <c r="AZ199" s="106">
        <f t="shared" ref="AZ199:AZ231" si="79">SUM(AU199:AY199)</f>
        <v>554</v>
      </c>
      <c r="BA199" s="106">
        <f>AH199+AN199+AT199+AZ199</f>
        <v>1904</v>
      </c>
    </row>
    <row r="200" spans="1:55" ht="14.25" x14ac:dyDescent="0.15">
      <c r="A200" s="10" t="s">
        <v>7</v>
      </c>
      <c r="B200" s="14"/>
      <c r="C200" s="15">
        <v>3</v>
      </c>
      <c r="D200" s="15"/>
      <c r="E200" s="15"/>
      <c r="F200" s="15">
        <v>3</v>
      </c>
      <c r="G200" s="16">
        <f t="shared" si="72"/>
        <v>6</v>
      </c>
      <c r="H200" s="14"/>
      <c r="I200" s="15"/>
      <c r="J200" s="15"/>
      <c r="K200" s="15"/>
      <c r="L200" s="15">
        <v>3</v>
      </c>
      <c r="M200" s="57">
        <f t="shared" si="73"/>
        <v>3</v>
      </c>
      <c r="N200" s="14"/>
      <c r="O200" s="55"/>
      <c r="P200" s="55">
        <v>3</v>
      </c>
      <c r="Q200" s="55"/>
      <c r="R200" s="67">
        <v>3</v>
      </c>
      <c r="S200" s="24">
        <f t="shared" si="74"/>
        <v>6</v>
      </c>
      <c r="T200" s="15"/>
      <c r="U200" s="55">
        <v>3</v>
      </c>
      <c r="V200" s="55"/>
      <c r="W200" s="55"/>
      <c r="X200" s="67"/>
      <c r="Y200" s="24">
        <f t="shared" si="75"/>
        <v>3</v>
      </c>
      <c r="Z200" s="24">
        <f t="shared" ref="Z200:Z228" si="80">G200+M200+S200+Y200</f>
        <v>18</v>
      </c>
      <c r="AA200" s="83">
        <v>43669</v>
      </c>
      <c r="AB200" s="10" t="s">
        <v>7</v>
      </c>
      <c r="AC200" s="14"/>
      <c r="AD200" s="15"/>
      <c r="AE200" s="15"/>
      <c r="AF200" s="15">
        <v>1</v>
      </c>
      <c r="AG200" s="15">
        <v>2</v>
      </c>
      <c r="AH200" s="16">
        <f t="shared" si="76"/>
        <v>3</v>
      </c>
      <c r="AI200" s="14">
        <v>1</v>
      </c>
      <c r="AJ200" s="15"/>
      <c r="AK200" s="15"/>
      <c r="AL200" s="15">
        <v>1</v>
      </c>
      <c r="AM200" s="15">
        <v>2</v>
      </c>
      <c r="AN200" s="57">
        <f t="shared" si="77"/>
        <v>4</v>
      </c>
      <c r="AO200" s="14">
        <v>1</v>
      </c>
      <c r="AP200" s="55"/>
      <c r="AQ200" s="55"/>
      <c r="AR200" s="55"/>
      <c r="AS200" s="67"/>
      <c r="AT200" s="24">
        <f t="shared" si="78"/>
        <v>1</v>
      </c>
      <c r="AU200" s="15"/>
      <c r="AV200" s="55"/>
      <c r="AW200" s="55"/>
      <c r="AX200" s="55">
        <v>1</v>
      </c>
      <c r="AY200" s="67"/>
      <c r="AZ200" s="24">
        <f t="shared" si="79"/>
        <v>1</v>
      </c>
      <c r="BA200" s="24">
        <f t="shared" ref="BA200:BA224" si="81">AH200+AN200+AT200+AZ200</f>
        <v>9</v>
      </c>
      <c r="BB200" s="93">
        <v>43680</v>
      </c>
    </row>
    <row r="201" spans="1:55" ht="14.25" x14ac:dyDescent="0.15">
      <c r="A201" s="10" t="s">
        <v>147</v>
      </c>
      <c r="B201" s="41">
        <v>1</v>
      </c>
      <c r="C201" s="42"/>
      <c r="D201" s="42">
        <v>1</v>
      </c>
      <c r="E201" s="42"/>
      <c r="F201" s="42"/>
      <c r="G201" s="37">
        <f t="shared" si="72"/>
        <v>2</v>
      </c>
      <c r="H201" s="41"/>
      <c r="I201" s="42"/>
      <c r="J201" s="42"/>
      <c r="K201" s="42">
        <v>1</v>
      </c>
      <c r="L201" s="42"/>
      <c r="M201" s="114">
        <f t="shared" si="73"/>
        <v>1</v>
      </c>
      <c r="N201" s="41"/>
      <c r="O201" s="53"/>
      <c r="P201" s="53"/>
      <c r="Q201" s="53"/>
      <c r="R201" s="72"/>
      <c r="S201" s="24">
        <f t="shared" si="74"/>
        <v>0</v>
      </c>
      <c r="T201" s="42"/>
      <c r="U201" s="53"/>
      <c r="V201" s="53"/>
      <c r="W201" s="53"/>
      <c r="X201" s="72"/>
      <c r="Y201" s="24">
        <f t="shared" si="75"/>
        <v>0</v>
      </c>
      <c r="Z201" s="24">
        <f t="shared" si="80"/>
        <v>3</v>
      </c>
      <c r="AA201" s="93">
        <v>43669</v>
      </c>
      <c r="AB201" s="10" t="s">
        <v>9</v>
      </c>
      <c r="AC201" s="41">
        <v>19</v>
      </c>
      <c r="AD201" s="42">
        <v>99</v>
      </c>
      <c r="AE201" s="42">
        <v>129</v>
      </c>
      <c r="AF201" s="42">
        <v>120</v>
      </c>
      <c r="AG201" s="42">
        <v>79</v>
      </c>
      <c r="AH201" s="37">
        <f t="shared" si="76"/>
        <v>446</v>
      </c>
      <c r="AI201" s="41">
        <v>30</v>
      </c>
      <c r="AJ201" s="42">
        <v>60</v>
      </c>
      <c r="AK201" s="42">
        <v>68</v>
      </c>
      <c r="AL201" s="42">
        <v>69</v>
      </c>
      <c r="AM201" s="42">
        <v>69</v>
      </c>
      <c r="AN201" s="114">
        <f t="shared" si="77"/>
        <v>296</v>
      </c>
      <c r="AO201" s="41"/>
      <c r="AP201" s="53"/>
      <c r="AQ201" s="53"/>
      <c r="AR201" s="53"/>
      <c r="AS201" s="72"/>
      <c r="AT201" s="24">
        <f t="shared" si="78"/>
        <v>0</v>
      </c>
      <c r="AU201" s="42"/>
      <c r="AV201" s="53"/>
      <c r="AW201" s="53"/>
      <c r="AX201" s="53"/>
      <c r="AY201" s="72"/>
      <c r="AZ201" s="24">
        <f t="shared" si="79"/>
        <v>0</v>
      </c>
      <c r="BA201" s="24">
        <f t="shared" si="81"/>
        <v>742</v>
      </c>
      <c r="BB201" s="83">
        <v>43679</v>
      </c>
      <c r="BC201" s="2" t="s">
        <v>162</v>
      </c>
    </row>
    <row r="202" spans="1:55" ht="14.25" x14ac:dyDescent="0.15">
      <c r="A202" s="10" t="s">
        <v>83</v>
      </c>
      <c r="B202" s="14"/>
      <c r="C202" s="15"/>
      <c r="D202" s="15"/>
      <c r="E202" s="15"/>
      <c r="F202" s="15"/>
      <c r="G202" s="16">
        <f t="shared" si="72"/>
        <v>0</v>
      </c>
      <c r="H202" s="14"/>
      <c r="I202" s="15"/>
      <c r="J202" s="15"/>
      <c r="K202" s="15"/>
      <c r="L202" s="15"/>
      <c r="M202" s="57">
        <f t="shared" si="73"/>
        <v>0</v>
      </c>
      <c r="N202" s="14"/>
      <c r="O202" s="55"/>
      <c r="P202" s="55"/>
      <c r="Q202" s="55"/>
      <c r="R202" s="67"/>
      <c r="S202" s="24">
        <f t="shared" si="74"/>
        <v>0</v>
      </c>
      <c r="T202" s="15"/>
      <c r="U202" s="55"/>
      <c r="V202" s="55">
        <v>1</v>
      </c>
      <c r="W202" s="55">
        <v>1</v>
      </c>
      <c r="X202" s="67"/>
      <c r="Y202" s="24">
        <f t="shared" si="75"/>
        <v>2</v>
      </c>
      <c r="Z202" s="24">
        <f t="shared" si="80"/>
        <v>2</v>
      </c>
      <c r="AA202" s="93">
        <v>43669</v>
      </c>
      <c r="AB202" s="10" t="s">
        <v>10</v>
      </c>
      <c r="AC202" s="14"/>
      <c r="AD202" s="15"/>
      <c r="AE202" s="15"/>
      <c r="AF202" s="15"/>
      <c r="AG202" s="15"/>
      <c r="AH202" s="16">
        <f t="shared" si="76"/>
        <v>0</v>
      </c>
      <c r="AI202" s="14"/>
      <c r="AJ202" s="15"/>
      <c r="AK202" s="15"/>
      <c r="AL202" s="15"/>
      <c r="AM202" s="15"/>
      <c r="AN202" s="57">
        <f t="shared" si="77"/>
        <v>0</v>
      </c>
      <c r="AO202" s="14"/>
      <c r="AP202" s="55"/>
      <c r="AQ202" s="55"/>
      <c r="AR202" s="55"/>
      <c r="AS202" s="67"/>
      <c r="AT202" s="24">
        <f t="shared" si="78"/>
        <v>0</v>
      </c>
      <c r="AU202" s="15"/>
      <c r="AV202" s="55"/>
      <c r="AW202" s="55"/>
      <c r="AX202" s="55"/>
      <c r="AY202" s="67"/>
      <c r="AZ202" s="24">
        <f t="shared" si="79"/>
        <v>0</v>
      </c>
      <c r="BA202" s="24">
        <f t="shared" si="81"/>
        <v>0</v>
      </c>
      <c r="BB202" s="128"/>
    </row>
    <row r="203" spans="1:55" ht="15" thickBot="1" x14ac:dyDescent="0.2">
      <c r="A203" s="10" t="s">
        <v>11</v>
      </c>
      <c r="B203" s="14"/>
      <c r="C203" s="15"/>
      <c r="D203" s="15"/>
      <c r="E203" s="15"/>
      <c r="F203" s="15"/>
      <c r="G203" s="16">
        <f t="shared" si="72"/>
        <v>0</v>
      </c>
      <c r="H203" s="14"/>
      <c r="I203" s="15"/>
      <c r="J203" s="15">
        <v>3</v>
      </c>
      <c r="K203" s="15"/>
      <c r="L203" s="15"/>
      <c r="M203" s="57">
        <f t="shared" si="73"/>
        <v>3</v>
      </c>
      <c r="N203" s="63"/>
      <c r="O203" s="64"/>
      <c r="P203" s="64"/>
      <c r="Q203" s="64"/>
      <c r="R203" s="69"/>
      <c r="S203" s="82">
        <f t="shared" si="74"/>
        <v>0</v>
      </c>
      <c r="T203" s="73"/>
      <c r="U203" s="64"/>
      <c r="V203" s="64"/>
      <c r="W203" s="64"/>
      <c r="X203" s="69"/>
      <c r="Y203" s="82">
        <f t="shared" si="75"/>
        <v>0</v>
      </c>
      <c r="Z203" s="82">
        <f t="shared" si="80"/>
        <v>3</v>
      </c>
      <c r="AA203" s="83">
        <v>43675</v>
      </c>
      <c r="AB203" s="10" t="s">
        <v>11</v>
      </c>
      <c r="AC203" s="14"/>
      <c r="AD203" s="15"/>
      <c r="AE203" s="15"/>
      <c r="AF203" s="15"/>
      <c r="AG203" s="15"/>
      <c r="AH203" s="16">
        <f t="shared" si="76"/>
        <v>0</v>
      </c>
      <c r="AI203" s="14"/>
      <c r="AJ203" s="15"/>
      <c r="AK203" s="15"/>
      <c r="AL203" s="15"/>
      <c r="AM203" s="15"/>
      <c r="AN203" s="57">
        <f t="shared" si="77"/>
        <v>0</v>
      </c>
      <c r="AO203" s="63"/>
      <c r="AP203" s="64"/>
      <c r="AQ203" s="64"/>
      <c r="AR203" s="64"/>
      <c r="AS203" s="69"/>
      <c r="AT203" s="82">
        <f t="shared" si="78"/>
        <v>0</v>
      </c>
      <c r="AU203" s="73"/>
      <c r="AV203" s="64"/>
      <c r="AW203" s="64"/>
      <c r="AX203" s="64"/>
      <c r="AY203" s="69"/>
      <c r="AZ203" s="82">
        <f t="shared" si="79"/>
        <v>0</v>
      </c>
      <c r="BA203" s="82">
        <f t="shared" si="81"/>
        <v>0</v>
      </c>
    </row>
    <row r="204" spans="1:55" ht="15" thickBot="1" x14ac:dyDescent="0.2">
      <c r="A204" s="4" t="s">
        <v>12</v>
      </c>
      <c r="B204" s="17">
        <f>SUM(B199:B203)</f>
        <v>4</v>
      </c>
      <c r="C204" s="18">
        <f>SUM(C199:C203)</f>
        <v>3</v>
      </c>
      <c r="D204" s="18">
        <f>SUM(D199:D203)</f>
        <v>4</v>
      </c>
      <c r="E204" s="18">
        <f>SUM(E199:E203)</f>
        <v>1</v>
      </c>
      <c r="F204" s="18">
        <f>SUM(F199:F203)</f>
        <v>4</v>
      </c>
      <c r="G204" s="19">
        <f t="shared" si="72"/>
        <v>16</v>
      </c>
      <c r="H204" s="17">
        <f>SUM(H199:H203)</f>
        <v>3</v>
      </c>
      <c r="I204" s="18">
        <f>SUM(I199:I203)</f>
        <v>2</v>
      </c>
      <c r="J204" s="18">
        <f>SUM(J199:J203)</f>
        <v>4</v>
      </c>
      <c r="K204" s="18">
        <f>SUM(K199:K203)</f>
        <v>4</v>
      </c>
      <c r="L204" s="18">
        <f>SUM(L199:L203)</f>
        <v>4</v>
      </c>
      <c r="M204" s="25">
        <f t="shared" si="73"/>
        <v>17</v>
      </c>
      <c r="N204" s="65">
        <f>SUM(N199:N203)</f>
        <v>3</v>
      </c>
      <c r="O204" s="18">
        <f>SUM(O199:O203)</f>
        <v>3</v>
      </c>
      <c r="P204" s="18">
        <f>SUM(P199:P203)</f>
        <v>4</v>
      </c>
      <c r="Q204" s="18">
        <f>SUM(Q199:Q203)</f>
        <v>7</v>
      </c>
      <c r="R204" s="70">
        <f>SUM(R199:R203)</f>
        <v>4</v>
      </c>
      <c r="S204" s="49">
        <f t="shared" si="74"/>
        <v>21</v>
      </c>
      <c r="T204" s="74">
        <f>SUM(T199:T203)</f>
        <v>3</v>
      </c>
      <c r="U204" s="18">
        <f>SUM(U199:U203)</f>
        <v>4</v>
      </c>
      <c r="V204" s="18">
        <f>SUM(V199:V203)</f>
        <v>4</v>
      </c>
      <c r="W204" s="18">
        <f>SUM(W199:W203)</f>
        <v>3</v>
      </c>
      <c r="X204" s="70">
        <f>SUM(X199:X203)</f>
        <v>3</v>
      </c>
      <c r="Y204" s="49">
        <f t="shared" si="75"/>
        <v>17</v>
      </c>
      <c r="Z204" s="33">
        <f t="shared" si="80"/>
        <v>71</v>
      </c>
      <c r="AB204" s="4" t="s">
        <v>12</v>
      </c>
      <c r="AC204" s="17">
        <f>SUM(AC199:AC203)</f>
        <v>148</v>
      </c>
      <c r="AD204" s="18">
        <f>SUM(AD199:AD203)</f>
        <v>178</v>
      </c>
      <c r="AE204" s="18">
        <f>SUM(AE199:AE203)</f>
        <v>201</v>
      </c>
      <c r="AF204" s="18">
        <f>SUM(AF199:AF203)</f>
        <v>182</v>
      </c>
      <c r="AG204" s="18">
        <f>SUM(AG199:AG203)</f>
        <v>178</v>
      </c>
      <c r="AH204" s="19">
        <f t="shared" si="76"/>
        <v>887</v>
      </c>
      <c r="AI204" s="17">
        <f>SUM(AI199:AI203)</f>
        <v>116</v>
      </c>
      <c r="AJ204" s="18">
        <f>SUM(AJ199:AJ203)</f>
        <v>124</v>
      </c>
      <c r="AK204" s="18">
        <f>SUM(AK199:AK203)</f>
        <v>147</v>
      </c>
      <c r="AL204" s="18">
        <f>SUM(AL199:AL203)</f>
        <v>144</v>
      </c>
      <c r="AM204" s="18">
        <f>SUM(AM199:AM203)</f>
        <v>143</v>
      </c>
      <c r="AN204" s="25">
        <f t="shared" si="77"/>
        <v>674</v>
      </c>
      <c r="AO204" s="65">
        <f>SUM(AO199:AO203)</f>
        <v>114</v>
      </c>
      <c r="AP204" s="18">
        <f>SUM(AP199:AP203)</f>
        <v>131</v>
      </c>
      <c r="AQ204" s="18">
        <f>SUM(AQ199:AQ203)</f>
        <v>108</v>
      </c>
      <c r="AR204" s="18">
        <f>SUM(AR199:AR203)</f>
        <v>102</v>
      </c>
      <c r="AS204" s="70">
        <f>SUM(AS199:AS203)</f>
        <v>84</v>
      </c>
      <c r="AT204" s="49">
        <f t="shared" si="78"/>
        <v>539</v>
      </c>
      <c r="AU204" s="74">
        <f>SUM(AU199:AU203)</f>
        <v>119</v>
      </c>
      <c r="AV204" s="18">
        <f>SUM(AV199:AV203)</f>
        <v>119</v>
      </c>
      <c r="AW204" s="18">
        <f>SUM(AW199:AW203)</f>
        <v>117</v>
      </c>
      <c r="AX204" s="18">
        <f>SUM(AX199:AX203)</f>
        <v>123</v>
      </c>
      <c r="AY204" s="70">
        <f>SUM(AY199:AY203)</f>
        <v>77</v>
      </c>
      <c r="AZ204" s="49">
        <f t="shared" si="79"/>
        <v>555</v>
      </c>
      <c r="BA204" s="33">
        <f t="shared" si="81"/>
        <v>2655</v>
      </c>
    </row>
    <row r="205" spans="1:55" ht="14.25" x14ac:dyDescent="0.15">
      <c r="A205" s="40" t="s">
        <v>144</v>
      </c>
      <c r="B205" s="34"/>
      <c r="C205" s="35"/>
      <c r="D205" s="35"/>
      <c r="E205" s="35"/>
      <c r="F205" s="35"/>
      <c r="G205" s="36">
        <f t="shared" si="72"/>
        <v>0</v>
      </c>
      <c r="H205" s="34"/>
      <c r="I205" s="35"/>
      <c r="J205" s="35"/>
      <c r="K205" s="35"/>
      <c r="L205" s="35"/>
      <c r="M205" s="36">
        <f t="shared" si="73"/>
        <v>0</v>
      </c>
      <c r="N205" s="39"/>
      <c r="O205" s="56"/>
      <c r="P205" s="56"/>
      <c r="Q205" s="56"/>
      <c r="R205" s="71">
        <v>1</v>
      </c>
      <c r="S205" s="16">
        <f t="shared" si="74"/>
        <v>1</v>
      </c>
      <c r="T205" s="39"/>
      <c r="U205" s="56"/>
      <c r="V205" s="56"/>
      <c r="W205" s="56"/>
      <c r="X205" s="71"/>
      <c r="Y205" s="16">
        <f t="shared" si="75"/>
        <v>0</v>
      </c>
      <c r="Z205" s="16">
        <f t="shared" si="80"/>
        <v>1</v>
      </c>
      <c r="AA205" s="83">
        <v>43669</v>
      </c>
      <c r="AB205" s="21" t="s">
        <v>143</v>
      </c>
      <c r="AC205" s="34"/>
      <c r="AD205" s="35"/>
      <c r="AE205" s="35"/>
      <c r="AF205" s="35"/>
      <c r="AG205" s="35"/>
      <c r="AH205" s="36">
        <f t="shared" si="76"/>
        <v>0</v>
      </c>
      <c r="AI205" s="34"/>
      <c r="AJ205" s="35"/>
      <c r="AK205" s="35"/>
      <c r="AL205" s="35"/>
      <c r="AM205" s="35"/>
      <c r="AN205" s="36">
        <f t="shared" si="77"/>
        <v>0</v>
      </c>
      <c r="AO205" s="39"/>
      <c r="AP205" s="56"/>
      <c r="AQ205" s="56"/>
      <c r="AR205" s="56"/>
      <c r="AS205" s="71"/>
      <c r="AT205" s="16">
        <f t="shared" si="78"/>
        <v>0</v>
      </c>
      <c r="AU205" s="39"/>
      <c r="AV205" s="56">
        <v>1</v>
      </c>
      <c r="AW205" s="56"/>
      <c r="AX205" s="56"/>
      <c r="AY205" s="71"/>
      <c r="AZ205" s="16">
        <f t="shared" si="79"/>
        <v>1</v>
      </c>
      <c r="BA205" s="16">
        <f t="shared" si="81"/>
        <v>1</v>
      </c>
      <c r="BB205" s="83">
        <v>43669</v>
      </c>
    </row>
    <row r="206" spans="1:55" ht="14.25" x14ac:dyDescent="0.15">
      <c r="A206" s="21" t="s">
        <v>145</v>
      </c>
      <c r="B206" s="41"/>
      <c r="C206" s="42">
        <v>1</v>
      </c>
      <c r="D206" s="42"/>
      <c r="E206" s="42"/>
      <c r="F206" s="42"/>
      <c r="G206" s="43">
        <f t="shared" si="72"/>
        <v>1</v>
      </c>
      <c r="H206" s="41"/>
      <c r="I206" s="42"/>
      <c r="J206" s="42"/>
      <c r="K206" s="42"/>
      <c r="L206" s="42"/>
      <c r="M206" s="43">
        <f t="shared" si="73"/>
        <v>0</v>
      </c>
      <c r="N206" s="42"/>
      <c r="O206" s="53"/>
      <c r="P206" s="53"/>
      <c r="Q206" s="53"/>
      <c r="R206" s="72"/>
      <c r="S206" s="24">
        <f t="shared" si="74"/>
        <v>0</v>
      </c>
      <c r="T206" s="42"/>
      <c r="U206" s="53"/>
      <c r="V206" s="53"/>
      <c r="W206" s="53"/>
      <c r="X206" s="72"/>
      <c r="Y206" s="24">
        <f t="shared" si="75"/>
        <v>0</v>
      </c>
      <c r="Z206" s="24">
        <f t="shared" si="80"/>
        <v>1</v>
      </c>
      <c r="AA206" s="83">
        <v>43670</v>
      </c>
      <c r="AB206" s="21" t="s">
        <v>126</v>
      </c>
      <c r="AC206" s="41"/>
      <c r="AD206" s="42">
        <v>3</v>
      </c>
      <c r="AE206" s="42"/>
      <c r="AF206" s="42"/>
      <c r="AG206" s="42">
        <v>3</v>
      </c>
      <c r="AH206" s="43">
        <v>3</v>
      </c>
      <c r="AI206" s="41"/>
      <c r="AJ206" s="42"/>
      <c r="AK206" s="42"/>
      <c r="AL206" s="42"/>
      <c r="AM206" s="42">
        <v>3</v>
      </c>
      <c r="AN206" s="43">
        <v>3</v>
      </c>
      <c r="AO206" s="42"/>
      <c r="AP206" s="53"/>
      <c r="AQ206" s="53">
        <v>3</v>
      </c>
      <c r="AR206" s="53"/>
      <c r="AS206" s="72">
        <v>3</v>
      </c>
      <c r="AT206" s="24">
        <v>6</v>
      </c>
      <c r="AU206" s="42"/>
      <c r="AV206" s="53">
        <v>3</v>
      </c>
      <c r="AW206" s="53"/>
      <c r="AX206" s="53"/>
      <c r="AY206" s="72"/>
      <c r="AZ206" s="24">
        <v>3</v>
      </c>
      <c r="BA206" s="24">
        <v>15</v>
      </c>
      <c r="BB206" s="83">
        <v>43669</v>
      </c>
    </row>
    <row r="207" spans="1:55" ht="14.25" x14ac:dyDescent="0.15">
      <c r="A207" s="46" t="s">
        <v>148</v>
      </c>
      <c r="B207" s="41">
        <v>1</v>
      </c>
      <c r="C207" s="42"/>
      <c r="D207" s="42"/>
      <c r="E207" s="42"/>
      <c r="F207" s="42"/>
      <c r="G207" s="43">
        <f t="shared" si="72"/>
        <v>1</v>
      </c>
      <c r="H207" s="41"/>
      <c r="I207" s="42"/>
      <c r="J207" s="42">
        <v>1</v>
      </c>
      <c r="K207" s="42"/>
      <c r="L207" s="42"/>
      <c r="M207" s="43">
        <f t="shared" si="73"/>
        <v>1</v>
      </c>
      <c r="N207" s="42"/>
      <c r="O207" s="53">
        <v>1</v>
      </c>
      <c r="P207" s="53"/>
      <c r="Q207" s="53"/>
      <c r="R207" s="72"/>
      <c r="S207" s="24">
        <f t="shared" si="74"/>
        <v>1</v>
      </c>
      <c r="T207" s="42"/>
      <c r="U207" s="53"/>
      <c r="V207" s="53"/>
      <c r="W207" s="53">
        <v>1</v>
      </c>
      <c r="X207" s="72"/>
      <c r="Y207" s="24">
        <f t="shared" si="75"/>
        <v>1</v>
      </c>
      <c r="Z207" s="24">
        <f t="shared" si="80"/>
        <v>4</v>
      </c>
      <c r="AA207" s="93">
        <v>43670</v>
      </c>
      <c r="AB207" s="21" t="s">
        <v>146</v>
      </c>
      <c r="AC207" s="41"/>
      <c r="AD207" s="42"/>
      <c r="AE207" s="42"/>
      <c r="AF207" s="42">
        <v>1</v>
      </c>
      <c r="AG207" s="42"/>
      <c r="AH207" s="43">
        <f t="shared" si="76"/>
        <v>1</v>
      </c>
      <c r="AI207" s="41"/>
      <c r="AJ207" s="42"/>
      <c r="AK207" s="42">
        <v>1</v>
      </c>
      <c r="AL207" s="42">
        <v>1</v>
      </c>
      <c r="AM207" s="42"/>
      <c r="AN207" s="43">
        <f t="shared" si="77"/>
        <v>2</v>
      </c>
      <c r="AO207" s="42">
        <v>1</v>
      </c>
      <c r="AP207" s="53"/>
      <c r="AQ207" s="53"/>
      <c r="AR207" s="53"/>
      <c r="AS207" s="72"/>
      <c r="AT207" s="24">
        <f t="shared" si="78"/>
        <v>1</v>
      </c>
      <c r="AU207" s="42"/>
      <c r="AV207" s="53">
        <v>1</v>
      </c>
      <c r="AW207" s="53"/>
      <c r="AX207" s="53"/>
      <c r="AY207" s="72"/>
      <c r="AZ207" s="24">
        <f t="shared" si="79"/>
        <v>1</v>
      </c>
      <c r="BA207" s="24">
        <f t="shared" si="81"/>
        <v>5</v>
      </c>
      <c r="BB207" s="83">
        <v>43670</v>
      </c>
    </row>
    <row r="208" spans="1:55" ht="14.25" x14ac:dyDescent="0.15">
      <c r="A208" s="40" t="s">
        <v>48</v>
      </c>
      <c r="B208" s="41"/>
      <c r="C208" s="42"/>
      <c r="D208" s="42"/>
      <c r="E208" s="42"/>
      <c r="F208" s="42">
        <v>1</v>
      </c>
      <c r="G208" s="43">
        <f t="shared" si="72"/>
        <v>1</v>
      </c>
      <c r="H208" s="41"/>
      <c r="I208" s="42"/>
      <c r="J208" s="42"/>
      <c r="K208" s="42"/>
      <c r="L208" s="42"/>
      <c r="M208" s="43">
        <f t="shared" si="73"/>
        <v>0</v>
      </c>
      <c r="N208" s="42"/>
      <c r="O208" s="53"/>
      <c r="P208" s="53"/>
      <c r="Q208" s="53"/>
      <c r="R208" s="72"/>
      <c r="S208" s="43">
        <f t="shared" si="74"/>
        <v>0</v>
      </c>
      <c r="T208" s="42"/>
      <c r="U208" s="53"/>
      <c r="V208" s="53"/>
      <c r="W208" s="53"/>
      <c r="X208" s="72"/>
      <c r="Y208" s="43">
        <f t="shared" si="75"/>
        <v>0</v>
      </c>
      <c r="Z208" s="43">
        <f t="shared" si="80"/>
        <v>1</v>
      </c>
      <c r="AA208" s="93">
        <v>43670</v>
      </c>
      <c r="AB208" s="21" t="s">
        <v>29</v>
      </c>
      <c r="AC208" s="41">
        <v>5</v>
      </c>
      <c r="AD208" s="42"/>
      <c r="AE208" s="42"/>
      <c r="AF208" s="42"/>
      <c r="AG208" s="42">
        <v>5</v>
      </c>
      <c r="AH208" s="43">
        <f t="shared" si="76"/>
        <v>10</v>
      </c>
      <c r="AI208" s="41"/>
      <c r="AJ208" s="42"/>
      <c r="AK208" s="42"/>
      <c r="AL208" s="42">
        <v>5</v>
      </c>
      <c r="AM208" s="42">
        <v>5</v>
      </c>
      <c r="AN208" s="43">
        <f t="shared" si="77"/>
        <v>10</v>
      </c>
      <c r="AO208" s="42"/>
      <c r="AP208" s="53"/>
      <c r="AQ208" s="53"/>
      <c r="AR208" s="53"/>
      <c r="AS208" s="72"/>
      <c r="AT208" s="43">
        <f t="shared" si="78"/>
        <v>0</v>
      </c>
      <c r="AU208" s="42"/>
      <c r="AV208" s="53"/>
      <c r="AW208" s="53"/>
      <c r="AX208" s="53"/>
      <c r="AY208" s="72"/>
      <c r="AZ208" s="43">
        <f t="shared" si="79"/>
        <v>0</v>
      </c>
      <c r="BA208" s="43">
        <f t="shared" si="81"/>
        <v>20</v>
      </c>
      <c r="BB208" s="83">
        <v>43675</v>
      </c>
    </row>
    <row r="209" spans="1:54" ht="14.25" x14ac:dyDescent="0.15">
      <c r="A209" s="40" t="s">
        <v>48</v>
      </c>
      <c r="B209" s="41"/>
      <c r="C209" s="42"/>
      <c r="D209" s="42"/>
      <c r="E209" s="42"/>
      <c r="F209" s="42"/>
      <c r="G209" s="43">
        <f t="shared" si="72"/>
        <v>0</v>
      </c>
      <c r="H209" s="41"/>
      <c r="I209" s="42"/>
      <c r="J209" s="42"/>
      <c r="K209" s="42">
        <v>1</v>
      </c>
      <c r="L209" s="42"/>
      <c r="M209" s="43">
        <f t="shared" si="73"/>
        <v>1</v>
      </c>
      <c r="N209" s="42"/>
      <c r="O209" s="53"/>
      <c r="P209" s="53"/>
      <c r="Q209" s="53"/>
      <c r="R209" s="72"/>
      <c r="S209" s="24">
        <f t="shared" si="74"/>
        <v>0</v>
      </c>
      <c r="T209" s="42"/>
      <c r="U209" s="53"/>
      <c r="V209" s="53"/>
      <c r="W209" s="53"/>
      <c r="X209" s="72"/>
      <c r="Y209" s="24">
        <f t="shared" si="75"/>
        <v>0</v>
      </c>
      <c r="Z209" s="24">
        <f t="shared" si="80"/>
        <v>1</v>
      </c>
      <c r="AA209" s="93">
        <v>43671</v>
      </c>
      <c r="AB209" s="21" t="s">
        <v>149</v>
      </c>
      <c r="AC209" s="41"/>
      <c r="AD209" s="42"/>
      <c r="AE209" s="42">
        <v>1</v>
      </c>
      <c r="AF209" s="42"/>
      <c r="AG209" s="42">
        <v>1</v>
      </c>
      <c r="AH209" s="43">
        <f t="shared" si="76"/>
        <v>2</v>
      </c>
      <c r="AI209" s="41"/>
      <c r="AJ209" s="42"/>
      <c r="AK209" s="42"/>
      <c r="AL209" s="42"/>
      <c r="AM209" s="42"/>
      <c r="AN209" s="43">
        <f t="shared" si="77"/>
        <v>0</v>
      </c>
      <c r="AO209" s="42"/>
      <c r="AP209" s="53"/>
      <c r="AQ209" s="53"/>
      <c r="AR209" s="53"/>
      <c r="AS209" s="72"/>
      <c r="AT209" s="24">
        <f t="shared" si="78"/>
        <v>0</v>
      </c>
      <c r="AU209" s="42"/>
      <c r="AV209" s="53"/>
      <c r="AW209" s="53"/>
      <c r="AX209" s="53"/>
      <c r="AY209" s="72">
        <v>1</v>
      </c>
      <c r="AZ209" s="24">
        <f t="shared" si="79"/>
        <v>1</v>
      </c>
      <c r="BA209" s="24">
        <f t="shared" si="81"/>
        <v>3</v>
      </c>
      <c r="BB209" s="83">
        <v>43671</v>
      </c>
    </row>
    <row r="210" spans="1:54" ht="14.25" x14ac:dyDescent="0.15">
      <c r="A210" s="21" t="s">
        <v>152</v>
      </c>
      <c r="B210" s="41"/>
      <c r="C210" s="42"/>
      <c r="D210" s="42"/>
      <c r="E210" s="42"/>
      <c r="F210" s="42">
        <v>1</v>
      </c>
      <c r="G210" s="43">
        <f t="shared" si="72"/>
        <v>1</v>
      </c>
      <c r="H210" s="41"/>
      <c r="I210" s="42"/>
      <c r="J210" s="42"/>
      <c r="K210" s="42"/>
      <c r="L210" s="42"/>
      <c r="M210" s="43">
        <f t="shared" si="73"/>
        <v>0</v>
      </c>
      <c r="N210" s="42"/>
      <c r="O210" s="53"/>
      <c r="P210" s="53"/>
      <c r="Q210" s="53"/>
      <c r="R210" s="72">
        <v>1</v>
      </c>
      <c r="S210" s="24">
        <f t="shared" si="74"/>
        <v>1</v>
      </c>
      <c r="T210" s="42"/>
      <c r="U210" s="53"/>
      <c r="V210" s="53"/>
      <c r="W210" s="53"/>
      <c r="X210" s="72"/>
      <c r="Y210" s="24">
        <f t="shared" si="75"/>
        <v>0</v>
      </c>
      <c r="Z210" s="24">
        <f t="shared" si="80"/>
        <v>2</v>
      </c>
      <c r="AA210" s="83">
        <v>43676</v>
      </c>
      <c r="AB210" s="21" t="s">
        <v>126</v>
      </c>
      <c r="AC210" s="41"/>
      <c r="AD210" s="42"/>
      <c r="AE210" s="42"/>
      <c r="AF210" s="42"/>
      <c r="AG210" s="42"/>
      <c r="AH210" s="43">
        <f t="shared" si="76"/>
        <v>0</v>
      </c>
      <c r="AI210" s="41"/>
      <c r="AJ210" s="42"/>
      <c r="AK210" s="42">
        <v>3</v>
      </c>
      <c r="AL210" s="42"/>
      <c r="AM210" s="42"/>
      <c r="AN210" s="43">
        <f t="shared" si="77"/>
        <v>3</v>
      </c>
      <c r="AO210" s="42"/>
      <c r="AP210" s="53"/>
      <c r="AQ210" s="53"/>
      <c r="AR210" s="53"/>
      <c r="AS210" s="72"/>
      <c r="AT210" s="24">
        <f t="shared" si="78"/>
        <v>0</v>
      </c>
      <c r="AU210" s="42"/>
      <c r="AV210" s="53"/>
      <c r="AW210" s="53"/>
      <c r="AX210" s="53"/>
      <c r="AY210" s="72"/>
      <c r="AZ210" s="24">
        <f t="shared" si="79"/>
        <v>0</v>
      </c>
      <c r="BA210" s="24">
        <f t="shared" si="81"/>
        <v>3</v>
      </c>
      <c r="BB210" s="83">
        <v>43675</v>
      </c>
    </row>
    <row r="211" spans="1:54" ht="14.25" x14ac:dyDescent="0.15">
      <c r="A211" s="21" t="s">
        <v>51</v>
      </c>
      <c r="B211" s="41"/>
      <c r="C211" s="42"/>
      <c r="D211" s="42">
        <v>-1</v>
      </c>
      <c r="E211" s="42">
        <v>-2</v>
      </c>
      <c r="F211" s="42">
        <v>-1</v>
      </c>
      <c r="G211" s="43">
        <f t="shared" si="72"/>
        <v>-4</v>
      </c>
      <c r="H211" s="41"/>
      <c r="I211" s="42"/>
      <c r="J211" s="42"/>
      <c r="K211" s="42">
        <v>-2</v>
      </c>
      <c r="L211" s="42">
        <v>-2</v>
      </c>
      <c r="M211" s="43">
        <f t="shared" si="73"/>
        <v>-4</v>
      </c>
      <c r="N211" s="42"/>
      <c r="O211" s="53"/>
      <c r="P211" s="53"/>
      <c r="Q211" s="53"/>
      <c r="R211" s="72"/>
      <c r="S211" s="24">
        <f t="shared" si="74"/>
        <v>0</v>
      </c>
      <c r="T211" s="42"/>
      <c r="U211" s="53"/>
      <c r="V211" s="53"/>
      <c r="W211" s="53"/>
      <c r="X211" s="72"/>
      <c r="Y211" s="24">
        <f t="shared" si="75"/>
        <v>0</v>
      </c>
      <c r="Z211" s="24">
        <f t="shared" si="80"/>
        <v>-8</v>
      </c>
      <c r="AA211" s="93">
        <v>43672</v>
      </c>
      <c r="AB211" s="21" t="s">
        <v>150</v>
      </c>
      <c r="AC211" s="41"/>
      <c r="AD211" s="42"/>
      <c r="AE211" s="42"/>
      <c r="AF211" s="42"/>
      <c r="AG211" s="42"/>
      <c r="AH211" s="43">
        <f t="shared" si="76"/>
        <v>0</v>
      </c>
      <c r="AI211" s="41"/>
      <c r="AJ211" s="42"/>
      <c r="AK211" s="42"/>
      <c r="AL211" s="42"/>
      <c r="AM211" s="42"/>
      <c r="AN211" s="43">
        <f t="shared" si="77"/>
        <v>0</v>
      </c>
      <c r="AO211" s="42"/>
      <c r="AP211" s="53"/>
      <c r="AQ211" s="53"/>
      <c r="AR211" s="53"/>
      <c r="AS211" s="72"/>
      <c r="AT211" s="24">
        <f t="shared" si="78"/>
        <v>0</v>
      </c>
      <c r="AU211" s="42"/>
      <c r="AV211" s="53">
        <v>1</v>
      </c>
      <c r="AW211" s="53"/>
      <c r="AX211" s="53"/>
      <c r="AY211" s="72"/>
      <c r="AZ211" s="24">
        <f t="shared" si="79"/>
        <v>1</v>
      </c>
      <c r="BA211" s="24">
        <f t="shared" si="81"/>
        <v>1</v>
      </c>
      <c r="BB211" s="83">
        <v>43672</v>
      </c>
    </row>
    <row r="212" spans="1:54" ht="14.25" x14ac:dyDescent="0.15">
      <c r="A212" s="40" t="s">
        <v>48</v>
      </c>
      <c r="B212" s="41"/>
      <c r="C212" s="42"/>
      <c r="D212" s="42"/>
      <c r="E212" s="42"/>
      <c r="F212" s="42"/>
      <c r="G212" s="43">
        <f t="shared" si="72"/>
        <v>0</v>
      </c>
      <c r="H212" s="41"/>
      <c r="I212" s="42"/>
      <c r="J212" s="42">
        <v>1</v>
      </c>
      <c r="K212" s="42"/>
      <c r="L212" s="42"/>
      <c r="M212" s="43">
        <f t="shared" si="73"/>
        <v>1</v>
      </c>
      <c r="N212" s="42"/>
      <c r="O212" s="53"/>
      <c r="P212" s="53"/>
      <c r="Q212" s="53"/>
      <c r="R212" s="72"/>
      <c r="S212" s="24">
        <f t="shared" si="74"/>
        <v>0</v>
      </c>
      <c r="T212" s="42"/>
      <c r="U212" s="53"/>
      <c r="V212" s="53"/>
      <c r="W212" s="53"/>
      <c r="X212" s="72"/>
      <c r="Y212" s="24">
        <f t="shared" si="75"/>
        <v>0</v>
      </c>
      <c r="Z212" s="24">
        <f t="shared" si="80"/>
        <v>1</v>
      </c>
      <c r="AA212" s="93">
        <v>43676</v>
      </c>
      <c r="AB212" s="21" t="s">
        <v>29</v>
      </c>
      <c r="AC212" s="41"/>
      <c r="AD212" s="42"/>
      <c r="AE212" s="42">
        <v>5</v>
      </c>
      <c r="AF212" s="42"/>
      <c r="AG212" s="42"/>
      <c r="AH212" s="43">
        <f t="shared" si="76"/>
        <v>5</v>
      </c>
      <c r="AI212" s="41"/>
      <c r="AJ212" s="42"/>
      <c r="AK212" s="42"/>
      <c r="AL212" s="42"/>
      <c r="AM212" s="42"/>
      <c r="AN212" s="43">
        <f t="shared" si="77"/>
        <v>0</v>
      </c>
      <c r="AO212" s="42"/>
      <c r="AP212" s="53"/>
      <c r="AQ212" s="53"/>
      <c r="AR212" s="53">
        <v>5</v>
      </c>
      <c r="AS212" s="72">
        <v>5</v>
      </c>
      <c r="AT212" s="24">
        <f t="shared" si="78"/>
        <v>10</v>
      </c>
      <c r="AU212" s="42"/>
      <c r="AV212" s="53"/>
      <c r="AW212" s="53"/>
      <c r="AX212" s="53"/>
      <c r="AY212" s="72"/>
      <c r="AZ212" s="24">
        <f t="shared" si="79"/>
        <v>0</v>
      </c>
      <c r="BA212" s="24">
        <f t="shared" si="81"/>
        <v>15</v>
      </c>
      <c r="BB212" s="83">
        <v>43678</v>
      </c>
    </row>
    <row r="213" spans="1:54" ht="14.25" x14ac:dyDescent="0.15">
      <c r="A213" s="21" t="s">
        <v>156</v>
      </c>
      <c r="B213" s="41"/>
      <c r="C213" s="42">
        <v>-1</v>
      </c>
      <c r="D213" s="42"/>
      <c r="E213" s="42"/>
      <c r="F213" s="42">
        <v>-2</v>
      </c>
      <c r="G213" s="43">
        <f t="shared" si="72"/>
        <v>-3</v>
      </c>
      <c r="H213" s="41">
        <v>-1</v>
      </c>
      <c r="I213" s="42"/>
      <c r="J213" s="42"/>
      <c r="K213" s="42"/>
      <c r="L213" s="42"/>
      <c r="M213" s="43">
        <f t="shared" si="73"/>
        <v>-1</v>
      </c>
      <c r="N213" s="42">
        <v>-1</v>
      </c>
      <c r="O213" s="53"/>
      <c r="P213" s="53"/>
      <c r="Q213" s="53"/>
      <c r="R213" s="72"/>
      <c r="S213" s="24">
        <f t="shared" si="74"/>
        <v>-1</v>
      </c>
      <c r="T213" s="42"/>
      <c r="U213" s="53"/>
      <c r="V213" s="53"/>
      <c r="W213" s="53">
        <v>-1</v>
      </c>
      <c r="X213" s="72"/>
      <c r="Y213" s="24">
        <f t="shared" si="75"/>
        <v>-1</v>
      </c>
      <c r="Z213" s="24">
        <f t="shared" si="80"/>
        <v>-6</v>
      </c>
      <c r="AA213" s="93">
        <v>43677</v>
      </c>
      <c r="AB213" s="21" t="s">
        <v>151</v>
      </c>
      <c r="AC213" s="41"/>
      <c r="AD213" s="42"/>
      <c r="AE213" s="42"/>
      <c r="AF213" s="42"/>
      <c r="AG213" s="42"/>
      <c r="AH213" s="43">
        <f t="shared" si="76"/>
        <v>0</v>
      </c>
      <c r="AI213" s="41"/>
      <c r="AJ213" s="42"/>
      <c r="AK213" s="42"/>
      <c r="AL213" s="42"/>
      <c r="AM213" s="42"/>
      <c r="AN213" s="43">
        <f t="shared" si="77"/>
        <v>0</v>
      </c>
      <c r="AO213" s="42"/>
      <c r="AP213" s="53">
        <v>1</v>
      </c>
      <c r="AQ213" s="53"/>
      <c r="AR213" s="53"/>
      <c r="AS213" s="72"/>
      <c r="AT213" s="24">
        <f t="shared" si="78"/>
        <v>1</v>
      </c>
      <c r="AU213" s="42"/>
      <c r="AV213" s="53"/>
      <c r="AW213" s="53">
        <v>1</v>
      </c>
      <c r="AX213" s="53"/>
      <c r="AY213" s="72"/>
      <c r="AZ213" s="24">
        <f t="shared" si="79"/>
        <v>1</v>
      </c>
      <c r="BA213" s="24">
        <f t="shared" si="81"/>
        <v>2</v>
      </c>
      <c r="BB213" s="83">
        <v>43673</v>
      </c>
    </row>
    <row r="214" spans="1:54" ht="14.25" x14ac:dyDescent="0.15">
      <c r="A214" s="21" t="s">
        <v>159</v>
      </c>
      <c r="B214" s="44"/>
      <c r="C214" s="45"/>
      <c r="D214" s="45"/>
      <c r="E214" s="45"/>
      <c r="F214" s="45"/>
      <c r="G214" s="43">
        <f t="shared" si="72"/>
        <v>0</v>
      </c>
      <c r="H214" s="44"/>
      <c r="I214" s="45">
        <v>1</v>
      </c>
      <c r="J214" s="45"/>
      <c r="K214" s="45"/>
      <c r="L214" s="45"/>
      <c r="M214" s="43">
        <f t="shared" si="73"/>
        <v>1</v>
      </c>
      <c r="N214" s="42"/>
      <c r="O214" s="53"/>
      <c r="P214" s="53"/>
      <c r="Q214" s="53"/>
      <c r="R214" s="72"/>
      <c r="S214" s="24">
        <f t="shared" si="74"/>
        <v>0</v>
      </c>
      <c r="T214" s="42"/>
      <c r="U214" s="53"/>
      <c r="V214" s="53"/>
      <c r="W214" s="53"/>
      <c r="X214" s="72"/>
      <c r="Y214" s="24">
        <f t="shared" si="75"/>
        <v>0</v>
      </c>
      <c r="Z214" s="24">
        <f t="shared" si="80"/>
        <v>1</v>
      </c>
      <c r="AA214" s="83">
        <v>43683</v>
      </c>
      <c r="AB214" s="21" t="s">
        <v>153</v>
      </c>
      <c r="AC214" s="44"/>
      <c r="AD214" s="45"/>
      <c r="AE214" s="45"/>
      <c r="AF214" s="45"/>
      <c r="AG214" s="45">
        <v>2</v>
      </c>
      <c r="AH214" s="43">
        <f t="shared" si="76"/>
        <v>2</v>
      </c>
      <c r="AI214" s="44">
        <v>1</v>
      </c>
      <c r="AJ214" s="45"/>
      <c r="AK214" s="45"/>
      <c r="AL214" s="45"/>
      <c r="AM214" s="45"/>
      <c r="AN214" s="43">
        <f t="shared" si="77"/>
        <v>1</v>
      </c>
      <c r="AO214" s="42"/>
      <c r="AP214" s="53"/>
      <c r="AQ214" s="53"/>
      <c r="AR214" s="53"/>
      <c r="AS214" s="72"/>
      <c r="AT214" s="24">
        <f t="shared" si="78"/>
        <v>0</v>
      </c>
      <c r="AU214" s="42"/>
      <c r="AV214" s="53">
        <v>1</v>
      </c>
      <c r="AW214" s="53">
        <v>1</v>
      </c>
      <c r="AX214" s="53">
        <v>1</v>
      </c>
      <c r="AY214" s="72"/>
      <c r="AZ214" s="24">
        <f t="shared" si="79"/>
        <v>3</v>
      </c>
      <c r="BA214" s="24">
        <f t="shared" si="81"/>
        <v>6</v>
      </c>
      <c r="BB214" s="83">
        <v>43676</v>
      </c>
    </row>
    <row r="215" spans="1:54" ht="14.25" x14ac:dyDescent="0.15">
      <c r="A215" s="21" t="s">
        <v>160</v>
      </c>
      <c r="B215" s="41"/>
      <c r="C215" s="42"/>
      <c r="D215" s="42"/>
      <c r="E215" s="42">
        <v>1</v>
      </c>
      <c r="F215" s="42">
        <v>2</v>
      </c>
      <c r="G215" s="43">
        <f t="shared" si="72"/>
        <v>3</v>
      </c>
      <c r="H215" s="41">
        <v>1</v>
      </c>
      <c r="I215" s="42"/>
      <c r="J215" s="42"/>
      <c r="K215" s="42">
        <v>1</v>
      </c>
      <c r="L215" s="42">
        <v>2</v>
      </c>
      <c r="M215" s="43">
        <f t="shared" si="73"/>
        <v>4</v>
      </c>
      <c r="N215" s="42">
        <v>1</v>
      </c>
      <c r="O215" s="53"/>
      <c r="P215" s="53"/>
      <c r="Q215" s="53"/>
      <c r="R215" s="72"/>
      <c r="S215" s="24">
        <f t="shared" si="74"/>
        <v>1</v>
      </c>
      <c r="T215" s="42"/>
      <c r="U215" s="53"/>
      <c r="V215" s="53"/>
      <c r="W215" s="53">
        <v>1</v>
      </c>
      <c r="X215" s="72"/>
      <c r="Y215" s="24">
        <f t="shared" si="75"/>
        <v>1</v>
      </c>
      <c r="Z215" s="24">
        <f t="shared" si="80"/>
        <v>9</v>
      </c>
      <c r="AA215" s="93">
        <v>43680</v>
      </c>
      <c r="AB215" s="21" t="s">
        <v>29</v>
      </c>
      <c r="AC215" s="41"/>
      <c r="AD215" s="42"/>
      <c r="AE215" s="42"/>
      <c r="AF215" s="42">
        <v>5</v>
      </c>
      <c r="AG215" s="42"/>
      <c r="AH215" s="43">
        <f t="shared" si="76"/>
        <v>5</v>
      </c>
      <c r="AI215" s="41"/>
      <c r="AJ215" s="42"/>
      <c r="AK215" s="42"/>
      <c r="AL215" s="42"/>
      <c r="AM215" s="42"/>
      <c r="AN215" s="43">
        <f t="shared" si="77"/>
        <v>0</v>
      </c>
      <c r="AO215" s="42"/>
      <c r="AP215" s="53"/>
      <c r="AQ215" s="53"/>
      <c r="AR215" s="53"/>
      <c r="AS215" s="72"/>
      <c r="AT215" s="24">
        <f t="shared" si="78"/>
        <v>0</v>
      </c>
      <c r="AU215" s="42"/>
      <c r="AV215" s="53"/>
      <c r="AW215" s="53"/>
      <c r="AX215" s="53"/>
      <c r="AY215" s="72"/>
      <c r="AZ215" s="24">
        <f t="shared" si="79"/>
        <v>0</v>
      </c>
      <c r="BA215" s="24">
        <f t="shared" si="81"/>
        <v>5</v>
      </c>
      <c r="BB215" s="83">
        <v>43682</v>
      </c>
    </row>
    <row r="216" spans="1:54" ht="14.25" x14ac:dyDescent="0.15">
      <c r="A216" s="40" t="s">
        <v>48</v>
      </c>
      <c r="B216" s="41"/>
      <c r="C216" s="42"/>
      <c r="D216" s="42"/>
      <c r="E216" s="42"/>
      <c r="F216" s="42"/>
      <c r="G216" s="43">
        <f t="shared" si="72"/>
        <v>0</v>
      </c>
      <c r="H216" s="41"/>
      <c r="I216" s="42"/>
      <c r="J216" s="42"/>
      <c r="K216" s="42">
        <v>1</v>
      </c>
      <c r="L216" s="42"/>
      <c r="M216" s="43">
        <f t="shared" si="73"/>
        <v>1</v>
      </c>
      <c r="N216" s="42"/>
      <c r="O216" s="53"/>
      <c r="P216" s="53"/>
      <c r="Q216" s="53"/>
      <c r="R216" s="72"/>
      <c r="S216" s="24">
        <f t="shared" si="74"/>
        <v>0</v>
      </c>
      <c r="T216" s="42"/>
      <c r="U216" s="53"/>
      <c r="V216" s="53"/>
      <c r="W216" s="53"/>
      <c r="X216" s="72"/>
      <c r="Y216" s="24">
        <f t="shared" si="75"/>
        <v>0</v>
      </c>
      <c r="Z216" s="24">
        <f t="shared" si="80"/>
        <v>1</v>
      </c>
      <c r="AA216" s="83">
        <v>43679</v>
      </c>
      <c r="AB216" s="21" t="s">
        <v>154</v>
      </c>
      <c r="AC216" s="41"/>
      <c r="AD216" s="42"/>
      <c r="AE216" s="42"/>
      <c r="AF216" s="42">
        <v>1</v>
      </c>
      <c r="AG216" s="42"/>
      <c r="AH216" s="43">
        <f t="shared" si="76"/>
        <v>1</v>
      </c>
      <c r="AI216" s="41"/>
      <c r="AJ216" s="42"/>
      <c r="AK216" s="42"/>
      <c r="AL216" s="42"/>
      <c r="AM216" s="42"/>
      <c r="AN216" s="43">
        <f t="shared" si="77"/>
        <v>0</v>
      </c>
      <c r="AO216" s="42"/>
      <c r="AP216" s="53"/>
      <c r="AQ216" s="53">
        <v>1</v>
      </c>
      <c r="AR216" s="53"/>
      <c r="AS216" s="72"/>
      <c r="AT216" s="24">
        <f t="shared" si="78"/>
        <v>1</v>
      </c>
      <c r="AU216" s="42"/>
      <c r="AV216" s="53"/>
      <c r="AW216" s="53"/>
      <c r="AX216" s="53"/>
      <c r="AY216" s="72">
        <v>1</v>
      </c>
      <c r="AZ216" s="24">
        <f t="shared" si="79"/>
        <v>1</v>
      </c>
      <c r="BA216" s="24">
        <f t="shared" si="81"/>
        <v>3</v>
      </c>
      <c r="BB216" s="83">
        <v>43677</v>
      </c>
    </row>
    <row r="217" spans="1:54" ht="14.25" x14ac:dyDescent="0.15">
      <c r="A217" s="21" t="s">
        <v>161</v>
      </c>
      <c r="B217" s="41"/>
      <c r="C217" s="42"/>
      <c r="D217" s="42">
        <v>1</v>
      </c>
      <c r="E217" s="42"/>
      <c r="F217" s="42">
        <v>2</v>
      </c>
      <c r="G217" s="43">
        <f t="shared" si="72"/>
        <v>3</v>
      </c>
      <c r="H217" s="41"/>
      <c r="I217" s="42"/>
      <c r="J217" s="42"/>
      <c r="K217" s="42"/>
      <c r="L217" s="42"/>
      <c r="M217" s="43">
        <f t="shared" si="73"/>
        <v>0</v>
      </c>
      <c r="N217" s="42"/>
      <c r="O217" s="53"/>
      <c r="P217" s="53"/>
      <c r="Q217" s="53"/>
      <c r="R217" s="72"/>
      <c r="S217" s="24">
        <f t="shared" si="74"/>
        <v>0</v>
      </c>
      <c r="T217" s="42">
        <v>1</v>
      </c>
      <c r="U217" s="53"/>
      <c r="V217" s="53"/>
      <c r="W217" s="53"/>
      <c r="X217" s="72"/>
      <c r="Y217" s="24">
        <f t="shared" si="75"/>
        <v>1</v>
      </c>
      <c r="Z217" s="24">
        <f t="shared" si="80"/>
        <v>4</v>
      </c>
      <c r="AA217" s="83">
        <v>43682</v>
      </c>
      <c r="AB217" s="23" t="s">
        <v>41</v>
      </c>
      <c r="AC217" s="41"/>
      <c r="AD217" s="42"/>
      <c r="AE217" s="42"/>
      <c r="AF217" s="42"/>
      <c r="AG217" s="42"/>
      <c r="AH217" s="43">
        <f t="shared" si="76"/>
        <v>0</v>
      </c>
      <c r="AI217" s="41"/>
      <c r="AJ217" s="42"/>
      <c r="AK217" s="42"/>
      <c r="AL217" s="42"/>
      <c r="AM217" s="42"/>
      <c r="AN217" s="43">
        <f t="shared" si="77"/>
        <v>0</v>
      </c>
      <c r="AO217" s="42"/>
      <c r="AP217" s="53"/>
      <c r="AQ217" s="53"/>
      <c r="AR217" s="53"/>
      <c r="AS217" s="72"/>
      <c r="AT217" s="24">
        <f t="shared" si="78"/>
        <v>0</v>
      </c>
      <c r="AU217" s="42"/>
      <c r="AV217" s="53"/>
      <c r="AW217" s="53">
        <v>10</v>
      </c>
      <c r="AX217" s="53"/>
      <c r="AY217" s="72"/>
      <c r="AZ217" s="24">
        <f t="shared" si="79"/>
        <v>10</v>
      </c>
      <c r="BA217" s="24">
        <f t="shared" si="81"/>
        <v>10</v>
      </c>
      <c r="BB217" s="83">
        <v>43683</v>
      </c>
    </row>
    <row r="218" spans="1:54" ht="14.25" x14ac:dyDescent="0.15">
      <c r="A218" s="21" t="s">
        <v>164</v>
      </c>
      <c r="B218" s="38"/>
      <c r="C218" s="39"/>
      <c r="D218" s="39"/>
      <c r="E218" s="39"/>
      <c r="F218" s="39"/>
      <c r="G218" s="37">
        <f t="shared" si="72"/>
        <v>0</v>
      </c>
      <c r="H218" s="38"/>
      <c r="I218" s="39"/>
      <c r="J218" s="39"/>
      <c r="K218" s="39"/>
      <c r="L218" s="39"/>
      <c r="M218" s="37">
        <f t="shared" si="73"/>
        <v>0</v>
      </c>
      <c r="N218" s="42"/>
      <c r="O218" s="53">
        <v>1</v>
      </c>
      <c r="P218" s="53"/>
      <c r="Q218" s="53"/>
      <c r="R218" s="72"/>
      <c r="S218" s="24">
        <f t="shared" si="74"/>
        <v>1</v>
      </c>
      <c r="T218" s="42"/>
      <c r="U218" s="53"/>
      <c r="V218" s="53"/>
      <c r="W218" s="53"/>
      <c r="X218" s="72"/>
      <c r="Y218" s="24">
        <f t="shared" si="75"/>
        <v>0</v>
      </c>
      <c r="Z218" s="24">
        <f t="shared" si="80"/>
        <v>1</v>
      </c>
      <c r="AA218" s="83">
        <v>43684</v>
      </c>
      <c r="AB218" s="21" t="s">
        <v>155</v>
      </c>
      <c r="AC218" s="38"/>
      <c r="AD218" s="39"/>
      <c r="AE218" s="39"/>
      <c r="AF218" s="39"/>
      <c r="AG218" s="39"/>
      <c r="AH218" s="37">
        <f t="shared" si="76"/>
        <v>0</v>
      </c>
      <c r="AI218" s="38"/>
      <c r="AJ218" s="39"/>
      <c r="AK218" s="39"/>
      <c r="AL218" s="39"/>
      <c r="AM218" s="39"/>
      <c r="AN218" s="37">
        <f t="shared" si="77"/>
        <v>0</v>
      </c>
      <c r="AO218" s="42"/>
      <c r="AP218" s="53"/>
      <c r="AQ218" s="53"/>
      <c r="AR218" s="53">
        <v>1</v>
      </c>
      <c r="AS218" s="72"/>
      <c r="AT218" s="24">
        <f t="shared" si="78"/>
        <v>1</v>
      </c>
      <c r="AU218" s="42"/>
      <c r="AV218" s="53"/>
      <c r="AW218" s="53">
        <v>1</v>
      </c>
      <c r="AX218" s="53"/>
      <c r="AY218" s="72"/>
      <c r="AZ218" s="24">
        <f t="shared" si="79"/>
        <v>1</v>
      </c>
      <c r="BA218" s="24">
        <f t="shared" si="81"/>
        <v>2</v>
      </c>
      <c r="BB218" s="83">
        <v>43678</v>
      </c>
    </row>
    <row r="219" spans="1:54" ht="14.25" x14ac:dyDescent="0.15">
      <c r="A219" s="21" t="s">
        <v>167</v>
      </c>
      <c r="B219" s="41"/>
      <c r="C219" s="42">
        <v>1</v>
      </c>
      <c r="D219" s="42"/>
      <c r="E219" s="42"/>
      <c r="F219" s="42"/>
      <c r="G219" s="43">
        <f t="shared" si="72"/>
        <v>1</v>
      </c>
      <c r="H219" s="41"/>
      <c r="I219" s="42"/>
      <c r="J219" s="42"/>
      <c r="K219" s="42"/>
      <c r="L219" s="42"/>
      <c r="M219" s="43">
        <f t="shared" si="73"/>
        <v>0</v>
      </c>
      <c r="N219" s="42"/>
      <c r="O219" s="53"/>
      <c r="P219" s="53"/>
      <c r="Q219" s="53"/>
      <c r="R219" s="72">
        <v>2</v>
      </c>
      <c r="S219" s="24">
        <f t="shared" si="74"/>
        <v>2</v>
      </c>
      <c r="T219" s="42"/>
      <c r="U219" s="53"/>
      <c r="V219" s="53">
        <v>1</v>
      </c>
      <c r="W219" s="53">
        <v>1</v>
      </c>
      <c r="X219" s="72"/>
      <c r="Y219" s="24">
        <f t="shared" si="75"/>
        <v>2</v>
      </c>
      <c r="Z219" s="24">
        <f t="shared" si="80"/>
        <v>5</v>
      </c>
      <c r="AA219" s="83">
        <v>43686</v>
      </c>
      <c r="AB219" s="21" t="s">
        <v>157</v>
      </c>
      <c r="AC219" s="41"/>
      <c r="AD219" s="42"/>
      <c r="AE219" s="42">
        <v>1</v>
      </c>
      <c r="AF219" s="42"/>
      <c r="AG219" s="42"/>
      <c r="AH219" s="43">
        <f t="shared" si="76"/>
        <v>1</v>
      </c>
      <c r="AI219" s="41"/>
      <c r="AJ219" s="42"/>
      <c r="AK219" s="42"/>
      <c r="AL219" s="42"/>
      <c r="AM219" s="42"/>
      <c r="AN219" s="43">
        <f t="shared" si="77"/>
        <v>0</v>
      </c>
      <c r="AO219" s="42"/>
      <c r="AP219" s="53"/>
      <c r="AQ219" s="53"/>
      <c r="AR219" s="53"/>
      <c r="AS219" s="72"/>
      <c r="AT219" s="24">
        <f t="shared" si="78"/>
        <v>0</v>
      </c>
      <c r="AU219" s="42"/>
      <c r="AV219" s="53"/>
      <c r="AW219" s="53"/>
      <c r="AX219" s="53"/>
      <c r="AY219" s="72"/>
      <c r="AZ219" s="24">
        <f t="shared" si="79"/>
        <v>0</v>
      </c>
      <c r="BA219" s="24">
        <f t="shared" si="81"/>
        <v>1</v>
      </c>
      <c r="BB219" s="83">
        <v>43679</v>
      </c>
    </row>
    <row r="220" spans="1:54" ht="14.25" x14ac:dyDescent="0.15">
      <c r="A220" s="21" t="s">
        <v>42</v>
      </c>
      <c r="B220" s="14"/>
      <c r="C220" s="15"/>
      <c r="D220" s="15"/>
      <c r="E220" s="15"/>
      <c r="F220" s="15">
        <v>-2</v>
      </c>
      <c r="G220" s="24">
        <f t="shared" si="72"/>
        <v>-2</v>
      </c>
      <c r="H220" s="14"/>
      <c r="I220" s="15">
        <v>-2</v>
      </c>
      <c r="J220" s="15"/>
      <c r="K220" s="15"/>
      <c r="L220" s="15"/>
      <c r="M220" s="24">
        <f t="shared" si="73"/>
        <v>-2</v>
      </c>
      <c r="N220" s="15"/>
      <c r="O220" s="55">
        <v>-2</v>
      </c>
      <c r="P220" s="55"/>
      <c r="Q220" s="55"/>
      <c r="R220" s="67">
        <v>-2</v>
      </c>
      <c r="S220" s="24">
        <f t="shared" si="74"/>
        <v>-4</v>
      </c>
      <c r="T220" s="15"/>
      <c r="U220" s="55"/>
      <c r="V220" s="55"/>
      <c r="W220" s="55"/>
      <c r="X220" s="67"/>
      <c r="Y220" s="24">
        <f t="shared" si="75"/>
        <v>0</v>
      </c>
      <c r="Z220" s="24">
        <f t="shared" si="80"/>
        <v>-8</v>
      </c>
      <c r="AA220" s="83">
        <v>43684</v>
      </c>
      <c r="AB220" s="21" t="s">
        <v>29</v>
      </c>
      <c r="AC220" s="14"/>
      <c r="AD220" s="15"/>
      <c r="AE220" s="15"/>
      <c r="AF220" s="15"/>
      <c r="AG220" s="15"/>
      <c r="AH220" s="24">
        <f t="shared" si="76"/>
        <v>0</v>
      </c>
      <c r="AI220" s="14"/>
      <c r="AJ220" s="15"/>
      <c r="AK220" s="15">
        <v>5</v>
      </c>
      <c r="AL220" s="15"/>
      <c r="AM220" s="15">
        <v>5</v>
      </c>
      <c r="AN220" s="24">
        <f t="shared" si="77"/>
        <v>10</v>
      </c>
      <c r="AO220" s="15"/>
      <c r="AP220" s="55"/>
      <c r="AQ220" s="55"/>
      <c r="AR220" s="55"/>
      <c r="AS220" s="67"/>
      <c r="AT220" s="24">
        <f t="shared" si="78"/>
        <v>0</v>
      </c>
      <c r="AU220" s="15"/>
      <c r="AV220" s="55"/>
      <c r="AW220" s="55"/>
      <c r="AX220" s="55"/>
      <c r="AY220" s="67"/>
      <c r="AZ220" s="24">
        <f t="shared" si="79"/>
        <v>0</v>
      </c>
      <c r="BA220" s="24">
        <f t="shared" si="81"/>
        <v>10</v>
      </c>
      <c r="BB220" s="83">
        <v>43685</v>
      </c>
    </row>
    <row r="221" spans="1:54" ht="14.25" x14ac:dyDescent="0.15">
      <c r="A221" s="40" t="s">
        <v>48</v>
      </c>
      <c r="B221" s="14"/>
      <c r="C221" s="15"/>
      <c r="D221" s="15"/>
      <c r="E221" s="15"/>
      <c r="F221" s="15"/>
      <c r="G221" s="24">
        <f t="shared" si="72"/>
        <v>0</v>
      </c>
      <c r="H221" s="14"/>
      <c r="I221" s="15"/>
      <c r="J221" s="15"/>
      <c r="K221" s="15"/>
      <c r="L221" s="15"/>
      <c r="M221" s="24">
        <f t="shared" si="73"/>
        <v>0</v>
      </c>
      <c r="N221" s="15"/>
      <c r="O221" s="55"/>
      <c r="P221" s="55"/>
      <c r="Q221" s="55"/>
      <c r="R221" s="67"/>
      <c r="S221" s="24">
        <f t="shared" si="74"/>
        <v>0</v>
      </c>
      <c r="T221" s="15"/>
      <c r="U221" s="55">
        <v>1</v>
      </c>
      <c r="V221" s="55"/>
      <c r="W221" s="55"/>
      <c r="X221" s="67"/>
      <c r="Y221" s="24">
        <f t="shared" si="75"/>
        <v>1</v>
      </c>
      <c r="Z221" s="24">
        <f t="shared" si="80"/>
        <v>1</v>
      </c>
      <c r="AA221" s="93">
        <v>43685</v>
      </c>
      <c r="AB221" s="21" t="s">
        <v>158</v>
      </c>
      <c r="AC221" s="14"/>
      <c r="AD221" s="15"/>
      <c r="AE221" s="15"/>
      <c r="AF221" s="15">
        <v>1</v>
      </c>
      <c r="AG221" s="15"/>
      <c r="AH221" s="24">
        <f t="shared" si="76"/>
        <v>1</v>
      </c>
      <c r="AI221" s="14"/>
      <c r="AJ221" s="15"/>
      <c r="AK221" s="15"/>
      <c r="AL221" s="15"/>
      <c r="AM221" s="15"/>
      <c r="AN221" s="24">
        <f t="shared" si="77"/>
        <v>0</v>
      </c>
      <c r="AO221" s="15"/>
      <c r="AP221" s="55"/>
      <c r="AQ221" s="55"/>
      <c r="AR221" s="55"/>
      <c r="AS221" s="67">
        <v>1</v>
      </c>
      <c r="AT221" s="24">
        <f t="shared" si="78"/>
        <v>1</v>
      </c>
      <c r="AU221" s="15">
        <v>1</v>
      </c>
      <c r="AV221" s="55"/>
      <c r="AW221" s="55"/>
      <c r="AX221" s="55"/>
      <c r="AY221" s="67"/>
      <c r="AZ221" s="24">
        <f t="shared" si="79"/>
        <v>1</v>
      </c>
      <c r="BA221" s="24">
        <f t="shared" si="81"/>
        <v>3</v>
      </c>
      <c r="BB221" s="83">
        <v>43680</v>
      </c>
    </row>
    <row r="222" spans="1:54" ht="14.25" x14ac:dyDescent="0.15">
      <c r="A222" s="23" t="s">
        <v>156</v>
      </c>
      <c r="B222" s="14">
        <v>-1</v>
      </c>
      <c r="C222" s="15"/>
      <c r="D222" s="15">
        <v>-1</v>
      </c>
      <c r="E222" s="15"/>
      <c r="F222" s="15"/>
      <c r="G222" s="24">
        <f t="shared" si="72"/>
        <v>-2</v>
      </c>
      <c r="H222" s="14"/>
      <c r="I222" s="15"/>
      <c r="J222" s="15">
        <v>-1</v>
      </c>
      <c r="K222" s="15"/>
      <c r="L222" s="15"/>
      <c r="M222" s="24">
        <f t="shared" si="73"/>
        <v>-1</v>
      </c>
      <c r="N222" s="15"/>
      <c r="O222" s="55"/>
      <c r="P222" s="55"/>
      <c r="Q222" s="55"/>
      <c r="R222" s="67"/>
      <c r="S222" s="24">
        <f t="shared" si="74"/>
        <v>0</v>
      </c>
      <c r="T222" s="15"/>
      <c r="U222" s="55">
        <v>-1</v>
      </c>
      <c r="V222" s="55"/>
      <c r="W222" s="55">
        <v>-1</v>
      </c>
      <c r="X222" s="67"/>
      <c r="Y222" s="24">
        <f t="shared" si="75"/>
        <v>-2</v>
      </c>
      <c r="Z222" s="24">
        <f t="shared" si="80"/>
        <v>-5</v>
      </c>
      <c r="AA222" s="93">
        <v>43685</v>
      </c>
      <c r="AB222" s="21" t="s">
        <v>163</v>
      </c>
      <c r="AC222" s="14"/>
      <c r="AD222" s="15">
        <v>2</v>
      </c>
      <c r="AE222" s="15"/>
      <c r="AF222" s="15"/>
      <c r="AG222" s="15"/>
      <c r="AH222" s="24">
        <f t="shared" si="76"/>
        <v>2</v>
      </c>
      <c r="AI222" s="14"/>
      <c r="AJ222" s="15"/>
      <c r="AK222" s="15"/>
      <c r="AL222" s="15"/>
      <c r="AM222" s="15"/>
      <c r="AN222" s="24">
        <f t="shared" si="77"/>
        <v>0</v>
      </c>
      <c r="AO222" s="15"/>
      <c r="AP222" s="55"/>
      <c r="AQ222" s="55"/>
      <c r="AR222" s="55"/>
      <c r="AS222" s="67"/>
      <c r="AT222" s="24">
        <f t="shared" si="78"/>
        <v>0</v>
      </c>
      <c r="AU222" s="15"/>
      <c r="AV222" s="55"/>
      <c r="AW222" s="55"/>
      <c r="AX222" s="55"/>
      <c r="AY222" s="67"/>
      <c r="AZ222" s="24">
        <f t="shared" si="79"/>
        <v>0</v>
      </c>
      <c r="BA222" s="24">
        <f t="shared" si="81"/>
        <v>2</v>
      </c>
      <c r="BB222" s="83">
        <v>43683</v>
      </c>
    </row>
    <row r="223" spans="1:54" ht="14.25" x14ac:dyDescent="0.15">
      <c r="A223" s="40" t="s">
        <v>48</v>
      </c>
      <c r="B223" s="14"/>
      <c r="C223" s="15"/>
      <c r="D223" s="15"/>
      <c r="E223" s="15"/>
      <c r="F223" s="15">
        <v>1</v>
      </c>
      <c r="G223" s="24">
        <f t="shared" si="72"/>
        <v>1</v>
      </c>
      <c r="H223" s="14"/>
      <c r="I223" s="15"/>
      <c r="J223" s="15"/>
      <c r="K223" s="15"/>
      <c r="L223" s="15">
        <v>1</v>
      </c>
      <c r="M223" s="24">
        <f t="shared" si="73"/>
        <v>1</v>
      </c>
      <c r="N223" s="15"/>
      <c r="O223" s="55"/>
      <c r="P223" s="55">
        <v>1</v>
      </c>
      <c r="Q223" s="55"/>
      <c r="R223" s="67"/>
      <c r="S223" s="24">
        <f t="shared" si="74"/>
        <v>1</v>
      </c>
      <c r="T223" s="15"/>
      <c r="U223" s="55"/>
      <c r="V223" s="55"/>
      <c r="W223" s="55"/>
      <c r="X223" s="67"/>
      <c r="Y223" s="24">
        <f t="shared" si="75"/>
        <v>0</v>
      </c>
      <c r="Z223" s="24">
        <f t="shared" si="80"/>
        <v>3</v>
      </c>
      <c r="AA223" s="93">
        <v>43692</v>
      </c>
      <c r="AB223" s="21" t="s">
        <v>165</v>
      </c>
      <c r="AC223" s="14"/>
      <c r="AD223" s="15">
        <v>1</v>
      </c>
      <c r="AE223" s="15"/>
      <c r="AF223" s="15">
        <v>1</v>
      </c>
      <c r="AG223" s="15"/>
      <c r="AH223" s="24">
        <f t="shared" si="76"/>
        <v>2</v>
      </c>
      <c r="AI223" s="14"/>
      <c r="AJ223" s="15"/>
      <c r="AK223" s="15"/>
      <c r="AL223" s="15"/>
      <c r="AM223" s="15"/>
      <c r="AN223" s="24">
        <f t="shared" si="77"/>
        <v>0</v>
      </c>
      <c r="AO223" s="15"/>
      <c r="AP223" s="55"/>
      <c r="AQ223" s="55"/>
      <c r="AR223" s="55"/>
      <c r="AS223" s="67"/>
      <c r="AT223" s="24">
        <f t="shared" si="78"/>
        <v>0</v>
      </c>
      <c r="AU223" s="15"/>
      <c r="AV223" s="55"/>
      <c r="AW223" s="55"/>
      <c r="AX223" s="55"/>
      <c r="AY223" s="67"/>
      <c r="AZ223" s="24">
        <f t="shared" si="79"/>
        <v>0</v>
      </c>
      <c r="BA223" s="24">
        <f t="shared" si="81"/>
        <v>2</v>
      </c>
      <c r="BB223" s="83">
        <v>43684</v>
      </c>
    </row>
    <row r="224" spans="1:54" ht="14.25" x14ac:dyDescent="0.15">
      <c r="A224" s="40" t="s">
        <v>48</v>
      </c>
      <c r="B224" s="14"/>
      <c r="C224" s="15"/>
      <c r="D224" s="15"/>
      <c r="E224" s="15"/>
      <c r="F224" s="15"/>
      <c r="G224" s="24">
        <f t="shared" si="72"/>
        <v>0</v>
      </c>
      <c r="H224" s="14"/>
      <c r="I224" s="15"/>
      <c r="J224" s="15"/>
      <c r="K224" s="15"/>
      <c r="L224" s="15"/>
      <c r="M224" s="24">
        <f t="shared" si="73"/>
        <v>0</v>
      </c>
      <c r="N224" s="15"/>
      <c r="O224" s="55"/>
      <c r="P224" s="55"/>
      <c r="Q224" s="55"/>
      <c r="R224" s="67">
        <v>1</v>
      </c>
      <c r="S224" s="24">
        <f t="shared" si="74"/>
        <v>1</v>
      </c>
      <c r="T224" s="15"/>
      <c r="U224" s="55"/>
      <c r="V224" s="55"/>
      <c r="W224" s="55"/>
      <c r="X224" s="67"/>
      <c r="Y224" s="24">
        <f t="shared" si="75"/>
        <v>0</v>
      </c>
      <c r="Z224" s="24">
        <f t="shared" si="80"/>
        <v>1</v>
      </c>
      <c r="AA224" s="93">
        <v>43693</v>
      </c>
      <c r="AB224" s="21" t="s">
        <v>29</v>
      </c>
      <c r="AC224" s="14"/>
      <c r="AD224" s="15"/>
      <c r="AE224" s="15"/>
      <c r="AF224" s="15">
        <v>5</v>
      </c>
      <c r="AG224" s="15"/>
      <c r="AH224" s="24">
        <f t="shared" si="76"/>
        <v>5</v>
      </c>
      <c r="AI224" s="14">
        <v>10</v>
      </c>
      <c r="AJ224" s="15"/>
      <c r="AK224" s="15"/>
      <c r="AL224" s="15">
        <v>5</v>
      </c>
      <c r="AM224" s="15"/>
      <c r="AN224" s="24">
        <f t="shared" si="77"/>
        <v>15</v>
      </c>
      <c r="AO224" s="15"/>
      <c r="AP224" s="55"/>
      <c r="AQ224" s="55"/>
      <c r="AR224" s="55"/>
      <c r="AS224" s="67"/>
      <c r="AT224" s="24">
        <f t="shared" si="78"/>
        <v>0</v>
      </c>
      <c r="AU224" s="15"/>
      <c r="AV224" s="55"/>
      <c r="AW224" s="55"/>
      <c r="AX224" s="55"/>
      <c r="AY224" s="67"/>
      <c r="AZ224" s="24">
        <f t="shared" si="79"/>
        <v>0</v>
      </c>
      <c r="BA224" s="24">
        <f t="shared" si="81"/>
        <v>20</v>
      </c>
      <c r="BB224" s="83">
        <v>43686</v>
      </c>
    </row>
    <row r="225" spans="1:54" ht="14.25" x14ac:dyDescent="0.15">
      <c r="A225" s="23"/>
      <c r="B225" s="14"/>
      <c r="C225" s="15"/>
      <c r="D225" s="15"/>
      <c r="E225" s="15"/>
      <c r="F225" s="15"/>
      <c r="G225" s="24">
        <f t="shared" si="72"/>
        <v>0</v>
      </c>
      <c r="H225" s="14"/>
      <c r="I225" s="15"/>
      <c r="J225" s="15"/>
      <c r="K225" s="15"/>
      <c r="L225" s="15"/>
      <c r="M225" s="24">
        <f t="shared" si="73"/>
        <v>0</v>
      </c>
      <c r="N225" s="15"/>
      <c r="O225" s="55"/>
      <c r="P225" s="55"/>
      <c r="Q225" s="55"/>
      <c r="R225" s="67"/>
      <c r="S225" s="24">
        <f t="shared" si="74"/>
        <v>0</v>
      </c>
      <c r="T225" s="15"/>
      <c r="U225" s="55"/>
      <c r="V225" s="55"/>
      <c r="W225" s="55"/>
      <c r="X225" s="67"/>
      <c r="Y225" s="24">
        <f t="shared" si="75"/>
        <v>0</v>
      </c>
      <c r="Z225" s="24">
        <f t="shared" si="80"/>
        <v>0</v>
      </c>
      <c r="AB225" s="21" t="s">
        <v>166</v>
      </c>
      <c r="AC225" s="14"/>
      <c r="AD225" s="15">
        <v>1</v>
      </c>
      <c r="AE225" s="15"/>
      <c r="AF225" s="15"/>
      <c r="AG225" s="15"/>
      <c r="AH225" s="24">
        <f t="shared" si="76"/>
        <v>1</v>
      </c>
      <c r="AI225" s="14"/>
      <c r="AJ225" s="15"/>
      <c r="AK225" s="15"/>
      <c r="AL225" s="15"/>
      <c r="AM225" s="15"/>
      <c r="AN225" s="24">
        <f t="shared" si="77"/>
        <v>0</v>
      </c>
      <c r="AO225" s="15"/>
      <c r="AP225" s="55"/>
      <c r="AQ225" s="55"/>
      <c r="AR225" s="55"/>
      <c r="AS225" s="67"/>
      <c r="AT225" s="24">
        <f t="shared" si="78"/>
        <v>0</v>
      </c>
      <c r="AU225" s="15"/>
      <c r="AV225" s="55"/>
      <c r="AW225" s="55"/>
      <c r="AX225" s="55"/>
      <c r="AY225" s="67"/>
      <c r="AZ225" s="24">
        <f t="shared" si="79"/>
        <v>0</v>
      </c>
      <c r="BA225" s="24">
        <f t="shared" ref="BA225:BA232" si="82">AH225+AN225+AT225+AZ225</f>
        <v>1</v>
      </c>
      <c r="BB225" s="83">
        <v>43685</v>
      </c>
    </row>
    <row r="226" spans="1:54" ht="14.25" x14ac:dyDescent="0.15">
      <c r="A226" s="23"/>
      <c r="B226" s="44"/>
      <c r="C226" s="45"/>
      <c r="D226" s="45"/>
      <c r="E226" s="45"/>
      <c r="F226" s="45"/>
      <c r="G226" s="43">
        <f t="shared" si="72"/>
        <v>0</v>
      </c>
      <c r="H226" s="44"/>
      <c r="I226" s="45"/>
      <c r="J226" s="45"/>
      <c r="K226" s="45"/>
      <c r="L226" s="45"/>
      <c r="M226" s="43">
        <f t="shared" si="73"/>
        <v>0</v>
      </c>
      <c r="N226" s="42"/>
      <c r="O226" s="53"/>
      <c r="P226" s="53"/>
      <c r="Q226" s="53"/>
      <c r="R226" s="72"/>
      <c r="S226" s="24">
        <f t="shared" si="74"/>
        <v>0</v>
      </c>
      <c r="T226" s="42"/>
      <c r="U226" s="53"/>
      <c r="V226" s="53"/>
      <c r="W226" s="53"/>
      <c r="X226" s="72"/>
      <c r="Y226" s="24">
        <f t="shared" si="75"/>
        <v>0</v>
      </c>
      <c r="Z226" s="24">
        <f t="shared" si="80"/>
        <v>0</v>
      </c>
      <c r="AB226" s="23" t="s">
        <v>30</v>
      </c>
      <c r="AC226" s="14"/>
      <c r="AD226" s="15"/>
      <c r="AE226" s="15"/>
      <c r="AF226" s="15"/>
      <c r="AG226" s="15">
        <v>2</v>
      </c>
      <c r="AH226" s="24">
        <f t="shared" si="76"/>
        <v>2</v>
      </c>
      <c r="AI226" s="14"/>
      <c r="AJ226" s="15">
        <v>2</v>
      </c>
      <c r="AK226" s="15"/>
      <c r="AL226" s="15"/>
      <c r="AM226" s="15"/>
      <c r="AN226" s="24">
        <f t="shared" si="77"/>
        <v>2</v>
      </c>
      <c r="AO226" s="15"/>
      <c r="AP226" s="55">
        <v>2</v>
      </c>
      <c r="AQ226" s="55"/>
      <c r="AR226" s="55"/>
      <c r="AS226" s="67">
        <v>2</v>
      </c>
      <c r="AT226" s="24">
        <f t="shared" si="78"/>
        <v>4</v>
      </c>
      <c r="AU226" s="15"/>
      <c r="AV226" s="55"/>
      <c r="AW226" s="55"/>
      <c r="AX226" s="55"/>
      <c r="AY226" s="67"/>
      <c r="AZ226" s="24">
        <f t="shared" si="79"/>
        <v>0</v>
      </c>
      <c r="BA226" s="24">
        <f t="shared" si="82"/>
        <v>8</v>
      </c>
      <c r="BB226" s="83">
        <v>43684</v>
      </c>
    </row>
    <row r="227" spans="1:54" ht="14.25" x14ac:dyDescent="0.15">
      <c r="A227" s="110"/>
      <c r="B227" s="41"/>
      <c r="C227" s="42"/>
      <c r="D227" s="42"/>
      <c r="E227" s="42"/>
      <c r="F227" s="42"/>
      <c r="G227" s="43">
        <f t="shared" si="72"/>
        <v>0</v>
      </c>
      <c r="H227" s="41"/>
      <c r="I227" s="42"/>
      <c r="J227" s="42"/>
      <c r="K227" s="42"/>
      <c r="L227" s="42"/>
      <c r="M227" s="43">
        <f t="shared" si="73"/>
        <v>0</v>
      </c>
      <c r="N227" s="42"/>
      <c r="O227" s="53"/>
      <c r="P227" s="53"/>
      <c r="Q227" s="53"/>
      <c r="R227" s="72"/>
      <c r="S227" s="24">
        <f t="shared" si="74"/>
        <v>0</v>
      </c>
      <c r="T227" s="42"/>
      <c r="U227" s="53"/>
      <c r="V227" s="53"/>
      <c r="W227" s="53"/>
      <c r="X227" s="72"/>
      <c r="Y227" s="24">
        <f t="shared" si="75"/>
        <v>0</v>
      </c>
      <c r="Z227" s="24">
        <f t="shared" si="80"/>
        <v>0</v>
      </c>
      <c r="AB227" s="21" t="s">
        <v>165</v>
      </c>
      <c r="AC227" s="14"/>
      <c r="AD227" s="15"/>
      <c r="AE227" s="15"/>
      <c r="AF227" s="15"/>
      <c r="AG227" s="15"/>
      <c r="AH227" s="24">
        <f t="shared" si="76"/>
        <v>0</v>
      </c>
      <c r="AI227" s="14"/>
      <c r="AJ227" s="15"/>
      <c r="AK227" s="15"/>
      <c r="AL227" s="15"/>
      <c r="AM227" s="15"/>
      <c r="AN227" s="24">
        <f t="shared" si="77"/>
        <v>0</v>
      </c>
      <c r="AO227" s="15"/>
      <c r="AP227" s="55"/>
      <c r="AQ227" s="55"/>
      <c r="AR227" s="55">
        <v>1</v>
      </c>
      <c r="AS227" s="67"/>
      <c r="AT227" s="24">
        <f t="shared" si="78"/>
        <v>1</v>
      </c>
      <c r="AU227" s="15"/>
      <c r="AV227" s="55"/>
      <c r="AW227" s="55">
        <v>1</v>
      </c>
      <c r="AX227" s="55"/>
      <c r="AY227" s="67">
        <v>1</v>
      </c>
      <c r="AZ227" s="24">
        <f t="shared" si="79"/>
        <v>2</v>
      </c>
      <c r="BA227" s="24">
        <f t="shared" si="82"/>
        <v>3</v>
      </c>
      <c r="BB227" s="83">
        <v>43686</v>
      </c>
    </row>
    <row r="228" spans="1:54" ht="14.25" x14ac:dyDescent="0.15">
      <c r="A228" s="23"/>
      <c r="B228" s="41"/>
      <c r="C228" s="42"/>
      <c r="D228" s="42"/>
      <c r="E228" s="42"/>
      <c r="F228" s="42"/>
      <c r="G228" s="43">
        <f t="shared" si="72"/>
        <v>0</v>
      </c>
      <c r="H228" s="41"/>
      <c r="I228" s="42"/>
      <c r="J228" s="42"/>
      <c r="K228" s="42"/>
      <c r="L228" s="42"/>
      <c r="M228" s="43">
        <f t="shared" si="73"/>
        <v>0</v>
      </c>
      <c r="N228" s="42"/>
      <c r="O228" s="53"/>
      <c r="P228" s="53"/>
      <c r="Q228" s="53"/>
      <c r="R228" s="72"/>
      <c r="S228" s="24">
        <f t="shared" si="74"/>
        <v>0</v>
      </c>
      <c r="T228" s="42"/>
      <c r="U228" s="53"/>
      <c r="V228" s="53"/>
      <c r="W228" s="53"/>
      <c r="X228" s="72"/>
      <c r="Y228" s="24">
        <f t="shared" si="75"/>
        <v>0</v>
      </c>
      <c r="Z228" s="24">
        <f t="shared" si="80"/>
        <v>0</v>
      </c>
      <c r="AB228" s="23" t="s">
        <v>41</v>
      </c>
      <c r="AC228" s="41"/>
      <c r="AD228" s="42"/>
      <c r="AE228" s="42"/>
      <c r="AF228" s="42"/>
      <c r="AG228" s="42"/>
      <c r="AH228" s="43">
        <f t="shared" si="76"/>
        <v>0</v>
      </c>
      <c r="AI228" s="41"/>
      <c r="AJ228" s="42"/>
      <c r="AK228" s="42"/>
      <c r="AL228" s="42"/>
      <c r="AM228" s="42"/>
      <c r="AN228" s="43">
        <f t="shared" si="77"/>
        <v>0</v>
      </c>
      <c r="AO228" s="42"/>
      <c r="AP228" s="53">
        <v>5</v>
      </c>
      <c r="AQ228" s="53"/>
      <c r="AR228" s="53"/>
      <c r="AS228" s="72"/>
      <c r="AT228" s="24">
        <f t="shared" si="78"/>
        <v>5</v>
      </c>
      <c r="AU228" s="42"/>
      <c r="AV228" s="53"/>
      <c r="AW228" s="53"/>
      <c r="AX228" s="53">
        <v>5</v>
      </c>
      <c r="AY228" s="72">
        <v>5</v>
      </c>
      <c r="AZ228" s="24">
        <f t="shared" si="79"/>
        <v>10</v>
      </c>
      <c r="BA228" s="24">
        <f t="shared" si="82"/>
        <v>15</v>
      </c>
      <c r="BB228" s="83">
        <v>43690</v>
      </c>
    </row>
    <row r="229" spans="1:54" ht="14.25" x14ac:dyDescent="0.15">
      <c r="A229" s="23"/>
      <c r="B229" s="41"/>
      <c r="C229" s="42"/>
      <c r="D229" s="42"/>
      <c r="E229" s="42"/>
      <c r="F229" s="42"/>
      <c r="G229" s="43">
        <f t="shared" si="72"/>
        <v>0</v>
      </c>
      <c r="H229" s="41"/>
      <c r="I229" s="42"/>
      <c r="J229" s="42"/>
      <c r="K229" s="42"/>
      <c r="L229" s="42"/>
      <c r="M229" s="43">
        <f t="shared" si="73"/>
        <v>0</v>
      </c>
      <c r="N229" s="42"/>
      <c r="O229" s="53"/>
      <c r="P229" s="53"/>
      <c r="Q229" s="53"/>
      <c r="R229" s="72"/>
      <c r="S229" s="24">
        <f>SUM(N229:R229)</f>
        <v>0</v>
      </c>
      <c r="T229" s="42"/>
      <c r="U229" s="53"/>
      <c r="V229" s="53"/>
      <c r="W229" s="53"/>
      <c r="X229" s="72"/>
      <c r="Y229" s="24">
        <f>SUM(T229:X229)</f>
        <v>0</v>
      </c>
      <c r="Z229" s="24">
        <f>G229+M229+S229+Y229</f>
        <v>0</v>
      </c>
      <c r="AB229" s="21" t="s">
        <v>168</v>
      </c>
      <c r="AC229" s="44"/>
      <c r="AD229" s="45"/>
      <c r="AE229" s="45"/>
      <c r="AF229" s="45"/>
      <c r="AG229" s="45"/>
      <c r="AH229" s="43">
        <f t="shared" si="76"/>
        <v>0</v>
      </c>
      <c r="AI229" s="44"/>
      <c r="AJ229" s="45"/>
      <c r="AK229" s="45"/>
      <c r="AL229" s="45"/>
      <c r="AM229" s="45"/>
      <c r="AN229" s="43">
        <f t="shared" si="77"/>
        <v>0</v>
      </c>
      <c r="AO229" s="42"/>
      <c r="AP229" s="53"/>
      <c r="AQ229" s="53"/>
      <c r="AR229" s="53"/>
      <c r="AS229" s="72"/>
      <c r="AT229" s="24">
        <f t="shared" si="78"/>
        <v>0</v>
      </c>
      <c r="AU229" s="42"/>
      <c r="AV229" s="53"/>
      <c r="AW229" s="53">
        <v>1</v>
      </c>
      <c r="AX229" s="53">
        <v>2</v>
      </c>
      <c r="AY229" s="72"/>
      <c r="AZ229" s="24">
        <f t="shared" si="79"/>
        <v>3</v>
      </c>
      <c r="BA229" s="24">
        <f>AH229+AN229+AT229+AZ229</f>
        <v>3</v>
      </c>
      <c r="BB229" s="83">
        <v>43687</v>
      </c>
    </row>
    <row r="230" spans="1:54" ht="15" thickBot="1" x14ac:dyDescent="0.2">
      <c r="A230" s="110"/>
      <c r="B230" s="44"/>
      <c r="C230" s="45"/>
      <c r="D230" s="45"/>
      <c r="E230" s="45"/>
      <c r="F230" s="45"/>
      <c r="G230" s="43">
        <f t="shared" si="72"/>
        <v>0</v>
      </c>
      <c r="H230" s="44"/>
      <c r="I230" s="45"/>
      <c r="J230" s="45"/>
      <c r="K230" s="45"/>
      <c r="L230" s="45"/>
      <c r="M230" s="112">
        <f t="shared" si="73"/>
        <v>0</v>
      </c>
      <c r="N230" s="45"/>
      <c r="O230" s="78"/>
      <c r="P230" s="78"/>
      <c r="Q230" s="78"/>
      <c r="R230" s="79"/>
      <c r="S230" s="113">
        <f>SUM(N230:R230)</f>
        <v>0</v>
      </c>
      <c r="T230" s="45"/>
      <c r="U230" s="78"/>
      <c r="V230" s="78"/>
      <c r="W230" s="78"/>
      <c r="X230" s="79"/>
      <c r="Y230" s="113">
        <f>SUM(T230:X230)</f>
        <v>0</v>
      </c>
      <c r="Z230" s="82">
        <f>G230+M230+S230+Y230</f>
        <v>0</v>
      </c>
      <c r="AB230" s="21" t="s">
        <v>169</v>
      </c>
      <c r="AC230" s="14"/>
      <c r="AD230" s="15">
        <v>3</v>
      </c>
      <c r="AE230" s="15">
        <v>2</v>
      </c>
      <c r="AF230" s="15"/>
      <c r="AG230" s="15"/>
      <c r="AH230" s="24">
        <f t="shared" si="76"/>
        <v>5</v>
      </c>
      <c r="AI230" s="14"/>
      <c r="AJ230" s="15"/>
      <c r="AK230" s="15"/>
      <c r="AL230" s="15"/>
      <c r="AM230" s="15"/>
      <c r="AN230" s="24">
        <f t="shared" si="77"/>
        <v>0</v>
      </c>
      <c r="AO230" s="15"/>
      <c r="AP230" s="55"/>
      <c r="AQ230" s="55"/>
      <c r="AR230" s="55"/>
      <c r="AS230" s="67"/>
      <c r="AT230" s="24">
        <f t="shared" si="78"/>
        <v>0</v>
      </c>
      <c r="AU230" s="15"/>
      <c r="AV230" s="55"/>
      <c r="AW230" s="55"/>
      <c r="AX230" s="55"/>
      <c r="AY230" s="67"/>
      <c r="AZ230" s="24">
        <f t="shared" si="79"/>
        <v>0</v>
      </c>
      <c r="BA230" s="24">
        <f t="shared" si="82"/>
        <v>5</v>
      </c>
      <c r="BB230" s="83">
        <v>43696</v>
      </c>
    </row>
    <row r="231" spans="1:54" ht="15" thickBot="1" x14ac:dyDescent="0.2">
      <c r="A231" s="9" t="s">
        <v>13</v>
      </c>
      <c r="B231" s="25">
        <f>SUM(B205:B230)</f>
        <v>0</v>
      </c>
      <c r="C231" s="26">
        <f>SUM(C205:C230)</f>
        <v>1</v>
      </c>
      <c r="D231" s="26">
        <f>SUM(D205:D230)</f>
        <v>-1</v>
      </c>
      <c r="E231" s="26">
        <f>SUM(E205:E230)</f>
        <v>-1</v>
      </c>
      <c r="F231" s="27">
        <f>SUM(F205:F230)</f>
        <v>2</v>
      </c>
      <c r="G231" s="19">
        <f>SUM(B231:F231)</f>
        <v>1</v>
      </c>
      <c r="H231" s="25">
        <f>SUM(H205:H230)</f>
        <v>0</v>
      </c>
      <c r="I231" s="26">
        <f>SUM(I205:I230)</f>
        <v>-1</v>
      </c>
      <c r="J231" s="26">
        <f>SUM(J205:J230)</f>
        <v>1</v>
      </c>
      <c r="K231" s="26">
        <f>SUM(K205:K230)</f>
        <v>1</v>
      </c>
      <c r="L231" s="27">
        <f>SUM(L205:L230)</f>
        <v>1</v>
      </c>
      <c r="M231" s="25">
        <f>SUM(H231:L231)</f>
        <v>2</v>
      </c>
      <c r="N231" s="65">
        <f>SUM(N205:N230)</f>
        <v>0</v>
      </c>
      <c r="O231" s="18">
        <f>SUM(O205:O230)</f>
        <v>0</v>
      </c>
      <c r="P231" s="18">
        <f>SUM(P205:P230)</f>
        <v>1</v>
      </c>
      <c r="Q231" s="18">
        <f>SUM(Q205:Q230)</f>
        <v>0</v>
      </c>
      <c r="R231" s="70">
        <f>SUM(R205:R230)</f>
        <v>3</v>
      </c>
      <c r="S231" s="49">
        <f>SUM(N231:R231)</f>
        <v>4</v>
      </c>
      <c r="T231" s="74">
        <f>SUM(T205:T230)</f>
        <v>1</v>
      </c>
      <c r="U231" s="18">
        <f>SUM(U205:U230)</f>
        <v>0</v>
      </c>
      <c r="V231" s="18">
        <f>SUM(V205:V230)</f>
        <v>1</v>
      </c>
      <c r="W231" s="18">
        <f>SUM(W205:W230)</f>
        <v>1</v>
      </c>
      <c r="X231" s="70">
        <f>SUM(X205:X230)</f>
        <v>0</v>
      </c>
      <c r="Y231" s="49">
        <f>SUM(T231:X231)</f>
        <v>3</v>
      </c>
      <c r="Z231" s="77">
        <f>G231+M231+S231+Y231</f>
        <v>10</v>
      </c>
      <c r="AB231" s="9" t="s">
        <v>13</v>
      </c>
      <c r="AC231" s="25">
        <f>SUM(AC205:AC230)</f>
        <v>5</v>
      </c>
      <c r="AD231" s="26">
        <f>SUM(AD205:AD230)</f>
        <v>10</v>
      </c>
      <c r="AE231" s="26">
        <f>SUM(AE205:AE230)</f>
        <v>9</v>
      </c>
      <c r="AF231" s="26">
        <f>SUM(AF205:AF230)</f>
        <v>14</v>
      </c>
      <c r="AG231" s="27">
        <f>SUM(AG205:AG230)</f>
        <v>13</v>
      </c>
      <c r="AH231" s="19">
        <f t="shared" si="76"/>
        <v>51</v>
      </c>
      <c r="AI231" s="25">
        <f>SUM(AI205:AI230)</f>
        <v>11</v>
      </c>
      <c r="AJ231" s="26">
        <f>SUM(AJ205:AJ230)</f>
        <v>2</v>
      </c>
      <c r="AK231" s="26">
        <f>SUM(AK205:AK230)</f>
        <v>9</v>
      </c>
      <c r="AL231" s="26">
        <f>SUM(AL205:AL230)</f>
        <v>11</v>
      </c>
      <c r="AM231" s="27">
        <f>SUM(AM205:AM230)</f>
        <v>13</v>
      </c>
      <c r="AN231" s="25">
        <f t="shared" si="77"/>
        <v>46</v>
      </c>
      <c r="AO231" s="65">
        <f>SUM(AO205:AO230)</f>
        <v>1</v>
      </c>
      <c r="AP231" s="18">
        <f>SUM(AP205:AP230)</f>
        <v>8</v>
      </c>
      <c r="AQ231" s="18">
        <f>SUM(AQ205:AQ230)</f>
        <v>4</v>
      </c>
      <c r="AR231" s="18">
        <f>SUM(AR205:AR230)</f>
        <v>7</v>
      </c>
      <c r="AS231" s="70">
        <f>SUM(AS205:AS230)</f>
        <v>11</v>
      </c>
      <c r="AT231" s="49">
        <f t="shared" si="78"/>
        <v>31</v>
      </c>
      <c r="AU231" s="74">
        <f>SUM(AU205:AU230)</f>
        <v>1</v>
      </c>
      <c r="AV231" s="18">
        <f>SUM(AV205:AV230)</f>
        <v>7</v>
      </c>
      <c r="AW231" s="18">
        <f>SUM(AW205:AW230)</f>
        <v>15</v>
      </c>
      <c r="AX231" s="18">
        <f>SUM(AX205:AX230)</f>
        <v>8</v>
      </c>
      <c r="AY231" s="70">
        <f>SUM(AY205:AY230)</f>
        <v>8</v>
      </c>
      <c r="AZ231" s="49">
        <f t="shared" si="79"/>
        <v>39</v>
      </c>
      <c r="BA231" s="77">
        <f t="shared" si="82"/>
        <v>167</v>
      </c>
    </row>
    <row r="232" spans="1:54" ht="15" thickBot="1" x14ac:dyDescent="0.2">
      <c r="A232" s="32" t="s">
        <v>14</v>
      </c>
      <c r="B232" s="29">
        <f t="shared" ref="B232:Y232" si="83">B204-B231</f>
        <v>4</v>
      </c>
      <c r="C232" s="30">
        <f t="shared" si="83"/>
        <v>2</v>
      </c>
      <c r="D232" s="30">
        <f t="shared" si="83"/>
        <v>5</v>
      </c>
      <c r="E232" s="30">
        <f t="shared" si="83"/>
        <v>2</v>
      </c>
      <c r="F232" s="31">
        <f t="shared" si="83"/>
        <v>2</v>
      </c>
      <c r="G232" s="31">
        <f t="shared" si="83"/>
        <v>15</v>
      </c>
      <c r="H232" s="29">
        <f t="shared" si="83"/>
        <v>3</v>
      </c>
      <c r="I232" s="30">
        <f t="shared" si="83"/>
        <v>3</v>
      </c>
      <c r="J232" s="30">
        <f t="shared" si="83"/>
        <v>3</v>
      </c>
      <c r="K232" s="30">
        <f t="shared" si="83"/>
        <v>3</v>
      </c>
      <c r="L232" s="31">
        <f t="shared" si="83"/>
        <v>3</v>
      </c>
      <c r="M232" s="66">
        <f t="shared" si="83"/>
        <v>15</v>
      </c>
      <c r="N232" s="29">
        <f t="shared" si="83"/>
        <v>3</v>
      </c>
      <c r="O232" s="30">
        <f t="shared" si="83"/>
        <v>3</v>
      </c>
      <c r="P232" s="30">
        <f t="shared" si="83"/>
        <v>3</v>
      </c>
      <c r="Q232" s="30">
        <f t="shared" si="83"/>
        <v>7</v>
      </c>
      <c r="R232" s="66">
        <f t="shared" si="83"/>
        <v>1</v>
      </c>
      <c r="S232" s="33">
        <f t="shared" si="83"/>
        <v>17</v>
      </c>
      <c r="T232" s="75">
        <f t="shared" si="83"/>
        <v>2</v>
      </c>
      <c r="U232" s="30">
        <f t="shared" si="83"/>
        <v>4</v>
      </c>
      <c r="V232" s="30">
        <f t="shared" si="83"/>
        <v>3</v>
      </c>
      <c r="W232" s="30">
        <f t="shared" si="83"/>
        <v>2</v>
      </c>
      <c r="X232" s="66">
        <f t="shared" si="83"/>
        <v>3</v>
      </c>
      <c r="Y232" s="33">
        <f t="shared" si="83"/>
        <v>14</v>
      </c>
      <c r="Z232" s="77">
        <f>G232+M232+S232+Y232</f>
        <v>61</v>
      </c>
      <c r="AB232" s="32" t="s">
        <v>14</v>
      </c>
      <c r="AC232" s="29">
        <f t="shared" ref="AC232:AZ232" si="84">AC204-AC231</f>
        <v>143</v>
      </c>
      <c r="AD232" s="30">
        <f t="shared" si="84"/>
        <v>168</v>
      </c>
      <c r="AE232" s="30">
        <f t="shared" si="84"/>
        <v>192</v>
      </c>
      <c r="AF232" s="30">
        <f t="shared" si="84"/>
        <v>168</v>
      </c>
      <c r="AG232" s="31">
        <f t="shared" si="84"/>
        <v>165</v>
      </c>
      <c r="AH232" s="31">
        <f t="shared" si="84"/>
        <v>836</v>
      </c>
      <c r="AI232" s="29">
        <f t="shared" si="84"/>
        <v>105</v>
      </c>
      <c r="AJ232" s="30">
        <f t="shared" si="84"/>
        <v>122</v>
      </c>
      <c r="AK232" s="30">
        <f t="shared" si="84"/>
        <v>138</v>
      </c>
      <c r="AL232" s="30">
        <f t="shared" si="84"/>
        <v>133</v>
      </c>
      <c r="AM232" s="31">
        <f t="shared" si="84"/>
        <v>130</v>
      </c>
      <c r="AN232" s="66">
        <f t="shared" si="84"/>
        <v>628</v>
      </c>
      <c r="AO232" s="29">
        <f t="shared" si="84"/>
        <v>113</v>
      </c>
      <c r="AP232" s="30">
        <f t="shared" si="84"/>
        <v>123</v>
      </c>
      <c r="AQ232" s="30">
        <f t="shared" si="84"/>
        <v>104</v>
      </c>
      <c r="AR232" s="30">
        <f t="shared" si="84"/>
        <v>95</v>
      </c>
      <c r="AS232" s="66">
        <f t="shared" si="84"/>
        <v>73</v>
      </c>
      <c r="AT232" s="33">
        <f t="shared" si="84"/>
        <v>508</v>
      </c>
      <c r="AU232" s="75">
        <f t="shared" si="84"/>
        <v>118</v>
      </c>
      <c r="AV232" s="30">
        <f t="shared" si="84"/>
        <v>112</v>
      </c>
      <c r="AW232" s="30">
        <f t="shared" si="84"/>
        <v>102</v>
      </c>
      <c r="AX232" s="30">
        <f t="shared" si="84"/>
        <v>115</v>
      </c>
      <c r="AY232" s="66">
        <f t="shared" si="84"/>
        <v>69</v>
      </c>
      <c r="AZ232" s="33">
        <f t="shared" si="84"/>
        <v>516</v>
      </c>
      <c r="BA232" s="77">
        <f t="shared" si="82"/>
        <v>2488</v>
      </c>
    </row>
    <row r="235" spans="1:54" ht="19.5" thickBot="1" x14ac:dyDescent="0.25">
      <c r="A235" s="1" t="s">
        <v>15</v>
      </c>
      <c r="AB235" s="1" t="s">
        <v>16</v>
      </c>
    </row>
    <row r="236" spans="1:54" ht="15" thickBot="1" x14ac:dyDescent="0.2">
      <c r="A236" s="4"/>
      <c r="B236" s="245" t="s">
        <v>17</v>
      </c>
      <c r="C236" s="246"/>
      <c r="D236" s="246"/>
      <c r="E236" s="246"/>
      <c r="F236" s="246"/>
      <c r="G236" s="247"/>
      <c r="H236" s="245" t="s">
        <v>18</v>
      </c>
      <c r="I236" s="246"/>
      <c r="J236" s="246"/>
      <c r="K236" s="246"/>
      <c r="L236" s="246"/>
      <c r="M236" s="247"/>
      <c r="N236" s="248" t="s">
        <v>27</v>
      </c>
      <c r="O236" s="249"/>
      <c r="P236" s="249"/>
      <c r="Q236" s="249"/>
      <c r="R236" s="249"/>
      <c r="S236" s="250"/>
      <c r="T236" s="248" t="s">
        <v>28</v>
      </c>
      <c r="U236" s="249"/>
      <c r="V236" s="249"/>
      <c r="W236" s="249"/>
      <c r="X236" s="249"/>
      <c r="Y236" s="250"/>
      <c r="Z236" s="251" t="s">
        <v>1</v>
      </c>
      <c r="AB236" s="4"/>
      <c r="AC236" s="253" t="s">
        <v>17</v>
      </c>
      <c r="AD236" s="249"/>
      <c r="AE236" s="249"/>
      <c r="AF236" s="249"/>
      <c r="AG236" s="249"/>
      <c r="AH236" s="250"/>
      <c r="AI236" s="248" t="s">
        <v>18</v>
      </c>
      <c r="AJ236" s="249"/>
      <c r="AK236" s="249"/>
      <c r="AL236" s="249"/>
      <c r="AM236" s="249"/>
      <c r="AN236" s="250"/>
      <c r="AO236" s="248" t="s">
        <v>27</v>
      </c>
      <c r="AP236" s="249"/>
      <c r="AQ236" s="249"/>
      <c r="AR236" s="249"/>
      <c r="AS236" s="249"/>
      <c r="AT236" s="250"/>
      <c r="AU236" s="248" t="s">
        <v>28</v>
      </c>
      <c r="AV236" s="249"/>
      <c r="AW236" s="249"/>
      <c r="AX236" s="249"/>
      <c r="AY236" s="249"/>
      <c r="AZ236" s="250"/>
      <c r="BA236" s="243" t="s">
        <v>1</v>
      </c>
    </row>
    <row r="237" spans="1:54" ht="15" thickBot="1" x14ac:dyDescent="0.2">
      <c r="A237" s="9" t="s">
        <v>2</v>
      </c>
      <c r="B237" s="6" t="s">
        <v>3</v>
      </c>
      <c r="C237" s="7" t="s">
        <v>4</v>
      </c>
      <c r="D237" s="7" t="s">
        <v>5</v>
      </c>
      <c r="E237" s="48" t="s">
        <v>20</v>
      </c>
      <c r="F237" s="8" t="s">
        <v>21</v>
      </c>
      <c r="G237" s="5" t="s">
        <v>6</v>
      </c>
      <c r="H237" s="6" t="s">
        <v>3</v>
      </c>
      <c r="I237" s="7" t="s">
        <v>4</v>
      </c>
      <c r="J237" s="7" t="s">
        <v>5</v>
      </c>
      <c r="K237" s="48" t="s">
        <v>20</v>
      </c>
      <c r="L237" s="8" t="s">
        <v>21</v>
      </c>
      <c r="M237" s="5" t="s">
        <v>6</v>
      </c>
      <c r="N237" s="6" t="s">
        <v>3</v>
      </c>
      <c r="O237" s="7" t="s">
        <v>4</v>
      </c>
      <c r="P237" s="7" t="s">
        <v>5</v>
      </c>
      <c r="Q237" s="48" t="s">
        <v>20</v>
      </c>
      <c r="R237" s="8" t="s">
        <v>21</v>
      </c>
      <c r="S237" s="5" t="s">
        <v>6</v>
      </c>
      <c r="T237" s="7" t="s">
        <v>3</v>
      </c>
      <c r="U237" s="7" t="s">
        <v>4</v>
      </c>
      <c r="V237" s="7" t="s">
        <v>5</v>
      </c>
      <c r="W237" s="48" t="s">
        <v>20</v>
      </c>
      <c r="X237" s="109" t="s">
        <v>21</v>
      </c>
      <c r="Y237" s="62" t="s">
        <v>6</v>
      </c>
      <c r="Z237" s="252"/>
      <c r="AB237" s="9" t="s">
        <v>2</v>
      </c>
      <c r="AC237" s="6" t="s">
        <v>3</v>
      </c>
      <c r="AD237" s="7" t="s">
        <v>4</v>
      </c>
      <c r="AE237" s="7" t="s">
        <v>5</v>
      </c>
      <c r="AF237" s="48" t="s">
        <v>20</v>
      </c>
      <c r="AG237" s="8" t="s">
        <v>21</v>
      </c>
      <c r="AH237" s="5" t="s">
        <v>6</v>
      </c>
      <c r="AI237" s="6" t="s">
        <v>3</v>
      </c>
      <c r="AJ237" s="7" t="s">
        <v>4</v>
      </c>
      <c r="AK237" s="7" t="s">
        <v>5</v>
      </c>
      <c r="AL237" s="48" t="s">
        <v>20</v>
      </c>
      <c r="AM237" s="8" t="s">
        <v>21</v>
      </c>
      <c r="AN237" s="5" t="s">
        <v>6</v>
      </c>
      <c r="AO237" s="6" t="s">
        <v>3</v>
      </c>
      <c r="AP237" s="7" t="s">
        <v>4</v>
      </c>
      <c r="AQ237" s="7" t="s">
        <v>5</v>
      </c>
      <c r="AR237" s="48" t="s">
        <v>20</v>
      </c>
      <c r="AS237" s="8" t="s">
        <v>21</v>
      </c>
      <c r="AT237" s="5" t="s">
        <v>6</v>
      </c>
      <c r="AU237" s="7" t="s">
        <v>3</v>
      </c>
      <c r="AV237" s="7" t="s">
        <v>4</v>
      </c>
      <c r="AW237" s="7" t="s">
        <v>5</v>
      </c>
      <c r="AX237" s="48" t="s">
        <v>20</v>
      </c>
      <c r="AY237" s="109" t="s">
        <v>21</v>
      </c>
      <c r="AZ237" s="62" t="s">
        <v>6</v>
      </c>
      <c r="BA237" s="244"/>
    </row>
    <row r="238" spans="1:54" ht="14.25" x14ac:dyDescent="0.15">
      <c r="A238" s="103" t="s">
        <v>43</v>
      </c>
      <c r="B238" s="104">
        <f>B232</f>
        <v>4</v>
      </c>
      <c r="C238" s="105">
        <f>C232</f>
        <v>2</v>
      </c>
      <c r="D238" s="105">
        <f>D232</f>
        <v>5</v>
      </c>
      <c r="E238" s="105">
        <f>E232</f>
        <v>2</v>
      </c>
      <c r="F238" s="105">
        <f>F232</f>
        <v>2</v>
      </c>
      <c r="G238" s="106">
        <f t="shared" ref="G238:G269" si="85">SUM(B238:F238)</f>
        <v>15</v>
      </c>
      <c r="H238" s="104">
        <f>H232</f>
        <v>3</v>
      </c>
      <c r="I238" s="105">
        <f>I232</f>
        <v>3</v>
      </c>
      <c r="J238" s="105">
        <f>J232</f>
        <v>3</v>
      </c>
      <c r="K238" s="105">
        <f>K232</f>
        <v>3</v>
      </c>
      <c r="L238" s="105">
        <f>L232</f>
        <v>3</v>
      </c>
      <c r="M238" s="107">
        <f t="shared" ref="M238:M269" si="86">SUM(H238:L238)</f>
        <v>15</v>
      </c>
      <c r="N238" s="104">
        <f>N232</f>
        <v>3</v>
      </c>
      <c r="O238" s="105">
        <f>O232</f>
        <v>3</v>
      </c>
      <c r="P238" s="105">
        <f>P232</f>
        <v>3</v>
      </c>
      <c r="Q238" s="105">
        <f>Q232</f>
        <v>7</v>
      </c>
      <c r="R238" s="105">
        <f>R232</f>
        <v>1</v>
      </c>
      <c r="S238" s="108">
        <f t="shared" ref="S238:S267" si="87">SUM(N238:R238)</f>
        <v>17</v>
      </c>
      <c r="T238" s="104">
        <f>T232</f>
        <v>2</v>
      </c>
      <c r="U238" s="105">
        <f>U232</f>
        <v>4</v>
      </c>
      <c r="V238" s="105">
        <f>V232</f>
        <v>3</v>
      </c>
      <c r="W238" s="105">
        <f>W232</f>
        <v>2</v>
      </c>
      <c r="X238" s="105">
        <f>X232</f>
        <v>3</v>
      </c>
      <c r="Y238" s="106">
        <f t="shared" ref="Y238:Y267" si="88">SUM(T238:X238)</f>
        <v>14</v>
      </c>
      <c r="Z238" s="106">
        <f>G238+M238+S238+Y238</f>
        <v>61</v>
      </c>
      <c r="AB238" s="103" t="s">
        <v>43</v>
      </c>
      <c r="AC238" s="104">
        <f>AC232</f>
        <v>143</v>
      </c>
      <c r="AD238" s="105">
        <f>AD232</f>
        <v>168</v>
      </c>
      <c r="AE238" s="105">
        <f>AE232</f>
        <v>192</v>
      </c>
      <c r="AF238" s="105">
        <f>AF232</f>
        <v>168</v>
      </c>
      <c r="AG238" s="105">
        <f>AG232</f>
        <v>165</v>
      </c>
      <c r="AH238" s="106">
        <f t="shared" ref="AH238:AH270" si="89">SUM(AC238:AG238)</f>
        <v>836</v>
      </c>
      <c r="AI238" s="104">
        <f>AI232</f>
        <v>105</v>
      </c>
      <c r="AJ238" s="105">
        <f>AJ232</f>
        <v>122</v>
      </c>
      <c r="AK238" s="105">
        <f>AK232</f>
        <v>138</v>
      </c>
      <c r="AL238" s="105">
        <f>AL232</f>
        <v>133</v>
      </c>
      <c r="AM238" s="105">
        <f>AM232</f>
        <v>130</v>
      </c>
      <c r="AN238" s="107">
        <f t="shared" ref="AN238:AN270" si="90">SUM(AI238:AM238)</f>
        <v>628</v>
      </c>
      <c r="AO238" s="104">
        <f>AO232</f>
        <v>113</v>
      </c>
      <c r="AP238" s="105">
        <f>AP232</f>
        <v>123</v>
      </c>
      <c r="AQ238" s="105">
        <f>AQ232</f>
        <v>104</v>
      </c>
      <c r="AR238" s="105">
        <f>AR232</f>
        <v>95</v>
      </c>
      <c r="AS238" s="105">
        <f>AS232</f>
        <v>73</v>
      </c>
      <c r="AT238" s="108">
        <f t="shared" ref="AT238:AT270" si="91">SUM(AO238:AS238)</f>
        <v>508</v>
      </c>
      <c r="AU238" s="104">
        <f>AU232</f>
        <v>118</v>
      </c>
      <c r="AV238" s="105">
        <f>AV232</f>
        <v>112</v>
      </c>
      <c r="AW238" s="105">
        <f>AW232</f>
        <v>102</v>
      </c>
      <c r="AX238" s="105">
        <f>AX232</f>
        <v>115</v>
      </c>
      <c r="AY238" s="105">
        <f>AY232</f>
        <v>69</v>
      </c>
      <c r="AZ238" s="106">
        <f t="shared" ref="AZ238:AZ270" si="92">SUM(AU238:AY238)</f>
        <v>516</v>
      </c>
      <c r="BA238" s="106">
        <f>AH238+AN238+AT238+AZ238</f>
        <v>2488</v>
      </c>
    </row>
    <row r="239" spans="1:54" ht="14.25" x14ac:dyDescent="0.15">
      <c r="A239" s="10" t="s">
        <v>83</v>
      </c>
      <c r="B239" s="14"/>
      <c r="C239" s="15"/>
      <c r="D239" s="15"/>
      <c r="E239" s="15"/>
      <c r="F239" s="15"/>
      <c r="G239" s="16">
        <f t="shared" si="85"/>
        <v>0</v>
      </c>
      <c r="H239" s="14"/>
      <c r="I239" s="15"/>
      <c r="J239" s="15"/>
      <c r="K239" s="15"/>
      <c r="L239" s="15"/>
      <c r="M239" s="57">
        <f t="shared" si="86"/>
        <v>0</v>
      </c>
      <c r="N239" s="14"/>
      <c r="O239" s="55"/>
      <c r="P239" s="55"/>
      <c r="Q239" s="55"/>
      <c r="R239" s="67"/>
      <c r="S239" s="24">
        <f t="shared" si="87"/>
        <v>0</v>
      </c>
      <c r="T239" s="15"/>
      <c r="U239" s="55">
        <v>1</v>
      </c>
      <c r="V239" s="55"/>
      <c r="W239" s="55"/>
      <c r="X239" s="67"/>
      <c r="Y239" s="24">
        <f t="shared" si="88"/>
        <v>1</v>
      </c>
      <c r="Z239" s="24">
        <f t="shared" ref="Z239:Z267" si="93">G239+M239+S239+Y239</f>
        <v>1</v>
      </c>
      <c r="AA239" s="93">
        <v>43693</v>
      </c>
      <c r="AB239" s="10" t="s">
        <v>7</v>
      </c>
      <c r="AC239" s="14">
        <v>1</v>
      </c>
      <c r="AD239" s="15"/>
      <c r="AE239" s="15"/>
      <c r="AF239" s="15"/>
      <c r="AG239" s="15">
        <v>1</v>
      </c>
      <c r="AH239" s="16">
        <f t="shared" si="89"/>
        <v>2</v>
      </c>
      <c r="AI239" s="14">
        <v>1</v>
      </c>
      <c r="AJ239" s="15"/>
      <c r="AK239" s="15">
        <v>1</v>
      </c>
      <c r="AL239" s="15">
        <v>2</v>
      </c>
      <c r="AM239" s="15">
        <v>2</v>
      </c>
      <c r="AN239" s="57">
        <f t="shared" si="90"/>
        <v>6</v>
      </c>
      <c r="AO239" s="14"/>
      <c r="AP239" s="55"/>
      <c r="AQ239" s="55"/>
      <c r="AR239" s="55"/>
      <c r="AS239" s="67"/>
      <c r="AT239" s="24">
        <f t="shared" si="91"/>
        <v>0</v>
      </c>
      <c r="AU239" s="15"/>
      <c r="AV239" s="55"/>
      <c r="AW239" s="55"/>
      <c r="AX239" s="55"/>
      <c r="AY239" s="67"/>
      <c r="AZ239" s="24">
        <f t="shared" si="92"/>
        <v>0</v>
      </c>
      <c r="BA239" s="24">
        <f t="shared" ref="BA239:BA267" si="94">AH239+AN239+AT239+AZ239</f>
        <v>8</v>
      </c>
      <c r="BB239" s="93">
        <v>43701</v>
      </c>
    </row>
    <row r="240" spans="1:54" ht="14.25" x14ac:dyDescent="0.15">
      <c r="A240" s="10" t="s">
        <v>33</v>
      </c>
      <c r="B240" s="41">
        <v>1</v>
      </c>
      <c r="C240" s="42">
        <v>1</v>
      </c>
      <c r="D240" s="42"/>
      <c r="E240" s="42">
        <v>1</v>
      </c>
      <c r="F240" s="42">
        <v>2</v>
      </c>
      <c r="G240" s="37">
        <f t="shared" si="85"/>
        <v>5</v>
      </c>
      <c r="H240" s="41">
        <v>1</v>
      </c>
      <c r="I240" s="42"/>
      <c r="J240" s="42">
        <v>1</v>
      </c>
      <c r="K240" s="42">
        <v>2</v>
      </c>
      <c r="L240" s="42">
        <v>2</v>
      </c>
      <c r="M240" s="114">
        <f t="shared" si="86"/>
        <v>6</v>
      </c>
      <c r="N240" s="41"/>
      <c r="O240" s="53"/>
      <c r="P240" s="53"/>
      <c r="Q240" s="53"/>
      <c r="R240" s="72"/>
      <c r="S240" s="24">
        <f t="shared" si="87"/>
        <v>0</v>
      </c>
      <c r="T240" s="42"/>
      <c r="U240" s="53"/>
      <c r="V240" s="53"/>
      <c r="W240" s="53"/>
      <c r="X240" s="72"/>
      <c r="Y240" s="24">
        <f t="shared" si="88"/>
        <v>0</v>
      </c>
      <c r="Z240" s="24">
        <f t="shared" si="93"/>
        <v>11</v>
      </c>
      <c r="AA240" s="93">
        <v>43698</v>
      </c>
      <c r="AB240" s="10" t="s">
        <v>9</v>
      </c>
      <c r="AC240" s="41"/>
      <c r="AD240" s="42"/>
      <c r="AE240" s="42"/>
      <c r="AF240" s="42"/>
      <c r="AG240" s="42"/>
      <c r="AH240" s="37">
        <f t="shared" si="89"/>
        <v>0</v>
      </c>
      <c r="AI240" s="41"/>
      <c r="AJ240" s="42"/>
      <c r="AK240" s="42"/>
      <c r="AL240" s="42"/>
      <c r="AM240" s="42"/>
      <c r="AN240" s="114">
        <f t="shared" si="90"/>
        <v>0</v>
      </c>
      <c r="AO240" s="41"/>
      <c r="AP240" s="53"/>
      <c r="AQ240" s="53"/>
      <c r="AR240" s="53"/>
      <c r="AS240" s="72"/>
      <c r="AT240" s="24">
        <f t="shared" si="91"/>
        <v>0</v>
      </c>
      <c r="AU240" s="42"/>
      <c r="AV240" s="53"/>
      <c r="AW240" s="53"/>
      <c r="AX240" s="53"/>
      <c r="AY240" s="72"/>
      <c r="AZ240" s="24">
        <f t="shared" si="92"/>
        <v>0</v>
      </c>
      <c r="BA240" s="24">
        <f t="shared" si="94"/>
        <v>0</v>
      </c>
      <c r="BB240" s="83"/>
    </row>
    <row r="241" spans="1:54" ht="14.25" x14ac:dyDescent="0.15">
      <c r="A241" s="10" t="s">
        <v>83</v>
      </c>
      <c r="B241" s="14"/>
      <c r="C241" s="15"/>
      <c r="D241" s="15"/>
      <c r="E241" s="15"/>
      <c r="F241" s="15"/>
      <c r="G241" s="16">
        <f t="shared" si="85"/>
        <v>0</v>
      </c>
      <c r="H241" s="14"/>
      <c r="I241" s="15"/>
      <c r="J241" s="15"/>
      <c r="K241" s="15"/>
      <c r="L241" s="15"/>
      <c r="M241" s="57">
        <f t="shared" si="86"/>
        <v>0</v>
      </c>
      <c r="N241" s="14"/>
      <c r="O241" s="55"/>
      <c r="P241" s="55"/>
      <c r="Q241" s="55"/>
      <c r="R241" s="67"/>
      <c r="S241" s="24">
        <f t="shared" si="87"/>
        <v>0</v>
      </c>
      <c r="T241" s="15"/>
      <c r="U241" s="55"/>
      <c r="V241" s="55"/>
      <c r="W241" s="55"/>
      <c r="X241" s="67">
        <v>1</v>
      </c>
      <c r="Y241" s="24">
        <f t="shared" si="88"/>
        <v>1</v>
      </c>
      <c r="Z241" s="24">
        <f t="shared" si="93"/>
        <v>1</v>
      </c>
      <c r="AA241" s="93">
        <v>43700</v>
      </c>
      <c r="AB241" s="10" t="s">
        <v>10</v>
      </c>
      <c r="AC241" s="14"/>
      <c r="AD241" s="15"/>
      <c r="AE241" s="15"/>
      <c r="AF241" s="15"/>
      <c r="AG241" s="15"/>
      <c r="AH241" s="16">
        <f t="shared" si="89"/>
        <v>0</v>
      </c>
      <c r="AI241" s="14"/>
      <c r="AJ241" s="15"/>
      <c r="AK241" s="15"/>
      <c r="AL241" s="15"/>
      <c r="AM241" s="15"/>
      <c r="AN241" s="57">
        <f t="shared" si="90"/>
        <v>0</v>
      </c>
      <c r="AO241" s="14"/>
      <c r="AP241" s="55"/>
      <c r="AQ241" s="55"/>
      <c r="AR241" s="55"/>
      <c r="AS241" s="67"/>
      <c r="AT241" s="24">
        <f t="shared" si="91"/>
        <v>0</v>
      </c>
      <c r="AU241" s="15"/>
      <c r="AV241" s="55"/>
      <c r="AW241" s="55"/>
      <c r="AX241" s="55"/>
      <c r="AY241" s="67"/>
      <c r="AZ241" s="24">
        <f t="shared" si="92"/>
        <v>0</v>
      </c>
      <c r="BA241" s="24">
        <f t="shared" si="94"/>
        <v>0</v>
      </c>
    </row>
    <row r="242" spans="1:54" ht="15" thickBot="1" x14ac:dyDescent="0.2">
      <c r="A242" s="10" t="s">
        <v>77</v>
      </c>
      <c r="B242" s="14"/>
      <c r="C242" s="15">
        <v>1</v>
      </c>
      <c r="D242" s="15"/>
      <c r="E242" s="15"/>
      <c r="F242" s="15"/>
      <c r="G242" s="16">
        <f t="shared" si="85"/>
        <v>1</v>
      </c>
      <c r="H242" s="14">
        <v>1</v>
      </c>
      <c r="I242" s="15"/>
      <c r="J242" s="15"/>
      <c r="K242" s="15"/>
      <c r="L242" s="15"/>
      <c r="M242" s="57">
        <f t="shared" si="86"/>
        <v>1</v>
      </c>
      <c r="N242" s="63"/>
      <c r="O242" s="64">
        <v>1</v>
      </c>
      <c r="P242" s="64"/>
      <c r="Q242" s="64"/>
      <c r="R242" s="69"/>
      <c r="S242" s="82">
        <f t="shared" si="87"/>
        <v>1</v>
      </c>
      <c r="T242" s="73">
        <v>1</v>
      </c>
      <c r="U242" s="64">
        <v>1</v>
      </c>
      <c r="V242" s="64">
        <v>1</v>
      </c>
      <c r="W242" s="64">
        <v>2</v>
      </c>
      <c r="X242" s="69">
        <v>1</v>
      </c>
      <c r="Y242" s="82">
        <f t="shared" si="88"/>
        <v>6</v>
      </c>
      <c r="Z242" s="82">
        <f t="shared" si="93"/>
        <v>9</v>
      </c>
      <c r="AA242" s="93">
        <v>43704</v>
      </c>
      <c r="AB242" s="138" t="s">
        <v>187</v>
      </c>
      <c r="AC242" s="139"/>
      <c r="AD242" s="140"/>
      <c r="AE242" s="140"/>
      <c r="AF242" s="140">
        <v>1</v>
      </c>
      <c r="AG242" s="140"/>
      <c r="AH242" s="141">
        <f t="shared" si="89"/>
        <v>1</v>
      </c>
      <c r="AI242" s="139">
        <v>1</v>
      </c>
      <c r="AJ242" s="140">
        <v>2</v>
      </c>
      <c r="AK242" s="140"/>
      <c r="AL242" s="140"/>
      <c r="AM242" s="140">
        <v>1</v>
      </c>
      <c r="AN242" s="142">
        <f t="shared" si="90"/>
        <v>4</v>
      </c>
      <c r="AO242" s="143"/>
      <c r="AP242" s="144">
        <v>1</v>
      </c>
      <c r="AQ242" s="144">
        <v>-3</v>
      </c>
      <c r="AR242" s="144"/>
      <c r="AS242" s="145">
        <v>-1</v>
      </c>
      <c r="AT242" s="146">
        <f t="shared" si="91"/>
        <v>-3</v>
      </c>
      <c r="AU242" s="147"/>
      <c r="AV242" s="144"/>
      <c r="AW242" s="144">
        <v>3</v>
      </c>
      <c r="AX242" s="144">
        <v>-1</v>
      </c>
      <c r="AY242" s="145"/>
      <c r="AZ242" s="146">
        <f t="shared" si="92"/>
        <v>2</v>
      </c>
      <c r="BA242" s="146">
        <f t="shared" si="94"/>
        <v>4</v>
      </c>
      <c r="BB242" s="197">
        <v>43708</v>
      </c>
    </row>
    <row r="243" spans="1:54" ht="15" thickBot="1" x14ac:dyDescent="0.2">
      <c r="A243" s="4" t="s">
        <v>12</v>
      </c>
      <c r="B243" s="17">
        <f>SUM(B238:B242)</f>
        <v>5</v>
      </c>
      <c r="C243" s="18">
        <f>SUM(C238:C242)</f>
        <v>4</v>
      </c>
      <c r="D243" s="18">
        <f>SUM(D238:D242)</f>
        <v>5</v>
      </c>
      <c r="E243" s="18">
        <f>SUM(E238:E242)</f>
        <v>3</v>
      </c>
      <c r="F243" s="18">
        <f>SUM(F238:F242)</f>
        <v>4</v>
      </c>
      <c r="G243" s="19">
        <f t="shared" si="85"/>
        <v>21</v>
      </c>
      <c r="H243" s="17">
        <f>SUM(H238:H242)</f>
        <v>5</v>
      </c>
      <c r="I243" s="18">
        <f>SUM(I238:I242)</f>
        <v>3</v>
      </c>
      <c r="J243" s="18">
        <f>SUM(J238:J242)</f>
        <v>4</v>
      </c>
      <c r="K243" s="18">
        <f>SUM(K238:K242)</f>
        <v>5</v>
      </c>
      <c r="L243" s="18">
        <f>SUM(L238:L242)</f>
        <v>5</v>
      </c>
      <c r="M243" s="25">
        <f t="shared" si="86"/>
        <v>22</v>
      </c>
      <c r="N243" s="65">
        <f>SUM(N238:N242)</f>
        <v>3</v>
      </c>
      <c r="O243" s="18">
        <f>SUM(O238:O242)</f>
        <v>4</v>
      </c>
      <c r="P243" s="18">
        <f>SUM(P238:P242)</f>
        <v>3</v>
      </c>
      <c r="Q243" s="18">
        <f>SUM(Q238:Q242)</f>
        <v>7</v>
      </c>
      <c r="R243" s="70">
        <f>SUM(R238:R242)</f>
        <v>1</v>
      </c>
      <c r="S243" s="49">
        <f t="shared" si="87"/>
        <v>18</v>
      </c>
      <c r="T243" s="74">
        <f>SUM(T238:T242)</f>
        <v>3</v>
      </c>
      <c r="U243" s="18">
        <f>SUM(U238:U242)</f>
        <v>6</v>
      </c>
      <c r="V243" s="18">
        <f>SUM(V238:V242)</f>
        <v>4</v>
      </c>
      <c r="W243" s="18">
        <f>SUM(W238:W242)</f>
        <v>4</v>
      </c>
      <c r="X243" s="70">
        <f>SUM(X238:X242)</f>
        <v>5</v>
      </c>
      <c r="Y243" s="49">
        <f t="shared" si="88"/>
        <v>22</v>
      </c>
      <c r="Z243" s="33">
        <f t="shared" si="93"/>
        <v>83</v>
      </c>
      <c r="AB243" s="4" t="s">
        <v>12</v>
      </c>
      <c r="AC243" s="17">
        <f>SUM(AC238:AC242)</f>
        <v>144</v>
      </c>
      <c r="AD243" s="18">
        <f>SUM(AD238:AD242)</f>
        <v>168</v>
      </c>
      <c r="AE243" s="18">
        <f>SUM(AE238:AE242)</f>
        <v>192</v>
      </c>
      <c r="AF243" s="18">
        <f>SUM(AF238:AF242)</f>
        <v>169</v>
      </c>
      <c r="AG243" s="18">
        <f>SUM(AG238:AG242)</f>
        <v>166</v>
      </c>
      <c r="AH243" s="19">
        <f t="shared" si="89"/>
        <v>839</v>
      </c>
      <c r="AI243" s="17">
        <f>SUM(AI238:AI242)</f>
        <v>107</v>
      </c>
      <c r="AJ243" s="18">
        <f>SUM(AJ238:AJ242)</f>
        <v>124</v>
      </c>
      <c r="AK243" s="18">
        <f>SUM(AK238:AK242)</f>
        <v>139</v>
      </c>
      <c r="AL243" s="18">
        <f>SUM(AL238:AL242)</f>
        <v>135</v>
      </c>
      <c r="AM243" s="18">
        <f>SUM(AM238:AM242)</f>
        <v>133</v>
      </c>
      <c r="AN243" s="25">
        <f t="shared" si="90"/>
        <v>638</v>
      </c>
      <c r="AO243" s="65">
        <f>SUM(AO238:AO242)</f>
        <v>113</v>
      </c>
      <c r="AP243" s="18">
        <f>SUM(AP238:AP242)</f>
        <v>124</v>
      </c>
      <c r="AQ243" s="18">
        <f>SUM(AQ238:AQ242)</f>
        <v>101</v>
      </c>
      <c r="AR243" s="18">
        <f>SUM(AR238:AR242)</f>
        <v>95</v>
      </c>
      <c r="AS243" s="70">
        <f>SUM(AS238:AS242)</f>
        <v>72</v>
      </c>
      <c r="AT243" s="49">
        <f t="shared" si="91"/>
        <v>505</v>
      </c>
      <c r="AU243" s="74">
        <f>SUM(AU238:AU242)</f>
        <v>118</v>
      </c>
      <c r="AV243" s="18">
        <f>SUM(AV238:AV242)</f>
        <v>112</v>
      </c>
      <c r="AW243" s="18">
        <f>SUM(AW238:AW242)</f>
        <v>105</v>
      </c>
      <c r="AX243" s="18">
        <f>SUM(AX238:AX242)</f>
        <v>114</v>
      </c>
      <c r="AY243" s="70">
        <f>SUM(AY238:AY242)</f>
        <v>69</v>
      </c>
      <c r="AZ243" s="49">
        <f t="shared" si="92"/>
        <v>518</v>
      </c>
      <c r="BA243" s="33">
        <f t="shared" si="94"/>
        <v>2500</v>
      </c>
    </row>
    <row r="244" spans="1:54" ht="14.25" x14ac:dyDescent="0.15">
      <c r="A244" s="40" t="s">
        <v>124</v>
      </c>
      <c r="B244" s="34"/>
      <c r="C244" s="35"/>
      <c r="D244" s="35"/>
      <c r="E244" s="35"/>
      <c r="F244" s="35"/>
      <c r="G244" s="36">
        <f t="shared" si="85"/>
        <v>0</v>
      </c>
      <c r="H244" s="34"/>
      <c r="I244" s="35"/>
      <c r="J244" s="35"/>
      <c r="K244" s="35"/>
      <c r="L244" s="35"/>
      <c r="M244" s="36">
        <f t="shared" si="86"/>
        <v>0</v>
      </c>
      <c r="N244" s="39"/>
      <c r="O244" s="56"/>
      <c r="P244" s="56"/>
      <c r="Q244" s="56"/>
      <c r="R244" s="71"/>
      <c r="S244" s="16">
        <f t="shared" si="87"/>
        <v>0</v>
      </c>
      <c r="T244" s="39"/>
      <c r="U244" s="56"/>
      <c r="V244" s="56"/>
      <c r="W244" s="56">
        <v>1</v>
      </c>
      <c r="X244" s="71"/>
      <c r="Y244" s="16">
        <f t="shared" si="88"/>
        <v>1</v>
      </c>
      <c r="Z244" s="16">
        <f t="shared" si="93"/>
        <v>1</v>
      </c>
      <c r="AA244" s="83">
        <v>43697</v>
      </c>
      <c r="AB244" s="21" t="s">
        <v>170</v>
      </c>
      <c r="AC244" s="34"/>
      <c r="AD244" s="35">
        <v>1</v>
      </c>
      <c r="AE244" s="35"/>
      <c r="AF244" s="35">
        <v>1</v>
      </c>
      <c r="AG244" s="35"/>
      <c r="AH244" s="36">
        <f t="shared" si="89"/>
        <v>2</v>
      </c>
      <c r="AI244" s="34"/>
      <c r="AJ244" s="35"/>
      <c r="AK244" s="35"/>
      <c r="AL244" s="35"/>
      <c r="AM244" s="35"/>
      <c r="AN244" s="36">
        <f t="shared" si="90"/>
        <v>0</v>
      </c>
      <c r="AO244" s="39"/>
      <c r="AP244" s="56"/>
      <c r="AQ244" s="56"/>
      <c r="AR244" s="56"/>
      <c r="AS244" s="71"/>
      <c r="AT244" s="16">
        <f t="shared" si="91"/>
        <v>0</v>
      </c>
      <c r="AU244" s="39"/>
      <c r="AV244" s="56"/>
      <c r="AW244" s="56"/>
      <c r="AX244" s="56"/>
      <c r="AY244" s="71"/>
      <c r="AZ244" s="16">
        <f t="shared" si="92"/>
        <v>0</v>
      </c>
      <c r="BA244" s="16">
        <f t="shared" si="94"/>
        <v>2</v>
      </c>
      <c r="BB244" s="83">
        <v>43696</v>
      </c>
    </row>
    <row r="245" spans="1:54" ht="14.25" x14ac:dyDescent="0.15">
      <c r="A245" s="40" t="s">
        <v>48</v>
      </c>
      <c r="B245" s="41"/>
      <c r="C245" s="42"/>
      <c r="D245" s="42"/>
      <c r="E245" s="42"/>
      <c r="F245" s="42"/>
      <c r="G245" s="43">
        <f t="shared" si="85"/>
        <v>0</v>
      </c>
      <c r="H245" s="41"/>
      <c r="I245" s="42"/>
      <c r="J245" s="42"/>
      <c r="K245" s="42"/>
      <c r="L245" s="42"/>
      <c r="M245" s="43">
        <f t="shared" si="86"/>
        <v>0</v>
      </c>
      <c r="N245" s="42"/>
      <c r="O245" s="53"/>
      <c r="P245" s="53"/>
      <c r="Q245" s="53"/>
      <c r="R245" s="72">
        <v>1</v>
      </c>
      <c r="S245" s="24">
        <f t="shared" si="87"/>
        <v>1</v>
      </c>
      <c r="T245" s="42"/>
      <c r="U245" s="53"/>
      <c r="V245" s="53"/>
      <c r="W245" s="53"/>
      <c r="X245" s="72"/>
      <c r="Y245" s="24">
        <f t="shared" si="88"/>
        <v>0</v>
      </c>
      <c r="Z245" s="24">
        <f t="shared" si="93"/>
        <v>1</v>
      </c>
      <c r="AA245" s="83">
        <v>43700</v>
      </c>
      <c r="AB245" s="21" t="s">
        <v>29</v>
      </c>
      <c r="AC245" s="41">
        <v>5</v>
      </c>
      <c r="AD245" s="42"/>
      <c r="AE245" s="42"/>
      <c r="AF245" s="42"/>
      <c r="AG245" s="42">
        <v>10</v>
      </c>
      <c r="AH245" s="43">
        <f t="shared" si="89"/>
        <v>15</v>
      </c>
      <c r="AI245" s="41"/>
      <c r="AJ245" s="42"/>
      <c r="AK245" s="42"/>
      <c r="AL245" s="42"/>
      <c r="AM245" s="42">
        <v>5</v>
      </c>
      <c r="AN245" s="43">
        <f t="shared" si="90"/>
        <v>5</v>
      </c>
      <c r="AO245" s="42"/>
      <c r="AP245" s="53"/>
      <c r="AQ245" s="53"/>
      <c r="AR245" s="53"/>
      <c r="AS245" s="72"/>
      <c r="AT245" s="24">
        <f t="shared" si="91"/>
        <v>0</v>
      </c>
      <c r="AU245" s="42"/>
      <c r="AV245" s="53"/>
      <c r="AW245" s="53"/>
      <c r="AX245" s="53"/>
      <c r="AY245" s="72"/>
      <c r="AZ245" s="24">
        <f t="shared" si="92"/>
        <v>0</v>
      </c>
      <c r="BA245" s="24">
        <f t="shared" si="94"/>
        <v>20</v>
      </c>
      <c r="BB245" s="83">
        <v>43700</v>
      </c>
    </row>
    <row r="246" spans="1:54" ht="14.25" x14ac:dyDescent="0.15">
      <c r="A246" s="40" t="s">
        <v>124</v>
      </c>
      <c r="B246" s="41"/>
      <c r="C246" s="42"/>
      <c r="D246" s="42"/>
      <c r="E246" s="42"/>
      <c r="F246" s="42"/>
      <c r="G246" s="43">
        <f t="shared" si="85"/>
        <v>0</v>
      </c>
      <c r="H246" s="41"/>
      <c r="I246" s="42"/>
      <c r="J246" s="42"/>
      <c r="K246" s="42"/>
      <c r="L246" s="42"/>
      <c r="M246" s="43">
        <f t="shared" si="86"/>
        <v>0</v>
      </c>
      <c r="N246" s="42"/>
      <c r="O246" s="53"/>
      <c r="P246" s="53"/>
      <c r="Q246" s="53"/>
      <c r="R246" s="72"/>
      <c r="S246" s="24">
        <f t="shared" si="87"/>
        <v>0</v>
      </c>
      <c r="T246" s="42"/>
      <c r="U246" s="53"/>
      <c r="V246" s="53"/>
      <c r="W246" s="53"/>
      <c r="X246" s="72">
        <v>1</v>
      </c>
      <c r="Y246" s="24">
        <f t="shared" si="88"/>
        <v>1</v>
      </c>
      <c r="Z246" s="24">
        <f t="shared" si="93"/>
        <v>1</v>
      </c>
      <c r="AA246" s="93">
        <v>43703</v>
      </c>
      <c r="AB246" s="21" t="s">
        <v>171</v>
      </c>
      <c r="AC246" s="41">
        <v>1</v>
      </c>
      <c r="AD246" s="42"/>
      <c r="AE246" s="42">
        <v>1</v>
      </c>
      <c r="AF246" s="42"/>
      <c r="AG246" s="42"/>
      <c r="AH246" s="43">
        <f t="shared" si="89"/>
        <v>2</v>
      </c>
      <c r="AI246" s="41"/>
      <c r="AJ246" s="42"/>
      <c r="AK246" s="42"/>
      <c r="AL246" s="42"/>
      <c r="AM246" s="42"/>
      <c r="AN246" s="43">
        <f t="shared" si="90"/>
        <v>0</v>
      </c>
      <c r="AO246" s="42">
        <v>2</v>
      </c>
      <c r="AP246" s="53">
        <v>7</v>
      </c>
      <c r="AQ246" s="53"/>
      <c r="AR246" s="53"/>
      <c r="AS246" s="72">
        <v>1</v>
      </c>
      <c r="AT246" s="24">
        <f t="shared" si="91"/>
        <v>10</v>
      </c>
      <c r="AU246" s="42"/>
      <c r="AV246" s="53"/>
      <c r="AW246" s="53"/>
      <c r="AX246" s="53"/>
      <c r="AY246" s="72">
        <v>2</v>
      </c>
      <c r="AZ246" s="24">
        <f t="shared" si="92"/>
        <v>2</v>
      </c>
      <c r="BA246" s="24">
        <f t="shared" si="94"/>
        <v>14</v>
      </c>
      <c r="BB246" s="83">
        <v>43697</v>
      </c>
    </row>
    <row r="247" spans="1:54" ht="14.25" x14ac:dyDescent="0.15">
      <c r="A247" s="21" t="s">
        <v>160</v>
      </c>
      <c r="B247" s="41">
        <v>1</v>
      </c>
      <c r="C247" s="42"/>
      <c r="D247" s="42"/>
      <c r="E247" s="42"/>
      <c r="F247" s="42">
        <v>1</v>
      </c>
      <c r="G247" s="43">
        <f>SUM(B247:F247)</f>
        <v>2</v>
      </c>
      <c r="H247" s="41">
        <v>1</v>
      </c>
      <c r="I247" s="42"/>
      <c r="J247" s="42">
        <v>1</v>
      </c>
      <c r="K247" s="42">
        <v>2</v>
      </c>
      <c r="L247" s="42">
        <v>2</v>
      </c>
      <c r="M247" s="43">
        <f>SUM(H247:L247)</f>
        <v>6</v>
      </c>
      <c r="N247" s="42"/>
      <c r="O247" s="53"/>
      <c r="P247" s="53"/>
      <c r="Q247" s="53"/>
      <c r="R247" s="72"/>
      <c r="S247" s="24">
        <f>SUM(N247:R247)</f>
        <v>0</v>
      </c>
      <c r="T247" s="42"/>
      <c r="U247" s="53"/>
      <c r="V247" s="53"/>
      <c r="W247" s="53"/>
      <c r="X247" s="72"/>
      <c r="Y247" s="24">
        <f>SUM(T247:X247)</f>
        <v>0</v>
      </c>
      <c r="Z247" s="24">
        <f>G247+M247+S247+Y247</f>
        <v>8</v>
      </c>
      <c r="AA247" s="93">
        <v>43701</v>
      </c>
      <c r="AB247" s="21" t="s">
        <v>222</v>
      </c>
      <c r="AC247" s="41">
        <v>3</v>
      </c>
      <c r="AD247" s="42">
        <v>3</v>
      </c>
      <c r="AE247" s="42">
        <v>3</v>
      </c>
      <c r="AF247" s="42">
        <v>3</v>
      </c>
      <c r="AG247" s="42">
        <v>3</v>
      </c>
      <c r="AH247" s="43">
        <f t="shared" si="89"/>
        <v>15</v>
      </c>
      <c r="AI247" s="41">
        <v>3</v>
      </c>
      <c r="AJ247" s="42">
        <v>3</v>
      </c>
      <c r="AK247" s="42">
        <v>3</v>
      </c>
      <c r="AL247" s="42">
        <v>3</v>
      </c>
      <c r="AM247" s="42">
        <v>3</v>
      </c>
      <c r="AN247" s="43">
        <f t="shared" si="90"/>
        <v>15</v>
      </c>
      <c r="AO247" s="42">
        <v>3</v>
      </c>
      <c r="AP247" s="53">
        <v>3</v>
      </c>
      <c r="AQ247" s="53">
        <v>3</v>
      </c>
      <c r="AR247" s="53">
        <v>3</v>
      </c>
      <c r="AS247" s="72">
        <v>3</v>
      </c>
      <c r="AT247" s="43">
        <f t="shared" si="91"/>
        <v>15</v>
      </c>
      <c r="AU247" s="42">
        <v>3</v>
      </c>
      <c r="AV247" s="53">
        <v>3</v>
      </c>
      <c r="AW247" s="53">
        <v>3</v>
      </c>
      <c r="AX247" s="53">
        <v>3</v>
      </c>
      <c r="AY247" s="72">
        <v>3</v>
      </c>
      <c r="AZ247" s="43">
        <f t="shared" si="92"/>
        <v>15</v>
      </c>
      <c r="BA247" s="43">
        <f t="shared" si="94"/>
        <v>60</v>
      </c>
      <c r="BB247" s="83">
        <v>43700</v>
      </c>
    </row>
    <row r="248" spans="1:54" ht="14.25" x14ac:dyDescent="0.15">
      <c r="A248" s="40" t="s">
        <v>48</v>
      </c>
      <c r="B248" s="41"/>
      <c r="C248" s="42"/>
      <c r="D248" s="42"/>
      <c r="E248" s="42"/>
      <c r="F248" s="42"/>
      <c r="G248" s="43">
        <f t="shared" si="85"/>
        <v>0</v>
      </c>
      <c r="H248" s="41"/>
      <c r="I248" s="42"/>
      <c r="J248" s="42"/>
      <c r="K248" s="42"/>
      <c r="L248" s="42"/>
      <c r="M248" s="43">
        <f t="shared" si="86"/>
        <v>0</v>
      </c>
      <c r="N248" s="42"/>
      <c r="O248" s="53"/>
      <c r="P248" s="53"/>
      <c r="Q248" s="53"/>
      <c r="R248" s="72"/>
      <c r="S248" s="24">
        <f t="shared" si="87"/>
        <v>0</v>
      </c>
      <c r="T248" s="42"/>
      <c r="U248" s="53"/>
      <c r="V248" s="53"/>
      <c r="W248" s="53">
        <v>1</v>
      </c>
      <c r="X248" s="72"/>
      <c r="Y248" s="24">
        <f t="shared" si="88"/>
        <v>1</v>
      </c>
      <c r="Z248" s="24">
        <f t="shared" si="93"/>
        <v>1</v>
      </c>
      <c r="AA248" s="93">
        <v>43705</v>
      </c>
      <c r="AB248" s="21" t="s">
        <v>173</v>
      </c>
      <c r="AC248" s="41"/>
      <c r="AD248" s="42"/>
      <c r="AE248" s="42">
        <v>1</v>
      </c>
      <c r="AF248" s="42">
        <v>1</v>
      </c>
      <c r="AG248" s="42"/>
      <c r="AH248" s="43">
        <f t="shared" si="89"/>
        <v>2</v>
      </c>
      <c r="AI248" s="41"/>
      <c r="AJ248" s="42">
        <v>1</v>
      </c>
      <c r="AK248" s="42"/>
      <c r="AL248" s="42"/>
      <c r="AM248" s="42">
        <v>1</v>
      </c>
      <c r="AN248" s="43">
        <f t="shared" si="90"/>
        <v>2</v>
      </c>
      <c r="AO248" s="42"/>
      <c r="AP248" s="53"/>
      <c r="AQ248" s="53"/>
      <c r="AR248" s="53"/>
      <c r="AS248" s="72">
        <v>1</v>
      </c>
      <c r="AT248" s="24">
        <f t="shared" si="91"/>
        <v>1</v>
      </c>
      <c r="AU248" s="42"/>
      <c r="AV248" s="53"/>
      <c r="AW248" s="53"/>
      <c r="AX248" s="53"/>
      <c r="AY248" s="72"/>
      <c r="AZ248" s="24">
        <f t="shared" si="92"/>
        <v>0</v>
      </c>
      <c r="BA248" s="24">
        <f t="shared" si="94"/>
        <v>5</v>
      </c>
      <c r="BB248" s="83">
        <v>43697</v>
      </c>
    </row>
    <row r="249" spans="1:54" ht="14.25" x14ac:dyDescent="0.15">
      <c r="A249" s="121" t="s">
        <v>179</v>
      </c>
      <c r="B249" s="41"/>
      <c r="C249" s="42"/>
      <c r="D249" s="42"/>
      <c r="E249" s="42"/>
      <c r="F249" s="42"/>
      <c r="G249" s="43">
        <f t="shared" si="85"/>
        <v>0</v>
      </c>
      <c r="H249" s="41"/>
      <c r="I249" s="42"/>
      <c r="J249" s="42"/>
      <c r="K249" s="42"/>
      <c r="L249" s="42"/>
      <c r="M249" s="43">
        <f t="shared" si="86"/>
        <v>0</v>
      </c>
      <c r="N249" s="42">
        <v>-1</v>
      </c>
      <c r="O249" s="53"/>
      <c r="P249" s="53"/>
      <c r="Q249" s="53"/>
      <c r="R249" s="72"/>
      <c r="S249" s="24">
        <f t="shared" si="87"/>
        <v>-1</v>
      </c>
      <c r="T249" s="42"/>
      <c r="U249" s="53">
        <v>-1</v>
      </c>
      <c r="V249" s="53"/>
      <c r="W249" s="53"/>
      <c r="X249" s="72"/>
      <c r="Y249" s="24">
        <f t="shared" si="88"/>
        <v>-1</v>
      </c>
      <c r="Z249" s="24">
        <f t="shared" si="93"/>
        <v>-2</v>
      </c>
      <c r="AA249" s="93">
        <v>43705</v>
      </c>
      <c r="AB249" s="21" t="s">
        <v>174</v>
      </c>
      <c r="AC249" s="41"/>
      <c r="AD249" s="42"/>
      <c r="AE249" s="42"/>
      <c r="AF249" s="42"/>
      <c r="AG249" s="42"/>
      <c r="AH249" s="43">
        <f t="shared" si="89"/>
        <v>0</v>
      </c>
      <c r="AI249" s="41"/>
      <c r="AJ249" s="42"/>
      <c r="AK249" s="42"/>
      <c r="AL249" s="42"/>
      <c r="AM249" s="42"/>
      <c r="AN249" s="43">
        <f t="shared" si="90"/>
        <v>0</v>
      </c>
      <c r="AO249" s="42"/>
      <c r="AP249" s="53"/>
      <c r="AQ249" s="53"/>
      <c r="AR249" s="53">
        <v>1</v>
      </c>
      <c r="AS249" s="72"/>
      <c r="AT249" s="24">
        <f t="shared" si="91"/>
        <v>1</v>
      </c>
      <c r="AU249" s="42"/>
      <c r="AV249" s="53"/>
      <c r="AW249" s="53">
        <v>1</v>
      </c>
      <c r="AX249" s="53"/>
      <c r="AY249" s="72"/>
      <c r="AZ249" s="24">
        <f t="shared" si="92"/>
        <v>1</v>
      </c>
      <c r="BA249" s="24">
        <f t="shared" si="94"/>
        <v>2</v>
      </c>
      <c r="BB249" s="83">
        <v>43698</v>
      </c>
    </row>
    <row r="250" spans="1:54" ht="14.25" x14ac:dyDescent="0.15">
      <c r="A250" s="40" t="s">
        <v>48</v>
      </c>
      <c r="B250" s="41"/>
      <c r="C250" s="42"/>
      <c r="D250" s="42"/>
      <c r="E250" s="42"/>
      <c r="F250" s="42"/>
      <c r="G250" s="43">
        <f t="shared" si="85"/>
        <v>0</v>
      </c>
      <c r="H250" s="41"/>
      <c r="I250" s="42"/>
      <c r="J250" s="42"/>
      <c r="K250" s="42"/>
      <c r="L250" s="42">
        <v>1</v>
      </c>
      <c r="M250" s="43">
        <f t="shared" si="86"/>
        <v>1</v>
      </c>
      <c r="N250" s="42"/>
      <c r="O250" s="53"/>
      <c r="P250" s="53"/>
      <c r="Q250" s="53"/>
      <c r="R250" s="72"/>
      <c r="S250" s="24">
        <f t="shared" si="87"/>
        <v>0</v>
      </c>
      <c r="T250" s="42"/>
      <c r="U250" s="53"/>
      <c r="V250" s="53"/>
      <c r="W250" s="53"/>
      <c r="X250" s="72"/>
      <c r="Y250" s="24">
        <f t="shared" si="88"/>
        <v>0</v>
      </c>
      <c r="Z250" s="24">
        <f t="shared" si="93"/>
        <v>1</v>
      </c>
      <c r="AA250" s="93">
        <v>43706</v>
      </c>
      <c r="AB250" s="21" t="s">
        <v>29</v>
      </c>
      <c r="AC250" s="41"/>
      <c r="AD250" s="42">
        <v>10</v>
      </c>
      <c r="AE250" s="42"/>
      <c r="AF250" s="42"/>
      <c r="AG250" s="42"/>
      <c r="AH250" s="43">
        <f t="shared" si="89"/>
        <v>10</v>
      </c>
      <c r="AI250" s="41"/>
      <c r="AJ250" s="42"/>
      <c r="AK250" s="42"/>
      <c r="AL250" s="42"/>
      <c r="AM250" s="42">
        <v>5</v>
      </c>
      <c r="AN250" s="43">
        <f t="shared" si="90"/>
        <v>5</v>
      </c>
      <c r="AO250" s="42"/>
      <c r="AP250" s="53"/>
      <c r="AQ250" s="53"/>
      <c r="AR250" s="53"/>
      <c r="AS250" s="72"/>
      <c r="AT250" s="24">
        <f t="shared" si="91"/>
        <v>0</v>
      </c>
      <c r="AU250" s="42"/>
      <c r="AV250" s="53"/>
      <c r="AW250" s="53"/>
      <c r="AX250" s="53"/>
      <c r="AY250" s="72"/>
      <c r="AZ250" s="24">
        <f t="shared" si="92"/>
        <v>0</v>
      </c>
      <c r="BA250" s="24">
        <f t="shared" si="94"/>
        <v>15</v>
      </c>
      <c r="BB250" s="83">
        <v>43703</v>
      </c>
    </row>
    <row r="251" spans="1:54" ht="14.25" x14ac:dyDescent="0.15">
      <c r="A251" s="21"/>
      <c r="B251" s="41"/>
      <c r="C251" s="42"/>
      <c r="D251" s="42"/>
      <c r="E251" s="42"/>
      <c r="F251" s="42"/>
      <c r="G251" s="43">
        <f t="shared" si="85"/>
        <v>0</v>
      </c>
      <c r="H251" s="41"/>
      <c r="I251" s="42"/>
      <c r="J251" s="42"/>
      <c r="K251" s="42"/>
      <c r="L251" s="42"/>
      <c r="M251" s="43">
        <f t="shared" si="86"/>
        <v>0</v>
      </c>
      <c r="N251" s="42"/>
      <c r="O251" s="53"/>
      <c r="P251" s="53"/>
      <c r="Q251" s="53"/>
      <c r="R251" s="72"/>
      <c r="S251" s="24">
        <f t="shared" si="87"/>
        <v>0</v>
      </c>
      <c r="T251" s="42"/>
      <c r="U251" s="53"/>
      <c r="V251" s="53"/>
      <c r="W251" s="53"/>
      <c r="X251" s="72"/>
      <c r="Y251" s="24">
        <f t="shared" si="88"/>
        <v>0</v>
      </c>
      <c r="Z251" s="24">
        <f t="shared" si="93"/>
        <v>0</v>
      </c>
      <c r="AB251" s="23" t="s">
        <v>185</v>
      </c>
      <c r="AC251" s="41"/>
      <c r="AD251" s="42"/>
      <c r="AE251" s="42"/>
      <c r="AF251" s="42"/>
      <c r="AG251" s="42"/>
      <c r="AH251" s="43">
        <f t="shared" si="89"/>
        <v>0</v>
      </c>
      <c r="AI251" s="41"/>
      <c r="AJ251" s="42"/>
      <c r="AK251" s="42"/>
      <c r="AL251" s="42"/>
      <c r="AM251" s="42"/>
      <c r="AN251" s="43">
        <f t="shared" si="90"/>
        <v>0</v>
      </c>
      <c r="AO251" s="42">
        <v>1</v>
      </c>
      <c r="AP251" s="53">
        <v>2</v>
      </c>
      <c r="AQ251" s="53">
        <v>3</v>
      </c>
      <c r="AR251" s="53">
        <v>2</v>
      </c>
      <c r="AS251" s="72">
        <v>1</v>
      </c>
      <c r="AT251" s="24">
        <f t="shared" si="91"/>
        <v>9</v>
      </c>
      <c r="AU251" s="42">
        <v>1</v>
      </c>
      <c r="AV251" s="53">
        <v>2</v>
      </c>
      <c r="AW251" s="53">
        <v>2</v>
      </c>
      <c r="AX251" s="53">
        <v>1</v>
      </c>
      <c r="AY251" s="72">
        <v>1</v>
      </c>
      <c r="AZ251" s="24">
        <f t="shared" si="92"/>
        <v>7</v>
      </c>
      <c r="BA251" s="24">
        <f t="shared" si="94"/>
        <v>16</v>
      </c>
      <c r="BB251" s="83">
        <v>43700</v>
      </c>
    </row>
    <row r="252" spans="1:54" ht="14.25" x14ac:dyDescent="0.15">
      <c r="A252" s="21"/>
      <c r="B252" s="41"/>
      <c r="C252" s="42"/>
      <c r="D252" s="42"/>
      <c r="E252" s="42"/>
      <c r="F252" s="42"/>
      <c r="G252" s="43">
        <f t="shared" si="85"/>
        <v>0</v>
      </c>
      <c r="H252" s="41"/>
      <c r="I252" s="42"/>
      <c r="J252" s="42"/>
      <c r="K252" s="42"/>
      <c r="L252" s="42"/>
      <c r="M252" s="43">
        <f t="shared" si="86"/>
        <v>0</v>
      </c>
      <c r="N252" s="42"/>
      <c r="O252" s="53"/>
      <c r="P252" s="53"/>
      <c r="Q252" s="53"/>
      <c r="R252" s="72"/>
      <c r="S252" s="24">
        <f t="shared" si="87"/>
        <v>0</v>
      </c>
      <c r="T252" s="42"/>
      <c r="U252" s="53"/>
      <c r="V252" s="53"/>
      <c r="W252" s="53"/>
      <c r="X252" s="72"/>
      <c r="Y252" s="24">
        <f t="shared" si="88"/>
        <v>0</v>
      </c>
      <c r="Z252" s="24">
        <f t="shared" si="93"/>
        <v>0</v>
      </c>
      <c r="AB252" s="21" t="s">
        <v>175</v>
      </c>
      <c r="AC252" s="41"/>
      <c r="AD252" s="42">
        <v>2</v>
      </c>
      <c r="AE252" s="42">
        <v>1</v>
      </c>
      <c r="AF252" s="42"/>
      <c r="AG252" s="42"/>
      <c r="AH252" s="43">
        <f t="shared" si="89"/>
        <v>3</v>
      </c>
      <c r="AI252" s="41"/>
      <c r="AJ252" s="42"/>
      <c r="AK252" s="42"/>
      <c r="AL252" s="42"/>
      <c r="AM252" s="42"/>
      <c r="AN252" s="43">
        <f t="shared" si="90"/>
        <v>0</v>
      </c>
      <c r="AO252" s="42"/>
      <c r="AP252" s="53"/>
      <c r="AQ252" s="53">
        <v>1</v>
      </c>
      <c r="AR252" s="53"/>
      <c r="AS252" s="72"/>
      <c r="AT252" s="24">
        <f t="shared" si="91"/>
        <v>1</v>
      </c>
      <c r="AU252" s="42"/>
      <c r="AV252" s="53"/>
      <c r="AW252" s="53"/>
      <c r="AX252" s="53"/>
      <c r="AY252" s="72"/>
      <c r="AZ252" s="24">
        <f t="shared" si="92"/>
        <v>0</v>
      </c>
      <c r="BA252" s="24">
        <f t="shared" si="94"/>
        <v>4</v>
      </c>
      <c r="BB252" s="83">
        <v>43699</v>
      </c>
    </row>
    <row r="253" spans="1:54" ht="14.25" x14ac:dyDescent="0.15">
      <c r="A253" s="21"/>
      <c r="B253" s="44"/>
      <c r="C253" s="45"/>
      <c r="D253" s="45"/>
      <c r="E253" s="45"/>
      <c r="F253" s="45"/>
      <c r="G253" s="43">
        <f t="shared" si="85"/>
        <v>0</v>
      </c>
      <c r="H253" s="44"/>
      <c r="I253" s="45"/>
      <c r="J253" s="45"/>
      <c r="K253" s="45"/>
      <c r="L253" s="45"/>
      <c r="M253" s="43">
        <f t="shared" si="86"/>
        <v>0</v>
      </c>
      <c r="N253" s="42"/>
      <c r="O253" s="53"/>
      <c r="P253" s="53"/>
      <c r="Q253" s="53"/>
      <c r="R253" s="72"/>
      <c r="S253" s="24">
        <f t="shared" si="87"/>
        <v>0</v>
      </c>
      <c r="T253" s="42"/>
      <c r="U253" s="53"/>
      <c r="V253" s="53"/>
      <c r="W253" s="53"/>
      <c r="X253" s="72"/>
      <c r="Y253" s="24">
        <f t="shared" si="88"/>
        <v>0</v>
      </c>
      <c r="Z253" s="24">
        <f t="shared" si="93"/>
        <v>0</v>
      </c>
      <c r="AB253" s="21" t="s">
        <v>29</v>
      </c>
      <c r="AC253" s="44"/>
      <c r="AD253" s="45"/>
      <c r="AE253" s="45"/>
      <c r="AF253" s="45"/>
      <c r="AG253" s="45"/>
      <c r="AH253" s="43">
        <f t="shared" si="89"/>
        <v>0</v>
      </c>
      <c r="AI253" s="44"/>
      <c r="AJ253" s="45"/>
      <c r="AK253" s="45"/>
      <c r="AL253" s="45">
        <v>10</v>
      </c>
      <c r="AM253" s="45">
        <v>10</v>
      </c>
      <c r="AN253" s="43">
        <f t="shared" si="90"/>
        <v>20</v>
      </c>
      <c r="AO253" s="42"/>
      <c r="AP253" s="53"/>
      <c r="AQ253" s="53"/>
      <c r="AR253" s="53"/>
      <c r="AS253" s="72"/>
      <c r="AT253" s="24">
        <f t="shared" si="91"/>
        <v>0</v>
      </c>
      <c r="AU253" s="42"/>
      <c r="AV253" s="53"/>
      <c r="AW253" s="53"/>
      <c r="AX253" s="53"/>
      <c r="AY253" s="72"/>
      <c r="AZ253" s="24">
        <f t="shared" si="92"/>
        <v>0</v>
      </c>
      <c r="BA253" s="24">
        <f t="shared" si="94"/>
        <v>20</v>
      </c>
      <c r="BB253" s="83">
        <v>43706</v>
      </c>
    </row>
    <row r="254" spans="1:54" ht="14.25" x14ac:dyDescent="0.15">
      <c r="A254" s="21"/>
      <c r="B254" s="41"/>
      <c r="C254" s="42"/>
      <c r="D254" s="42"/>
      <c r="E254" s="42"/>
      <c r="F254" s="42"/>
      <c r="G254" s="43">
        <f t="shared" si="85"/>
        <v>0</v>
      </c>
      <c r="H254" s="41"/>
      <c r="I254" s="42"/>
      <c r="J254" s="42"/>
      <c r="K254" s="42"/>
      <c r="L254" s="42"/>
      <c r="M254" s="43">
        <f t="shared" si="86"/>
        <v>0</v>
      </c>
      <c r="N254" s="42"/>
      <c r="O254" s="53"/>
      <c r="P254" s="53"/>
      <c r="Q254" s="53"/>
      <c r="R254" s="72"/>
      <c r="S254" s="24">
        <f t="shared" si="87"/>
        <v>0</v>
      </c>
      <c r="T254" s="42"/>
      <c r="U254" s="53"/>
      <c r="V254" s="53"/>
      <c r="W254" s="53"/>
      <c r="X254" s="72"/>
      <c r="Y254" s="24">
        <f t="shared" si="88"/>
        <v>0</v>
      </c>
      <c r="Z254" s="24">
        <f t="shared" si="93"/>
        <v>0</v>
      </c>
      <c r="AB254" s="21" t="s">
        <v>176</v>
      </c>
      <c r="AC254" s="41"/>
      <c r="AD254" s="42"/>
      <c r="AE254" s="42"/>
      <c r="AF254" s="42"/>
      <c r="AG254" s="42"/>
      <c r="AH254" s="43">
        <f t="shared" si="89"/>
        <v>0</v>
      </c>
      <c r="AI254" s="41"/>
      <c r="AJ254" s="42"/>
      <c r="AK254" s="42"/>
      <c r="AL254" s="42"/>
      <c r="AM254" s="42"/>
      <c r="AN254" s="43">
        <f t="shared" si="90"/>
        <v>0</v>
      </c>
      <c r="AO254" s="42"/>
      <c r="AP254" s="53"/>
      <c r="AQ254" s="53"/>
      <c r="AR254" s="53"/>
      <c r="AS254" s="72"/>
      <c r="AT254" s="24">
        <f t="shared" si="91"/>
        <v>0</v>
      </c>
      <c r="AU254" s="42"/>
      <c r="AV254" s="53"/>
      <c r="AW254" s="53"/>
      <c r="AX254" s="53"/>
      <c r="AY254" s="72">
        <v>1</v>
      </c>
      <c r="AZ254" s="24">
        <f t="shared" si="92"/>
        <v>1</v>
      </c>
      <c r="BA254" s="24">
        <f t="shared" si="94"/>
        <v>1</v>
      </c>
      <c r="BB254" s="83">
        <v>43701</v>
      </c>
    </row>
    <row r="255" spans="1:54" ht="14.25" x14ac:dyDescent="0.15">
      <c r="A255" s="21"/>
      <c r="B255" s="41"/>
      <c r="C255" s="42"/>
      <c r="D255" s="42"/>
      <c r="E255" s="42"/>
      <c r="F255" s="42"/>
      <c r="G255" s="43">
        <f t="shared" si="85"/>
        <v>0</v>
      </c>
      <c r="H255" s="41"/>
      <c r="I255" s="42"/>
      <c r="J255" s="42"/>
      <c r="K255" s="42"/>
      <c r="L255" s="42"/>
      <c r="M255" s="43">
        <f t="shared" si="86"/>
        <v>0</v>
      </c>
      <c r="N255" s="42"/>
      <c r="O255" s="53"/>
      <c r="P255" s="53"/>
      <c r="Q255" s="53"/>
      <c r="R255" s="72"/>
      <c r="S255" s="24">
        <f t="shared" si="87"/>
        <v>0</v>
      </c>
      <c r="T255" s="42"/>
      <c r="U255" s="53"/>
      <c r="V255" s="53"/>
      <c r="W255" s="53"/>
      <c r="X255" s="72"/>
      <c r="Y255" s="24">
        <f t="shared" si="88"/>
        <v>0</v>
      </c>
      <c r="Z255" s="24">
        <f t="shared" si="93"/>
        <v>0</v>
      </c>
      <c r="AB255" s="40" t="s">
        <v>124</v>
      </c>
      <c r="AC255" s="41">
        <v>1</v>
      </c>
      <c r="AD255" s="42"/>
      <c r="AE255" s="42"/>
      <c r="AF255" s="42"/>
      <c r="AG255" s="42"/>
      <c r="AH255" s="43">
        <f t="shared" si="89"/>
        <v>1</v>
      </c>
      <c r="AI255" s="41"/>
      <c r="AJ255" s="42"/>
      <c r="AK255" s="42"/>
      <c r="AL255" s="42"/>
      <c r="AM255" s="42"/>
      <c r="AN255" s="43">
        <f t="shared" si="90"/>
        <v>0</v>
      </c>
      <c r="AO255" s="42"/>
      <c r="AP255" s="53"/>
      <c r="AQ255" s="53"/>
      <c r="AR255" s="53"/>
      <c r="AS255" s="72">
        <v>1</v>
      </c>
      <c r="AT255" s="24">
        <f t="shared" si="91"/>
        <v>1</v>
      </c>
      <c r="AU255" s="42"/>
      <c r="AV255" s="53"/>
      <c r="AW255" s="53">
        <v>1</v>
      </c>
      <c r="AX255" s="53"/>
      <c r="AY255" s="72">
        <v>1</v>
      </c>
      <c r="AZ255" s="24">
        <f t="shared" si="92"/>
        <v>2</v>
      </c>
      <c r="BA255" s="24">
        <f t="shared" si="94"/>
        <v>4</v>
      </c>
      <c r="BB255" s="83">
        <v>43703</v>
      </c>
    </row>
    <row r="256" spans="1:54" ht="14.25" x14ac:dyDescent="0.15">
      <c r="A256" s="21"/>
      <c r="B256" s="41"/>
      <c r="C256" s="42"/>
      <c r="D256" s="42"/>
      <c r="E256" s="42"/>
      <c r="F256" s="42"/>
      <c r="G256" s="43">
        <f t="shared" si="85"/>
        <v>0</v>
      </c>
      <c r="H256" s="41"/>
      <c r="I256" s="42"/>
      <c r="J256" s="42"/>
      <c r="K256" s="42"/>
      <c r="L256" s="42"/>
      <c r="M256" s="43">
        <f t="shared" si="86"/>
        <v>0</v>
      </c>
      <c r="N256" s="42"/>
      <c r="O256" s="53"/>
      <c r="P256" s="53"/>
      <c r="Q256" s="53"/>
      <c r="R256" s="72"/>
      <c r="S256" s="24">
        <f t="shared" si="87"/>
        <v>0</v>
      </c>
      <c r="T256" s="42"/>
      <c r="U256" s="53"/>
      <c r="V256" s="53"/>
      <c r="W256" s="53"/>
      <c r="X256" s="72"/>
      <c r="Y256" s="24">
        <f t="shared" si="88"/>
        <v>0</v>
      </c>
      <c r="Z256" s="24">
        <f t="shared" si="93"/>
        <v>0</v>
      </c>
      <c r="AB256" s="21" t="s">
        <v>177</v>
      </c>
      <c r="AC256" s="41">
        <v>1</v>
      </c>
      <c r="AD256" s="42"/>
      <c r="AE256" s="42"/>
      <c r="AF256" s="42">
        <v>1</v>
      </c>
      <c r="AG256" s="42"/>
      <c r="AH256" s="43">
        <f t="shared" si="89"/>
        <v>2</v>
      </c>
      <c r="AI256" s="41"/>
      <c r="AJ256" s="42"/>
      <c r="AK256" s="42"/>
      <c r="AL256" s="42"/>
      <c r="AM256" s="42"/>
      <c r="AN256" s="43">
        <f t="shared" si="90"/>
        <v>0</v>
      </c>
      <c r="AO256" s="42"/>
      <c r="AP256" s="53"/>
      <c r="AQ256" s="53"/>
      <c r="AR256" s="53">
        <v>1</v>
      </c>
      <c r="AS256" s="72"/>
      <c r="AT256" s="24">
        <f t="shared" si="91"/>
        <v>1</v>
      </c>
      <c r="AU256" s="42"/>
      <c r="AV256" s="53"/>
      <c r="AW256" s="53"/>
      <c r="AX256" s="53"/>
      <c r="AY256" s="72"/>
      <c r="AZ256" s="24">
        <f t="shared" si="92"/>
        <v>0</v>
      </c>
      <c r="BA256" s="24">
        <f t="shared" si="94"/>
        <v>3</v>
      </c>
      <c r="BB256" s="83">
        <v>43705</v>
      </c>
    </row>
    <row r="257" spans="1:55" ht="14.25" x14ac:dyDescent="0.15">
      <c r="A257" s="21"/>
      <c r="B257" s="38"/>
      <c r="C257" s="39"/>
      <c r="D257" s="39"/>
      <c r="E257" s="39"/>
      <c r="F257" s="39"/>
      <c r="G257" s="37">
        <f t="shared" si="85"/>
        <v>0</v>
      </c>
      <c r="H257" s="38"/>
      <c r="I257" s="39"/>
      <c r="J257" s="39"/>
      <c r="K257" s="39"/>
      <c r="L257" s="39"/>
      <c r="M257" s="37">
        <f t="shared" si="86"/>
        <v>0</v>
      </c>
      <c r="N257" s="42"/>
      <c r="O257" s="53"/>
      <c r="P257" s="53"/>
      <c r="Q257" s="53"/>
      <c r="R257" s="72"/>
      <c r="S257" s="24">
        <f t="shared" si="87"/>
        <v>0</v>
      </c>
      <c r="T257" s="42"/>
      <c r="U257" s="53"/>
      <c r="V257" s="53"/>
      <c r="W257" s="53"/>
      <c r="X257" s="72"/>
      <c r="Y257" s="24">
        <f t="shared" si="88"/>
        <v>0</v>
      </c>
      <c r="Z257" s="24">
        <f t="shared" si="93"/>
        <v>0</v>
      </c>
      <c r="AB257" s="40" t="s">
        <v>124</v>
      </c>
      <c r="AC257" s="38"/>
      <c r="AD257" s="39"/>
      <c r="AE257" s="39"/>
      <c r="AF257" s="39"/>
      <c r="AG257" s="39"/>
      <c r="AH257" s="37">
        <f t="shared" si="89"/>
        <v>0</v>
      </c>
      <c r="AI257" s="38"/>
      <c r="AJ257" s="39"/>
      <c r="AK257" s="39"/>
      <c r="AL257" s="39"/>
      <c r="AM257" s="39"/>
      <c r="AN257" s="37">
        <f t="shared" si="90"/>
        <v>0</v>
      </c>
      <c r="AO257" s="42"/>
      <c r="AP257" s="53"/>
      <c r="AQ257" s="53">
        <v>1</v>
      </c>
      <c r="AR257" s="53"/>
      <c r="AS257" s="72"/>
      <c r="AT257" s="24">
        <f t="shared" si="91"/>
        <v>1</v>
      </c>
      <c r="AU257" s="42"/>
      <c r="AV257" s="53">
        <v>1</v>
      </c>
      <c r="AW257" s="53"/>
      <c r="AX257" s="53"/>
      <c r="AY257" s="72"/>
      <c r="AZ257" s="24">
        <f t="shared" si="92"/>
        <v>1</v>
      </c>
      <c r="BA257" s="24">
        <f t="shared" si="94"/>
        <v>2</v>
      </c>
      <c r="BB257" s="83">
        <v>43705</v>
      </c>
    </row>
    <row r="258" spans="1:55" ht="14.25" x14ac:dyDescent="0.15">
      <c r="A258" s="21"/>
      <c r="B258" s="41"/>
      <c r="C258" s="42"/>
      <c r="D258" s="42"/>
      <c r="E258" s="42"/>
      <c r="F258" s="42"/>
      <c r="G258" s="43">
        <f t="shared" si="85"/>
        <v>0</v>
      </c>
      <c r="H258" s="41"/>
      <c r="I258" s="42"/>
      <c r="J258" s="42"/>
      <c r="K258" s="42"/>
      <c r="L258" s="42"/>
      <c r="M258" s="43">
        <f t="shared" si="86"/>
        <v>0</v>
      </c>
      <c r="N258" s="42"/>
      <c r="O258" s="53"/>
      <c r="P258" s="53"/>
      <c r="Q258" s="53"/>
      <c r="R258" s="72"/>
      <c r="S258" s="24">
        <f t="shared" si="87"/>
        <v>0</v>
      </c>
      <c r="T258" s="42"/>
      <c r="U258" s="53"/>
      <c r="V258" s="53"/>
      <c r="W258" s="53"/>
      <c r="X258" s="72"/>
      <c r="Y258" s="24">
        <f t="shared" si="88"/>
        <v>0</v>
      </c>
      <c r="Z258" s="24">
        <f t="shared" si="93"/>
        <v>0</v>
      </c>
      <c r="AB258" s="40" t="s">
        <v>124</v>
      </c>
      <c r="AC258" s="41"/>
      <c r="AD258" s="42"/>
      <c r="AE258" s="42"/>
      <c r="AF258" s="42"/>
      <c r="AG258" s="42"/>
      <c r="AH258" s="43">
        <f t="shared" si="89"/>
        <v>0</v>
      </c>
      <c r="AI258" s="41"/>
      <c r="AJ258" s="42"/>
      <c r="AK258" s="42"/>
      <c r="AL258" s="42"/>
      <c r="AM258" s="42"/>
      <c r="AN258" s="43">
        <f t="shared" si="90"/>
        <v>0</v>
      </c>
      <c r="AO258" s="42"/>
      <c r="AP258" s="53"/>
      <c r="AQ258" s="53"/>
      <c r="AR258" s="53">
        <v>2</v>
      </c>
      <c r="AS258" s="72"/>
      <c r="AT258" s="24">
        <f t="shared" si="91"/>
        <v>2</v>
      </c>
      <c r="AU258" s="42"/>
      <c r="AV258" s="53"/>
      <c r="AW258" s="53"/>
      <c r="AX258" s="53"/>
      <c r="AY258" s="72"/>
      <c r="AZ258" s="24">
        <f t="shared" si="92"/>
        <v>0</v>
      </c>
      <c r="BA258" s="24">
        <f t="shared" si="94"/>
        <v>2</v>
      </c>
      <c r="BB258" s="83">
        <v>43706</v>
      </c>
    </row>
    <row r="259" spans="1:55" ht="14.25" x14ac:dyDescent="0.15">
      <c r="A259" s="21"/>
      <c r="B259" s="14"/>
      <c r="C259" s="15"/>
      <c r="D259" s="15"/>
      <c r="E259" s="15"/>
      <c r="F259" s="15"/>
      <c r="G259" s="24">
        <f t="shared" si="85"/>
        <v>0</v>
      </c>
      <c r="H259" s="14"/>
      <c r="I259" s="15"/>
      <c r="J259" s="15"/>
      <c r="K259" s="15"/>
      <c r="L259" s="15"/>
      <c r="M259" s="24">
        <f t="shared" si="86"/>
        <v>0</v>
      </c>
      <c r="N259" s="15"/>
      <c r="O259" s="55"/>
      <c r="P259" s="55"/>
      <c r="Q259" s="55"/>
      <c r="R259" s="67"/>
      <c r="S259" s="24">
        <f t="shared" si="87"/>
        <v>0</v>
      </c>
      <c r="T259" s="15"/>
      <c r="U259" s="55"/>
      <c r="V259" s="55"/>
      <c r="W259" s="55"/>
      <c r="X259" s="67"/>
      <c r="Y259" s="24">
        <f t="shared" si="88"/>
        <v>0</v>
      </c>
      <c r="Z259" s="24">
        <f t="shared" si="93"/>
        <v>0</v>
      </c>
      <c r="AB259" s="21" t="s">
        <v>178</v>
      </c>
      <c r="AC259" s="14"/>
      <c r="AD259" s="15">
        <v>2</v>
      </c>
      <c r="AE259" s="15"/>
      <c r="AF259" s="15"/>
      <c r="AG259" s="15"/>
      <c r="AH259" s="24">
        <f t="shared" si="89"/>
        <v>2</v>
      </c>
      <c r="AI259" s="14"/>
      <c r="AJ259" s="15"/>
      <c r="AK259" s="15"/>
      <c r="AL259" s="15"/>
      <c r="AM259" s="15"/>
      <c r="AN259" s="24">
        <f t="shared" si="90"/>
        <v>0</v>
      </c>
      <c r="AO259" s="15"/>
      <c r="AP259" s="55"/>
      <c r="AQ259" s="55"/>
      <c r="AR259" s="55"/>
      <c r="AS259" s="67"/>
      <c r="AT259" s="24">
        <f t="shared" si="91"/>
        <v>0</v>
      </c>
      <c r="AU259" s="15"/>
      <c r="AV259" s="55">
        <v>1</v>
      </c>
      <c r="AW259" s="55">
        <v>1</v>
      </c>
      <c r="AX259" s="55"/>
      <c r="AY259" s="67"/>
      <c r="AZ259" s="24">
        <f t="shared" si="92"/>
        <v>2</v>
      </c>
      <c r="BA259" s="24">
        <f t="shared" si="94"/>
        <v>4</v>
      </c>
      <c r="BB259" s="83">
        <v>43707</v>
      </c>
    </row>
    <row r="260" spans="1:55" ht="14.25" x14ac:dyDescent="0.15">
      <c r="A260" s="23"/>
      <c r="B260" s="14"/>
      <c r="C260" s="15"/>
      <c r="D260" s="15"/>
      <c r="E260" s="15"/>
      <c r="F260" s="15"/>
      <c r="G260" s="24">
        <f t="shared" si="85"/>
        <v>0</v>
      </c>
      <c r="H260" s="14"/>
      <c r="I260" s="15"/>
      <c r="J260" s="15"/>
      <c r="K260" s="15"/>
      <c r="L260" s="15"/>
      <c r="M260" s="24">
        <f t="shared" si="86"/>
        <v>0</v>
      </c>
      <c r="N260" s="15"/>
      <c r="O260" s="55"/>
      <c r="P260" s="55"/>
      <c r="Q260" s="55"/>
      <c r="R260" s="67"/>
      <c r="S260" s="24">
        <f t="shared" si="87"/>
        <v>0</v>
      </c>
      <c r="T260" s="15"/>
      <c r="U260" s="55"/>
      <c r="V260" s="55"/>
      <c r="W260" s="55"/>
      <c r="X260" s="67"/>
      <c r="Y260" s="24">
        <f t="shared" si="88"/>
        <v>0</v>
      </c>
      <c r="Z260" s="24">
        <f t="shared" si="93"/>
        <v>0</v>
      </c>
      <c r="AB260" s="40" t="s">
        <v>124</v>
      </c>
      <c r="AC260" s="14"/>
      <c r="AD260" s="15"/>
      <c r="AE260" s="15"/>
      <c r="AF260" s="15"/>
      <c r="AG260" s="15"/>
      <c r="AH260" s="24">
        <f t="shared" si="89"/>
        <v>0</v>
      </c>
      <c r="AI260" s="14"/>
      <c r="AJ260" s="15"/>
      <c r="AK260" s="15"/>
      <c r="AL260" s="15"/>
      <c r="AM260" s="15"/>
      <c r="AN260" s="24">
        <f t="shared" si="90"/>
        <v>0</v>
      </c>
      <c r="AO260" s="15"/>
      <c r="AP260" s="55"/>
      <c r="AQ260" s="55">
        <v>1</v>
      </c>
      <c r="AR260" s="55">
        <v>2</v>
      </c>
      <c r="AS260" s="67">
        <v>1</v>
      </c>
      <c r="AT260" s="24">
        <f t="shared" si="91"/>
        <v>4</v>
      </c>
      <c r="AU260" s="15"/>
      <c r="AV260" s="55"/>
      <c r="AW260" s="55"/>
      <c r="AX260" s="55"/>
      <c r="AY260" s="67">
        <v>1</v>
      </c>
      <c r="AZ260" s="24">
        <f t="shared" si="92"/>
        <v>1</v>
      </c>
      <c r="BA260" s="24">
        <f t="shared" si="94"/>
        <v>5</v>
      </c>
      <c r="BB260" s="83">
        <v>43707</v>
      </c>
    </row>
    <row r="261" spans="1:55" ht="14.25" x14ac:dyDescent="0.15">
      <c r="A261" s="23"/>
      <c r="B261" s="14"/>
      <c r="C261" s="15"/>
      <c r="D261" s="15"/>
      <c r="E261" s="15"/>
      <c r="F261" s="15"/>
      <c r="G261" s="24">
        <f t="shared" si="85"/>
        <v>0</v>
      </c>
      <c r="H261" s="14"/>
      <c r="I261" s="15"/>
      <c r="J261" s="15"/>
      <c r="K261" s="15"/>
      <c r="L261" s="15"/>
      <c r="M261" s="24">
        <f t="shared" si="86"/>
        <v>0</v>
      </c>
      <c r="N261" s="15"/>
      <c r="O261" s="55"/>
      <c r="P261" s="55"/>
      <c r="Q261" s="55"/>
      <c r="R261" s="67"/>
      <c r="S261" s="24">
        <f t="shared" si="87"/>
        <v>0</v>
      </c>
      <c r="T261" s="15"/>
      <c r="U261" s="55"/>
      <c r="V261" s="55"/>
      <c r="W261" s="55"/>
      <c r="X261" s="67"/>
      <c r="Y261" s="24">
        <f t="shared" si="88"/>
        <v>0</v>
      </c>
      <c r="Z261" s="24">
        <f t="shared" si="93"/>
        <v>0</v>
      </c>
      <c r="AB261" s="21" t="s">
        <v>180</v>
      </c>
      <c r="AC261" s="14"/>
      <c r="AD261" s="15"/>
      <c r="AE261" s="15">
        <v>1</v>
      </c>
      <c r="AF261" s="15"/>
      <c r="AG261" s="15"/>
      <c r="AH261" s="24">
        <f t="shared" si="89"/>
        <v>1</v>
      </c>
      <c r="AI261" s="14"/>
      <c r="AJ261" s="15"/>
      <c r="AK261" s="15"/>
      <c r="AL261" s="15"/>
      <c r="AM261" s="15"/>
      <c r="AN261" s="24">
        <f t="shared" si="90"/>
        <v>0</v>
      </c>
      <c r="AO261" s="15"/>
      <c r="AP261" s="55"/>
      <c r="AQ261" s="55">
        <v>1</v>
      </c>
      <c r="AR261" s="55"/>
      <c r="AS261" s="67">
        <v>1</v>
      </c>
      <c r="AT261" s="24">
        <f t="shared" si="91"/>
        <v>2</v>
      </c>
      <c r="AU261" s="15"/>
      <c r="AV261" s="55"/>
      <c r="AW261" s="55"/>
      <c r="AX261" s="55"/>
      <c r="AY261" s="67"/>
      <c r="AZ261" s="24">
        <f t="shared" si="92"/>
        <v>0</v>
      </c>
      <c r="BA261" s="24">
        <f t="shared" si="94"/>
        <v>3</v>
      </c>
      <c r="BB261" s="83">
        <v>43708</v>
      </c>
    </row>
    <row r="262" spans="1:55" ht="14.25" x14ac:dyDescent="0.15">
      <c r="A262" s="23"/>
      <c r="B262" s="14"/>
      <c r="C262" s="15"/>
      <c r="D262" s="15"/>
      <c r="E262" s="15"/>
      <c r="F262" s="15"/>
      <c r="G262" s="24">
        <f t="shared" si="85"/>
        <v>0</v>
      </c>
      <c r="H262" s="14"/>
      <c r="I262" s="15"/>
      <c r="J262" s="15"/>
      <c r="K262" s="15"/>
      <c r="L262" s="15"/>
      <c r="M262" s="24">
        <f t="shared" si="86"/>
        <v>0</v>
      </c>
      <c r="N262" s="15"/>
      <c r="O262" s="55"/>
      <c r="P262" s="55"/>
      <c r="Q262" s="55"/>
      <c r="R262" s="67"/>
      <c r="S262" s="24">
        <f t="shared" si="87"/>
        <v>0</v>
      </c>
      <c r="T262" s="15"/>
      <c r="U262" s="55"/>
      <c r="V262" s="55"/>
      <c r="W262" s="55"/>
      <c r="X262" s="67"/>
      <c r="Y262" s="24">
        <f t="shared" si="88"/>
        <v>0</v>
      </c>
      <c r="Z262" s="24">
        <f t="shared" si="93"/>
        <v>0</v>
      </c>
      <c r="AB262" s="21" t="s">
        <v>182</v>
      </c>
      <c r="AC262" s="14"/>
      <c r="AD262" s="15"/>
      <c r="AE262" s="15"/>
      <c r="AF262" s="15"/>
      <c r="AG262" s="15"/>
      <c r="AH262" s="24">
        <f t="shared" si="89"/>
        <v>0</v>
      </c>
      <c r="AI262" s="14"/>
      <c r="AJ262" s="15">
        <v>5</v>
      </c>
      <c r="AK262" s="15">
        <v>5</v>
      </c>
      <c r="AL262" s="15"/>
      <c r="AM262" s="15">
        <v>-10</v>
      </c>
      <c r="AN262" s="24">
        <f t="shared" si="90"/>
        <v>0</v>
      </c>
      <c r="AO262" s="15"/>
      <c r="AP262" s="55"/>
      <c r="AQ262" s="55"/>
      <c r="AR262" s="55"/>
      <c r="AS262" s="67"/>
      <c r="AT262" s="24">
        <f t="shared" si="91"/>
        <v>0</v>
      </c>
      <c r="AU262" s="15"/>
      <c r="AV262" s="55"/>
      <c r="AW262" s="55"/>
      <c r="AX262" s="55"/>
      <c r="AY262" s="67"/>
      <c r="AZ262" s="24">
        <f t="shared" si="92"/>
        <v>0</v>
      </c>
      <c r="BA262" s="24">
        <f t="shared" si="94"/>
        <v>0</v>
      </c>
      <c r="BB262" s="83">
        <v>43707</v>
      </c>
      <c r="BC262" s="111"/>
    </row>
    <row r="263" spans="1:55" ht="14.25" x14ac:dyDescent="0.15">
      <c r="A263" s="23"/>
      <c r="B263" s="14"/>
      <c r="C263" s="15"/>
      <c r="D263" s="15"/>
      <c r="E263" s="15"/>
      <c r="F263" s="15"/>
      <c r="G263" s="24">
        <f t="shared" si="85"/>
        <v>0</v>
      </c>
      <c r="H263" s="14"/>
      <c r="I263" s="15"/>
      <c r="J263" s="15"/>
      <c r="K263" s="15"/>
      <c r="L263" s="15"/>
      <c r="M263" s="24">
        <f t="shared" si="86"/>
        <v>0</v>
      </c>
      <c r="N263" s="15"/>
      <c r="O263" s="55"/>
      <c r="P263" s="55"/>
      <c r="Q263" s="55"/>
      <c r="R263" s="67"/>
      <c r="S263" s="24">
        <f t="shared" si="87"/>
        <v>0</v>
      </c>
      <c r="T263" s="15"/>
      <c r="U263" s="55"/>
      <c r="V263" s="55"/>
      <c r="W263" s="55"/>
      <c r="X263" s="67"/>
      <c r="Y263" s="24">
        <f t="shared" si="88"/>
        <v>0</v>
      </c>
      <c r="Z263" s="24">
        <f t="shared" si="93"/>
        <v>0</v>
      </c>
      <c r="AB263" s="23"/>
      <c r="AC263" s="14"/>
      <c r="AD263" s="15"/>
      <c r="AE263" s="15"/>
      <c r="AF263" s="15"/>
      <c r="AG263" s="15"/>
      <c r="AH263" s="24">
        <f t="shared" si="89"/>
        <v>0</v>
      </c>
      <c r="AI263" s="14"/>
      <c r="AJ263" s="15"/>
      <c r="AK263" s="15"/>
      <c r="AL263" s="15"/>
      <c r="AM263" s="15"/>
      <c r="AN263" s="24">
        <f t="shared" si="90"/>
        <v>0</v>
      </c>
      <c r="AO263" s="15"/>
      <c r="AP263" s="55"/>
      <c r="AQ263" s="55"/>
      <c r="AR263" s="55"/>
      <c r="AS263" s="67"/>
      <c r="AT263" s="24">
        <f t="shared" si="91"/>
        <v>0</v>
      </c>
      <c r="AU263" s="15"/>
      <c r="AV263" s="55"/>
      <c r="AW263" s="55"/>
      <c r="AX263" s="55"/>
      <c r="AY263" s="67"/>
      <c r="AZ263" s="24">
        <f t="shared" si="92"/>
        <v>0</v>
      </c>
      <c r="BA263" s="24">
        <f t="shared" si="94"/>
        <v>0</v>
      </c>
      <c r="BB263" s="128"/>
    </row>
    <row r="264" spans="1:55" ht="14.25" x14ac:dyDescent="0.15">
      <c r="A264" s="23"/>
      <c r="B264" s="14"/>
      <c r="C264" s="15"/>
      <c r="D264" s="15"/>
      <c r="E264" s="15"/>
      <c r="F264" s="15"/>
      <c r="G264" s="24">
        <f t="shared" si="85"/>
        <v>0</v>
      </c>
      <c r="H264" s="14"/>
      <c r="I264" s="15"/>
      <c r="J264" s="15"/>
      <c r="K264" s="15"/>
      <c r="L264" s="15"/>
      <c r="M264" s="24">
        <f t="shared" si="86"/>
        <v>0</v>
      </c>
      <c r="N264" s="15"/>
      <c r="O264" s="55"/>
      <c r="P264" s="55"/>
      <c r="Q264" s="55"/>
      <c r="R264" s="67"/>
      <c r="S264" s="24">
        <f t="shared" si="87"/>
        <v>0</v>
      </c>
      <c r="T264" s="15"/>
      <c r="U264" s="55"/>
      <c r="V264" s="55"/>
      <c r="W264" s="55"/>
      <c r="X264" s="67"/>
      <c r="Y264" s="24">
        <f t="shared" si="88"/>
        <v>0</v>
      </c>
      <c r="Z264" s="24">
        <f t="shared" si="93"/>
        <v>0</v>
      </c>
      <c r="AB264" s="23"/>
      <c r="AC264" s="14"/>
      <c r="AD264" s="15"/>
      <c r="AE264" s="15"/>
      <c r="AF264" s="15"/>
      <c r="AG264" s="15"/>
      <c r="AH264" s="24">
        <f t="shared" si="89"/>
        <v>0</v>
      </c>
      <c r="AI264" s="14"/>
      <c r="AJ264" s="15"/>
      <c r="AK264" s="15"/>
      <c r="AL264" s="15"/>
      <c r="AM264" s="15"/>
      <c r="AN264" s="24">
        <f t="shared" si="90"/>
        <v>0</v>
      </c>
      <c r="AO264" s="15"/>
      <c r="AP264" s="55"/>
      <c r="AQ264" s="55"/>
      <c r="AR264" s="55"/>
      <c r="AS264" s="67"/>
      <c r="AT264" s="24">
        <f t="shared" si="91"/>
        <v>0</v>
      </c>
      <c r="AU264" s="15"/>
      <c r="AV264" s="55"/>
      <c r="AW264" s="55"/>
      <c r="AX264" s="55"/>
      <c r="AY264" s="67"/>
      <c r="AZ264" s="24">
        <f t="shared" si="92"/>
        <v>0</v>
      </c>
      <c r="BA264" s="24">
        <f t="shared" si="94"/>
        <v>0</v>
      </c>
      <c r="BB264" s="128"/>
    </row>
    <row r="265" spans="1:55" ht="14.25" x14ac:dyDescent="0.15">
      <c r="A265" s="23"/>
      <c r="B265" s="44"/>
      <c r="C265" s="45"/>
      <c r="D265" s="45"/>
      <c r="E265" s="45"/>
      <c r="F265" s="45"/>
      <c r="G265" s="43">
        <f t="shared" si="85"/>
        <v>0</v>
      </c>
      <c r="H265" s="44"/>
      <c r="I265" s="45"/>
      <c r="J265" s="45"/>
      <c r="K265" s="45"/>
      <c r="L265" s="45"/>
      <c r="M265" s="43">
        <f t="shared" si="86"/>
        <v>0</v>
      </c>
      <c r="N265" s="42"/>
      <c r="O265" s="53"/>
      <c r="P265" s="53"/>
      <c r="Q265" s="53"/>
      <c r="R265" s="72"/>
      <c r="S265" s="24">
        <f t="shared" si="87"/>
        <v>0</v>
      </c>
      <c r="T265" s="42"/>
      <c r="U265" s="53"/>
      <c r="V265" s="53"/>
      <c r="W265" s="53"/>
      <c r="X265" s="72"/>
      <c r="Y265" s="24">
        <f t="shared" si="88"/>
        <v>0</v>
      </c>
      <c r="Z265" s="24">
        <f t="shared" si="93"/>
        <v>0</v>
      </c>
      <c r="AB265" s="23"/>
      <c r="AC265" s="14"/>
      <c r="AD265" s="15"/>
      <c r="AE265" s="15"/>
      <c r="AF265" s="15"/>
      <c r="AG265" s="15"/>
      <c r="AH265" s="24">
        <f t="shared" si="89"/>
        <v>0</v>
      </c>
      <c r="AI265" s="14"/>
      <c r="AJ265" s="15"/>
      <c r="AK265" s="15"/>
      <c r="AL265" s="15"/>
      <c r="AM265" s="15"/>
      <c r="AN265" s="24">
        <f t="shared" si="90"/>
        <v>0</v>
      </c>
      <c r="AO265" s="15"/>
      <c r="AP265" s="55"/>
      <c r="AQ265" s="55"/>
      <c r="AR265" s="55"/>
      <c r="AS265" s="67"/>
      <c r="AT265" s="24">
        <f t="shared" si="91"/>
        <v>0</v>
      </c>
      <c r="AU265" s="15"/>
      <c r="AV265" s="55"/>
      <c r="AW265" s="55"/>
      <c r="AX265" s="55"/>
      <c r="AY265" s="67"/>
      <c r="AZ265" s="24">
        <f t="shared" si="92"/>
        <v>0</v>
      </c>
      <c r="BA265" s="24">
        <f t="shared" si="94"/>
        <v>0</v>
      </c>
      <c r="BB265" s="128"/>
    </row>
    <row r="266" spans="1:55" ht="14.25" x14ac:dyDescent="0.15">
      <c r="A266" s="110"/>
      <c r="B266" s="41"/>
      <c r="C266" s="42"/>
      <c r="D266" s="42"/>
      <c r="E266" s="42"/>
      <c r="F266" s="42"/>
      <c r="G266" s="43">
        <f t="shared" si="85"/>
        <v>0</v>
      </c>
      <c r="H266" s="41"/>
      <c r="I266" s="42"/>
      <c r="J266" s="42"/>
      <c r="K266" s="42"/>
      <c r="L266" s="42"/>
      <c r="M266" s="43">
        <f t="shared" si="86"/>
        <v>0</v>
      </c>
      <c r="N266" s="42"/>
      <c r="O266" s="53"/>
      <c r="P266" s="53"/>
      <c r="Q266" s="53"/>
      <c r="R266" s="72"/>
      <c r="S266" s="24">
        <f t="shared" si="87"/>
        <v>0</v>
      </c>
      <c r="T266" s="42"/>
      <c r="U266" s="53"/>
      <c r="V266" s="53"/>
      <c r="W266" s="53"/>
      <c r="X266" s="72"/>
      <c r="Y266" s="24">
        <f t="shared" si="88"/>
        <v>0</v>
      </c>
      <c r="Z266" s="24">
        <f t="shared" si="93"/>
        <v>0</v>
      </c>
      <c r="AB266" s="23"/>
      <c r="AC266" s="14"/>
      <c r="AD266" s="15"/>
      <c r="AE266" s="15"/>
      <c r="AF266" s="15"/>
      <c r="AG266" s="15"/>
      <c r="AH266" s="24">
        <f t="shared" si="89"/>
        <v>0</v>
      </c>
      <c r="AI266" s="14"/>
      <c r="AJ266" s="15"/>
      <c r="AK266" s="15"/>
      <c r="AL266" s="15"/>
      <c r="AM266" s="15"/>
      <c r="AN266" s="24">
        <f t="shared" si="90"/>
        <v>0</v>
      </c>
      <c r="AO266" s="15"/>
      <c r="AP266" s="55"/>
      <c r="AQ266" s="55"/>
      <c r="AR266" s="55"/>
      <c r="AS266" s="67"/>
      <c r="AT266" s="24">
        <f t="shared" si="91"/>
        <v>0</v>
      </c>
      <c r="AU266" s="15"/>
      <c r="AV266" s="55"/>
      <c r="AW266" s="55"/>
      <c r="AX266" s="55"/>
      <c r="AY266" s="67"/>
      <c r="AZ266" s="24">
        <f t="shared" si="92"/>
        <v>0</v>
      </c>
      <c r="BA266" s="24">
        <f t="shared" si="94"/>
        <v>0</v>
      </c>
      <c r="BB266" s="128"/>
    </row>
    <row r="267" spans="1:55" ht="14.25" x14ac:dyDescent="0.15">
      <c r="A267" s="23"/>
      <c r="B267" s="41"/>
      <c r="C267" s="42"/>
      <c r="D267" s="42"/>
      <c r="E267" s="42"/>
      <c r="F267" s="42"/>
      <c r="G267" s="43">
        <f t="shared" si="85"/>
        <v>0</v>
      </c>
      <c r="H267" s="41"/>
      <c r="I267" s="42"/>
      <c r="J267" s="42"/>
      <c r="K267" s="42"/>
      <c r="L267" s="42"/>
      <c r="M267" s="43">
        <f t="shared" si="86"/>
        <v>0</v>
      </c>
      <c r="N267" s="42"/>
      <c r="O267" s="53"/>
      <c r="P267" s="53"/>
      <c r="Q267" s="53"/>
      <c r="R267" s="72"/>
      <c r="S267" s="24">
        <f t="shared" si="87"/>
        <v>0</v>
      </c>
      <c r="T267" s="42"/>
      <c r="U267" s="53"/>
      <c r="V267" s="53"/>
      <c r="W267" s="53"/>
      <c r="X267" s="72"/>
      <c r="Y267" s="24">
        <f t="shared" si="88"/>
        <v>0</v>
      </c>
      <c r="Z267" s="24">
        <f t="shared" si="93"/>
        <v>0</v>
      </c>
      <c r="AB267" s="110"/>
      <c r="AC267" s="41"/>
      <c r="AD267" s="42"/>
      <c r="AE267" s="42"/>
      <c r="AF267" s="42"/>
      <c r="AG267" s="42"/>
      <c r="AH267" s="43">
        <f t="shared" si="89"/>
        <v>0</v>
      </c>
      <c r="AI267" s="41"/>
      <c r="AJ267" s="42"/>
      <c r="AK267" s="42"/>
      <c r="AL267" s="42"/>
      <c r="AM267" s="42"/>
      <c r="AN267" s="43">
        <f t="shared" si="90"/>
        <v>0</v>
      </c>
      <c r="AO267" s="42"/>
      <c r="AP267" s="53"/>
      <c r="AQ267" s="53"/>
      <c r="AR267" s="53"/>
      <c r="AS267" s="72"/>
      <c r="AT267" s="24">
        <f t="shared" si="91"/>
        <v>0</v>
      </c>
      <c r="AU267" s="42"/>
      <c r="AV267" s="53"/>
      <c r="AW267" s="53"/>
      <c r="AX267" s="53"/>
      <c r="AY267" s="72"/>
      <c r="AZ267" s="24">
        <f t="shared" si="92"/>
        <v>0</v>
      </c>
      <c r="BA267" s="24">
        <f t="shared" si="94"/>
        <v>0</v>
      </c>
      <c r="BB267" s="128"/>
    </row>
    <row r="268" spans="1:55" ht="14.25" x14ac:dyDescent="0.15">
      <c r="A268" s="23"/>
      <c r="B268" s="41"/>
      <c r="C268" s="42"/>
      <c r="D268" s="42"/>
      <c r="E268" s="42"/>
      <c r="F268" s="42"/>
      <c r="G268" s="43">
        <f t="shared" si="85"/>
        <v>0</v>
      </c>
      <c r="H268" s="41"/>
      <c r="I268" s="42"/>
      <c r="J268" s="42"/>
      <c r="K268" s="42"/>
      <c r="L268" s="42"/>
      <c r="M268" s="43">
        <f t="shared" si="86"/>
        <v>0</v>
      </c>
      <c r="N268" s="42"/>
      <c r="O268" s="53"/>
      <c r="P268" s="53"/>
      <c r="Q268" s="53"/>
      <c r="R268" s="72"/>
      <c r="S268" s="24">
        <f>SUM(N268:R268)</f>
        <v>0</v>
      </c>
      <c r="T268" s="42"/>
      <c r="U268" s="53"/>
      <c r="V268" s="53"/>
      <c r="W268" s="53"/>
      <c r="X268" s="72"/>
      <c r="Y268" s="24">
        <f>SUM(T268:X268)</f>
        <v>0</v>
      </c>
      <c r="Z268" s="24">
        <f>G268+M268+S268+Y268</f>
        <v>0</v>
      </c>
      <c r="AB268" s="123" t="s">
        <v>91</v>
      </c>
      <c r="AC268" s="44"/>
      <c r="AD268" s="45"/>
      <c r="AE268" s="45"/>
      <c r="AF268" s="45"/>
      <c r="AG268" s="45"/>
      <c r="AH268" s="43">
        <f t="shared" si="89"/>
        <v>0</v>
      </c>
      <c r="AI268" s="44"/>
      <c r="AJ268" s="45"/>
      <c r="AK268" s="45"/>
      <c r="AL268" s="45"/>
      <c r="AM268" s="45"/>
      <c r="AN268" s="43">
        <f t="shared" si="90"/>
        <v>0</v>
      </c>
      <c r="AO268" s="42"/>
      <c r="AP268" s="53"/>
      <c r="AQ268" s="53"/>
      <c r="AR268" s="53"/>
      <c r="AS268" s="72"/>
      <c r="AT268" s="24">
        <f t="shared" si="91"/>
        <v>0</v>
      </c>
      <c r="AU268" s="42"/>
      <c r="AV268" s="53"/>
      <c r="AW268" s="53"/>
      <c r="AX268" s="53"/>
      <c r="AY268" s="72"/>
      <c r="AZ268" s="24">
        <f t="shared" si="92"/>
        <v>0</v>
      </c>
      <c r="BA268" s="24">
        <f>AH268+AN268+AT268+AZ268</f>
        <v>0</v>
      </c>
      <c r="BB268" s="83" t="s">
        <v>92</v>
      </c>
    </row>
    <row r="269" spans="1:55" ht="15" thickBot="1" x14ac:dyDescent="0.2">
      <c r="A269" s="110"/>
      <c r="B269" s="44"/>
      <c r="C269" s="45"/>
      <c r="D269" s="45"/>
      <c r="E269" s="45"/>
      <c r="F269" s="45"/>
      <c r="G269" s="43">
        <f t="shared" si="85"/>
        <v>0</v>
      </c>
      <c r="H269" s="44"/>
      <c r="I269" s="45"/>
      <c r="J269" s="45"/>
      <c r="K269" s="45"/>
      <c r="L269" s="45"/>
      <c r="M269" s="112">
        <f t="shared" si="86"/>
        <v>0</v>
      </c>
      <c r="N269" s="45"/>
      <c r="O269" s="78"/>
      <c r="P269" s="78"/>
      <c r="Q269" s="78"/>
      <c r="R269" s="79"/>
      <c r="S269" s="113">
        <f>SUM(N269:R269)</f>
        <v>0</v>
      </c>
      <c r="T269" s="45"/>
      <c r="U269" s="78"/>
      <c r="V269" s="78"/>
      <c r="W269" s="78"/>
      <c r="X269" s="79"/>
      <c r="Y269" s="113">
        <f>SUM(T269:X269)</f>
        <v>0</v>
      </c>
      <c r="Z269" s="82">
        <f>G269+M269+S269+Y269</f>
        <v>0</v>
      </c>
      <c r="AB269" s="23" t="s">
        <v>119</v>
      </c>
      <c r="AC269" s="14"/>
      <c r="AD269" s="15"/>
      <c r="AE269" s="15"/>
      <c r="AF269" s="15"/>
      <c r="AG269" s="15"/>
      <c r="AH269" s="24">
        <f t="shared" si="89"/>
        <v>0</v>
      </c>
      <c r="AI269" s="14"/>
      <c r="AJ269" s="15"/>
      <c r="AK269" s="15"/>
      <c r="AL269" s="15"/>
      <c r="AM269" s="15"/>
      <c r="AN269" s="24">
        <f t="shared" si="90"/>
        <v>0</v>
      </c>
      <c r="AO269" s="15"/>
      <c r="AP269" s="55"/>
      <c r="AQ269" s="55"/>
      <c r="AR269" s="55"/>
      <c r="AS269" s="67"/>
      <c r="AT269" s="24">
        <f t="shared" si="91"/>
        <v>0</v>
      </c>
      <c r="AU269" s="15"/>
      <c r="AV269" s="55"/>
      <c r="AW269" s="55"/>
      <c r="AX269" s="55"/>
      <c r="AY269" s="67"/>
      <c r="AZ269" s="24">
        <f t="shared" si="92"/>
        <v>0</v>
      </c>
      <c r="BA269" s="24">
        <f>AH269+AN269+AT269+AZ269</f>
        <v>0</v>
      </c>
      <c r="BB269" s="83">
        <v>43703</v>
      </c>
    </row>
    <row r="270" spans="1:55" ht="15" thickBot="1" x14ac:dyDescent="0.2">
      <c r="A270" s="9" t="s">
        <v>13</v>
      </c>
      <c r="B270" s="25">
        <f>SUM(B244:B269)</f>
        <v>1</v>
      </c>
      <c r="C270" s="26">
        <f>SUM(C244:C269)</f>
        <v>0</v>
      </c>
      <c r="D270" s="26">
        <f>SUM(D244:D269)</f>
        <v>0</v>
      </c>
      <c r="E270" s="26">
        <f>SUM(E244:E269)</f>
        <v>0</v>
      </c>
      <c r="F270" s="27">
        <f>SUM(F244:F269)</f>
        <v>1</v>
      </c>
      <c r="G270" s="19">
        <f>SUM(B270:F270)</f>
        <v>2</v>
      </c>
      <c r="H270" s="25">
        <f>SUM(H244:H269)</f>
        <v>1</v>
      </c>
      <c r="I270" s="26">
        <f>SUM(I244:I269)</f>
        <v>0</v>
      </c>
      <c r="J270" s="26">
        <f>SUM(J244:J269)</f>
        <v>1</v>
      </c>
      <c r="K270" s="26">
        <f>SUM(K244:K269)</f>
        <v>2</v>
      </c>
      <c r="L270" s="27">
        <f>SUM(L244:L269)</f>
        <v>3</v>
      </c>
      <c r="M270" s="25">
        <f>SUM(H270:L270)</f>
        <v>7</v>
      </c>
      <c r="N270" s="65">
        <f>SUM(N244:N269)</f>
        <v>-1</v>
      </c>
      <c r="O270" s="18">
        <f>SUM(O244:O269)</f>
        <v>0</v>
      </c>
      <c r="P270" s="18">
        <f>SUM(P244:P269)</f>
        <v>0</v>
      </c>
      <c r="Q270" s="18">
        <f>SUM(Q244:Q269)</f>
        <v>0</v>
      </c>
      <c r="R270" s="70">
        <f>SUM(R244:R269)</f>
        <v>1</v>
      </c>
      <c r="S270" s="49">
        <f>SUM(N270:R270)</f>
        <v>0</v>
      </c>
      <c r="T270" s="74">
        <f>SUM(T244:T269)</f>
        <v>0</v>
      </c>
      <c r="U270" s="18">
        <f>SUM(U244:U269)</f>
        <v>-1</v>
      </c>
      <c r="V270" s="18">
        <f>SUM(V244:V269)</f>
        <v>0</v>
      </c>
      <c r="W270" s="18">
        <f>SUM(W244:W269)</f>
        <v>2</v>
      </c>
      <c r="X270" s="70">
        <f>SUM(X244:X269)</f>
        <v>1</v>
      </c>
      <c r="Y270" s="49">
        <f>SUM(T270:X270)</f>
        <v>2</v>
      </c>
      <c r="Z270" s="77">
        <f>G270+M270+S270+Y270</f>
        <v>11</v>
      </c>
      <c r="AB270" s="9" t="s">
        <v>13</v>
      </c>
      <c r="AC270" s="129">
        <f>SUM(AC244:AC269)</f>
        <v>11</v>
      </c>
      <c r="AD270" s="130">
        <f>SUM(AD244:AD269)</f>
        <v>18</v>
      </c>
      <c r="AE270" s="130">
        <f>SUM(AE244:AE269)</f>
        <v>7</v>
      </c>
      <c r="AF270" s="130">
        <f>SUM(AF244:AF269)</f>
        <v>6</v>
      </c>
      <c r="AG270" s="131">
        <f>SUM(AG244:AG269)</f>
        <v>13</v>
      </c>
      <c r="AH270" s="132">
        <f t="shared" si="89"/>
        <v>55</v>
      </c>
      <c r="AI270" s="129">
        <f>SUM(AI244:AI269)</f>
        <v>3</v>
      </c>
      <c r="AJ270" s="130">
        <f>SUM(AJ244:AJ269)</f>
        <v>9</v>
      </c>
      <c r="AK270" s="130">
        <f>SUM(AK244:AK269)</f>
        <v>8</v>
      </c>
      <c r="AL270" s="130">
        <f>SUM(AL244:AL269)</f>
        <v>13</v>
      </c>
      <c r="AM270" s="131">
        <f>SUM(AM244:AM269)</f>
        <v>14</v>
      </c>
      <c r="AN270" s="129">
        <f t="shared" si="90"/>
        <v>47</v>
      </c>
      <c r="AO270" s="133">
        <f>SUM(AO244:AO269)</f>
        <v>6</v>
      </c>
      <c r="AP270" s="134">
        <f>SUM(AP244:AP269)</f>
        <v>12</v>
      </c>
      <c r="AQ270" s="134">
        <f>SUM(AQ244:AQ269)</f>
        <v>10</v>
      </c>
      <c r="AR270" s="134">
        <f>SUM(AR244:AR269)</f>
        <v>11</v>
      </c>
      <c r="AS270" s="135">
        <f>SUM(AS244:AS269)</f>
        <v>9</v>
      </c>
      <c r="AT270" s="49">
        <f t="shared" si="91"/>
        <v>48</v>
      </c>
      <c r="AU270" s="136">
        <f>SUM(AU244:AU269)</f>
        <v>4</v>
      </c>
      <c r="AV270" s="134">
        <f>SUM(AV244:AV269)</f>
        <v>7</v>
      </c>
      <c r="AW270" s="134">
        <f>SUM(AW244:AW269)</f>
        <v>8</v>
      </c>
      <c r="AX270" s="134">
        <f>SUM(AX244:AX269)</f>
        <v>4</v>
      </c>
      <c r="AY270" s="135">
        <f>SUM(AY244:AY269)</f>
        <v>9</v>
      </c>
      <c r="AZ270" s="49">
        <f t="shared" si="92"/>
        <v>32</v>
      </c>
      <c r="BA270" s="137">
        <f>AH270+AN270+AT270+AZ270</f>
        <v>182</v>
      </c>
      <c r="BB270" s="128"/>
    </row>
    <row r="271" spans="1:55" ht="15" thickBot="1" x14ac:dyDescent="0.2">
      <c r="A271" s="32" t="s">
        <v>14</v>
      </c>
      <c r="B271" s="29">
        <f t="shared" ref="B271:Y271" si="95">B243-B270</f>
        <v>4</v>
      </c>
      <c r="C271" s="30">
        <f t="shared" si="95"/>
        <v>4</v>
      </c>
      <c r="D271" s="30">
        <f t="shared" si="95"/>
        <v>5</v>
      </c>
      <c r="E271" s="30">
        <f t="shared" si="95"/>
        <v>3</v>
      </c>
      <c r="F271" s="31">
        <f t="shared" si="95"/>
        <v>3</v>
      </c>
      <c r="G271" s="31">
        <f t="shared" si="95"/>
        <v>19</v>
      </c>
      <c r="H271" s="29">
        <f t="shared" si="95"/>
        <v>4</v>
      </c>
      <c r="I271" s="30">
        <f t="shared" si="95"/>
        <v>3</v>
      </c>
      <c r="J271" s="30">
        <f t="shared" si="95"/>
        <v>3</v>
      </c>
      <c r="K271" s="30">
        <f t="shared" si="95"/>
        <v>3</v>
      </c>
      <c r="L271" s="31">
        <f t="shared" si="95"/>
        <v>2</v>
      </c>
      <c r="M271" s="66">
        <f t="shared" si="95"/>
        <v>15</v>
      </c>
      <c r="N271" s="29">
        <f t="shared" si="95"/>
        <v>4</v>
      </c>
      <c r="O271" s="30">
        <f t="shared" si="95"/>
        <v>4</v>
      </c>
      <c r="P271" s="30">
        <f t="shared" si="95"/>
        <v>3</v>
      </c>
      <c r="Q271" s="30">
        <f t="shared" si="95"/>
        <v>7</v>
      </c>
      <c r="R271" s="66">
        <f t="shared" si="95"/>
        <v>0</v>
      </c>
      <c r="S271" s="33">
        <f t="shared" si="95"/>
        <v>18</v>
      </c>
      <c r="T271" s="75">
        <f t="shared" si="95"/>
        <v>3</v>
      </c>
      <c r="U271" s="30">
        <f t="shared" si="95"/>
        <v>7</v>
      </c>
      <c r="V271" s="30">
        <f t="shared" si="95"/>
        <v>4</v>
      </c>
      <c r="W271" s="30">
        <f t="shared" si="95"/>
        <v>2</v>
      </c>
      <c r="X271" s="66">
        <f t="shared" si="95"/>
        <v>4</v>
      </c>
      <c r="Y271" s="33">
        <f t="shared" si="95"/>
        <v>20</v>
      </c>
      <c r="Z271" s="77">
        <f>G271+M271+S271+Y271</f>
        <v>72</v>
      </c>
      <c r="AB271" s="32" t="s">
        <v>14</v>
      </c>
      <c r="AC271" s="29">
        <f t="shared" ref="AC271:AZ271" si="96">AC243-AC270</f>
        <v>133</v>
      </c>
      <c r="AD271" s="30">
        <f t="shared" si="96"/>
        <v>150</v>
      </c>
      <c r="AE271" s="30">
        <f t="shared" si="96"/>
        <v>185</v>
      </c>
      <c r="AF271" s="30">
        <f t="shared" si="96"/>
        <v>163</v>
      </c>
      <c r="AG271" s="31">
        <f t="shared" si="96"/>
        <v>153</v>
      </c>
      <c r="AH271" s="31">
        <f t="shared" si="96"/>
        <v>784</v>
      </c>
      <c r="AI271" s="29">
        <f t="shared" si="96"/>
        <v>104</v>
      </c>
      <c r="AJ271" s="30">
        <f t="shared" si="96"/>
        <v>115</v>
      </c>
      <c r="AK271" s="30">
        <f t="shared" si="96"/>
        <v>131</v>
      </c>
      <c r="AL271" s="30">
        <f t="shared" si="96"/>
        <v>122</v>
      </c>
      <c r="AM271" s="31">
        <f t="shared" si="96"/>
        <v>119</v>
      </c>
      <c r="AN271" s="66">
        <f t="shared" si="96"/>
        <v>591</v>
      </c>
      <c r="AO271" s="29">
        <f t="shared" si="96"/>
        <v>107</v>
      </c>
      <c r="AP271" s="30">
        <f t="shared" si="96"/>
        <v>112</v>
      </c>
      <c r="AQ271" s="30">
        <f t="shared" si="96"/>
        <v>91</v>
      </c>
      <c r="AR271" s="30">
        <f t="shared" si="96"/>
        <v>84</v>
      </c>
      <c r="AS271" s="66">
        <f t="shared" si="96"/>
        <v>63</v>
      </c>
      <c r="AT271" s="33">
        <f t="shared" si="96"/>
        <v>457</v>
      </c>
      <c r="AU271" s="75">
        <f t="shared" si="96"/>
        <v>114</v>
      </c>
      <c r="AV271" s="30">
        <f t="shared" si="96"/>
        <v>105</v>
      </c>
      <c r="AW271" s="30">
        <f t="shared" si="96"/>
        <v>97</v>
      </c>
      <c r="AX271" s="30">
        <f t="shared" si="96"/>
        <v>110</v>
      </c>
      <c r="AY271" s="66">
        <f t="shared" si="96"/>
        <v>60</v>
      </c>
      <c r="AZ271" s="33">
        <f t="shared" si="96"/>
        <v>486</v>
      </c>
      <c r="BA271" s="77">
        <f>AH271+AN271+AT271+AZ271</f>
        <v>2318</v>
      </c>
    </row>
    <row r="274" spans="1:54" ht="19.5" thickBot="1" x14ac:dyDescent="0.25">
      <c r="A274" s="1" t="s">
        <v>15</v>
      </c>
      <c r="AB274" s="1" t="s">
        <v>16</v>
      </c>
    </row>
    <row r="275" spans="1:54" ht="15" thickBot="1" x14ac:dyDescent="0.2">
      <c r="A275" s="4"/>
      <c r="B275" s="245" t="s">
        <v>17</v>
      </c>
      <c r="C275" s="246"/>
      <c r="D275" s="246"/>
      <c r="E275" s="246"/>
      <c r="F275" s="246"/>
      <c r="G275" s="247"/>
      <c r="H275" s="245" t="s">
        <v>18</v>
      </c>
      <c r="I275" s="246"/>
      <c r="J275" s="246"/>
      <c r="K275" s="246"/>
      <c r="L275" s="246"/>
      <c r="M275" s="247"/>
      <c r="N275" s="248" t="s">
        <v>27</v>
      </c>
      <c r="O275" s="249"/>
      <c r="P275" s="249"/>
      <c r="Q275" s="249"/>
      <c r="R275" s="249"/>
      <c r="S275" s="250"/>
      <c r="T275" s="248" t="s">
        <v>28</v>
      </c>
      <c r="U275" s="249"/>
      <c r="V275" s="249"/>
      <c r="W275" s="249"/>
      <c r="X275" s="249"/>
      <c r="Y275" s="250"/>
      <c r="Z275" s="251" t="s">
        <v>1</v>
      </c>
      <c r="AB275" s="4"/>
      <c r="AC275" s="253" t="s">
        <v>17</v>
      </c>
      <c r="AD275" s="249"/>
      <c r="AE275" s="249"/>
      <c r="AF275" s="249"/>
      <c r="AG275" s="249"/>
      <c r="AH275" s="250"/>
      <c r="AI275" s="248" t="s">
        <v>18</v>
      </c>
      <c r="AJ275" s="249"/>
      <c r="AK275" s="249"/>
      <c r="AL275" s="249"/>
      <c r="AM275" s="249"/>
      <c r="AN275" s="250"/>
      <c r="AO275" s="248" t="s">
        <v>27</v>
      </c>
      <c r="AP275" s="249"/>
      <c r="AQ275" s="249"/>
      <c r="AR275" s="249"/>
      <c r="AS275" s="249"/>
      <c r="AT275" s="250"/>
      <c r="AU275" s="248" t="s">
        <v>28</v>
      </c>
      <c r="AV275" s="249"/>
      <c r="AW275" s="249"/>
      <c r="AX275" s="249"/>
      <c r="AY275" s="249"/>
      <c r="AZ275" s="250"/>
      <c r="BA275" s="243" t="s">
        <v>1</v>
      </c>
    </row>
    <row r="276" spans="1:54" ht="15" thickBot="1" x14ac:dyDescent="0.2">
      <c r="A276" s="9" t="s">
        <v>2</v>
      </c>
      <c r="B276" s="6" t="s">
        <v>3</v>
      </c>
      <c r="C276" s="7" t="s">
        <v>4</v>
      </c>
      <c r="D276" s="7" t="s">
        <v>5</v>
      </c>
      <c r="E276" s="48" t="s">
        <v>20</v>
      </c>
      <c r="F276" s="8" t="s">
        <v>21</v>
      </c>
      <c r="G276" s="5" t="s">
        <v>6</v>
      </c>
      <c r="H276" s="6" t="s">
        <v>3</v>
      </c>
      <c r="I276" s="7" t="s">
        <v>4</v>
      </c>
      <c r="J276" s="7" t="s">
        <v>5</v>
      </c>
      <c r="K276" s="48" t="s">
        <v>20</v>
      </c>
      <c r="L276" s="8" t="s">
        <v>21</v>
      </c>
      <c r="M276" s="5" t="s">
        <v>6</v>
      </c>
      <c r="N276" s="6" t="s">
        <v>3</v>
      </c>
      <c r="O276" s="7" t="s">
        <v>4</v>
      </c>
      <c r="P276" s="7" t="s">
        <v>5</v>
      </c>
      <c r="Q276" s="48" t="s">
        <v>20</v>
      </c>
      <c r="R276" s="8" t="s">
        <v>21</v>
      </c>
      <c r="S276" s="5" t="s">
        <v>6</v>
      </c>
      <c r="T276" s="7" t="s">
        <v>3</v>
      </c>
      <c r="U276" s="7" t="s">
        <v>4</v>
      </c>
      <c r="V276" s="7" t="s">
        <v>5</v>
      </c>
      <c r="W276" s="48" t="s">
        <v>20</v>
      </c>
      <c r="X276" s="109" t="s">
        <v>21</v>
      </c>
      <c r="Y276" s="62" t="s">
        <v>6</v>
      </c>
      <c r="Z276" s="252"/>
      <c r="AB276" s="9" t="s">
        <v>2</v>
      </c>
      <c r="AC276" s="6" t="s">
        <v>3</v>
      </c>
      <c r="AD276" s="7" t="s">
        <v>4</v>
      </c>
      <c r="AE276" s="7" t="s">
        <v>5</v>
      </c>
      <c r="AF276" s="48" t="s">
        <v>20</v>
      </c>
      <c r="AG276" s="8" t="s">
        <v>21</v>
      </c>
      <c r="AH276" s="5" t="s">
        <v>6</v>
      </c>
      <c r="AI276" s="6" t="s">
        <v>3</v>
      </c>
      <c r="AJ276" s="7" t="s">
        <v>4</v>
      </c>
      <c r="AK276" s="7" t="s">
        <v>5</v>
      </c>
      <c r="AL276" s="48" t="s">
        <v>20</v>
      </c>
      <c r="AM276" s="8" t="s">
        <v>21</v>
      </c>
      <c r="AN276" s="5" t="s">
        <v>6</v>
      </c>
      <c r="AO276" s="6" t="s">
        <v>3</v>
      </c>
      <c r="AP276" s="7" t="s">
        <v>4</v>
      </c>
      <c r="AQ276" s="7" t="s">
        <v>5</v>
      </c>
      <c r="AR276" s="48" t="s">
        <v>20</v>
      </c>
      <c r="AS276" s="8" t="s">
        <v>21</v>
      </c>
      <c r="AT276" s="5" t="s">
        <v>6</v>
      </c>
      <c r="AU276" s="7" t="s">
        <v>3</v>
      </c>
      <c r="AV276" s="7" t="s">
        <v>4</v>
      </c>
      <c r="AW276" s="7" t="s">
        <v>5</v>
      </c>
      <c r="AX276" s="48" t="s">
        <v>20</v>
      </c>
      <c r="AY276" s="109" t="s">
        <v>21</v>
      </c>
      <c r="AZ276" s="62" t="s">
        <v>6</v>
      </c>
      <c r="BA276" s="244"/>
    </row>
    <row r="277" spans="1:54" ht="14.25" x14ac:dyDescent="0.15">
      <c r="A277" s="103" t="s">
        <v>43</v>
      </c>
      <c r="B277" s="104">
        <f>B271</f>
        <v>4</v>
      </c>
      <c r="C277" s="105">
        <f>C271</f>
        <v>4</v>
      </c>
      <c r="D277" s="105">
        <f>D271</f>
        <v>5</v>
      </c>
      <c r="E277" s="105">
        <f>E271</f>
        <v>3</v>
      </c>
      <c r="F277" s="105">
        <f>F271</f>
        <v>3</v>
      </c>
      <c r="G277" s="106">
        <f t="shared" ref="G277:G286" si="97">SUM(B277:F277)</f>
        <v>19</v>
      </c>
      <c r="H277" s="104">
        <f>H271</f>
        <v>4</v>
      </c>
      <c r="I277" s="105">
        <f>I271</f>
        <v>3</v>
      </c>
      <c r="J277" s="105">
        <f>J271</f>
        <v>3</v>
      </c>
      <c r="K277" s="105">
        <f>K271</f>
        <v>3</v>
      </c>
      <c r="L277" s="105">
        <f>L271</f>
        <v>2</v>
      </c>
      <c r="M277" s="107">
        <f t="shared" ref="M277:M286" si="98">SUM(H277:L277)</f>
        <v>15</v>
      </c>
      <c r="N277" s="104">
        <f>N271</f>
        <v>4</v>
      </c>
      <c r="O277" s="105">
        <f>O271</f>
        <v>4</v>
      </c>
      <c r="P277" s="105">
        <f>P271</f>
        <v>3</v>
      </c>
      <c r="Q277" s="105">
        <f>Q271</f>
        <v>7</v>
      </c>
      <c r="R277" s="105">
        <f>R271</f>
        <v>0</v>
      </c>
      <c r="S277" s="108">
        <f t="shared" ref="S277:S286" si="99">SUM(N277:R277)</f>
        <v>18</v>
      </c>
      <c r="T277" s="104">
        <f>T271</f>
        <v>3</v>
      </c>
      <c r="U277" s="105">
        <f>U271</f>
        <v>7</v>
      </c>
      <c r="V277" s="105">
        <f>V271</f>
        <v>4</v>
      </c>
      <c r="W277" s="105">
        <f>W271</f>
        <v>2</v>
      </c>
      <c r="X277" s="105">
        <f>X271</f>
        <v>4</v>
      </c>
      <c r="Y277" s="106">
        <f t="shared" ref="Y277:Y286" si="100">SUM(T277:X277)</f>
        <v>20</v>
      </c>
      <c r="Z277" s="106">
        <f t="shared" ref="Z277:Z286" si="101">G277+M277+S277+Y277</f>
        <v>72</v>
      </c>
      <c r="AB277" s="103" t="s">
        <v>43</v>
      </c>
      <c r="AC277" s="104">
        <f>AC271</f>
        <v>133</v>
      </c>
      <c r="AD277" s="105">
        <f>AD271</f>
        <v>150</v>
      </c>
      <c r="AE277" s="105">
        <f>AE271</f>
        <v>185</v>
      </c>
      <c r="AF277" s="105">
        <f>AF271</f>
        <v>163</v>
      </c>
      <c r="AG277" s="105">
        <f>AG271</f>
        <v>153</v>
      </c>
      <c r="AH277" s="106">
        <f t="shared" ref="AH277:AH309" si="102">SUM(AC277:AG277)</f>
        <v>784</v>
      </c>
      <c r="AI277" s="104">
        <f>AI271</f>
        <v>104</v>
      </c>
      <c r="AJ277" s="105">
        <f>AJ271</f>
        <v>115</v>
      </c>
      <c r="AK277" s="105">
        <f>AK271</f>
        <v>131</v>
      </c>
      <c r="AL277" s="105">
        <f>AL271</f>
        <v>122</v>
      </c>
      <c r="AM277" s="105">
        <f>AM271</f>
        <v>119</v>
      </c>
      <c r="AN277" s="107">
        <f t="shared" ref="AN277:AN309" si="103">SUM(AI277:AM277)</f>
        <v>591</v>
      </c>
      <c r="AO277" s="104">
        <f>AO271</f>
        <v>107</v>
      </c>
      <c r="AP277" s="105">
        <f>AP271</f>
        <v>112</v>
      </c>
      <c r="AQ277" s="105">
        <f>AQ271</f>
        <v>91</v>
      </c>
      <c r="AR277" s="105">
        <f>AR271</f>
        <v>84</v>
      </c>
      <c r="AS277" s="105">
        <f>AS271</f>
        <v>63</v>
      </c>
      <c r="AT277" s="108">
        <f t="shared" ref="AT277:AT309" si="104">SUM(AO277:AS277)</f>
        <v>457</v>
      </c>
      <c r="AU277" s="104">
        <f>AU271</f>
        <v>114</v>
      </c>
      <c r="AV277" s="105">
        <f>AV271</f>
        <v>105</v>
      </c>
      <c r="AW277" s="105">
        <f>AW271</f>
        <v>97</v>
      </c>
      <c r="AX277" s="105">
        <f>AX271</f>
        <v>110</v>
      </c>
      <c r="AY277" s="105">
        <f>AY271</f>
        <v>60</v>
      </c>
      <c r="AZ277" s="106">
        <f t="shared" ref="AZ277:AZ309" si="105">SUM(AU277:AY277)</f>
        <v>486</v>
      </c>
      <c r="BA277" s="106">
        <f>AH277+AN277+AT277+AZ277</f>
        <v>2318</v>
      </c>
    </row>
    <row r="278" spans="1:54" ht="14.25" x14ac:dyDescent="0.15">
      <c r="A278" s="10" t="s">
        <v>181</v>
      </c>
      <c r="B278" s="14"/>
      <c r="C278" s="15"/>
      <c r="D278" s="15"/>
      <c r="E278" s="15"/>
      <c r="F278" s="15"/>
      <c r="G278" s="16">
        <f t="shared" si="97"/>
        <v>0</v>
      </c>
      <c r="H278" s="14"/>
      <c r="I278" s="15"/>
      <c r="J278" s="15"/>
      <c r="K278" s="15"/>
      <c r="L278" s="15"/>
      <c r="M278" s="57">
        <f t="shared" si="98"/>
        <v>0</v>
      </c>
      <c r="N278" s="14"/>
      <c r="O278" s="55"/>
      <c r="P278" s="55"/>
      <c r="Q278" s="55"/>
      <c r="R278" s="67">
        <v>3</v>
      </c>
      <c r="S278" s="24">
        <f t="shared" si="99"/>
        <v>3</v>
      </c>
      <c r="T278" s="15"/>
      <c r="U278" s="55"/>
      <c r="V278" s="55"/>
      <c r="W278" s="55"/>
      <c r="X278" s="67"/>
      <c r="Y278" s="24">
        <f t="shared" si="100"/>
        <v>0</v>
      </c>
      <c r="Z278" s="24">
        <f t="shared" si="101"/>
        <v>3</v>
      </c>
      <c r="AA278" s="83">
        <v>43711</v>
      </c>
      <c r="AB278" s="10" t="s">
        <v>80</v>
      </c>
      <c r="AC278" s="14">
        <v>2</v>
      </c>
      <c r="AD278" s="15"/>
      <c r="AE278" s="15">
        <v>2</v>
      </c>
      <c r="AF278" s="15">
        <v>1</v>
      </c>
      <c r="AG278" s="15"/>
      <c r="AH278" s="16">
        <v>5</v>
      </c>
      <c r="AI278" s="14"/>
      <c r="AJ278" s="15"/>
      <c r="AK278" s="15">
        <v>2</v>
      </c>
      <c r="AL278" s="15"/>
      <c r="AM278" s="15">
        <v>1</v>
      </c>
      <c r="AN278" s="57">
        <v>3</v>
      </c>
      <c r="AO278" s="14"/>
      <c r="AP278" s="55"/>
      <c r="AQ278" s="55">
        <v>1</v>
      </c>
      <c r="AR278" s="55">
        <v>2</v>
      </c>
      <c r="AS278" s="67">
        <v>1</v>
      </c>
      <c r="AT278" s="24">
        <v>4</v>
      </c>
      <c r="AU278" s="15"/>
      <c r="AV278" s="55"/>
      <c r="AW278" s="55"/>
      <c r="AX278" s="55"/>
      <c r="AY278" s="67"/>
      <c r="AZ278" s="24">
        <v>0</v>
      </c>
      <c r="BA278" s="24">
        <v>12</v>
      </c>
      <c r="BB278" s="93">
        <v>43729</v>
      </c>
    </row>
    <row r="279" spans="1:54" ht="14.25" x14ac:dyDescent="0.15">
      <c r="A279" s="10" t="s">
        <v>181</v>
      </c>
      <c r="B279" s="41"/>
      <c r="C279" s="42"/>
      <c r="D279" s="42"/>
      <c r="E279" s="42"/>
      <c r="F279" s="42"/>
      <c r="G279" s="37">
        <f t="shared" si="97"/>
        <v>0</v>
      </c>
      <c r="H279" s="41"/>
      <c r="I279" s="42"/>
      <c r="J279" s="42">
        <v>3</v>
      </c>
      <c r="K279" s="42"/>
      <c r="L279" s="42">
        <v>3</v>
      </c>
      <c r="M279" s="114">
        <f t="shared" si="98"/>
        <v>6</v>
      </c>
      <c r="N279" s="41"/>
      <c r="O279" s="53"/>
      <c r="P279" s="53"/>
      <c r="Q279" s="53"/>
      <c r="R279" s="72"/>
      <c r="S279" s="24">
        <f t="shared" si="99"/>
        <v>0</v>
      </c>
      <c r="T279" s="42"/>
      <c r="U279" s="53"/>
      <c r="V279" s="53"/>
      <c r="W279" s="53"/>
      <c r="X279" s="72"/>
      <c r="Y279" s="24">
        <f t="shared" si="100"/>
        <v>0</v>
      </c>
      <c r="Z279" s="24">
        <f t="shared" si="101"/>
        <v>6</v>
      </c>
      <c r="AA279" s="83">
        <v>43715</v>
      </c>
      <c r="AB279" s="10" t="s">
        <v>9</v>
      </c>
      <c r="AC279" s="41"/>
      <c r="AD279" s="42"/>
      <c r="AE279" s="42"/>
      <c r="AF279" s="42"/>
      <c r="AG279" s="42"/>
      <c r="AH279" s="37">
        <f t="shared" si="102"/>
        <v>0</v>
      </c>
      <c r="AI279" s="41"/>
      <c r="AJ279" s="42"/>
      <c r="AK279" s="42"/>
      <c r="AL279" s="42"/>
      <c r="AM279" s="42"/>
      <c r="AN279" s="114">
        <f t="shared" si="103"/>
        <v>0</v>
      </c>
      <c r="AO279" s="41"/>
      <c r="AP279" s="53"/>
      <c r="AQ279" s="53"/>
      <c r="AR279" s="53"/>
      <c r="AS279" s="72"/>
      <c r="AT279" s="24">
        <f t="shared" si="104"/>
        <v>0</v>
      </c>
      <c r="AU279" s="42"/>
      <c r="AV279" s="53"/>
      <c r="AW279" s="53"/>
      <c r="AX279" s="53"/>
      <c r="AY279" s="72"/>
      <c r="AZ279" s="24">
        <f t="shared" si="105"/>
        <v>0</v>
      </c>
      <c r="BA279" s="24">
        <f t="shared" ref="BA279:BA305" si="106">AH279+AN279+AT279+AZ279</f>
        <v>0</v>
      </c>
      <c r="BB279" s="83"/>
    </row>
    <row r="280" spans="1:54" ht="14.25" x14ac:dyDescent="0.15">
      <c r="A280" s="10" t="s">
        <v>83</v>
      </c>
      <c r="B280" s="14"/>
      <c r="C280" s="15"/>
      <c r="D280" s="15"/>
      <c r="E280" s="15"/>
      <c r="F280" s="15"/>
      <c r="G280" s="16">
        <f t="shared" si="97"/>
        <v>0</v>
      </c>
      <c r="H280" s="14"/>
      <c r="I280" s="15"/>
      <c r="J280" s="15"/>
      <c r="K280" s="15"/>
      <c r="L280" s="15"/>
      <c r="M280" s="57">
        <f t="shared" si="98"/>
        <v>0</v>
      </c>
      <c r="N280" s="14"/>
      <c r="O280" s="55"/>
      <c r="P280" s="55"/>
      <c r="Q280" s="55"/>
      <c r="R280" s="67">
        <v>1</v>
      </c>
      <c r="S280" s="24">
        <f t="shared" si="99"/>
        <v>1</v>
      </c>
      <c r="T280" s="15"/>
      <c r="U280" s="55"/>
      <c r="V280" s="55"/>
      <c r="W280" s="55"/>
      <c r="X280" s="67"/>
      <c r="Y280" s="24">
        <f t="shared" si="100"/>
        <v>0</v>
      </c>
      <c r="Z280" s="24">
        <f t="shared" si="101"/>
        <v>1</v>
      </c>
      <c r="AA280" s="93">
        <v>43713</v>
      </c>
      <c r="AB280" s="10" t="s">
        <v>10</v>
      </c>
      <c r="AC280" s="14"/>
      <c r="AD280" s="15"/>
      <c r="AE280" s="15"/>
      <c r="AF280" s="15"/>
      <c r="AG280" s="15"/>
      <c r="AH280" s="16">
        <f t="shared" si="102"/>
        <v>0</v>
      </c>
      <c r="AI280" s="14"/>
      <c r="AJ280" s="15"/>
      <c r="AK280" s="15"/>
      <c r="AL280" s="15"/>
      <c r="AM280" s="15"/>
      <c r="AN280" s="57">
        <f t="shared" si="103"/>
        <v>0</v>
      </c>
      <c r="AO280" s="14"/>
      <c r="AP280" s="55"/>
      <c r="AQ280" s="55"/>
      <c r="AR280" s="55"/>
      <c r="AS280" s="67"/>
      <c r="AT280" s="24">
        <f t="shared" si="104"/>
        <v>0</v>
      </c>
      <c r="AU280" s="15"/>
      <c r="AV280" s="55"/>
      <c r="AW280" s="55"/>
      <c r="AX280" s="55"/>
      <c r="AY280" s="67"/>
      <c r="AZ280" s="24">
        <f t="shared" si="105"/>
        <v>0</v>
      </c>
      <c r="BA280" s="24">
        <f t="shared" si="106"/>
        <v>0</v>
      </c>
    </row>
    <row r="281" spans="1:54" ht="15" thickBot="1" x14ac:dyDescent="0.2">
      <c r="A281" s="10" t="s">
        <v>77</v>
      </c>
      <c r="B281" s="14">
        <v>1</v>
      </c>
      <c r="C281" s="15">
        <v>1</v>
      </c>
      <c r="D281" s="15">
        <v>1</v>
      </c>
      <c r="E281" s="15">
        <v>1</v>
      </c>
      <c r="F281" s="15"/>
      <c r="G281" s="16">
        <f t="shared" si="97"/>
        <v>4</v>
      </c>
      <c r="H281" s="14"/>
      <c r="I281" s="15"/>
      <c r="J281" s="15"/>
      <c r="K281" s="15"/>
      <c r="L281" s="15"/>
      <c r="M281" s="57">
        <f t="shared" si="98"/>
        <v>0</v>
      </c>
      <c r="N281" s="63"/>
      <c r="O281" s="64"/>
      <c r="P281" s="64"/>
      <c r="Q281" s="64">
        <v>1</v>
      </c>
      <c r="R281" s="69"/>
      <c r="S281" s="82">
        <f t="shared" si="99"/>
        <v>1</v>
      </c>
      <c r="T281" s="73"/>
      <c r="U281" s="64"/>
      <c r="V281" s="64"/>
      <c r="W281" s="64"/>
      <c r="X281" s="69"/>
      <c r="Y281" s="82">
        <f t="shared" si="100"/>
        <v>0</v>
      </c>
      <c r="Z281" s="82">
        <f t="shared" si="101"/>
        <v>5</v>
      </c>
      <c r="AA281" s="93">
        <v>43720</v>
      </c>
      <c r="AB281" s="10" t="s">
        <v>11</v>
      </c>
      <c r="AC281" s="14"/>
      <c r="AD281" s="15"/>
      <c r="AE281" s="15"/>
      <c r="AF281" s="15"/>
      <c r="AG281" s="15"/>
      <c r="AH281" s="16">
        <f t="shared" si="102"/>
        <v>0</v>
      </c>
      <c r="AI281" s="14"/>
      <c r="AJ281" s="15"/>
      <c r="AK281" s="15"/>
      <c r="AL281" s="15"/>
      <c r="AM281" s="15"/>
      <c r="AN281" s="57">
        <f t="shared" si="103"/>
        <v>0</v>
      </c>
      <c r="AO281" s="63"/>
      <c r="AP281" s="64"/>
      <c r="AQ281" s="64"/>
      <c r="AR281" s="64"/>
      <c r="AS281" s="69"/>
      <c r="AT281" s="82">
        <f t="shared" si="104"/>
        <v>0</v>
      </c>
      <c r="AU281" s="73"/>
      <c r="AV281" s="64"/>
      <c r="AW281" s="64"/>
      <c r="AX281" s="64"/>
      <c r="AY281" s="69"/>
      <c r="AZ281" s="82">
        <f t="shared" si="105"/>
        <v>0</v>
      </c>
      <c r="BA281" s="82">
        <f t="shared" si="106"/>
        <v>0</v>
      </c>
    </row>
    <row r="282" spans="1:54" ht="15" thickBot="1" x14ac:dyDescent="0.2">
      <c r="A282" s="4" t="s">
        <v>12</v>
      </c>
      <c r="B282" s="17">
        <f>SUM(B277:B281)</f>
        <v>5</v>
      </c>
      <c r="C282" s="18">
        <f>SUM(C277:C281)</f>
        <v>5</v>
      </c>
      <c r="D282" s="18">
        <f>SUM(D277:D281)</f>
        <v>6</v>
      </c>
      <c r="E282" s="18">
        <f>SUM(E277:E281)</f>
        <v>4</v>
      </c>
      <c r="F282" s="18">
        <f>SUM(F277:F281)</f>
        <v>3</v>
      </c>
      <c r="G282" s="19">
        <f t="shared" si="97"/>
        <v>23</v>
      </c>
      <c r="H282" s="17">
        <f>SUM(H277:H281)</f>
        <v>4</v>
      </c>
      <c r="I282" s="18">
        <f>SUM(I277:I281)</f>
        <v>3</v>
      </c>
      <c r="J282" s="18">
        <f>SUM(J277:J281)</f>
        <v>6</v>
      </c>
      <c r="K282" s="18">
        <f>SUM(K277:K281)</f>
        <v>3</v>
      </c>
      <c r="L282" s="18">
        <f>SUM(L277:L281)</f>
        <v>5</v>
      </c>
      <c r="M282" s="25">
        <f t="shared" si="98"/>
        <v>21</v>
      </c>
      <c r="N282" s="65">
        <f>SUM(N277:N281)</f>
        <v>4</v>
      </c>
      <c r="O282" s="18">
        <f>SUM(O277:O281)</f>
        <v>4</v>
      </c>
      <c r="P282" s="18">
        <f>SUM(P277:P281)</f>
        <v>3</v>
      </c>
      <c r="Q282" s="18">
        <f>SUM(Q277:Q281)</f>
        <v>8</v>
      </c>
      <c r="R282" s="70">
        <f>SUM(R277:R281)</f>
        <v>4</v>
      </c>
      <c r="S282" s="49">
        <f t="shared" si="99"/>
        <v>23</v>
      </c>
      <c r="T282" s="74">
        <f>SUM(T277:T281)</f>
        <v>3</v>
      </c>
      <c r="U282" s="18">
        <f>SUM(U277:U281)</f>
        <v>7</v>
      </c>
      <c r="V282" s="18">
        <f>SUM(V277:V281)</f>
        <v>4</v>
      </c>
      <c r="W282" s="18">
        <f>SUM(W277:W281)</f>
        <v>2</v>
      </c>
      <c r="X282" s="70">
        <f>SUM(X277:X281)</f>
        <v>4</v>
      </c>
      <c r="Y282" s="49">
        <f t="shared" si="100"/>
        <v>20</v>
      </c>
      <c r="Z282" s="33">
        <f t="shared" si="101"/>
        <v>87</v>
      </c>
      <c r="AB282" s="4" t="s">
        <v>12</v>
      </c>
      <c r="AC282" s="17">
        <f>SUM(AC277:AC281)</f>
        <v>135</v>
      </c>
      <c r="AD282" s="18">
        <f>SUM(AD277:AD281)</f>
        <v>150</v>
      </c>
      <c r="AE282" s="18">
        <f>SUM(AE277:AE281)</f>
        <v>187</v>
      </c>
      <c r="AF282" s="18">
        <f>SUM(AF277:AF281)</f>
        <v>164</v>
      </c>
      <c r="AG282" s="18">
        <f>SUM(AG277:AG281)</f>
        <v>153</v>
      </c>
      <c r="AH282" s="19">
        <f t="shared" si="102"/>
        <v>789</v>
      </c>
      <c r="AI282" s="17">
        <f>SUM(AI277:AI281)</f>
        <v>104</v>
      </c>
      <c r="AJ282" s="18">
        <f>SUM(AJ277:AJ281)</f>
        <v>115</v>
      </c>
      <c r="AK282" s="18">
        <f>SUM(AK277:AK281)</f>
        <v>133</v>
      </c>
      <c r="AL282" s="18">
        <f>SUM(AL277:AL281)</f>
        <v>122</v>
      </c>
      <c r="AM282" s="18">
        <f>SUM(AM277:AM281)</f>
        <v>120</v>
      </c>
      <c r="AN282" s="25">
        <f t="shared" si="103"/>
        <v>594</v>
      </c>
      <c r="AO282" s="65">
        <f>SUM(AO277:AO281)</f>
        <v>107</v>
      </c>
      <c r="AP282" s="18">
        <f>SUM(AP277:AP281)</f>
        <v>112</v>
      </c>
      <c r="AQ282" s="18">
        <f>SUM(AQ277:AQ281)</f>
        <v>92</v>
      </c>
      <c r="AR282" s="18">
        <f>SUM(AR277:AR281)</f>
        <v>86</v>
      </c>
      <c r="AS282" s="70">
        <f>SUM(AS277:AS281)</f>
        <v>64</v>
      </c>
      <c r="AT282" s="49">
        <f t="shared" si="104"/>
        <v>461</v>
      </c>
      <c r="AU282" s="74">
        <f>SUM(AU277:AU281)</f>
        <v>114</v>
      </c>
      <c r="AV282" s="18">
        <f>SUM(AV277:AV281)</f>
        <v>105</v>
      </c>
      <c r="AW282" s="18">
        <f>SUM(AW277:AW281)</f>
        <v>97</v>
      </c>
      <c r="AX282" s="18">
        <f>SUM(AX277:AX281)</f>
        <v>110</v>
      </c>
      <c r="AY282" s="70">
        <f>SUM(AY277:AY281)</f>
        <v>60</v>
      </c>
      <c r="AZ282" s="49">
        <f t="shared" si="105"/>
        <v>486</v>
      </c>
      <c r="BA282" s="33">
        <f t="shared" si="106"/>
        <v>2330</v>
      </c>
    </row>
    <row r="283" spans="1:54" ht="14.25" x14ac:dyDescent="0.15">
      <c r="A283" s="40" t="s">
        <v>184</v>
      </c>
      <c r="B283" s="34"/>
      <c r="C283" s="35"/>
      <c r="D283" s="35"/>
      <c r="E283" s="35"/>
      <c r="F283" s="35"/>
      <c r="G283" s="36">
        <f t="shared" si="97"/>
        <v>0</v>
      </c>
      <c r="H283" s="34"/>
      <c r="I283" s="35"/>
      <c r="J283" s="35"/>
      <c r="K283" s="35"/>
      <c r="L283" s="35"/>
      <c r="M283" s="36">
        <f t="shared" si="98"/>
        <v>0</v>
      </c>
      <c r="N283" s="39"/>
      <c r="O283" s="56"/>
      <c r="P283" s="56">
        <v>1</v>
      </c>
      <c r="Q283" s="56"/>
      <c r="R283" s="71"/>
      <c r="S283" s="16">
        <f t="shared" si="99"/>
        <v>1</v>
      </c>
      <c r="T283" s="39"/>
      <c r="U283" s="56"/>
      <c r="V283" s="56"/>
      <c r="W283" s="56"/>
      <c r="X283" s="71"/>
      <c r="Y283" s="16">
        <f t="shared" si="100"/>
        <v>0</v>
      </c>
      <c r="Z283" s="16">
        <f t="shared" si="101"/>
        <v>1</v>
      </c>
      <c r="AA283" s="83">
        <v>43711</v>
      </c>
      <c r="AB283" s="21" t="s">
        <v>29</v>
      </c>
      <c r="AC283" s="14"/>
      <c r="AD283" s="15"/>
      <c r="AE283" s="15">
        <v>5</v>
      </c>
      <c r="AF283" s="15">
        <v>5</v>
      </c>
      <c r="AG283" s="15"/>
      <c r="AH283" s="24">
        <f t="shared" si="102"/>
        <v>10</v>
      </c>
      <c r="AI283" s="14"/>
      <c r="AJ283" s="15"/>
      <c r="AK283" s="15">
        <v>5</v>
      </c>
      <c r="AL283" s="15"/>
      <c r="AM283" s="15"/>
      <c r="AN283" s="24">
        <f t="shared" si="103"/>
        <v>5</v>
      </c>
      <c r="AO283" s="15"/>
      <c r="AP283" s="55"/>
      <c r="AQ283" s="55"/>
      <c r="AR283" s="55"/>
      <c r="AS283" s="67"/>
      <c r="AT283" s="24">
        <f t="shared" si="104"/>
        <v>0</v>
      </c>
      <c r="AU283" s="15"/>
      <c r="AV283" s="55"/>
      <c r="AW283" s="55"/>
      <c r="AX283" s="55"/>
      <c r="AY283" s="67"/>
      <c r="AZ283" s="24">
        <f t="shared" si="105"/>
        <v>0</v>
      </c>
      <c r="BA283" s="24">
        <f t="shared" si="106"/>
        <v>15</v>
      </c>
      <c r="BB283" s="83">
        <v>43714</v>
      </c>
    </row>
    <row r="284" spans="1:54" x14ac:dyDescent="0.15">
      <c r="A284" s="40" t="s">
        <v>124</v>
      </c>
      <c r="B284" s="41"/>
      <c r="C284" s="42"/>
      <c r="D284" s="42"/>
      <c r="E284" s="42"/>
      <c r="F284" s="42"/>
      <c r="G284" s="43">
        <f t="shared" si="97"/>
        <v>0</v>
      </c>
      <c r="H284" s="41"/>
      <c r="I284" s="42"/>
      <c r="J284" s="42"/>
      <c r="K284" s="42"/>
      <c r="L284" s="42"/>
      <c r="M284" s="43">
        <f t="shared" si="98"/>
        <v>0</v>
      </c>
      <c r="N284" s="42"/>
      <c r="O284" s="53"/>
      <c r="P284" s="53"/>
      <c r="Q284" s="53"/>
      <c r="R284" s="72"/>
      <c r="S284" s="24">
        <f t="shared" si="99"/>
        <v>0</v>
      </c>
      <c r="T284" s="42"/>
      <c r="U284" s="53">
        <v>1</v>
      </c>
      <c r="V284" s="53"/>
      <c r="W284" s="53"/>
      <c r="X284" s="72"/>
      <c r="Y284" s="24">
        <f t="shared" si="100"/>
        <v>1</v>
      </c>
      <c r="Z284" s="24">
        <f t="shared" si="101"/>
        <v>1</v>
      </c>
      <c r="AA284" s="83">
        <v>43712</v>
      </c>
      <c r="AB284" s="40" t="s">
        <v>124</v>
      </c>
      <c r="AC284" s="41"/>
      <c r="AD284" s="42">
        <v>1</v>
      </c>
      <c r="AE284" s="42">
        <v>1</v>
      </c>
      <c r="AF284" s="42"/>
      <c r="AG284" s="42"/>
      <c r="AH284" s="43">
        <f t="shared" si="102"/>
        <v>2</v>
      </c>
      <c r="AI284" s="41"/>
      <c r="AJ284" s="42"/>
      <c r="AK284" s="42"/>
      <c r="AL284" s="42"/>
      <c r="AM284" s="42"/>
      <c r="AN284" s="43">
        <f t="shared" si="103"/>
        <v>0</v>
      </c>
      <c r="AO284" s="42"/>
      <c r="AP284" s="53"/>
      <c r="AQ284" s="53"/>
      <c r="AR284" s="53"/>
      <c r="AS284" s="72">
        <v>1</v>
      </c>
      <c r="AT284" s="24">
        <f t="shared" si="104"/>
        <v>1</v>
      </c>
      <c r="AU284" s="42"/>
      <c r="AV284" s="53"/>
      <c r="AW284" s="53"/>
      <c r="AX284" s="53"/>
      <c r="AY284" s="72">
        <v>2</v>
      </c>
      <c r="AZ284" s="24">
        <f t="shared" si="105"/>
        <v>2</v>
      </c>
      <c r="BA284" s="24">
        <f t="shared" si="106"/>
        <v>5</v>
      </c>
      <c r="BB284" s="83">
        <v>43710</v>
      </c>
    </row>
    <row r="285" spans="1:54" ht="14.25" x14ac:dyDescent="0.15">
      <c r="A285" s="40" t="s">
        <v>47</v>
      </c>
      <c r="B285" s="41"/>
      <c r="C285" s="42"/>
      <c r="D285" s="42"/>
      <c r="E285" s="42">
        <v>1</v>
      </c>
      <c r="F285" s="42"/>
      <c r="G285" s="43">
        <f t="shared" si="97"/>
        <v>1</v>
      </c>
      <c r="H285" s="41"/>
      <c r="I285" s="42"/>
      <c r="J285" s="42"/>
      <c r="K285" s="42"/>
      <c r="L285" s="42"/>
      <c r="M285" s="43">
        <f t="shared" si="98"/>
        <v>0</v>
      </c>
      <c r="N285" s="42"/>
      <c r="O285" s="53"/>
      <c r="P285" s="53"/>
      <c r="Q285" s="53"/>
      <c r="R285" s="72"/>
      <c r="S285" s="24">
        <f t="shared" si="99"/>
        <v>0</v>
      </c>
      <c r="T285" s="42"/>
      <c r="U285" s="53"/>
      <c r="V285" s="53"/>
      <c r="W285" s="53"/>
      <c r="X285" s="72"/>
      <c r="Y285" s="24">
        <f t="shared" si="100"/>
        <v>0</v>
      </c>
      <c r="Z285" s="24">
        <f t="shared" si="101"/>
        <v>1</v>
      </c>
      <c r="AA285" s="83">
        <v>43713</v>
      </c>
      <c r="AB285" s="21" t="s">
        <v>183</v>
      </c>
      <c r="AC285" s="41"/>
      <c r="AD285" s="42"/>
      <c r="AE285" s="42"/>
      <c r="AF285" s="42"/>
      <c r="AG285" s="42">
        <v>2</v>
      </c>
      <c r="AH285" s="43">
        <f t="shared" si="102"/>
        <v>2</v>
      </c>
      <c r="AI285" s="41"/>
      <c r="AJ285" s="42"/>
      <c r="AK285" s="42"/>
      <c r="AL285" s="42"/>
      <c r="AM285" s="42">
        <v>1</v>
      </c>
      <c r="AN285" s="43">
        <f t="shared" si="103"/>
        <v>1</v>
      </c>
      <c r="AO285" s="42"/>
      <c r="AP285" s="53">
        <v>1</v>
      </c>
      <c r="AQ285" s="53"/>
      <c r="AR285" s="53"/>
      <c r="AS285" s="72"/>
      <c r="AT285" s="24">
        <f t="shared" si="104"/>
        <v>1</v>
      </c>
      <c r="AU285" s="42"/>
      <c r="AV285" s="53"/>
      <c r="AW285" s="53"/>
      <c r="AX285" s="53"/>
      <c r="AY285" s="72"/>
      <c r="AZ285" s="24">
        <f t="shared" si="105"/>
        <v>0</v>
      </c>
      <c r="BA285" s="24">
        <f t="shared" si="106"/>
        <v>4</v>
      </c>
      <c r="BB285" s="83">
        <v>43711</v>
      </c>
    </row>
    <row r="286" spans="1:54" ht="14.25" x14ac:dyDescent="0.15">
      <c r="A286" s="40" t="s">
        <v>124</v>
      </c>
      <c r="B286" s="41"/>
      <c r="C286" s="42"/>
      <c r="D286" s="42">
        <v>1</v>
      </c>
      <c r="E286" s="42"/>
      <c r="F286" s="42"/>
      <c r="G286" s="43">
        <f t="shared" si="97"/>
        <v>1</v>
      </c>
      <c r="H286" s="41"/>
      <c r="I286" s="42"/>
      <c r="J286" s="42"/>
      <c r="K286" s="42"/>
      <c r="L286" s="42"/>
      <c r="M286" s="43">
        <f t="shared" si="98"/>
        <v>0</v>
      </c>
      <c r="N286" s="42"/>
      <c r="O286" s="53"/>
      <c r="P286" s="53"/>
      <c r="Q286" s="53"/>
      <c r="R286" s="72"/>
      <c r="S286" s="24">
        <f t="shared" si="99"/>
        <v>0</v>
      </c>
      <c r="T286" s="42"/>
      <c r="U286" s="53"/>
      <c r="V286" s="53">
        <v>1</v>
      </c>
      <c r="W286" s="53"/>
      <c r="X286" s="72"/>
      <c r="Y286" s="24">
        <f t="shared" si="100"/>
        <v>1</v>
      </c>
      <c r="Z286" s="24">
        <f t="shared" si="101"/>
        <v>2</v>
      </c>
      <c r="AA286" s="83">
        <v>43717</v>
      </c>
      <c r="AB286" s="21" t="s">
        <v>30</v>
      </c>
      <c r="AC286" s="41"/>
      <c r="AD286" s="42"/>
      <c r="AE286" s="42"/>
      <c r="AF286" s="42"/>
      <c r="AG286" s="42"/>
      <c r="AH286" s="43">
        <f t="shared" si="102"/>
        <v>0</v>
      </c>
      <c r="AI286" s="41"/>
      <c r="AJ286" s="42"/>
      <c r="AK286" s="42"/>
      <c r="AL286" s="42"/>
      <c r="AM286" s="42"/>
      <c r="AN286" s="43">
        <f t="shared" si="103"/>
        <v>0</v>
      </c>
      <c r="AO286" s="42"/>
      <c r="AP286" s="53"/>
      <c r="AQ286" s="53"/>
      <c r="AR286" s="53"/>
      <c r="AS286" s="72">
        <v>3</v>
      </c>
      <c r="AT286" s="43">
        <f t="shared" si="104"/>
        <v>3</v>
      </c>
      <c r="AU286" s="42"/>
      <c r="AV286" s="53"/>
      <c r="AW286" s="53"/>
      <c r="AX286" s="53"/>
      <c r="AY286" s="72"/>
      <c r="AZ286" s="43">
        <f t="shared" si="105"/>
        <v>0</v>
      </c>
      <c r="BA286" s="43">
        <f t="shared" si="106"/>
        <v>3</v>
      </c>
      <c r="BB286" s="83">
        <v>43711</v>
      </c>
    </row>
    <row r="287" spans="1:54" ht="14.25" x14ac:dyDescent="0.15">
      <c r="A287" s="40" t="s">
        <v>190</v>
      </c>
      <c r="B287" s="41"/>
      <c r="C287" s="42">
        <v>1</v>
      </c>
      <c r="D287" s="42"/>
      <c r="E287" s="42"/>
      <c r="F287" s="42"/>
      <c r="G287" s="43">
        <f t="shared" ref="G287:G308" si="107">SUM(B287:F287)</f>
        <v>1</v>
      </c>
      <c r="H287" s="41"/>
      <c r="I287" s="42"/>
      <c r="J287" s="42">
        <v>2</v>
      </c>
      <c r="K287" s="42"/>
      <c r="L287" s="42"/>
      <c r="M287" s="43">
        <f t="shared" ref="M287:M308" si="108">SUM(H287:L287)</f>
        <v>2</v>
      </c>
      <c r="N287" s="42"/>
      <c r="O287" s="53"/>
      <c r="P287" s="53"/>
      <c r="Q287" s="53"/>
      <c r="R287" s="72">
        <v>1</v>
      </c>
      <c r="S287" s="24">
        <f t="shared" ref="S287:S306" si="109">SUM(N287:R287)</f>
        <v>1</v>
      </c>
      <c r="T287" s="42"/>
      <c r="U287" s="53"/>
      <c r="V287" s="53"/>
      <c r="W287" s="53"/>
      <c r="X287" s="72"/>
      <c r="Y287" s="24">
        <f t="shared" ref="Y287:Y306" si="110">SUM(T287:X287)</f>
        <v>0</v>
      </c>
      <c r="Z287" s="24">
        <f t="shared" ref="Z287:Z306" si="111">G287+M287+S287+Y287</f>
        <v>4</v>
      </c>
      <c r="AA287" s="93">
        <v>43713</v>
      </c>
      <c r="AB287" s="23" t="s">
        <v>186</v>
      </c>
      <c r="AC287" s="41"/>
      <c r="AD287" s="42"/>
      <c r="AE287" s="42"/>
      <c r="AF287" s="42"/>
      <c r="AG287" s="42"/>
      <c r="AH287" s="43">
        <f t="shared" si="102"/>
        <v>0</v>
      </c>
      <c r="AI287" s="41"/>
      <c r="AJ287" s="42"/>
      <c r="AK287" s="42"/>
      <c r="AL287" s="42"/>
      <c r="AM287" s="42"/>
      <c r="AN287" s="43">
        <f t="shared" si="103"/>
        <v>0</v>
      </c>
      <c r="AO287" s="42"/>
      <c r="AP287" s="53">
        <v>5</v>
      </c>
      <c r="AQ287" s="53">
        <v>2</v>
      </c>
      <c r="AR287" s="53"/>
      <c r="AS287" s="72">
        <v>1</v>
      </c>
      <c r="AT287" s="24">
        <f t="shared" si="104"/>
        <v>8</v>
      </c>
      <c r="AU287" s="42"/>
      <c r="AV287" s="53"/>
      <c r="AW287" s="53"/>
      <c r="AX287" s="53"/>
      <c r="AY287" s="72"/>
      <c r="AZ287" s="24">
        <f t="shared" si="105"/>
        <v>0</v>
      </c>
      <c r="BA287" s="24">
        <f t="shared" si="106"/>
        <v>8</v>
      </c>
      <c r="BB287" s="83">
        <v>43713</v>
      </c>
    </row>
    <row r="288" spans="1:54" ht="14.25" x14ac:dyDescent="0.15">
      <c r="A288" s="40" t="s">
        <v>47</v>
      </c>
      <c r="B288" s="41"/>
      <c r="C288" s="42"/>
      <c r="D288" s="42"/>
      <c r="E288" s="42"/>
      <c r="F288" s="42"/>
      <c r="G288" s="43">
        <f t="shared" si="107"/>
        <v>0</v>
      </c>
      <c r="H288" s="41"/>
      <c r="I288" s="42"/>
      <c r="J288" s="42"/>
      <c r="K288" s="42"/>
      <c r="L288" s="42"/>
      <c r="M288" s="43">
        <f t="shared" si="108"/>
        <v>0</v>
      </c>
      <c r="N288" s="42"/>
      <c r="O288" s="53"/>
      <c r="P288" s="53"/>
      <c r="Q288" s="53"/>
      <c r="R288" s="72"/>
      <c r="S288" s="24">
        <f t="shared" si="109"/>
        <v>0</v>
      </c>
      <c r="T288" s="42"/>
      <c r="U288" s="53"/>
      <c r="V288" s="53"/>
      <c r="W288" s="53">
        <v>1</v>
      </c>
      <c r="X288" s="72"/>
      <c r="Y288" s="24">
        <f t="shared" si="110"/>
        <v>1</v>
      </c>
      <c r="Z288" s="24">
        <f t="shared" si="111"/>
        <v>1</v>
      </c>
      <c r="AA288" s="83">
        <v>43715</v>
      </c>
      <c r="AB288" s="21" t="s">
        <v>29</v>
      </c>
      <c r="AC288" s="41"/>
      <c r="AD288" s="42"/>
      <c r="AE288" s="42"/>
      <c r="AF288" s="42"/>
      <c r="AG288" s="42">
        <v>5</v>
      </c>
      <c r="AH288" s="43">
        <f t="shared" si="102"/>
        <v>5</v>
      </c>
      <c r="AI288" s="41"/>
      <c r="AJ288" s="42"/>
      <c r="AK288" s="42"/>
      <c r="AL288" s="42"/>
      <c r="AM288" s="42"/>
      <c r="AN288" s="43">
        <f t="shared" si="103"/>
        <v>0</v>
      </c>
      <c r="AO288" s="42"/>
      <c r="AP288" s="53"/>
      <c r="AQ288" s="53"/>
      <c r="AR288" s="53"/>
      <c r="AS288" s="72"/>
      <c r="AT288" s="24">
        <f t="shared" si="104"/>
        <v>0</v>
      </c>
      <c r="AU288" s="42"/>
      <c r="AV288" s="53"/>
      <c r="AW288" s="53"/>
      <c r="AX288" s="53"/>
      <c r="AY288" s="72"/>
      <c r="AZ288" s="24">
        <f t="shared" si="105"/>
        <v>0</v>
      </c>
      <c r="BA288" s="24">
        <f t="shared" si="106"/>
        <v>5</v>
      </c>
      <c r="BB288" s="83">
        <v>43717</v>
      </c>
    </row>
    <row r="289" spans="1:55" ht="14.25" x14ac:dyDescent="0.15">
      <c r="A289" s="40" t="s">
        <v>48</v>
      </c>
      <c r="B289" s="41"/>
      <c r="C289" s="42"/>
      <c r="D289" s="42"/>
      <c r="E289" s="42"/>
      <c r="F289" s="42"/>
      <c r="G289" s="43">
        <f t="shared" si="107"/>
        <v>0</v>
      </c>
      <c r="H289" s="41"/>
      <c r="I289" s="42"/>
      <c r="J289" s="42"/>
      <c r="K289" s="42"/>
      <c r="L289" s="42">
        <v>2</v>
      </c>
      <c r="M289" s="43">
        <f t="shared" si="108"/>
        <v>2</v>
      </c>
      <c r="N289" s="42"/>
      <c r="O289" s="53"/>
      <c r="P289" s="53"/>
      <c r="Q289" s="53"/>
      <c r="R289" s="72"/>
      <c r="S289" s="24">
        <f t="shared" si="109"/>
        <v>0</v>
      </c>
      <c r="T289" s="42"/>
      <c r="U289" s="53"/>
      <c r="V289" s="53"/>
      <c r="W289" s="53"/>
      <c r="X289" s="72"/>
      <c r="Y289" s="24">
        <f t="shared" si="110"/>
        <v>0</v>
      </c>
      <c r="Z289" s="24">
        <f t="shared" si="111"/>
        <v>2</v>
      </c>
      <c r="AA289" s="93">
        <v>43714</v>
      </c>
      <c r="AB289" s="21" t="s">
        <v>188</v>
      </c>
      <c r="AC289" s="41"/>
      <c r="AD289" s="42"/>
      <c r="AE289" s="42"/>
      <c r="AF289" s="42"/>
      <c r="AG289" s="42">
        <v>1</v>
      </c>
      <c r="AH289" s="43">
        <f t="shared" si="102"/>
        <v>1</v>
      </c>
      <c r="AI289" s="41"/>
      <c r="AJ289" s="42"/>
      <c r="AK289" s="42"/>
      <c r="AL289" s="42"/>
      <c r="AM289" s="42"/>
      <c r="AN289" s="43">
        <f t="shared" si="103"/>
        <v>0</v>
      </c>
      <c r="AO289" s="42"/>
      <c r="AP289" s="53"/>
      <c r="AQ289" s="53">
        <v>1</v>
      </c>
      <c r="AR289" s="53"/>
      <c r="AS289" s="72"/>
      <c r="AT289" s="24">
        <f t="shared" si="104"/>
        <v>1</v>
      </c>
      <c r="AU289" s="42"/>
      <c r="AV289" s="53"/>
      <c r="AW289" s="53"/>
      <c r="AX289" s="53"/>
      <c r="AY289" s="72"/>
      <c r="AZ289" s="24">
        <f t="shared" si="105"/>
        <v>0</v>
      </c>
      <c r="BA289" s="24">
        <f t="shared" si="106"/>
        <v>2</v>
      </c>
      <c r="BB289" s="83">
        <v>43714</v>
      </c>
    </row>
    <row r="290" spans="1:55" ht="14.25" x14ac:dyDescent="0.15">
      <c r="A290" s="40" t="s">
        <v>48</v>
      </c>
      <c r="B290" s="41"/>
      <c r="C290" s="42"/>
      <c r="D290" s="42"/>
      <c r="E290" s="42"/>
      <c r="F290" s="42"/>
      <c r="G290" s="43">
        <f t="shared" si="107"/>
        <v>0</v>
      </c>
      <c r="H290" s="41"/>
      <c r="I290" s="42"/>
      <c r="J290" s="42"/>
      <c r="K290" s="42"/>
      <c r="L290" s="42">
        <v>1</v>
      </c>
      <c r="M290" s="43">
        <f t="shared" si="108"/>
        <v>1</v>
      </c>
      <c r="N290" s="42"/>
      <c r="O290" s="53"/>
      <c r="P290" s="53"/>
      <c r="Q290" s="53"/>
      <c r="R290" s="72"/>
      <c r="S290" s="24">
        <f t="shared" si="109"/>
        <v>0</v>
      </c>
      <c r="T290" s="42"/>
      <c r="U290" s="53"/>
      <c r="V290" s="53"/>
      <c r="W290" s="53"/>
      <c r="X290" s="72"/>
      <c r="Y290" s="24">
        <f t="shared" si="110"/>
        <v>0</v>
      </c>
      <c r="Z290" s="24">
        <f t="shared" si="111"/>
        <v>1</v>
      </c>
      <c r="AA290" s="93">
        <v>43715</v>
      </c>
      <c r="AB290" s="23" t="s">
        <v>189</v>
      </c>
      <c r="AC290" s="41"/>
      <c r="AD290" s="42"/>
      <c r="AE290" s="42"/>
      <c r="AF290" s="42"/>
      <c r="AG290" s="42"/>
      <c r="AH290" s="43">
        <f t="shared" si="102"/>
        <v>0</v>
      </c>
      <c r="AI290" s="41"/>
      <c r="AJ290" s="42"/>
      <c r="AK290" s="42"/>
      <c r="AL290" s="42"/>
      <c r="AM290" s="42"/>
      <c r="AN290" s="43">
        <f t="shared" si="103"/>
        <v>0</v>
      </c>
      <c r="AO290" s="42"/>
      <c r="AP290" s="53">
        <v>1</v>
      </c>
      <c r="AQ290" s="53">
        <v>1</v>
      </c>
      <c r="AR290" s="53"/>
      <c r="AS290" s="72"/>
      <c r="AT290" s="24">
        <f t="shared" si="104"/>
        <v>2</v>
      </c>
      <c r="AU290" s="42"/>
      <c r="AV290" s="53">
        <v>2</v>
      </c>
      <c r="AW290" s="53">
        <v>2</v>
      </c>
      <c r="AX290" s="53"/>
      <c r="AY290" s="72">
        <v>2</v>
      </c>
      <c r="AZ290" s="24">
        <f t="shared" si="105"/>
        <v>6</v>
      </c>
      <c r="BA290" s="24">
        <f t="shared" si="106"/>
        <v>8</v>
      </c>
      <c r="BB290" s="83">
        <v>43717</v>
      </c>
    </row>
    <row r="291" spans="1:55" ht="14.25" x14ac:dyDescent="0.15">
      <c r="A291" s="40" t="s">
        <v>48</v>
      </c>
      <c r="B291" s="41"/>
      <c r="C291" s="42"/>
      <c r="D291" s="42"/>
      <c r="E291" s="42">
        <v>1</v>
      </c>
      <c r="F291" s="42"/>
      <c r="G291" s="43">
        <f t="shared" si="107"/>
        <v>1</v>
      </c>
      <c r="H291" s="41"/>
      <c r="I291" s="42"/>
      <c r="J291" s="42"/>
      <c r="K291" s="42"/>
      <c r="L291" s="42"/>
      <c r="M291" s="43">
        <f t="shared" si="108"/>
        <v>0</v>
      </c>
      <c r="N291" s="42"/>
      <c r="O291" s="53"/>
      <c r="P291" s="53"/>
      <c r="Q291" s="53"/>
      <c r="R291" s="72"/>
      <c r="S291" s="24">
        <f t="shared" si="109"/>
        <v>0</v>
      </c>
      <c r="T291" s="42"/>
      <c r="U291" s="53"/>
      <c r="V291" s="53"/>
      <c r="W291" s="53"/>
      <c r="X291" s="72"/>
      <c r="Y291" s="24">
        <f t="shared" si="110"/>
        <v>0</v>
      </c>
      <c r="Z291" s="24">
        <f t="shared" si="111"/>
        <v>1</v>
      </c>
      <c r="AA291" s="93">
        <v>43717</v>
      </c>
      <c r="AB291" s="21" t="s">
        <v>191</v>
      </c>
      <c r="AC291" s="41"/>
      <c r="AD291" s="42">
        <v>1</v>
      </c>
      <c r="AE291" s="42"/>
      <c r="AF291" s="42"/>
      <c r="AG291" s="42"/>
      <c r="AH291" s="43">
        <f t="shared" si="102"/>
        <v>1</v>
      </c>
      <c r="AI291" s="41"/>
      <c r="AJ291" s="42"/>
      <c r="AK291" s="42"/>
      <c r="AL291" s="42"/>
      <c r="AM291" s="42"/>
      <c r="AN291" s="43">
        <f t="shared" si="103"/>
        <v>0</v>
      </c>
      <c r="AO291" s="42"/>
      <c r="AP291" s="53"/>
      <c r="AQ291" s="53"/>
      <c r="AR291" s="53"/>
      <c r="AS291" s="72"/>
      <c r="AT291" s="24">
        <f t="shared" si="104"/>
        <v>0</v>
      </c>
      <c r="AU291" s="42"/>
      <c r="AV291" s="53"/>
      <c r="AW291" s="53"/>
      <c r="AX291" s="53"/>
      <c r="AY291" s="72"/>
      <c r="AZ291" s="24">
        <f t="shared" si="105"/>
        <v>0</v>
      </c>
      <c r="BA291" s="24">
        <f t="shared" si="106"/>
        <v>1</v>
      </c>
      <c r="BB291" s="83">
        <v>43715</v>
      </c>
    </row>
    <row r="292" spans="1:55" ht="14.25" x14ac:dyDescent="0.15">
      <c r="A292" s="40" t="s">
        <v>47</v>
      </c>
      <c r="B292" s="44"/>
      <c r="C292" s="45"/>
      <c r="D292" s="45"/>
      <c r="E292" s="45"/>
      <c r="F292" s="45">
        <v>1</v>
      </c>
      <c r="G292" s="43">
        <f t="shared" si="107"/>
        <v>1</v>
      </c>
      <c r="H292" s="44"/>
      <c r="I292" s="45"/>
      <c r="J292" s="45"/>
      <c r="K292" s="45"/>
      <c r="L292" s="45"/>
      <c r="M292" s="43">
        <f t="shared" si="108"/>
        <v>0</v>
      </c>
      <c r="N292" s="42"/>
      <c r="O292" s="53"/>
      <c r="P292" s="53"/>
      <c r="Q292" s="53"/>
      <c r="R292" s="72"/>
      <c r="S292" s="24">
        <f t="shared" si="109"/>
        <v>0</v>
      </c>
      <c r="T292" s="42"/>
      <c r="U292" s="53"/>
      <c r="V292" s="53"/>
      <c r="W292" s="53"/>
      <c r="X292" s="72"/>
      <c r="Y292" s="24">
        <f t="shared" si="110"/>
        <v>0</v>
      </c>
      <c r="Z292" s="24">
        <f t="shared" si="111"/>
        <v>1</v>
      </c>
      <c r="AA292" s="83">
        <v>43720</v>
      </c>
      <c r="AB292" s="21" t="s">
        <v>30</v>
      </c>
      <c r="AC292" s="44"/>
      <c r="AD292" s="45"/>
      <c r="AE292" s="45"/>
      <c r="AF292" s="45"/>
      <c r="AG292" s="45"/>
      <c r="AH292" s="43">
        <f t="shared" si="102"/>
        <v>0</v>
      </c>
      <c r="AI292" s="44"/>
      <c r="AJ292" s="45"/>
      <c r="AK292" s="45">
        <v>3</v>
      </c>
      <c r="AL292" s="45"/>
      <c r="AM292" s="45">
        <v>3</v>
      </c>
      <c r="AN292" s="43">
        <f t="shared" si="103"/>
        <v>6</v>
      </c>
      <c r="AO292" s="42"/>
      <c r="AP292" s="53"/>
      <c r="AQ292" s="53"/>
      <c r="AR292" s="53"/>
      <c r="AS292" s="72"/>
      <c r="AT292" s="24">
        <f t="shared" si="104"/>
        <v>0</v>
      </c>
      <c r="AU292" s="42"/>
      <c r="AV292" s="53"/>
      <c r="AW292" s="53"/>
      <c r="AX292" s="53"/>
      <c r="AY292" s="72"/>
      <c r="AZ292" s="24">
        <f t="shared" si="105"/>
        <v>0</v>
      </c>
      <c r="BA292" s="24">
        <f t="shared" si="106"/>
        <v>6</v>
      </c>
      <c r="BB292" s="83">
        <v>43715</v>
      </c>
      <c r="BC292" s="111"/>
    </row>
    <row r="293" spans="1:55" ht="14.25" x14ac:dyDescent="0.15">
      <c r="A293" s="40" t="s">
        <v>48</v>
      </c>
      <c r="B293" s="41"/>
      <c r="C293" s="42"/>
      <c r="D293" s="42"/>
      <c r="E293" s="42"/>
      <c r="F293" s="42"/>
      <c r="G293" s="43">
        <f t="shared" si="107"/>
        <v>0</v>
      </c>
      <c r="H293" s="41"/>
      <c r="I293" s="42">
        <v>1</v>
      </c>
      <c r="J293" s="42"/>
      <c r="K293" s="42"/>
      <c r="L293" s="42"/>
      <c r="M293" s="43">
        <f t="shared" si="108"/>
        <v>1</v>
      </c>
      <c r="N293" s="42"/>
      <c r="O293" s="53"/>
      <c r="P293" s="53"/>
      <c r="Q293" s="53"/>
      <c r="R293" s="72"/>
      <c r="S293" s="24">
        <f t="shared" si="109"/>
        <v>0</v>
      </c>
      <c r="T293" s="42"/>
      <c r="U293" s="53"/>
      <c r="V293" s="53"/>
      <c r="W293" s="53"/>
      <c r="X293" s="72"/>
      <c r="Y293" s="24">
        <f t="shared" si="110"/>
        <v>0</v>
      </c>
      <c r="Z293" s="24">
        <f t="shared" si="111"/>
        <v>1</v>
      </c>
      <c r="AA293" s="93">
        <v>43719</v>
      </c>
      <c r="AB293" s="21" t="s">
        <v>29</v>
      </c>
      <c r="AC293" s="41">
        <v>5</v>
      </c>
      <c r="AD293" s="42"/>
      <c r="AE293" s="42"/>
      <c r="AF293" s="42"/>
      <c r="AG293" s="42"/>
      <c r="AH293" s="43">
        <f t="shared" si="102"/>
        <v>5</v>
      </c>
      <c r="AI293" s="41"/>
      <c r="AJ293" s="42">
        <v>5</v>
      </c>
      <c r="AK293" s="42"/>
      <c r="AL293" s="42"/>
      <c r="AM293" s="42"/>
      <c r="AN293" s="43">
        <f t="shared" si="103"/>
        <v>5</v>
      </c>
      <c r="AO293" s="42"/>
      <c r="AP293" s="53"/>
      <c r="AQ293" s="53"/>
      <c r="AR293" s="53"/>
      <c r="AS293" s="72"/>
      <c r="AT293" s="24">
        <f t="shared" si="104"/>
        <v>0</v>
      </c>
      <c r="AU293" s="42"/>
      <c r="AV293" s="53"/>
      <c r="AW293" s="53"/>
      <c r="AX293" s="53"/>
      <c r="AY293" s="72"/>
      <c r="AZ293" s="24">
        <f t="shared" si="105"/>
        <v>0</v>
      </c>
      <c r="BA293" s="24">
        <f t="shared" si="106"/>
        <v>10</v>
      </c>
      <c r="BB293" s="83">
        <v>43721</v>
      </c>
      <c r="BC293" s="111"/>
    </row>
    <row r="294" spans="1:55" ht="14.25" x14ac:dyDescent="0.15">
      <c r="A294" s="21" t="s">
        <v>51</v>
      </c>
      <c r="B294" s="41">
        <v>-1</v>
      </c>
      <c r="C294" s="42"/>
      <c r="D294" s="42">
        <v>-1</v>
      </c>
      <c r="E294" s="42">
        <v>-2</v>
      </c>
      <c r="F294" s="42"/>
      <c r="G294" s="43">
        <f t="shared" si="107"/>
        <v>-4</v>
      </c>
      <c r="H294" s="41"/>
      <c r="I294" s="42">
        <v>-1</v>
      </c>
      <c r="J294" s="42">
        <v>-2</v>
      </c>
      <c r="K294" s="42"/>
      <c r="L294" s="42">
        <v>-1</v>
      </c>
      <c r="M294" s="43">
        <f t="shared" si="108"/>
        <v>-4</v>
      </c>
      <c r="N294" s="42"/>
      <c r="O294" s="53"/>
      <c r="P294" s="53"/>
      <c r="Q294" s="53"/>
      <c r="R294" s="72"/>
      <c r="S294" s="24">
        <f t="shared" si="109"/>
        <v>0</v>
      </c>
      <c r="T294" s="42"/>
      <c r="U294" s="53"/>
      <c r="V294" s="53"/>
      <c r="W294" s="53"/>
      <c r="X294" s="72"/>
      <c r="Y294" s="24">
        <f t="shared" si="110"/>
        <v>0</v>
      </c>
      <c r="Z294" s="24">
        <f t="shared" si="111"/>
        <v>-8</v>
      </c>
      <c r="AA294" s="93">
        <v>43721</v>
      </c>
      <c r="AB294" s="21" t="s">
        <v>223</v>
      </c>
      <c r="AC294" s="41">
        <v>1</v>
      </c>
      <c r="AD294" s="42"/>
      <c r="AE294" s="42"/>
      <c r="AF294" s="42">
        <v>1</v>
      </c>
      <c r="AG294" s="42"/>
      <c r="AH294" s="43">
        <f t="shared" si="102"/>
        <v>2</v>
      </c>
      <c r="AI294" s="41"/>
      <c r="AJ294" s="42"/>
      <c r="AK294" s="42"/>
      <c r="AL294" s="42">
        <v>1</v>
      </c>
      <c r="AM294" s="42"/>
      <c r="AN294" s="43">
        <f t="shared" si="103"/>
        <v>1</v>
      </c>
      <c r="AO294" s="42"/>
      <c r="AP294" s="53"/>
      <c r="AQ294" s="53"/>
      <c r="AR294" s="53"/>
      <c r="AS294" s="72"/>
      <c r="AT294" s="24">
        <f t="shared" si="104"/>
        <v>0</v>
      </c>
      <c r="AU294" s="42"/>
      <c r="AV294" s="53"/>
      <c r="AW294" s="53"/>
      <c r="AX294" s="53"/>
      <c r="AY294" s="72"/>
      <c r="AZ294" s="24">
        <f t="shared" si="105"/>
        <v>0</v>
      </c>
      <c r="BA294" s="24">
        <f t="shared" si="106"/>
        <v>3</v>
      </c>
      <c r="BB294" s="83">
        <v>43721</v>
      </c>
      <c r="BC294" s="111"/>
    </row>
    <row r="295" spans="1:55" ht="14.25" x14ac:dyDescent="0.15">
      <c r="A295" s="21" t="s">
        <v>199</v>
      </c>
      <c r="B295" s="41"/>
      <c r="C295" s="42"/>
      <c r="D295" s="42"/>
      <c r="E295" s="42"/>
      <c r="F295" s="42"/>
      <c r="G295" s="43">
        <f t="shared" si="107"/>
        <v>0</v>
      </c>
      <c r="H295" s="41"/>
      <c r="I295" s="42"/>
      <c r="J295" s="42"/>
      <c r="K295" s="42"/>
      <c r="L295" s="42"/>
      <c r="M295" s="43">
        <f t="shared" si="108"/>
        <v>0</v>
      </c>
      <c r="N295" s="42"/>
      <c r="O295" s="53"/>
      <c r="P295" s="53">
        <v>-1</v>
      </c>
      <c r="Q295" s="53"/>
      <c r="R295" s="72">
        <v>-1</v>
      </c>
      <c r="S295" s="24">
        <f t="shared" si="109"/>
        <v>-2</v>
      </c>
      <c r="T295" s="42"/>
      <c r="U295" s="53"/>
      <c r="V295" s="53"/>
      <c r="W295" s="53"/>
      <c r="X295" s="72"/>
      <c r="Y295" s="24">
        <f t="shared" si="110"/>
        <v>0</v>
      </c>
      <c r="Z295" s="24">
        <f t="shared" si="111"/>
        <v>-2</v>
      </c>
      <c r="AA295" s="93">
        <v>43721</v>
      </c>
      <c r="AB295" s="21" t="s">
        <v>195</v>
      </c>
      <c r="AC295" s="41"/>
      <c r="AD295" s="42"/>
      <c r="AE295" s="42"/>
      <c r="AF295" s="42"/>
      <c r="AG295" s="42"/>
      <c r="AH295" s="43">
        <f t="shared" si="102"/>
        <v>0</v>
      </c>
      <c r="AI295" s="41"/>
      <c r="AJ295" s="42"/>
      <c r="AK295" s="42"/>
      <c r="AL295" s="42"/>
      <c r="AM295" s="42"/>
      <c r="AN295" s="43">
        <f t="shared" si="103"/>
        <v>0</v>
      </c>
      <c r="AO295" s="42"/>
      <c r="AP295" s="53"/>
      <c r="AQ295" s="53"/>
      <c r="AR295" s="53"/>
      <c r="AS295" s="72">
        <v>1</v>
      </c>
      <c r="AT295" s="24">
        <f t="shared" si="104"/>
        <v>1</v>
      </c>
      <c r="AU295" s="42"/>
      <c r="AV295" s="53"/>
      <c r="AW295" s="53"/>
      <c r="AX295" s="53"/>
      <c r="AY295" s="72"/>
      <c r="AZ295" s="24">
        <f t="shared" si="105"/>
        <v>0</v>
      </c>
      <c r="BA295" s="24">
        <f t="shared" si="106"/>
        <v>1</v>
      </c>
      <c r="BB295" s="83">
        <v>43720</v>
      </c>
      <c r="BC295" s="111"/>
    </row>
    <row r="296" spans="1:55" ht="14.25" x14ac:dyDescent="0.15">
      <c r="A296" s="40" t="s">
        <v>48</v>
      </c>
      <c r="B296" s="38"/>
      <c r="C296" s="39"/>
      <c r="D296" s="39">
        <v>1</v>
      </c>
      <c r="E296" s="39"/>
      <c r="F296" s="39"/>
      <c r="G296" s="37">
        <f t="shared" si="107"/>
        <v>1</v>
      </c>
      <c r="H296" s="38">
        <v>1</v>
      </c>
      <c r="I296" s="39"/>
      <c r="J296" s="39">
        <v>1</v>
      </c>
      <c r="K296" s="39"/>
      <c r="L296" s="39"/>
      <c r="M296" s="37">
        <f t="shared" si="108"/>
        <v>2</v>
      </c>
      <c r="N296" s="42"/>
      <c r="O296" s="53"/>
      <c r="P296" s="53"/>
      <c r="Q296" s="53"/>
      <c r="R296" s="72"/>
      <c r="S296" s="24">
        <f t="shared" si="109"/>
        <v>0</v>
      </c>
      <c r="T296" s="42"/>
      <c r="U296" s="53"/>
      <c r="V296" s="53"/>
      <c r="W296" s="53"/>
      <c r="X296" s="72"/>
      <c r="Y296" s="24">
        <f t="shared" si="110"/>
        <v>0</v>
      </c>
      <c r="Z296" s="24">
        <f t="shared" si="111"/>
        <v>3</v>
      </c>
      <c r="AA296" s="93">
        <v>43721</v>
      </c>
      <c r="AB296" s="21" t="s">
        <v>29</v>
      </c>
      <c r="AC296" s="38"/>
      <c r="AD296" s="39"/>
      <c r="AE296" s="39">
        <v>5</v>
      </c>
      <c r="AF296" s="39">
        <v>5</v>
      </c>
      <c r="AG296" s="39"/>
      <c r="AH296" s="37">
        <f t="shared" si="102"/>
        <v>10</v>
      </c>
      <c r="AI296" s="38"/>
      <c r="AJ296" s="39">
        <v>5</v>
      </c>
      <c r="AK296" s="39"/>
      <c r="AL296" s="39"/>
      <c r="AM296" s="39"/>
      <c r="AN296" s="37">
        <f t="shared" si="103"/>
        <v>5</v>
      </c>
      <c r="AO296" s="42"/>
      <c r="AP296" s="53"/>
      <c r="AQ296" s="53"/>
      <c r="AR296" s="53"/>
      <c r="AS296" s="72"/>
      <c r="AT296" s="24">
        <f t="shared" si="104"/>
        <v>0</v>
      </c>
      <c r="AU296" s="42"/>
      <c r="AV296" s="53"/>
      <c r="AW296" s="53"/>
      <c r="AX296" s="53"/>
      <c r="AY296" s="72"/>
      <c r="AZ296" s="24">
        <f t="shared" si="105"/>
        <v>0</v>
      </c>
      <c r="BA296" s="24">
        <f t="shared" si="106"/>
        <v>15</v>
      </c>
      <c r="BB296" s="83">
        <v>43725</v>
      </c>
      <c r="BC296" s="111"/>
    </row>
    <row r="297" spans="1:55" ht="14.25" x14ac:dyDescent="0.15">
      <c r="A297" s="21" t="s">
        <v>124</v>
      </c>
      <c r="B297" s="41"/>
      <c r="C297" s="42">
        <v>1</v>
      </c>
      <c r="D297" s="42"/>
      <c r="E297" s="42"/>
      <c r="F297" s="42"/>
      <c r="G297" s="43">
        <f t="shared" si="107"/>
        <v>1</v>
      </c>
      <c r="H297" s="41"/>
      <c r="I297" s="42"/>
      <c r="J297" s="42"/>
      <c r="K297" s="42"/>
      <c r="L297" s="42"/>
      <c r="M297" s="43">
        <f t="shared" si="108"/>
        <v>0</v>
      </c>
      <c r="N297" s="42"/>
      <c r="O297" s="53"/>
      <c r="P297" s="53"/>
      <c r="Q297" s="53"/>
      <c r="R297" s="72"/>
      <c r="S297" s="24">
        <f t="shared" si="109"/>
        <v>0</v>
      </c>
      <c r="T297" s="42"/>
      <c r="U297" s="53"/>
      <c r="V297" s="53"/>
      <c r="W297" s="53"/>
      <c r="X297" s="72"/>
      <c r="Y297" s="24">
        <f t="shared" si="110"/>
        <v>0</v>
      </c>
      <c r="Z297" s="24">
        <f t="shared" si="111"/>
        <v>1</v>
      </c>
      <c r="AA297" s="83">
        <v>43728</v>
      </c>
      <c r="AB297" s="23" t="s">
        <v>196</v>
      </c>
      <c r="AC297" s="41"/>
      <c r="AD297" s="42"/>
      <c r="AE297" s="42"/>
      <c r="AF297" s="42"/>
      <c r="AG297" s="42"/>
      <c r="AH297" s="43">
        <f t="shared" si="102"/>
        <v>0</v>
      </c>
      <c r="AI297" s="41"/>
      <c r="AJ297" s="42"/>
      <c r="AK297" s="42"/>
      <c r="AL297" s="42"/>
      <c r="AM297" s="42"/>
      <c r="AN297" s="43">
        <f t="shared" si="103"/>
        <v>0</v>
      </c>
      <c r="AO297" s="42"/>
      <c r="AP297" s="53"/>
      <c r="AQ297" s="53">
        <v>2</v>
      </c>
      <c r="AR297" s="53"/>
      <c r="AS297" s="72">
        <v>2</v>
      </c>
      <c r="AT297" s="24">
        <f t="shared" si="104"/>
        <v>4</v>
      </c>
      <c r="AU297" s="42"/>
      <c r="AV297" s="53">
        <v>1</v>
      </c>
      <c r="AW297" s="53">
        <v>2</v>
      </c>
      <c r="AX297" s="53"/>
      <c r="AY297" s="72">
        <v>2</v>
      </c>
      <c r="AZ297" s="24">
        <f t="shared" si="105"/>
        <v>5</v>
      </c>
      <c r="BA297" s="24">
        <f t="shared" si="106"/>
        <v>9</v>
      </c>
      <c r="BB297" s="83">
        <v>43725</v>
      </c>
      <c r="BC297" s="111"/>
    </row>
    <row r="298" spans="1:55" ht="14.25" x14ac:dyDescent="0.15">
      <c r="A298" s="40" t="s">
        <v>204</v>
      </c>
      <c r="B298" s="14">
        <v>1</v>
      </c>
      <c r="C298" s="15"/>
      <c r="D298" s="15"/>
      <c r="E298" s="15"/>
      <c r="F298" s="15"/>
      <c r="G298" s="24">
        <f t="shared" si="107"/>
        <v>1</v>
      </c>
      <c r="H298" s="14"/>
      <c r="I298" s="15"/>
      <c r="J298" s="15"/>
      <c r="K298" s="15"/>
      <c r="L298" s="15"/>
      <c r="M298" s="24">
        <f t="shared" si="108"/>
        <v>0</v>
      </c>
      <c r="N298" s="15">
        <v>1</v>
      </c>
      <c r="O298" s="55"/>
      <c r="P298" s="55"/>
      <c r="Q298" s="55"/>
      <c r="R298" s="67"/>
      <c r="S298" s="24">
        <f t="shared" si="109"/>
        <v>1</v>
      </c>
      <c r="T298" s="15"/>
      <c r="U298" s="55"/>
      <c r="V298" s="55"/>
      <c r="W298" s="55"/>
      <c r="X298" s="67"/>
      <c r="Y298" s="24">
        <f t="shared" si="110"/>
        <v>0</v>
      </c>
      <c r="Z298" s="24">
        <f t="shared" si="111"/>
        <v>2</v>
      </c>
      <c r="AA298" s="93">
        <v>43727</v>
      </c>
      <c r="AB298" s="21" t="s">
        <v>197</v>
      </c>
      <c r="AC298" s="14"/>
      <c r="AD298" s="15"/>
      <c r="AE298" s="15">
        <v>1</v>
      </c>
      <c r="AF298" s="15"/>
      <c r="AG298" s="15">
        <v>1</v>
      </c>
      <c r="AH298" s="24">
        <f t="shared" si="102"/>
        <v>2</v>
      </c>
      <c r="AI298" s="14"/>
      <c r="AJ298" s="15"/>
      <c r="AK298" s="15"/>
      <c r="AL298" s="15"/>
      <c r="AM298" s="15"/>
      <c r="AN298" s="24">
        <f t="shared" si="103"/>
        <v>0</v>
      </c>
      <c r="AO298" s="15">
        <v>1</v>
      </c>
      <c r="AP298" s="55"/>
      <c r="AQ298" s="55"/>
      <c r="AR298" s="55"/>
      <c r="AS298" s="67"/>
      <c r="AT298" s="24">
        <f t="shared" si="104"/>
        <v>1</v>
      </c>
      <c r="AU298" s="15"/>
      <c r="AV298" s="55"/>
      <c r="AW298" s="55"/>
      <c r="AX298" s="55">
        <v>1</v>
      </c>
      <c r="AY298" s="67"/>
      <c r="AZ298" s="24">
        <f t="shared" si="105"/>
        <v>1</v>
      </c>
      <c r="BA298" s="24">
        <f t="shared" si="106"/>
        <v>4</v>
      </c>
      <c r="BB298" s="83">
        <v>43721</v>
      </c>
      <c r="BC298" s="111"/>
    </row>
    <row r="299" spans="1:55" ht="14.25" x14ac:dyDescent="0.15">
      <c r="A299" s="40" t="s">
        <v>48</v>
      </c>
      <c r="B299" s="14"/>
      <c r="C299" s="15"/>
      <c r="D299" s="15"/>
      <c r="E299" s="15"/>
      <c r="F299" s="15"/>
      <c r="G299" s="24">
        <f t="shared" si="107"/>
        <v>0</v>
      </c>
      <c r="H299" s="14"/>
      <c r="I299" s="15">
        <v>1</v>
      </c>
      <c r="J299" s="15"/>
      <c r="K299" s="15">
        <v>1</v>
      </c>
      <c r="L299" s="15"/>
      <c r="M299" s="24">
        <f t="shared" si="108"/>
        <v>2</v>
      </c>
      <c r="N299" s="15"/>
      <c r="O299" s="55"/>
      <c r="P299" s="55"/>
      <c r="Q299" s="55"/>
      <c r="R299" s="67"/>
      <c r="S299" s="24">
        <f t="shared" si="109"/>
        <v>0</v>
      </c>
      <c r="T299" s="15"/>
      <c r="U299" s="55"/>
      <c r="V299" s="55"/>
      <c r="W299" s="55"/>
      <c r="X299" s="67"/>
      <c r="Y299" s="24">
        <f t="shared" si="110"/>
        <v>0</v>
      </c>
      <c r="Z299" s="24">
        <f t="shared" si="111"/>
        <v>2</v>
      </c>
      <c r="AA299" s="93">
        <v>43727</v>
      </c>
      <c r="AB299" s="21" t="s">
        <v>198</v>
      </c>
      <c r="AC299" s="14"/>
      <c r="AD299" s="15"/>
      <c r="AE299" s="15"/>
      <c r="AF299" s="15">
        <v>2</v>
      </c>
      <c r="AG299" s="15">
        <v>1</v>
      </c>
      <c r="AH299" s="24">
        <f t="shared" si="102"/>
        <v>3</v>
      </c>
      <c r="AI299" s="14"/>
      <c r="AJ299" s="15"/>
      <c r="AK299" s="15"/>
      <c r="AL299" s="15"/>
      <c r="AM299" s="15"/>
      <c r="AN299" s="24">
        <f t="shared" si="103"/>
        <v>0</v>
      </c>
      <c r="AO299" s="15"/>
      <c r="AP299" s="55"/>
      <c r="AQ299" s="55"/>
      <c r="AR299" s="55"/>
      <c r="AS299" s="67"/>
      <c r="AT299" s="24">
        <f t="shared" si="104"/>
        <v>0</v>
      </c>
      <c r="AU299" s="15">
        <v>1</v>
      </c>
      <c r="AV299" s="55"/>
      <c r="AW299" s="55">
        <v>1</v>
      </c>
      <c r="AX299" s="55"/>
      <c r="AY299" s="67"/>
      <c r="AZ299" s="24">
        <f t="shared" si="105"/>
        <v>2</v>
      </c>
      <c r="BA299" s="24">
        <f t="shared" si="106"/>
        <v>5</v>
      </c>
      <c r="BB299" s="83">
        <v>43724</v>
      </c>
      <c r="BC299" s="111"/>
    </row>
    <row r="300" spans="1:55" ht="14.25" x14ac:dyDescent="0.15">
      <c r="A300" s="23" t="s">
        <v>42</v>
      </c>
      <c r="B300" s="14"/>
      <c r="C300" s="15"/>
      <c r="D300" s="15"/>
      <c r="E300" s="15"/>
      <c r="F300" s="15"/>
      <c r="G300" s="24">
        <f t="shared" si="107"/>
        <v>0</v>
      </c>
      <c r="H300" s="14"/>
      <c r="I300" s="15"/>
      <c r="J300" s="15"/>
      <c r="K300" s="15"/>
      <c r="L300" s="15"/>
      <c r="M300" s="24">
        <f t="shared" si="108"/>
        <v>0</v>
      </c>
      <c r="N300" s="15"/>
      <c r="O300" s="55"/>
      <c r="P300" s="55"/>
      <c r="Q300" s="55"/>
      <c r="R300" s="67"/>
      <c r="S300" s="24">
        <f t="shared" si="109"/>
        <v>0</v>
      </c>
      <c r="T300" s="15"/>
      <c r="U300" s="55"/>
      <c r="V300" s="55"/>
      <c r="W300" s="55">
        <v>-3</v>
      </c>
      <c r="X300" s="67"/>
      <c r="Y300" s="24">
        <f t="shared" si="110"/>
        <v>-3</v>
      </c>
      <c r="Z300" s="24">
        <f t="shared" si="111"/>
        <v>-3</v>
      </c>
      <c r="AA300" s="93">
        <v>43728</v>
      </c>
      <c r="AB300" s="40" t="s">
        <v>124</v>
      </c>
      <c r="AC300" s="14"/>
      <c r="AD300" s="15"/>
      <c r="AE300" s="15"/>
      <c r="AF300" s="15"/>
      <c r="AG300" s="15"/>
      <c r="AH300" s="24">
        <f t="shared" si="102"/>
        <v>0</v>
      </c>
      <c r="AI300" s="14"/>
      <c r="AJ300" s="15">
        <v>1</v>
      </c>
      <c r="AK300" s="15"/>
      <c r="AL300" s="15"/>
      <c r="AM300" s="15"/>
      <c r="AN300" s="24">
        <f t="shared" si="103"/>
        <v>1</v>
      </c>
      <c r="AO300" s="15"/>
      <c r="AP300" s="55"/>
      <c r="AQ300" s="55"/>
      <c r="AR300" s="55"/>
      <c r="AS300" s="67"/>
      <c r="AT300" s="24">
        <f t="shared" si="104"/>
        <v>0</v>
      </c>
      <c r="AU300" s="15"/>
      <c r="AV300" s="55"/>
      <c r="AW300" s="55"/>
      <c r="AX300" s="55"/>
      <c r="AY300" s="67"/>
      <c r="AZ300" s="24">
        <f t="shared" si="105"/>
        <v>0</v>
      </c>
      <c r="BA300" s="24">
        <f t="shared" si="106"/>
        <v>1</v>
      </c>
      <c r="BB300" s="83">
        <v>43726</v>
      </c>
      <c r="BC300" s="111"/>
    </row>
    <row r="301" spans="1:55" ht="14.25" x14ac:dyDescent="0.15">
      <c r="A301" s="23" t="s">
        <v>160</v>
      </c>
      <c r="B301" s="14">
        <v>2</v>
      </c>
      <c r="C301" s="15"/>
      <c r="D301" s="15">
        <v>2</v>
      </c>
      <c r="E301" s="15">
        <v>1</v>
      </c>
      <c r="F301" s="15"/>
      <c r="G301" s="24">
        <f t="shared" si="107"/>
        <v>5</v>
      </c>
      <c r="H301" s="14"/>
      <c r="I301" s="15"/>
      <c r="J301" s="15">
        <v>2</v>
      </c>
      <c r="K301" s="15"/>
      <c r="L301" s="15">
        <v>1</v>
      </c>
      <c r="M301" s="24">
        <f t="shared" si="108"/>
        <v>3</v>
      </c>
      <c r="N301" s="15"/>
      <c r="O301" s="55"/>
      <c r="P301" s="55">
        <v>1</v>
      </c>
      <c r="Q301" s="55">
        <v>2</v>
      </c>
      <c r="R301" s="67">
        <v>1</v>
      </c>
      <c r="S301" s="24">
        <f t="shared" si="109"/>
        <v>4</v>
      </c>
      <c r="T301" s="15"/>
      <c r="U301" s="55"/>
      <c r="V301" s="55"/>
      <c r="W301" s="55"/>
      <c r="X301" s="67"/>
      <c r="Y301" s="24">
        <f t="shared" si="110"/>
        <v>0</v>
      </c>
      <c r="Z301" s="24">
        <f t="shared" si="111"/>
        <v>12</v>
      </c>
      <c r="AA301" s="93">
        <v>43729</v>
      </c>
      <c r="AB301" s="21" t="s">
        <v>200</v>
      </c>
      <c r="AC301" s="14"/>
      <c r="AD301" s="15"/>
      <c r="AE301" s="15"/>
      <c r="AF301" s="15"/>
      <c r="AG301" s="15"/>
      <c r="AH301" s="24">
        <f t="shared" si="102"/>
        <v>0</v>
      </c>
      <c r="AI301" s="14"/>
      <c r="AJ301" s="15"/>
      <c r="AK301" s="15"/>
      <c r="AL301" s="15"/>
      <c r="AM301" s="15"/>
      <c r="AN301" s="24">
        <f t="shared" si="103"/>
        <v>0</v>
      </c>
      <c r="AO301" s="15"/>
      <c r="AP301" s="55"/>
      <c r="AQ301" s="55"/>
      <c r="AR301" s="55"/>
      <c r="AS301" s="67"/>
      <c r="AT301" s="24">
        <f t="shared" si="104"/>
        <v>0</v>
      </c>
      <c r="AU301" s="15"/>
      <c r="AV301" s="55">
        <v>1</v>
      </c>
      <c r="AW301" s="55">
        <v>1</v>
      </c>
      <c r="AX301" s="55"/>
      <c r="AY301" s="67">
        <v>1</v>
      </c>
      <c r="AZ301" s="24">
        <f t="shared" si="105"/>
        <v>3</v>
      </c>
      <c r="BA301" s="24">
        <f t="shared" si="106"/>
        <v>3</v>
      </c>
      <c r="BB301" s="83">
        <v>43726</v>
      </c>
      <c r="BC301" s="111"/>
    </row>
    <row r="302" spans="1:55" ht="14.25" x14ac:dyDescent="0.15">
      <c r="A302" s="23"/>
      <c r="B302" s="14"/>
      <c r="C302" s="15"/>
      <c r="D302" s="15"/>
      <c r="E302" s="15"/>
      <c r="F302" s="15"/>
      <c r="G302" s="24">
        <f t="shared" si="107"/>
        <v>0</v>
      </c>
      <c r="H302" s="14"/>
      <c r="I302" s="15"/>
      <c r="J302" s="15"/>
      <c r="K302" s="15"/>
      <c r="L302" s="15"/>
      <c r="M302" s="24">
        <f t="shared" si="108"/>
        <v>0</v>
      </c>
      <c r="N302" s="15"/>
      <c r="O302" s="55"/>
      <c r="P302" s="55"/>
      <c r="Q302" s="55"/>
      <c r="R302" s="67"/>
      <c r="S302" s="24">
        <f t="shared" si="109"/>
        <v>0</v>
      </c>
      <c r="T302" s="15"/>
      <c r="U302" s="55"/>
      <c r="V302" s="55"/>
      <c r="W302" s="55"/>
      <c r="X302" s="67"/>
      <c r="Y302" s="24">
        <f t="shared" si="110"/>
        <v>0</v>
      </c>
      <c r="Z302" s="24">
        <f t="shared" si="111"/>
        <v>0</v>
      </c>
      <c r="AB302" s="21" t="s">
        <v>224</v>
      </c>
      <c r="AC302" s="14"/>
      <c r="AD302" s="15"/>
      <c r="AE302" s="15"/>
      <c r="AF302" s="15"/>
      <c r="AG302" s="15"/>
      <c r="AH302" s="24">
        <f t="shared" si="102"/>
        <v>0</v>
      </c>
      <c r="AI302" s="14"/>
      <c r="AJ302" s="15"/>
      <c r="AK302" s="15"/>
      <c r="AL302" s="15"/>
      <c r="AM302" s="15"/>
      <c r="AN302" s="24">
        <f t="shared" si="103"/>
        <v>0</v>
      </c>
      <c r="AO302" s="15">
        <v>1</v>
      </c>
      <c r="AP302" s="55"/>
      <c r="AQ302" s="55"/>
      <c r="AR302" s="55"/>
      <c r="AS302" s="67"/>
      <c r="AT302" s="24">
        <f t="shared" si="104"/>
        <v>1</v>
      </c>
      <c r="AU302" s="15"/>
      <c r="AV302" s="55"/>
      <c r="AW302" s="55"/>
      <c r="AX302" s="55"/>
      <c r="AY302" s="67"/>
      <c r="AZ302" s="24">
        <f t="shared" si="105"/>
        <v>0</v>
      </c>
      <c r="BA302" s="24">
        <f t="shared" si="106"/>
        <v>1</v>
      </c>
      <c r="BB302" s="83">
        <v>43732</v>
      </c>
    </row>
    <row r="303" spans="1:55" ht="14.25" x14ac:dyDescent="0.15">
      <c r="A303" s="23"/>
      <c r="B303" s="14"/>
      <c r="C303" s="15"/>
      <c r="D303" s="15"/>
      <c r="E303" s="15"/>
      <c r="F303" s="15"/>
      <c r="G303" s="24">
        <f t="shared" si="107"/>
        <v>0</v>
      </c>
      <c r="H303" s="14"/>
      <c r="I303" s="15"/>
      <c r="J303" s="15"/>
      <c r="K303" s="15"/>
      <c r="L303" s="15"/>
      <c r="M303" s="24">
        <f t="shared" si="108"/>
        <v>0</v>
      </c>
      <c r="N303" s="15"/>
      <c r="O303" s="55"/>
      <c r="P303" s="55"/>
      <c r="Q303" s="55"/>
      <c r="R303" s="67"/>
      <c r="S303" s="24">
        <f t="shared" si="109"/>
        <v>0</v>
      </c>
      <c r="T303" s="15"/>
      <c r="U303" s="55"/>
      <c r="V303" s="55"/>
      <c r="W303" s="55"/>
      <c r="X303" s="67"/>
      <c r="Y303" s="24">
        <f t="shared" si="110"/>
        <v>0</v>
      </c>
      <c r="Z303" s="24">
        <f t="shared" si="111"/>
        <v>0</v>
      </c>
      <c r="AB303" s="21" t="s">
        <v>29</v>
      </c>
      <c r="AC303" s="14"/>
      <c r="AD303" s="15"/>
      <c r="AE303" s="15">
        <v>5</v>
      </c>
      <c r="AF303" s="15"/>
      <c r="AG303" s="15">
        <v>5</v>
      </c>
      <c r="AH303" s="24">
        <f t="shared" si="102"/>
        <v>10</v>
      </c>
      <c r="AI303" s="14"/>
      <c r="AJ303" s="15"/>
      <c r="AK303" s="15"/>
      <c r="AL303" s="15"/>
      <c r="AM303" s="15"/>
      <c r="AN303" s="24">
        <f t="shared" si="103"/>
        <v>0</v>
      </c>
      <c r="AO303" s="15"/>
      <c r="AP303" s="55"/>
      <c r="AQ303" s="55"/>
      <c r="AR303" s="55"/>
      <c r="AS303" s="67"/>
      <c r="AT303" s="24">
        <f t="shared" si="104"/>
        <v>0</v>
      </c>
      <c r="AU303" s="15"/>
      <c r="AV303" s="55"/>
      <c r="AW303" s="55"/>
      <c r="AX303" s="55"/>
      <c r="AY303" s="67"/>
      <c r="AZ303" s="24">
        <f t="shared" si="105"/>
        <v>0</v>
      </c>
      <c r="BA303" s="24">
        <f t="shared" si="106"/>
        <v>10</v>
      </c>
      <c r="BB303" s="83">
        <v>43732</v>
      </c>
    </row>
    <row r="304" spans="1:55" ht="14.25" x14ac:dyDescent="0.15">
      <c r="A304" s="23"/>
      <c r="B304" s="44"/>
      <c r="C304" s="45"/>
      <c r="D304" s="45"/>
      <c r="E304" s="45"/>
      <c r="F304" s="45"/>
      <c r="G304" s="43">
        <f t="shared" si="107"/>
        <v>0</v>
      </c>
      <c r="H304" s="44"/>
      <c r="I304" s="45"/>
      <c r="J304" s="45"/>
      <c r="K304" s="45"/>
      <c r="L304" s="45"/>
      <c r="M304" s="43">
        <f t="shared" si="108"/>
        <v>0</v>
      </c>
      <c r="N304" s="42"/>
      <c r="O304" s="53"/>
      <c r="P304" s="53"/>
      <c r="Q304" s="53"/>
      <c r="R304" s="72"/>
      <c r="S304" s="24">
        <f t="shared" si="109"/>
        <v>0</v>
      </c>
      <c r="T304" s="42"/>
      <c r="U304" s="53"/>
      <c r="V304" s="53"/>
      <c r="W304" s="53"/>
      <c r="X304" s="72"/>
      <c r="Y304" s="24">
        <f t="shared" si="110"/>
        <v>0</v>
      </c>
      <c r="Z304" s="24">
        <f t="shared" si="111"/>
        <v>0</v>
      </c>
      <c r="AB304" s="21" t="s">
        <v>201</v>
      </c>
      <c r="AC304" s="14"/>
      <c r="AD304" s="15"/>
      <c r="AE304" s="15">
        <v>3</v>
      </c>
      <c r="AF304" s="15">
        <v>3</v>
      </c>
      <c r="AG304" s="15">
        <v>3</v>
      </c>
      <c r="AH304" s="24">
        <f t="shared" si="102"/>
        <v>9</v>
      </c>
      <c r="AI304" s="14"/>
      <c r="AJ304" s="15"/>
      <c r="AK304" s="15"/>
      <c r="AL304" s="15"/>
      <c r="AM304" s="15"/>
      <c r="AN304" s="24">
        <f t="shared" si="103"/>
        <v>0</v>
      </c>
      <c r="AO304" s="15"/>
      <c r="AP304" s="55"/>
      <c r="AQ304" s="55"/>
      <c r="AR304" s="55"/>
      <c r="AS304" s="67"/>
      <c r="AT304" s="24">
        <f t="shared" si="104"/>
        <v>0</v>
      </c>
      <c r="AU304" s="15"/>
      <c r="AV304" s="55"/>
      <c r="AW304" s="55"/>
      <c r="AX304" s="55"/>
      <c r="AY304" s="67"/>
      <c r="AZ304" s="24">
        <f t="shared" si="105"/>
        <v>0</v>
      </c>
      <c r="BA304" s="24">
        <f t="shared" si="106"/>
        <v>9</v>
      </c>
      <c r="BB304" s="83">
        <v>43727</v>
      </c>
    </row>
    <row r="305" spans="1:55" ht="14.25" x14ac:dyDescent="0.15">
      <c r="A305" s="110"/>
      <c r="B305" s="41"/>
      <c r="C305" s="42"/>
      <c r="D305" s="42"/>
      <c r="E305" s="42"/>
      <c r="F305" s="42"/>
      <c r="G305" s="43">
        <f t="shared" si="107"/>
        <v>0</v>
      </c>
      <c r="H305" s="41"/>
      <c r="I305" s="42"/>
      <c r="J305" s="42"/>
      <c r="K305" s="42"/>
      <c r="L305" s="42"/>
      <c r="M305" s="43">
        <f t="shared" si="108"/>
        <v>0</v>
      </c>
      <c r="N305" s="42"/>
      <c r="O305" s="53"/>
      <c r="P305" s="53"/>
      <c r="Q305" s="53"/>
      <c r="R305" s="72"/>
      <c r="S305" s="24">
        <f t="shared" si="109"/>
        <v>0</v>
      </c>
      <c r="T305" s="42"/>
      <c r="U305" s="53"/>
      <c r="V305" s="53"/>
      <c r="W305" s="53"/>
      <c r="X305" s="72"/>
      <c r="Y305" s="24">
        <f t="shared" si="110"/>
        <v>0</v>
      </c>
      <c r="Z305" s="24">
        <f t="shared" si="111"/>
        <v>0</v>
      </c>
      <c r="AB305" s="40" t="s">
        <v>124</v>
      </c>
      <c r="AC305" s="14"/>
      <c r="AD305" s="15"/>
      <c r="AE305" s="15"/>
      <c r="AF305" s="15"/>
      <c r="AG305" s="15">
        <v>1</v>
      </c>
      <c r="AH305" s="24">
        <f t="shared" si="102"/>
        <v>1</v>
      </c>
      <c r="AI305" s="14"/>
      <c r="AJ305" s="15">
        <v>1</v>
      </c>
      <c r="AK305" s="15"/>
      <c r="AL305" s="15"/>
      <c r="AM305" s="15"/>
      <c r="AN305" s="24">
        <f t="shared" si="103"/>
        <v>1</v>
      </c>
      <c r="AO305" s="15"/>
      <c r="AP305" s="55"/>
      <c r="AQ305" s="55"/>
      <c r="AR305" s="55"/>
      <c r="AS305" s="67"/>
      <c r="AT305" s="24">
        <f t="shared" si="104"/>
        <v>0</v>
      </c>
      <c r="AU305" s="15"/>
      <c r="AV305" s="55"/>
      <c r="AW305" s="55"/>
      <c r="AX305" s="55">
        <v>1</v>
      </c>
      <c r="AY305" s="67"/>
      <c r="AZ305" s="24">
        <f t="shared" si="105"/>
        <v>1</v>
      </c>
      <c r="BA305" s="24">
        <f t="shared" si="106"/>
        <v>3</v>
      </c>
      <c r="BB305" s="83">
        <v>43727</v>
      </c>
    </row>
    <row r="306" spans="1:55" ht="14.25" x14ac:dyDescent="0.15">
      <c r="A306" s="23"/>
      <c r="B306" s="41"/>
      <c r="C306" s="42"/>
      <c r="D306" s="42"/>
      <c r="E306" s="42"/>
      <c r="F306" s="42"/>
      <c r="G306" s="43">
        <f t="shared" si="107"/>
        <v>0</v>
      </c>
      <c r="H306" s="41"/>
      <c r="I306" s="42"/>
      <c r="J306" s="42"/>
      <c r="K306" s="42"/>
      <c r="L306" s="42"/>
      <c r="M306" s="43">
        <f t="shared" si="108"/>
        <v>0</v>
      </c>
      <c r="N306" s="42"/>
      <c r="O306" s="53"/>
      <c r="P306" s="53"/>
      <c r="Q306" s="53"/>
      <c r="R306" s="72"/>
      <c r="S306" s="24">
        <f t="shared" si="109"/>
        <v>0</v>
      </c>
      <c r="T306" s="42"/>
      <c r="U306" s="53"/>
      <c r="V306" s="53"/>
      <c r="W306" s="53"/>
      <c r="X306" s="72"/>
      <c r="Y306" s="24">
        <f t="shared" si="110"/>
        <v>0</v>
      </c>
      <c r="Z306" s="24">
        <f t="shared" si="111"/>
        <v>0</v>
      </c>
      <c r="AB306" s="21" t="s">
        <v>203</v>
      </c>
      <c r="AC306" s="14"/>
      <c r="AD306" s="15">
        <v>1</v>
      </c>
      <c r="AE306" s="15"/>
      <c r="AF306" s="15">
        <v>1</v>
      </c>
      <c r="AG306" s="15">
        <v>1</v>
      </c>
      <c r="AH306" s="24">
        <f>SUM(AC306:AG306)</f>
        <v>3</v>
      </c>
      <c r="AI306" s="14"/>
      <c r="AJ306" s="15"/>
      <c r="AK306" s="15"/>
      <c r="AL306" s="15"/>
      <c r="AM306" s="15"/>
      <c r="AN306" s="24">
        <f>SUM(AI306:AM306)</f>
        <v>0</v>
      </c>
      <c r="AO306" s="15"/>
      <c r="AP306" s="55"/>
      <c r="AQ306" s="55"/>
      <c r="AR306" s="55"/>
      <c r="AS306" s="67"/>
      <c r="AT306" s="24">
        <f>SUM(AO306:AS306)</f>
        <v>0</v>
      </c>
      <c r="AU306" s="15">
        <v>1</v>
      </c>
      <c r="AV306" s="55"/>
      <c r="AW306" s="55"/>
      <c r="AX306" s="55"/>
      <c r="AY306" s="67"/>
      <c r="AZ306" s="24">
        <f>SUM(AU306:AY306)</f>
        <v>1</v>
      </c>
      <c r="BA306" s="24">
        <f>AH306+AN306+AT306+AZ306</f>
        <v>4</v>
      </c>
      <c r="BB306" s="83">
        <v>43728</v>
      </c>
    </row>
    <row r="307" spans="1:55" ht="14.25" x14ac:dyDescent="0.15">
      <c r="A307" s="23"/>
      <c r="B307" s="41"/>
      <c r="C307" s="42"/>
      <c r="D307" s="42"/>
      <c r="E307" s="42"/>
      <c r="F307" s="42"/>
      <c r="G307" s="43">
        <f t="shared" si="107"/>
        <v>0</v>
      </c>
      <c r="H307" s="41"/>
      <c r="I307" s="42"/>
      <c r="J307" s="42"/>
      <c r="K307" s="42"/>
      <c r="L307" s="42"/>
      <c r="M307" s="43">
        <f t="shared" si="108"/>
        <v>0</v>
      </c>
      <c r="N307" s="42"/>
      <c r="O307" s="53"/>
      <c r="P307" s="53"/>
      <c r="Q307" s="53"/>
      <c r="R307" s="72"/>
      <c r="S307" s="24">
        <f>SUM(N307:R307)</f>
        <v>0</v>
      </c>
      <c r="T307" s="42"/>
      <c r="U307" s="53"/>
      <c r="V307" s="53"/>
      <c r="W307" s="53"/>
      <c r="X307" s="72"/>
      <c r="Y307" s="24">
        <f>SUM(T307:X307)</f>
        <v>0</v>
      </c>
      <c r="Z307" s="24">
        <f>G307+M307+S307+Y307</f>
        <v>0</v>
      </c>
      <c r="AB307" s="21" t="s">
        <v>30</v>
      </c>
      <c r="AC307" s="41"/>
      <c r="AD307" s="42"/>
      <c r="AE307" s="42"/>
      <c r="AF307" s="42"/>
      <c r="AG307" s="42"/>
      <c r="AH307" s="43">
        <f>SUM(AC307:AG307)</f>
        <v>0</v>
      </c>
      <c r="AI307" s="41"/>
      <c r="AJ307" s="42"/>
      <c r="AK307" s="42"/>
      <c r="AL307" s="42"/>
      <c r="AM307" s="42"/>
      <c r="AN307" s="43">
        <f>SUM(AI307:AM307)</f>
        <v>0</v>
      </c>
      <c r="AO307" s="42"/>
      <c r="AP307" s="53"/>
      <c r="AQ307" s="53"/>
      <c r="AR307" s="53"/>
      <c r="AS307" s="72"/>
      <c r="AT307" s="24">
        <f>SUM(AO307:AS307)</f>
        <v>0</v>
      </c>
      <c r="AU307" s="42"/>
      <c r="AV307" s="53"/>
      <c r="AW307" s="53"/>
      <c r="AX307" s="53">
        <v>3</v>
      </c>
      <c r="AY307" s="72"/>
      <c r="AZ307" s="24">
        <f>SUM(AU307:AY307)</f>
        <v>3</v>
      </c>
      <c r="BA307" s="24">
        <f>AH307+AN307+AT307+AZ307</f>
        <v>3</v>
      </c>
      <c r="BB307" s="83">
        <v>43728</v>
      </c>
    </row>
    <row r="308" spans="1:55" ht="15" thickBot="1" x14ac:dyDescent="0.2">
      <c r="A308" s="110"/>
      <c r="B308" s="44"/>
      <c r="C308" s="45"/>
      <c r="D308" s="45"/>
      <c r="E308" s="45"/>
      <c r="F308" s="45"/>
      <c r="G308" s="43">
        <f t="shared" si="107"/>
        <v>0</v>
      </c>
      <c r="H308" s="44"/>
      <c r="I308" s="45"/>
      <c r="J308" s="45"/>
      <c r="K308" s="45"/>
      <c r="L308" s="45"/>
      <c r="M308" s="112">
        <f t="shared" si="108"/>
        <v>0</v>
      </c>
      <c r="N308" s="45"/>
      <c r="O308" s="78"/>
      <c r="P308" s="78"/>
      <c r="Q308" s="78"/>
      <c r="R308" s="79"/>
      <c r="S308" s="113">
        <f>SUM(N308:R308)</f>
        <v>0</v>
      </c>
      <c r="T308" s="45"/>
      <c r="U308" s="78"/>
      <c r="V308" s="78"/>
      <c r="W308" s="78"/>
      <c r="X308" s="79"/>
      <c r="Y308" s="113">
        <f>SUM(T308:X308)</f>
        <v>0</v>
      </c>
      <c r="Z308" s="82">
        <f>G308+M308+S308+Y308</f>
        <v>0</v>
      </c>
      <c r="AB308" s="110" t="s">
        <v>172</v>
      </c>
      <c r="AC308" s="41"/>
      <c r="AD308" s="42"/>
      <c r="AE308" s="42"/>
      <c r="AF308" s="42"/>
      <c r="AG308" s="42"/>
      <c r="AH308" s="43">
        <f>SUM(AC308:AG308)</f>
        <v>0</v>
      </c>
      <c r="AI308" s="41"/>
      <c r="AJ308" s="42"/>
      <c r="AK308" s="42"/>
      <c r="AL308" s="42"/>
      <c r="AM308" s="42"/>
      <c r="AN308" s="43">
        <f>SUM(AI308:AM308)</f>
        <v>0</v>
      </c>
      <c r="AO308" s="42"/>
      <c r="AP308" s="53"/>
      <c r="AQ308" s="53"/>
      <c r="AR308" s="53"/>
      <c r="AS308" s="72"/>
      <c r="AT308" s="24">
        <f>SUM(AO308:AS308)</f>
        <v>0</v>
      </c>
      <c r="AU308" s="42"/>
      <c r="AV308" s="53"/>
      <c r="AW308" s="53"/>
      <c r="AX308" s="53"/>
      <c r="AY308" s="72"/>
      <c r="AZ308" s="24">
        <f>SUM(AU308:AY308)</f>
        <v>0</v>
      </c>
      <c r="BA308" s="24">
        <f>AH308+AN308+AT308+AZ308</f>
        <v>0</v>
      </c>
      <c r="BB308" s="128"/>
      <c r="BC308" s="111"/>
    </row>
    <row r="309" spans="1:55" ht="15" thickBot="1" x14ac:dyDescent="0.2">
      <c r="A309" s="9" t="s">
        <v>13</v>
      </c>
      <c r="B309" s="25">
        <f>SUM(B283:B308)</f>
        <v>2</v>
      </c>
      <c r="C309" s="26">
        <f>SUM(C283:C308)</f>
        <v>2</v>
      </c>
      <c r="D309" s="26">
        <f>SUM(D283:D308)</f>
        <v>3</v>
      </c>
      <c r="E309" s="26">
        <f>SUM(E283:E308)</f>
        <v>1</v>
      </c>
      <c r="F309" s="27">
        <f>SUM(F283:F308)</f>
        <v>1</v>
      </c>
      <c r="G309" s="19">
        <f>SUM(B309:F309)</f>
        <v>9</v>
      </c>
      <c r="H309" s="25">
        <f>SUM(H283:H308)</f>
        <v>1</v>
      </c>
      <c r="I309" s="26">
        <f>SUM(I283:I308)</f>
        <v>1</v>
      </c>
      <c r="J309" s="26">
        <f>SUM(J283:J308)</f>
        <v>3</v>
      </c>
      <c r="K309" s="26">
        <f>SUM(K283:K308)</f>
        <v>1</v>
      </c>
      <c r="L309" s="27">
        <f>SUM(L283:L308)</f>
        <v>3</v>
      </c>
      <c r="M309" s="25">
        <f>SUM(H309:L309)</f>
        <v>9</v>
      </c>
      <c r="N309" s="65">
        <f>SUM(N283:N308)</f>
        <v>1</v>
      </c>
      <c r="O309" s="18">
        <f>SUM(O283:O308)</f>
        <v>0</v>
      </c>
      <c r="P309" s="18">
        <f>SUM(P283:P308)</f>
        <v>1</v>
      </c>
      <c r="Q309" s="18">
        <f>SUM(Q283:Q308)</f>
        <v>2</v>
      </c>
      <c r="R309" s="70">
        <f>SUM(R283:R308)</f>
        <v>1</v>
      </c>
      <c r="S309" s="49">
        <f>SUM(N309:R309)</f>
        <v>5</v>
      </c>
      <c r="T309" s="74">
        <f>SUM(T283:T308)</f>
        <v>0</v>
      </c>
      <c r="U309" s="18">
        <f>SUM(U283:U308)</f>
        <v>1</v>
      </c>
      <c r="V309" s="18">
        <f>SUM(V283:V308)</f>
        <v>1</v>
      </c>
      <c r="W309" s="18">
        <f>SUM(W283:W308)</f>
        <v>-2</v>
      </c>
      <c r="X309" s="70">
        <f>SUM(X283:X308)</f>
        <v>0</v>
      </c>
      <c r="Y309" s="49">
        <f>SUM(T309:X309)</f>
        <v>0</v>
      </c>
      <c r="Z309" s="77">
        <f>G309+M309+S309+Y309</f>
        <v>23</v>
      </c>
      <c r="AB309" s="9" t="s">
        <v>13</v>
      </c>
      <c r="AC309" s="25">
        <f>SUM(AC283:AC308)</f>
        <v>6</v>
      </c>
      <c r="AD309" s="26">
        <f>SUM(AD283:AD308)</f>
        <v>3</v>
      </c>
      <c r="AE309" s="26">
        <f>SUM(AE283:AE308)</f>
        <v>20</v>
      </c>
      <c r="AF309" s="26">
        <f>SUM(AF283:AF308)</f>
        <v>17</v>
      </c>
      <c r="AG309" s="27">
        <f>SUM(AG283:AG308)</f>
        <v>20</v>
      </c>
      <c r="AH309" s="19">
        <f t="shared" si="102"/>
        <v>66</v>
      </c>
      <c r="AI309" s="25">
        <f>SUM(AI283:AI308)</f>
        <v>0</v>
      </c>
      <c r="AJ309" s="26">
        <f>SUM(AJ283:AJ308)</f>
        <v>12</v>
      </c>
      <c r="AK309" s="26">
        <f>SUM(AK283:AK308)</f>
        <v>8</v>
      </c>
      <c r="AL309" s="26">
        <f>SUM(AL283:AL308)</f>
        <v>1</v>
      </c>
      <c r="AM309" s="27">
        <f>SUM(AM283:AM308)</f>
        <v>4</v>
      </c>
      <c r="AN309" s="25">
        <f t="shared" si="103"/>
        <v>25</v>
      </c>
      <c r="AO309" s="65">
        <f>SUM(AO283:AO308)</f>
        <v>2</v>
      </c>
      <c r="AP309" s="18">
        <f>SUM(AP283:AP308)</f>
        <v>7</v>
      </c>
      <c r="AQ309" s="18">
        <f>SUM(AQ283:AQ308)</f>
        <v>6</v>
      </c>
      <c r="AR309" s="18">
        <f>SUM(AR283:AR308)</f>
        <v>0</v>
      </c>
      <c r="AS309" s="70">
        <f>SUM(AS283:AS308)</f>
        <v>8</v>
      </c>
      <c r="AT309" s="49">
        <f t="shared" si="104"/>
        <v>23</v>
      </c>
      <c r="AU309" s="74">
        <f>SUM(AU283:AU308)</f>
        <v>2</v>
      </c>
      <c r="AV309" s="18">
        <f>SUM(AV283:AV308)</f>
        <v>4</v>
      </c>
      <c r="AW309" s="18">
        <f>SUM(AW283:AW308)</f>
        <v>6</v>
      </c>
      <c r="AX309" s="18">
        <f>SUM(AX283:AX308)</f>
        <v>5</v>
      </c>
      <c r="AY309" s="70">
        <f>SUM(AY283:AY308)</f>
        <v>7</v>
      </c>
      <c r="AZ309" s="49">
        <f t="shared" si="105"/>
        <v>24</v>
      </c>
      <c r="BA309" s="77">
        <f>AH309+AN309+AT309+AZ309</f>
        <v>138</v>
      </c>
    </row>
    <row r="310" spans="1:55" ht="15" thickBot="1" x14ac:dyDescent="0.2">
      <c r="A310" s="32" t="s">
        <v>14</v>
      </c>
      <c r="B310" s="29">
        <f t="shared" ref="B310:Y310" si="112">B282-B309</f>
        <v>3</v>
      </c>
      <c r="C310" s="30">
        <f t="shared" si="112"/>
        <v>3</v>
      </c>
      <c r="D310" s="30">
        <f t="shared" si="112"/>
        <v>3</v>
      </c>
      <c r="E310" s="30">
        <f t="shared" si="112"/>
        <v>3</v>
      </c>
      <c r="F310" s="31">
        <f t="shared" si="112"/>
        <v>2</v>
      </c>
      <c r="G310" s="31">
        <f t="shared" si="112"/>
        <v>14</v>
      </c>
      <c r="H310" s="29">
        <f t="shared" si="112"/>
        <v>3</v>
      </c>
      <c r="I310" s="30">
        <f t="shared" si="112"/>
        <v>2</v>
      </c>
      <c r="J310" s="30">
        <f t="shared" si="112"/>
        <v>3</v>
      </c>
      <c r="K310" s="30">
        <f t="shared" si="112"/>
        <v>2</v>
      </c>
      <c r="L310" s="31">
        <f t="shared" si="112"/>
        <v>2</v>
      </c>
      <c r="M310" s="66">
        <f t="shared" si="112"/>
        <v>12</v>
      </c>
      <c r="N310" s="29">
        <f t="shared" si="112"/>
        <v>3</v>
      </c>
      <c r="O310" s="30">
        <f t="shared" si="112"/>
        <v>4</v>
      </c>
      <c r="P310" s="30">
        <f t="shared" si="112"/>
        <v>2</v>
      </c>
      <c r="Q310" s="30">
        <f t="shared" si="112"/>
        <v>6</v>
      </c>
      <c r="R310" s="66">
        <f t="shared" si="112"/>
        <v>3</v>
      </c>
      <c r="S310" s="33">
        <f t="shared" si="112"/>
        <v>18</v>
      </c>
      <c r="T310" s="75">
        <f t="shared" si="112"/>
        <v>3</v>
      </c>
      <c r="U310" s="30">
        <f t="shared" si="112"/>
        <v>6</v>
      </c>
      <c r="V310" s="30">
        <f t="shared" si="112"/>
        <v>3</v>
      </c>
      <c r="W310" s="30">
        <f t="shared" si="112"/>
        <v>4</v>
      </c>
      <c r="X310" s="66">
        <f t="shared" si="112"/>
        <v>4</v>
      </c>
      <c r="Y310" s="33">
        <f t="shared" si="112"/>
        <v>20</v>
      </c>
      <c r="Z310" s="77">
        <f>G310+M310+S310+Y310</f>
        <v>64</v>
      </c>
      <c r="AB310" s="32" t="s">
        <v>14</v>
      </c>
      <c r="AC310" s="29">
        <f t="shared" ref="AC310:AZ310" si="113">AC282-AC309</f>
        <v>129</v>
      </c>
      <c r="AD310" s="30">
        <f t="shared" si="113"/>
        <v>147</v>
      </c>
      <c r="AE310" s="30">
        <f t="shared" si="113"/>
        <v>167</v>
      </c>
      <c r="AF310" s="30">
        <f t="shared" si="113"/>
        <v>147</v>
      </c>
      <c r="AG310" s="31">
        <f t="shared" si="113"/>
        <v>133</v>
      </c>
      <c r="AH310" s="31">
        <f t="shared" si="113"/>
        <v>723</v>
      </c>
      <c r="AI310" s="29">
        <f t="shared" si="113"/>
        <v>104</v>
      </c>
      <c r="AJ310" s="30">
        <f t="shared" si="113"/>
        <v>103</v>
      </c>
      <c r="AK310" s="30">
        <f t="shared" si="113"/>
        <v>125</v>
      </c>
      <c r="AL310" s="30">
        <f t="shared" si="113"/>
        <v>121</v>
      </c>
      <c r="AM310" s="31">
        <f t="shared" si="113"/>
        <v>116</v>
      </c>
      <c r="AN310" s="66">
        <f t="shared" si="113"/>
        <v>569</v>
      </c>
      <c r="AO310" s="29">
        <f t="shared" si="113"/>
        <v>105</v>
      </c>
      <c r="AP310" s="30">
        <f t="shared" si="113"/>
        <v>105</v>
      </c>
      <c r="AQ310" s="30">
        <f t="shared" si="113"/>
        <v>86</v>
      </c>
      <c r="AR310" s="30">
        <f t="shared" si="113"/>
        <v>86</v>
      </c>
      <c r="AS310" s="66">
        <f t="shared" si="113"/>
        <v>56</v>
      </c>
      <c r="AT310" s="33">
        <f t="shared" si="113"/>
        <v>438</v>
      </c>
      <c r="AU310" s="75">
        <f t="shared" si="113"/>
        <v>112</v>
      </c>
      <c r="AV310" s="30">
        <f t="shared" si="113"/>
        <v>101</v>
      </c>
      <c r="AW310" s="30">
        <f t="shared" si="113"/>
        <v>91</v>
      </c>
      <c r="AX310" s="30">
        <f t="shared" si="113"/>
        <v>105</v>
      </c>
      <c r="AY310" s="66">
        <f t="shared" si="113"/>
        <v>53</v>
      </c>
      <c r="AZ310" s="33">
        <f t="shared" si="113"/>
        <v>462</v>
      </c>
      <c r="BA310" s="77">
        <f>AH310+AN310+AT310+AZ310</f>
        <v>2192</v>
      </c>
    </row>
    <row r="313" spans="1:55" ht="19.5" thickBot="1" x14ac:dyDescent="0.25">
      <c r="A313" s="1" t="s">
        <v>15</v>
      </c>
      <c r="AB313" s="1" t="s">
        <v>16</v>
      </c>
    </row>
    <row r="314" spans="1:55" ht="15" thickBot="1" x14ac:dyDescent="0.2">
      <c r="A314" s="4"/>
      <c r="B314" s="245" t="s">
        <v>17</v>
      </c>
      <c r="C314" s="246"/>
      <c r="D314" s="246"/>
      <c r="E314" s="246"/>
      <c r="F314" s="246"/>
      <c r="G314" s="247"/>
      <c r="H314" s="245" t="s">
        <v>18</v>
      </c>
      <c r="I314" s="246"/>
      <c r="J314" s="246"/>
      <c r="K314" s="246"/>
      <c r="L314" s="246"/>
      <c r="M314" s="247"/>
      <c r="N314" s="248" t="s">
        <v>27</v>
      </c>
      <c r="O314" s="249"/>
      <c r="P314" s="249"/>
      <c r="Q314" s="249"/>
      <c r="R314" s="249"/>
      <c r="S314" s="250"/>
      <c r="T314" s="248" t="s">
        <v>28</v>
      </c>
      <c r="U314" s="249"/>
      <c r="V314" s="249"/>
      <c r="W314" s="249"/>
      <c r="X314" s="249"/>
      <c r="Y314" s="250"/>
      <c r="Z314" s="251" t="s">
        <v>1</v>
      </c>
      <c r="AB314" s="4"/>
      <c r="AC314" s="253" t="s">
        <v>17</v>
      </c>
      <c r="AD314" s="249"/>
      <c r="AE314" s="249"/>
      <c r="AF314" s="249"/>
      <c r="AG314" s="249"/>
      <c r="AH314" s="250"/>
      <c r="AI314" s="248" t="s">
        <v>18</v>
      </c>
      <c r="AJ314" s="249"/>
      <c r="AK314" s="249"/>
      <c r="AL314" s="249"/>
      <c r="AM314" s="249"/>
      <c r="AN314" s="250"/>
      <c r="AO314" s="248" t="s">
        <v>27</v>
      </c>
      <c r="AP314" s="249"/>
      <c r="AQ314" s="249"/>
      <c r="AR314" s="249"/>
      <c r="AS314" s="249"/>
      <c r="AT314" s="250"/>
      <c r="AU314" s="248" t="s">
        <v>28</v>
      </c>
      <c r="AV314" s="249"/>
      <c r="AW314" s="249"/>
      <c r="AX314" s="249"/>
      <c r="AY314" s="249"/>
      <c r="AZ314" s="250"/>
      <c r="BA314" s="243" t="s">
        <v>1</v>
      </c>
    </row>
    <row r="315" spans="1:55" ht="15" thickBot="1" x14ac:dyDescent="0.2">
      <c r="A315" s="9" t="s">
        <v>2</v>
      </c>
      <c r="B315" s="6" t="s">
        <v>3</v>
      </c>
      <c r="C315" s="7" t="s">
        <v>4</v>
      </c>
      <c r="D315" s="7" t="s">
        <v>5</v>
      </c>
      <c r="E315" s="48" t="s">
        <v>20</v>
      </c>
      <c r="F315" s="8" t="s">
        <v>21</v>
      </c>
      <c r="G315" s="5" t="s">
        <v>6</v>
      </c>
      <c r="H315" s="6" t="s">
        <v>3</v>
      </c>
      <c r="I315" s="7" t="s">
        <v>4</v>
      </c>
      <c r="J315" s="7" t="s">
        <v>5</v>
      </c>
      <c r="K315" s="48" t="s">
        <v>20</v>
      </c>
      <c r="L315" s="8" t="s">
        <v>21</v>
      </c>
      <c r="M315" s="5" t="s">
        <v>6</v>
      </c>
      <c r="N315" s="6" t="s">
        <v>3</v>
      </c>
      <c r="O315" s="7" t="s">
        <v>4</v>
      </c>
      <c r="P315" s="7" t="s">
        <v>5</v>
      </c>
      <c r="Q315" s="48" t="s">
        <v>20</v>
      </c>
      <c r="R315" s="8" t="s">
        <v>21</v>
      </c>
      <c r="S315" s="5" t="s">
        <v>6</v>
      </c>
      <c r="T315" s="7" t="s">
        <v>3</v>
      </c>
      <c r="U315" s="7" t="s">
        <v>4</v>
      </c>
      <c r="V315" s="7" t="s">
        <v>5</v>
      </c>
      <c r="W315" s="48" t="s">
        <v>20</v>
      </c>
      <c r="X315" s="109" t="s">
        <v>21</v>
      </c>
      <c r="Y315" s="62" t="s">
        <v>6</v>
      </c>
      <c r="Z315" s="252"/>
      <c r="AB315" s="9" t="s">
        <v>2</v>
      </c>
      <c r="AC315" s="6" t="s">
        <v>3</v>
      </c>
      <c r="AD315" s="7" t="s">
        <v>4</v>
      </c>
      <c r="AE315" s="7" t="s">
        <v>5</v>
      </c>
      <c r="AF315" s="48" t="s">
        <v>20</v>
      </c>
      <c r="AG315" s="8" t="s">
        <v>21</v>
      </c>
      <c r="AH315" s="5" t="s">
        <v>6</v>
      </c>
      <c r="AI315" s="6" t="s">
        <v>3</v>
      </c>
      <c r="AJ315" s="7" t="s">
        <v>4</v>
      </c>
      <c r="AK315" s="7" t="s">
        <v>5</v>
      </c>
      <c r="AL315" s="48" t="s">
        <v>20</v>
      </c>
      <c r="AM315" s="8" t="s">
        <v>21</v>
      </c>
      <c r="AN315" s="5" t="s">
        <v>6</v>
      </c>
      <c r="AO315" s="6" t="s">
        <v>3</v>
      </c>
      <c r="AP315" s="7" t="s">
        <v>4</v>
      </c>
      <c r="AQ315" s="7" t="s">
        <v>5</v>
      </c>
      <c r="AR315" s="48" t="s">
        <v>20</v>
      </c>
      <c r="AS315" s="8" t="s">
        <v>21</v>
      </c>
      <c r="AT315" s="5" t="s">
        <v>6</v>
      </c>
      <c r="AU315" s="7" t="s">
        <v>3</v>
      </c>
      <c r="AV315" s="7" t="s">
        <v>4</v>
      </c>
      <c r="AW315" s="7" t="s">
        <v>5</v>
      </c>
      <c r="AX315" s="48" t="s">
        <v>20</v>
      </c>
      <c r="AY315" s="109" t="s">
        <v>21</v>
      </c>
      <c r="AZ315" s="62" t="s">
        <v>6</v>
      </c>
      <c r="BA315" s="244"/>
    </row>
    <row r="316" spans="1:55" ht="14.25" x14ac:dyDescent="0.15">
      <c r="A316" s="103" t="s">
        <v>43</v>
      </c>
      <c r="B316" s="104">
        <f>B310</f>
        <v>3</v>
      </c>
      <c r="C316" s="105">
        <f>C310</f>
        <v>3</v>
      </c>
      <c r="D316" s="105">
        <f>D310</f>
        <v>3</v>
      </c>
      <c r="E316" s="105">
        <f>E310</f>
        <v>3</v>
      </c>
      <c r="F316" s="105">
        <f>F310</f>
        <v>2</v>
      </c>
      <c r="G316" s="106">
        <f t="shared" ref="G316:G347" si="114">SUM(B316:F316)</f>
        <v>14</v>
      </c>
      <c r="H316" s="104">
        <f>H310</f>
        <v>3</v>
      </c>
      <c r="I316" s="105">
        <f>I310</f>
        <v>2</v>
      </c>
      <c r="J316" s="105">
        <f>J310</f>
        <v>3</v>
      </c>
      <c r="K316" s="105">
        <f>K310</f>
        <v>2</v>
      </c>
      <c r="L316" s="105">
        <f>L310</f>
        <v>2</v>
      </c>
      <c r="M316" s="107">
        <f t="shared" ref="M316:M347" si="115">SUM(H316:L316)</f>
        <v>12</v>
      </c>
      <c r="N316" s="104">
        <f>N310</f>
        <v>3</v>
      </c>
      <c r="O316" s="105">
        <f>O310</f>
        <v>4</v>
      </c>
      <c r="P316" s="105">
        <f>P310</f>
        <v>2</v>
      </c>
      <c r="Q316" s="105">
        <f>Q310</f>
        <v>6</v>
      </c>
      <c r="R316" s="105">
        <f>R310</f>
        <v>3</v>
      </c>
      <c r="S316" s="108">
        <f t="shared" ref="S316:S345" si="116">SUM(N316:R316)</f>
        <v>18</v>
      </c>
      <c r="T316" s="104">
        <f>T310</f>
        <v>3</v>
      </c>
      <c r="U316" s="105">
        <f>U310</f>
        <v>6</v>
      </c>
      <c r="V316" s="105">
        <f>V310</f>
        <v>3</v>
      </c>
      <c r="W316" s="105">
        <f>W310</f>
        <v>4</v>
      </c>
      <c r="X316" s="105">
        <f>X310</f>
        <v>4</v>
      </c>
      <c r="Y316" s="106">
        <f t="shared" ref="Y316:Y345" si="117">SUM(T316:X316)</f>
        <v>20</v>
      </c>
      <c r="Z316" s="106">
        <f t="shared" ref="Z316:Z345" si="118">G316+M316+S316+Y316</f>
        <v>64</v>
      </c>
      <c r="AB316" s="103" t="s">
        <v>43</v>
      </c>
      <c r="AC316" s="104">
        <f>AC310</f>
        <v>129</v>
      </c>
      <c r="AD316" s="105">
        <f>AD310</f>
        <v>147</v>
      </c>
      <c r="AE316" s="105">
        <f>AE310</f>
        <v>167</v>
      </c>
      <c r="AF316" s="105">
        <f>AF310</f>
        <v>147</v>
      </c>
      <c r="AG316" s="105">
        <f>AG310</f>
        <v>133</v>
      </c>
      <c r="AH316" s="106">
        <f t="shared" ref="AH316:AH344" si="119">SUM(AC316:AG316)</f>
        <v>723</v>
      </c>
      <c r="AI316" s="104">
        <f>AI310</f>
        <v>104</v>
      </c>
      <c r="AJ316" s="105">
        <f>AJ310</f>
        <v>103</v>
      </c>
      <c r="AK316" s="105">
        <f>AK310</f>
        <v>125</v>
      </c>
      <c r="AL316" s="105">
        <f>AL310</f>
        <v>121</v>
      </c>
      <c r="AM316" s="105">
        <f>AM310</f>
        <v>116</v>
      </c>
      <c r="AN316" s="107">
        <f t="shared" ref="AN316:AN344" si="120">SUM(AI316:AM316)</f>
        <v>569</v>
      </c>
      <c r="AO316" s="104">
        <f>AO310</f>
        <v>105</v>
      </c>
      <c r="AP316" s="105">
        <f>AP310</f>
        <v>105</v>
      </c>
      <c r="AQ316" s="105">
        <f>AQ310</f>
        <v>86</v>
      </c>
      <c r="AR316" s="105">
        <f>AR310</f>
        <v>86</v>
      </c>
      <c r="AS316" s="105">
        <f>AS310</f>
        <v>56</v>
      </c>
      <c r="AT316" s="108">
        <f t="shared" ref="AT316:AT344" si="121">SUM(AO316:AS316)</f>
        <v>438</v>
      </c>
      <c r="AU316" s="104">
        <f>AU310</f>
        <v>112</v>
      </c>
      <c r="AV316" s="105">
        <f>AV310</f>
        <v>101</v>
      </c>
      <c r="AW316" s="105">
        <f>AW310</f>
        <v>91</v>
      </c>
      <c r="AX316" s="105">
        <f>AX310</f>
        <v>105</v>
      </c>
      <c r="AY316" s="105">
        <f>AY310</f>
        <v>53</v>
      </c>
      <c r="AZ316" s="106">
        <f t="shared" ref="AZ316:AZ344" si="122">SUM(AU316:AY316)</f>
        <v>462</v>
      </c>
      <c r="BA316" s="106">
        <f>AH316+AN316+AT316+AZ316</f>
        <v>2192</v>
      </c>
    </row>
    <row r="317" spans="1:55" ht="14.25" x14ac:dyDescent="0.15">
      <c r="A317" s="10" t="s">
        <v>207</v>
      </c>
      <c r="B317" s="14"/>
      <c r="C317" s="15"/>
      <c r="D317" s="15"/>
      <c r="E317" s="15"/>
      <c r="F317" s="15"/>
      <c r="G317" s="16">
        <f t="shared" si="114"/>
        <v>0</v>
      </c>
      <c r="H317" s="14"/>
      <c r="I317" s="15"/>
      <c r="J317" s="15"/>
      <c r="K317" s="15"/>
      <c r="L317" s="15"/>
      <c r="M317" s="57">
        <f t="shared" si="115"/>
        <v>0</v>
      </c>
      <c r="N317" s="14"/>
      <c r="O317" s="55">
        <v>1</v>
      </c>
      <c r="P317" s="55"/>
      <c r="Q317" s="55"/>
      <c r="R317" s="67"/>
      <c r="S317" s="24">
        <f t="shared" si="116"/>
        <v>1</v>
      </c>
      <c r="T317" s="15"/>
      <c r="U317" s="55">
        <v>1</v>
      </c>
      <c r="V317" s="55"/>
      <c r="W317" s="55"/>
      <c r="X317" s="67"/>
      <c r="Y317" s="24">
        <f t="shared" si="117"/>
        <v>1</v>
      </c>
      <c r="Z317" s="24">
        <f t="shared" si="118"/>
        <v>2</v>
      </c>
      <c r="AA317" s="83">
        <v>43732</v>
      </c>
      <c r="AB317" s="10" t="s">
        <v>7</v>
      </c>
      <c r="AC317" s="14"/>
      <c r="AD317" s="15"/>
      <c r="AE317" s="15"/>
      <c r="AF317" s="15"/>
      <c r="AG317" s="15">
        <v>1</v>
      </c>
      <c r="AH317" s="16">
        <v>1</v>
      </c>
      <c r="AI317" s="14"/>
      <c r="AJ317" s="15"/>
      <c r="AK317" s="15">
        <v>1</v>
      </c>
      <c r="AL317" s="15">
        <v>1</v>
      </c>
      <c r="AM317" s="15">
        <v>1</v>
      </c>
      <c r="AN317" s="57">
        <v>3</v>
      </c>
      <c r="AO317" s="14"/>
      <c r="AP317" s="55">
        <v>2</v>
      </c>
      <c r="AQ317" s="55"/>
      <c r="AR317" s="55">
        <v>4</v>
      </c>
      <c r="AS317" s="67">
        <v>2</v>
      </c>
      <c r="AT317" s="24">
        <v>0</v>
      </c>
      <c r="AU317" s="15"/>
      <c r="AV317" s="55">
        <v>5</v>
      </c>
      <c r="AW317" s="55"/>
      <c r="AX317" s="55">
        <v>1</v>
      </c>
      <c r="AY317" s="67">
        <v>1</v>
      </c>
      <c r="AZ317" s="24">
        <v>0</v>
      </c>
      <c r="BA317" s="24">
        <v>4</v>
      </c>
      <c r="BB317" s="93">
        <v>43743</v>
      </c>
    </row>
    <row r="318" spans="1:55" ht="14.25" x14ac:dyDescent="0.15">
      <c r="A318" s="10" t="s">
        <v>181</v>
      </c>
      <c r="B318" s="41"/>
      <c r="C318" s="42"/>
      <c r="D318" s="42"/>
      <c r="E318" s="42"/>
      <c r="F318" s="42">
        <v>3</v>
      </c>
      <c r="G318" s="37">
        <f t="shared" si="114"/>
        <v>3</v>
      </c>
      <c r="H318" s="41"/>
      <c r="I318" s="42"/>
      <c r="J318" s="42"/>
      <c r="K318" s="42">
        <v>3</v>
      </c>
      <c r="L318" s="42"/>
      <c r="M318" s="114">
        <f t="shared" si="115"/>
        <v>3</v>
      </c>
      <c r="N318" s="41"/>
      <c r="O318" s="53"/>
      <c r="P318" s="53"/>
      <c r="Q318" s="53"/>
      <c r="R318" s="72"/>
      <c r="S318" s="24">
        <f t="shared" si="116"/>
        <v>0</v>
      </c>
      <c r="T318" s="42"/>
      <c r="U318" s="53"/>
      <c r="V318" s="53"/>
      <c r="W318" s="53"/>
      <c r="X318" s="72"/>
      <c r="Y318" s="24">
        <f t="shared" si="117"/>
        <v>0</v>
      </c>
      <c r="Z318" s="24">
        <f t="shared" si="118"/>
        <v>6</v>
      </c>
      <c r="AA318" s="83">
        <v>43733</v>
      </c>
      <c r="AB318" s="10" t="s">
        <v>126</v>
      </c>
      <c r="AC318" s="41"/>
      <c r="AD318" s="42"/>
      <c r="AE318" s="42"/>
      <c r="AF318" s="42"/>
      <c r="AG318" s="42"/>
      <c r="AH318" s="37">
        <f t="shared" si="119"/>
        <v>0</v>
      </c>
      <c r="AI318" s="41"/>
      <c r="AJ318" s="42"/>
      <c r="AK318" s="42"/>
      <c r="AL318" s="42"/>
      <c r="AM318" s="42">
        <v>2</v>
      </c>
      <c r="AN318" s="114">
        <f t="shared" si="120"/>
        <v>2</v>
      </c>
      <c r="AO318" s="41"/>
      <c r="AP318" s="53"/>
      <c r="AQ318" s="53"/>
      <c r="AR318" s="53">
        <v>1</v>
      </c>
      <c r="AS318" s="72"/>
      <c r="AT318" s="24">
        <f t="shared" si="121"/>
        <v>1</v>
      </c>
      <c r="AU318" s="42"/>
      <c r="AV318" s="53"/>
      <c r="AW318" s="53"/>
      <c r="AX318" s="53"/>
      <c r="AY318" s="72"/>
      <c r="AZ318" s="24">
        <f t="shared" si="122"/>
        <v>0</v>
      </c>
      <c r="BA318" s="24">
        <f t="shared" ref="BA318:BA344" si="123">AH318+AN318+AT318+AZ318</f>
        <v>3</v>
      </c>
      <c r="BB318" s="83">
        <v>43771</v>
      </c>
    </row>
    <row r="319" spans="1:55" ht="14.25" x14ac:dyDescent="0.15">
      <c r="A319" s="10" t="s">
        <v>181</v>
      </c>
      <c r="B319" s="14"/>
      <c r="C319" s="15"/>
      <c r="D319" s="15"/>
      <c r="E319" s="15"/>
      <c r="F319" s="15"/>
      <c r="G319" s="16">
        <f t="shared" si="114"/>
        <v>0</v>
      </c>
      <c r="H319" s="14"/>
      <c r="I319" s="15">
        <v>3</v>
      </c>
      <c r="J319" s="15"/>
      <c r="K319" s="15"/>
      <c r="L319" s="15"/>
      <c r="M319" s="57">
        <f t="shared" si="115"/>
        <v>3</v>
      </c>
      <c r="N319" s="14"/>
      <c r="O319" s="55"/>
      <c r="P319" s="55"/>
      <c r="Q319" s="55"/>
      <c r="R319" s="67">
        <v>3</v>
      </c>
      <c r="S319" s="24">
        <f t="shared" si="116"/>
        <v>3</v>
      </c>
      <c r="T319" s="15"/>
      <c r="U319" s="55"/>
      <c r="V319" s="55"/>
      <c r="W319" s="55"/>
      <c r="X319" s="67"/>
      <c r="Y319" s="24">
        <f t="shared" si="117"/>
        <v>0</v>
      </c>
      <c r="Z319" s="24">
        <f t="shared" si="118"/>
        <v>6</v>
      </c>
      <c r="AA319" s="83">
        <v>43735</v>
      </c>
      <c r="AB319" s="10" t="s">
        <v>10</v>
      </c>
      <c r="AC319" s="14"/>
      <c r="AD319" s="15"/>
      <c r="AE319" s="15"/>
      <c r="AF319" s="15"/>
      <c r="AG319" s="15"/>
      <c r="AH319" s="16">
        <f t="shared" si="119"/>
        <v>0</v>
      </c>
      <c r="AI319" s="14"/>
      <c r="AJ319" s="15"/>
      <c r="AK319" s="15"/>
      <c r="AL319" s="15"/>
      <c r="AM319" s="15"/>
      <c r="AN319" s="57">
        <f t="shared" si="120"/>
        <v>0</v>
      </c>
      <c r="AO319" s="14"/>
      <c r="AP319" s="55"/>
      <c r="AQ319" s="55"/>
      <c r="AR319" s="55"/>
      <c r="AS319" s="67"/>
      <c r="AT319" s="24">
        <f t="shared" si="121"/>
        <v>0</v>
      </c>
      <c r="AU319" s="15"/>
      <c r="AV319" s="55"/>
      <c r="AW319" s="55"/>
      <c r="AX319" s="55"/>
      <c r="AY319" s="67"/>
      <c r="AZ319" s="24">
        <f t="shared" si="122"/>
        <v>0</v>
      </c>
      <c r="BA319" s="24">
        <f t="shared" si="123"/>
        <v>0</v>
      </c>
    </row>
    <row r="320" spans="1:55" ht="15" thickBot="1" x14ac:dyDescent="0.2">
      <c r="A320" s="10" t="s">
        <v>77</v>
      </c>
      <c r="B320" s="14"/>
      <c r="C320" s="15"/>
      <c r="D320" s="15"/>
      <c r="E320" s="15"/>
      <c r="F320" s="15"/>
      <c r="G320" s="16">
        <f t="shared" si="114"/>
        <v>0</v>
      </c>
      <c r="H320" s="14"/>
      <c r="I320" s="15"/>
      <c r="J320" s="15"/>
      <c r="K320" s="15"/>
      <c r="L320" s="15"/>
      <c r="M320" s="57">
        <f t="shared" si="115"/>
        <v>0</v>
      </c>
      <c r="N320" s="63"/>
      <c r="O320" s="64"/>
      <c r="P320" s="64">
        <v>1</v>
      </c>
      <c r="Q320" s="64"/>
      <c r="R320" s="69"/>
      <c r="S320" s="82">
        <f t="shared" si="116"/>
        <v>1</v>
      </c>
      <c r="T320" s="73"/>
      <c r="U320" s="64"/>
      <c r="V320" s="64"/>
      <c r="W320" s="64"/>
      <c r="X320" s="69"/>
      <c r="Y320" s="82">
        <f t="shared" si="117"/>
        <v>0</v>
      </c>
      <c r="Z320" s="82">
        <f t="shared" si="118"/>
        <v>1</v>
      </c>
      <c r="AA320" s="93">
        <v>43734</v>
      </c>
      <c r="AB320" s="10" t="s">
        <v>11</v>
      </c>
      <c r="AC320" s="14"/>
      <c r="AD320" s="15"/>
      <c r="AE320" s="15"/>
      <c r="AF320" s="15"/>
      <c r="AG320" s="15"/>
      <c r="AH320" s="16">
        <f t="shared" si="119"/>
        <v>0</v>
      </c>
      <c r="AI320" s="14"/>
      <c r="AJ320" s="15"/>
      <c r="AK320" s="15"/>
      <c r="AL320" s="15"/>
      <c r="AM320" s="15"/>
      <c r="AN320" s="57">
        <f t="shared" si="120"/>
        <v>0</v>
      </c>
      <c r="AO320" s="63"/>
      <c r="AP320" s="64"/>
      <c r="AQ320" s="64"/>
      <c r="AR320" s="64"/>
      <c r="AS320" s="69"/>
      <c r="AT320" s="82">
        <f t="shared" si="121"/>
        <v>0</v>
      </c>
      <c r="AU320" s="73"/>
      <c r="AV320" s="64"/>
      <c r="AW320" s="64"/>
      <c r="AX320" s="64"/>
      <c r="AY320" s="69"/>
      <c r="AZ320" s="82">
        <f t="shared" si="122"/>
        <v>0</v>
      </c>
      <c r="BA320" s="82">
        <f t="shared" si="123"/>
        <v>0</v>
      </c>
    </row>
    <row r="321" spans="1:55" ht="15" thickBot="1" x14ac:dyDescent="0.2">
      <c r="A321" s="4" t="s">
        <v>12</v>
      </c>
      <c r="B321" s="17">
        <f>SUM(B316:B320)</f>
        <v>3</v>
      </c>
      <c r="C321" s="18">
        <f>SUM(C316:C320)</f>
        <v>3</v>
      </c>
      <c r="D321" s="18">
        <f>SUM(D316:D320)</f>
        <v>3</v>
      </c>
      <c r="E321" s="18">
        <f>SUM(E316:E320)</f>
        <v>3</v>
      </c>
      <c r="F321" s="18">
        <f>SUM(F316:F320)</f>
        <v>5</v>
      </c>
      <c r="G321" s="19">
        <f t="shared" si="114"/>
        <v>17</v>
      </c>
      <c r="H321" s="17">
        <f>SUM(H316:H320)</f>
        <v>3</v>
      </c>
      <c r="I321" s="18">
        <f>SUM(I316:I320)</f>
        <v>5</v>
      </c>
      <c r="J321" s="18">
        <f>SUM(J316:J320)</f>
        <v>3</v>
      </c>
      <c r="K321" s="18">
        <f>SUM(K316:K320)</f>
        <v>5</v>
      </c>
      <c r="L321" s="18">
        <f>SUM(L316:L320)</f>
        <v>2</v>
      </c>
      <c r="M321" s="25">
        <f t="shared" si="115"/>
        <v>18</v>
      </c>
      <c r="N321" s="65">
        <f>SUM(N316:N320)</f>
        <v>3</v>
      </c>
      <c r="O321" s="18">
        <f>SUM(O316:O320)</f>
        <v>5</v>
      </c>
      <c r="P321" s="18">
        <f>SUM(P316:P320)</f>
        <v>3</v>
      </c>
      <c r="Q321" s="18">
        <f>SUM(Q316:Q320)</f>
        <v>6</v>
      </c>
      <c r="R321" s="70">
        <f>SUM(R316:R320)</f>
        <v>6</v>
      </c>
      <c r="S321" s="49">
        <f t="shared" si="116"/>
        <v>23</v>
      </c>
      <c r="T321" s="74">
        <f>SUM(T316:T320)</f>
        <v>3</v>
      </c>
      <c r="U321" s="18">
        <f>SUM(U316:U320)</f>
        <v>7</v>
      </c>
      <c r="V321" s="18">
        <f>SUM(V316:V320)</f>
        <v>3</v>
      </c>
      <c r="W321" s="18">
        <f>SUM(W316:W320)</f>
        <v>4</v>
      </c>
      <c r="X321" s="70">
        <f>SUM(X316:X320)</f>
        <v>4</v>
      </c>
      <c r="Y321" s="49">
        <f t="shared" si="117"/>
        <v>21</v>
      </c>
      <c r="Z321" s="33">
        <f t="shared" si="118"/>
        <v>79</v>
      </c>
      <c r="AB321" s="4" t="s">
        <v>12</v>
      </c>
      <c r="AC321" s="17">
        <f>SUM(AC316:AC320)</f>
        <v>129</v>
      </c>
      <c r="AD321" s="18">
        <f>SUM(AD316:AD320)</f>
        <v>147</v>
      </c>
      <c r="AE321" s="18">
        <f>SUM(AE316:AE320)</f>
        <v>167</v>
      </c>
      <c r="AF321" s="18">
        <f>SUM(AF316:AF320)</f>
        <v>147</v>
      </c>
      <c r="AG321" s="18">
        <f>SUM(AG316:AG320)</f>
        <v>134</v>
      </c>
      <c r="AH321" s="148">
        <f t="shared" si="119"/>
        <v>724</v>
      </c>
      <c r="AI321" s="17">
        <f>SUM(AI316:AI320)</f>
        <v>104</v>
      </c>
      <c r="AJ321" s="18">
        <f>SUM(AJ316:AJ320)</f>
        <v>103</v>
      </c>
      <c r="AK321" s="18">
        <f>SUM(AK316:AK320)</f>
        <v>126</v>
      </c>
      <c r="AL321" s="18">
        <f>SUM(AL316:AL320)</f>
        <v>122</v>
      </c>
      <c r="AM321" s="18">
        <f>SUM(AM316:AM320)</f>
        <v>119</v>
      </c>
      <c r="AN321" s="148">
        <f t="shared" si="120"/>
        <v>574</v>
      </c>
      <c r="AO321" s="65">
        <f>SUM(AO316:AO320)</f>
        <v>105</v>
      </c>
      <c r="AP321" s="18">
        <f>SUM(AP316:AP320)</f>
        <v>107</v>
      </c>
      <c r="AQ321" s="18">
        <f>SUM(AQ316:AQ320)</f>
        <v>86</v>
      </c>
      <c r="AR321" s="18">
        <f>SUM(AR316:AR320)</f>
        <v>91</v>
      </c>
      <c r="AS321" s="70">
        <f>SUM(AS316:AS320)</f>
        <v>58</v>
      </c>
      <c r="AT321" s="49">
        <f t="shared" si="121"/>
        <v>447</v>
      </c>
      <c r="AU321" s="74">
        <f>SUM(AU316:AU320)</f>
        <v>112</v>
      </c>
      <c r="AV321" s="18">
        <f>SUM(AV316:AV320)</f>
        <v>106</v>
      </c>
      <c r="AW321" s="18">
        <f>SUM(AW316:AW320)</f>
        <v>91</v>
      </c>
      <c r="AX321" s="18">
        <f>SUM(AX316:AX320)</f>
        <v>106</v>
      </c>
      <c r="AY321" s="70">
        <f>SUM(AY316:AY320)</f>
        <v>54</v>
      </c>
      <c r="AZ321" s="49">
        <f t="shared" si="122"/>
        <v>469</v>
      </c>
      <c r="BA321" s="33">
        <f t="shared" si="123"/>
        <v>2214</v>
      </c>
    </row>
    <row r="322" spans="1:55" ht="14.25" x14ac:dyDescent="0.15">
      <c r="A322" s="40" t="s">
        <v>48</v>
      </c>
      <c r="B322" s="34"/>
      <c r="C322" s="35"/>
      <c r="D322" s="35"/>
      <c r="E322" s="35"/>
      <c r="F322" s="35"/>
      <c r="G322" s="36">
        <f t="shared" si="114"/>
        <v>0</v>
      </c>
      <c r="H322" s="34"/>
      <c r="I322" s="35"/>
      <c r="J322" s="35"/>
      <c r="K322" s="35">
        <v>1</v>
      </c>
      <c r="L322" s="35"/>
      <c r="M322" s="36">
        <f t="shared" si="115"/>
        <v>1</v>
      </c>
      <c r="N322" s="39"/>
      <c r="O322" s="56"/>
      <c r="P322" s="56"/>
      <c r="Q322" s="56"/>
      <c r="R322" s="71"/>
      <c r="S322" s="16">
        <f t="shared" si="116"/>
        <v>0</v>
      </c>
      <c r="T322" s="39"/>
      <c r="U322" s="56"/>
      <c r="V322" s="56">
        <v>1</v>
      </c>
      <c r="W322" s="56"/>
      <c r="X322" s="71"/>
      <c r="Y322" s="16">
        <f t="shared" si="117"/>
        <v>1</v>
      </c>
      <c r="Z322" s="16">
        <f t="shared" si="118"/>
        <v>2</v>
      </c>
      <c r="AA322" s="83">
        <v>43729</v>
      </c>
      <c r="AB322" s="23" t="s">
        <v>41</v>
      </c>
      <c r="AC322" s="14"/>
      <c r="AD322" s="15"/>
      <c r="AE322" s="15"/>
      <c r="AF322" s="15"/>
      <c r="AG322" s="15"/>
      <c r="AH322" s="24">
        <f t="shared" si="119"/>
        <v>0</v>
      </c>
      <c r="AI322" s="14"/>
      <c r="AJ322" s="15"/>
      <c r="AK322" s="15"/>
      <c r="AL322" s="15"/>
      <c r="AM322" s="15"/>
      <c r="AN322" s="24">
        <f t="shared" si="120"/>
        <v>0</v>
      </c>
      <c r="AO322" s="15"/>
      <c r="AP322" s="55"/>
      <c r="AQ322" s="55"/>
      <c r="AR322" s="55"/>
      <c r="AS322" s="67"/>
      <c r="AT322" s="24">
        <f t="shared" si="121"/>
        <v>0</v>
      </c>
      <c r="AU322" s="15"/>
      <c r="AV322" s="55"/>
      <c r="AW322" s="55"/>
      <c r="AX322" s="55">
        <v>3</v>
      </c>
      <c r="AY322" s="67"/>
      <c r="AZ322" s="24">
        <f t="shared" si="122"/>
        <v>3</v>
      </c>
      <c r="BA322" s="24">
        <f t="shared" si="123"/>
        <v>3</v>
      </c>
      <c r="BB322" s="83">
        <v>43732</v>
      </c>
    </row>
    <row r="323" spans="1:55" ht="14.25" x14ac:dyDescent="0.15">
      <c r="A323" s="21" t="s">
        <v>124</v>
      </c>
      <c r="B323" s="41"/>
      <c r="C323" s="42"/>
      <c r="D323" s="42"/>
      <c r="E323" s="42"/>
      <c r="F323" s="42">
        <v>1</v>
      </c>
      <c r="G323" s="43">
        <f t="shared" si="114"/>
        <v>1</v>
      </c>
      <c r="H323" s="41"/>
      <c r="I323" s="42"/>
      <c r="J323" s="42"/>
      <c r="K323" s="42"/>
      <c r="L323" s="42"/>
      <c r="M323" s="43">
        <f t="shared" si="115"/>
        <v>0</v>
      </c>
      <c r="N323" s="42"/>
      <c r="O323" s="53"/>
      <c r="P323" s="53"/>
      <c r="Q323" s="53"/>
      <c r="R323" s="72"/>
      <c r="S323" s="24">
        <f t="shared" si="116"/>
        <v>0</v>
      </c>
      <c r="T323" s="42"/>
      <c r="U323" s="53"/>
      <c r="V323" s="53"/>
      <c r="W323" s="53"/>
      <c r="X323" s="72"/>
      <c r="Y323" s="24">
        <f t="shared" si="117"/>
        <v>0</v>
      </c>
      <c r="Z323" s="24">
        <f t="shared" si="118"/>
        <v>1</v>
      </c>
      <c r="AA323" s="83">
        <v>43734</v>
      </c>
      <c r="AB323" s="23" t="s">
        <v>202</v>
      </c>
      <c r="AC323" s="14"/>
      <c r="AD323" s="15"/>
      <c r="AE323" s="15"/>
      <c r="AF323" s="15"/>
      <c r="AG323" s="15"/>
      <c r="AH323" s="24">
        <f>SUM(AC323:AG323)</f>
        <v>0</v>
      </c>
      <c r="AI323" s="14"/>
      <c r="AJ323" s="15"/>
      <c r="AK323" s="15"/>
      <c r="AL323" s="15"/>
      <c r="AM323" s="15"/>
      <c r="AN323" s="24">
        <f>SUM(AI323:AM323)</f>
        <v>0</v>
      </c>
      <c r="AO323" s="15"/>
      <c r="AP323" s="55"/>
      <c r="AQ323" s="55"/>
      <c r="AR323" s="55">
        <v>1</v>
      </c>
      <c r="AS323" s="67"/>
      <c r="AT323" s="24">
        <f>SUM(AO323:AS323)</f>
        <v>1</v>
      </c>
      <c r="AU323" s="15"/>
      <c r="AV323" s="55"/>
      <c r="AW323" s="55"/>
      <c r="AX323" s="55"/>
      <c r="AY323" s="67"/>
      <c r="AZ323" s="24">
        <f>SUM(AU323:AY323)</f>
        <v>0</v>
      </c>
      <c r="BA323" s="24">
        <f>AH323+AN323+AT323+AZ323</f>
        <v>1</v>
      </c>
      <c r="BB323" s="83">
        <v>43732</v>
      </c>
    </row>
    <row r="324" spans="1:55" ht="14.25" x14ac:dyDescent="0.15">
      <c r="A324" s="40" t="s">
        <v>48</v>
      </c>
      <c r="B324" s="41"/>
      <c r="C324" s="42"/>
      <c r="D324" s="42"/>
      <c r="E324" s="42"/>
      <c r="F324" s="42"/>
      <c r="G324" s="43">
        <f t="shared" si="114"/>
        <v>0</v>
      </c>
      <c r="H324" s="41"/>
      <c r="I324" s="42"/>
      <c r="J324" s="42"/>
      <c r="K324" s="42"/>
      <c r="L324" s="42"/>
      <c r="M324" s="43">
        <f t="shared" si="115"/>
        <v>0</v>
      </c>
      <c r="N324" s="42"/>
      <c r="O324" s="53"/>
      <c r="P324" s="53"/>
      <c r="Q324" s="53"/>
      <c r="R324" s="72">
        <v>1</v>
      </c>
      <c r="S324" s="24">
        <f t="shared" si="116"/>
        <v>1</v>
      </c>
      <c r="T324" s="42"/>
      <c r="U324" s="53"/>
      <c r="V324" s="53"/>
      <c r="W324" s="53"/>
      <c r="X324" s="72"/>
      <c r="Y324" s="24">
        <f t="shared" si="117"/>
        <v>0</v>
      </c>
      <c r="Z324" s="24">
        <f t="shared" si="118"/>
        <v>1</v>
      </c>
      <c r="AA324" s="83">
        <v>43732</v>
      </c>
      <c r="AB324" s="21" t="s">
        <v>205</v>
      </c>
      <c r="AC324" s="41"/>
      <c r="AD324" s="42">
        <v>1</v>
      </c>
      <c r="AE324" s="42"/>
      <c r="AF324" s="42"/>
      <c r="AG324" s="42"/>
      <c r="AH324" s="43">
        <f t="shared" si="119"/>
        <v>1</v>
      </c>
      <c r="AI324" s="41"/>
      <c r="AJ324" s="42"/>
      <c r="AK324" s="42"/>
      <c r="AL324" s="42"/>
      <c r="AM324" s="42"/>
      <c r="AN324" s="43">
        <f t="shared" si="120"/>
        <v>0</v>
      </c>
      <c r="AO324" s="42"/>
      <c r="AP324" s="53"/>
      <c r="AQ324" s="53"/>
      <c r="AR324" s="53"/>
      <c r="AS324" s="72"/>
      <c r="AT324" s="24">
        <f t="shared" si="121"/>
        <v>0</v>
      </c>
      <c r="AU324" s="42"/>
      <c r="AV324" s="53"/>
      <c r="AW324" s="53"/>
      <c r="AX324" s="53"/>
      <c r="AY324" s="72"/>
      <c r="AZ324" s="24">
        <f t="shared" si="122"/>
        <v>0</v>
      </c>
      <c r="BA324" s="24">
        <f t="shared" si="123"/>
        <v>1</v>
      </c>
      <c r="BB324" s="83">
        <v>43729</v>
      </c>
      <c r="BC324" s="111"/>
    </row>
    <row r="325" spans="1:55" ht="14.25" x14ac:dyDescent="0.15">
      <c r="A325" s="40" t="s">
        <v>209</v>
      </c>
      <c r="B325" s="41"/>
      <c r="C325" s="42">
        <v>1</v>
      </c>
      <c r="D325" s="42"/>
      <c r="E325" s="42"/>
      <c r="F325" s="42"/>
      <c r="G325" s="43">
        <f t="shared" si="114"/>
        <v>1</v>
      </c>
      <c r="H325" s="41"/>
      <c r="I325" s="42">
        <v>1</v>
      </c>
      <c r="J325" s="42"/>
      <c r="K325" s="42"/>
      <c r="L325" s="42"/>
      <c r="M325" s="43">
        <f t="shared" si="115"/>
        <v>1</v>
      </c>
      <c r="N325" s="42"/>
      <c r="O325" s="53">
        <v>1</v>
      </c>
      <c r="P325" s="53"/>
      <c r="Q325" s="53"/>
      <c r="R325" s="72"/>
      <c r="S325" s="24">
        <f t="shared" si="116"/>
        <v>1</v>
      </c>
      <c r="T325" s="42"/>
      <c r="U325" s="53"/>
      <c r="V325" s="53"/>
      <c r="W325" s="53"/>
      <c r="X325" s="72"/>
      <c r="Y325" s="24">
        <f t="shared" si="117"/>
        <v>0</v>
      </c>
      <c r="Z325" s="24">
        <f t="shared" si="118"/>
        <v>3</v>
      </c>
      <c r="AA325" s="83">
        <v>43733</v>
      </c>
      <c r="AB325" s="21" t="s">
        <v>206</v>
      </c>
      <c r="AC325" s="41"/>
      <c r="AD325" s="42"/>
      <c r="AE325" s="42">
        <v>1</v>
      </c>
      <c r="AF325" s="42"/>
      <c r="AG325" s="42"/>
      <c r="AH325" s="43">
        <f t="shared" si="119"/>
        <v>1</v>
      </c>
      <c r="AI325" s="41"/>
      <c r="AJ325" s="42"/>
      <c r="AK325" s="42"/>
      <c r="AL325" s="42"/>
      <c r="AM325" s="42"/>
      <c r="AN325" s="43">
        <f t="shared" si="120"/>
        <v>0</v>
      </c>
      <c r="AO325" s="42"/>
      <c r="AP325" s="53">
        <v>1</v>
      </c>
      <c r="AQ325" s="53">
        <v>1</v>
      </c>
      <c r="AR325" s="53"/>
      <c r="AS325" s="72"/>
      <c r="AT325" s="43">
        <f t="shared" si="121"/>
        <v>2</v>
      </c>
      <c r="AU325" s="42"/>
      <c r="AV325" s="53"/>
      <c r="AW325" s="53"/>
      <c r="AX325" s="53"/>
      <c r="AY325" s="72"/>
      <c r="AZ325" s="43">
        <f t="shared" si="122"/>
        <v>0</v>
      </c>
      <c r="BA325" s="43">
        <f t="shared" si="123"/>
        <v>3</v>
      </c>
      <c r="BB325" s="83">
        <v>43732</v>
      </c>
      <c r="BC325" s="111"/>
    </row>
    <row r="326" spans="1:55" ht="14.25" x14ac:dyDescent="0.15">
      <c r="A326" s="21" t="s">
        <v>124</v>
      </c>
      <c r="B326" s="41"/>
      <c r="C326" s="42"/>
      <c r="D326" s="42"/>
      <c r="E326" s="42"/>
      <c r="F326" s="42"/>
      <c r="G326" s="43">
        <f t="shared" si="114"/>
        <v>0</v>
      </c>
      <c r="H326" s="41"/>
      <c r="I326" s="42"/>
      <c r="J326" s="42"/>
      <c r="K326" s="42"/>
      <c r="L326" s="42"/>
      <c r="M326" s="43">
        <f t="shared" si="115"/>
        <v>0</v>
      </c>
      <c r="N326" s="42"/>
      <c r="O326" s="53"/>
      <c r="P326" s="53"/>
      <c r="Q326" s="53"/>
      <c r="R326" s="72">
        <v>1</v>
      </c>
      <c r="S326" s="24">
        <f t="shared" si="116"/>
        <v>1</v>
      </c>
      <c r="T326" s="42"/>
      <c r="U326" s="53"/>
      <c r="V326" s="53"/>
      <c r="W326" s="53"/>
      <c r="X326" s="72"/>
      <c r="Y326" s="24">
        <f t="shared" si="117"/>
        <v>0</v>
      </c>
      <c r="Z326" s="24">
        <f t="shared" si="118"/>
        <v>1</v>
      </c>
      <c r="AA326" s="83">
        <v>43734</v>
      </c>
      <c r="AB326" s="21" t="s">
        <v>29</v>
      </c>
      <c r="AC326" s="41"/>
      <c r="AD326" s="42"/>
      <c r="AE326" s="42">
        <v>5</v>
      </c>
      <c r="AF326" s="42"/>
      <c r="AG326" s="42">
        <v>5</v>
      </c>
      <c r="AH326" s="43">
        <f t="shared" si="119"/>
        <v>10</v>
      </c>
      <c r="AI326" s="41"/>
      <c r="AJ326" s="42"/>
      <c r="AK326" s="42"/>
      <c r="AL326" s="42"/>
      <c r="AM326" s="42"/>
      <c r="AN326" s="43">
        <f t="shared" si="120"/>
        <v>0</v>
      </c>
      <c r="AO326" s="42"/>
      <c r="AP326" s="53"/>
      <c r="AQ326" s="53"/>
      <c r="AR326" s="53"/>
      <c r="AS326" s="72"/>
      <c r="AT326" s="24">
        <f t="shared" si="121"/>
        <v>0</v>
      </c>
      <c r="AU326" s="42"/>
      <c r="AV326" s="53"/>
      <c r="AW326" s="53"/>
      <c r="AX326" s="53"/>
      <c r="AY326" s="72"/>
      <c r="AZ326" s="24">
        <f t="shared" si="122"/>
        <v>0</v>
      </c>
      <c r="BA326" s="24">
        <f t="shared" si="123"/>
        <v>10</v>
      </c>
      <c r="BB326" s="83">
        <v>43735</v>
      </c>
      <c r="BC326" s="111"/>
    </row>
    <row r="327" spans="1:55" ht="14.25" x14ac:dyDescent="0.15">
      <c r="A327" s="10" t="s">
        <v>207</v>
      </c>
      <c r="B327" s="41"/>
      <c r="C327" s="42"/>
      <c r="D327" s="42"/>
      <c r="E327" s="42"/>
      <c r="F327" s="42"/>
      <c r="G327" s="43">
        <f t="shared" si="114"/>
        <v>0</v>
      </c>
      <c r="H327" s="41"/>
      <c r="I327" s="42"/>
      <c r="J327" s="42"/>
      <c r="K327" s="42"/>
      <c r="L327" s="42"/>
      <c r="M327" s="43">
        <f t="shared" si="115"/>
        <v>0</v>
      </c>
      <c r="N327" s="42"/>
      <c r="O327" s="53"/>
      <c r="P327" s="53"/>
      <c r="Q327" s="53"/>
      <c r="R327" s="72"/>
      <c r="S327" s="24">
        <f t="shared" si="116"/>
        <v>0</v>
      </c>
      <c r="T327" s="42"/>
      <c r="U327" s="53">
        <v>-1</v>
      </c>
      <c r="V327" s="53"/>
      <c r="W327" s="53"/>
      <c r="X327" s="72"/>
      <c r="Y327" s="24">
        <f t="shared" si="117"/>
        <v>-1</v>
      </c>
      <c r="Z327" s="24">
        <f t="shared" si="118"/>
        <v>-1</v>
      </c>
      <c r="AA327" s="83">
        <v>43738</v>
      </c>
      <c r="AB327" s="21" t="s">
        <v>30</v>
      </c>
      <c r="AC327" s="41"/>
      <c r="AD327" s="42"/>
      <c r="AE327" s="42"/>
      <c r="AF327" s="42"/>
      <c r="AG327" s="42">
        <v>3</v>
      </c>
      <c r="AH327" s="43">
        <f t="shared" si="119"/>
        <v>3</v>
      </c>
      <c r="AI327" s="41"/>
      <c r="AJ327" s="42"/>
      <c r="AK327" s="42"/>
      <c r="AL327" s="42">
        <v>3</v>
      </c>
      <c r="AM327" s="42"/>
      <c r="AN327" s="43">
        <f t="shared" si="120"/>
        <v>3</v>
      </c>
      <c r="AO327" s="42"/>
      <c r="AP327" s="53"/>
      <c r="AQ327" s="53"/>
      <c r="AR327" s="53"/>
      <c r="AS327" s="72"/>
      <c r="AT327" s="24">
        <f t="shared" si="121"/>
        <v>0</v>
      </c>
      <c r="AU327" s="42"/>
      <c r="AV327" s="53"/>
      <c r="AW327" s="53"/>
      <c r="AX327" s="53"/>
      <c r="AY327" s="72"/>
      <c r="AZ327" s="24">
        <f t="shared" si="122"/>
        <v>0</v>
      </c>
      <c r="BA327" s="24">
        <f t="shared" si="123"/>
        <v>6</v>
      </c>
      <c r="BB327" s="83">
        <v>43733</v>
      </c>
      <c r="BC327" s="111"/>
    </row>
    <row r="328" spans="1:55" ht="14.25" x14ac:dyDescent="0.15">
      <c r="A328" s="21" t="s">
        <v>124</v>
      </c>
      <c r="B328" s="41"/>
      <c r="C328" s="42"/>
      <c r="D328" s="42">
        <v>1</v>
      </c>
      <c r="E328" s="42"/>
      <c r="F328" s="42">
        <v>1</v>
      </c>
      <c r="G328" s="43">
        <f t="shared" si="114"/>
        <v>2</v>
      </c>
      <c r="H328" s="41"/>
      <c r="I328" s="42"/>
      <c r="J328" s="42"/>
      <c r="K328" s="42"/>
      <c r="L328" s="42"/>
      <c r="M328" s="43">
        <f t="shared" si="115"/>
        <v>0</v>
      </c>
      <c r="N328" s="42"/>
      <c r="O328" s="53"/>
      <c r="P328" s="53"/>
      <c r="Q328" s="53"/>
      <c r="R328" s="72"/>
      <c r="S328" s="24">
        <f t="shared" si="116"/>
        <v>0</v>
      </c>
      <c r="T328" s="42"/>
      <c r="U328" s="53"/>
      <c r="V328" s="53"/>
      <c r="W328" s="53"/>
      <c r="X328" s="72"/>
      <c r="Y328" s="24">
        <f t="shared" si="117"/>
        <v>0</v>
      </c>
      <c r="Z328" s="24">
        <f t="shared" si="118"/>
        <v>2</v>
      </c>
      <c r="AA328" s="83">
        <v>43739</v>
      </c>
      <c r="AB328" s="21" t="s">
        <v>225</v>
      </c>
      <c r="AC328" s="41"/>
      <c r="AD328" s="42"/>
      <c r="AE328" s="42"/>
      <c r="AF328" s="42">
        <v>1</v>
      </c>
      <c r="AG328" s="42"/>
      <c r="AH328" s="43">
        <f t="shared" si="119"/>
        <v>1</v>
      </c>
      <c r="AI328" s="41"/>
      <c r="AJ328" s="42"/>
      <c r="AK328" s="42">
        <v>1</v>
      </c>
      <c r="AL328" s="42"/>
      <c r="AM328" s="42"/>
      <c r="AN328" s="43">
        <f t="shared" si="120"/>
        <v>1</v>
      </c>
      <c r="AO328" s="42"/>
      <c r="AP328" s="53"/>
      <c r="AQ328" s="53"/>
      <c r="AR328" s="53"/>
      <c r="AS328" s="72"/>
      <c r="AT328" s="24">
        <f t="shared" si="121"/>
        <v>0</v>
      </c>
      <c r="AU328" s="42"/>
      <c r="AV328" s="53"/>
      <c r="AW328" s="53"/>
      <c r="AX328" s="53"/>
      <c r="AY328" s="72"/>
      <c r="AZ328" s="24">
        <f t="shared" si="122"/>
        <v>0</v>
      </c>
      <c r="BA328" s="24">
        <f t="shared" si="123"/>
        <v>2</v>
      </c>
      <c r="BB328" s="83">
        <v>43738</v>
      </c>
      <c r="BC328" s="111"/>
    </row>
    <row r="329" spans="1:55" ht="14.25" x14ac:dyDescent="0.15">
      <c r="A329" s="40" t="s">
        <v>50</v>
      </c>
      <c r="B329" s="41"/>
      <c r="C329" s="42"/>
      <c r="D329" s="42"/>
      <c r="E329" s="42"/>
      <c r="F329" s="42"/>
      <c r="G329" s="43">
        <f t="shared" si="114"/>
        <v>0</v>
      </c>
      <c r="H329" s="41"/>
      <c r="I329" s="42"/>
      <c r="J329" s="42"/>
      <c r="K329" s="42"/>
      <c r="L329" s="42"/>
      <c r="M329" s="43">
        <f t="shared" si="115"/>
        <v>0</v>
      </c>
      <c r="N329" s="42"/>
      <c r="O329" s="53">
        <v>-1</v>
      </c>
      <c r="P329" s="53"/>
      <c r="Q329" s="53">
        <v>-1</v>
      </c>
      <c r="R329" s="72">
        <v>-1</v>
      </c>
      <c r="S329" s="24">
        <f t="shared" si="116"/>
        <v>-3</v>
      </c>
      <c r="T329" s="42"/>
      <c r="U329" s="53"/>
      <c r="V329" s="53">
        <v>-1</v>
      </c>
      <c r="W329" s="53"/>
      <c r="X329" s="72"/>
      <c r="Y329" s="24">
        <f t="shared" si="117"/>
        <v>-1</v>
      </c>
      <c r="Z329" s="24">
        <f t="shared" si="118"/>
        <v>-4</v>
      </c>
      <c r="AA329" s="93">
        <v>43738</v>
      </c>
      <c r="AB329" s="21" t="s">
        <v>210</v>
      </c>
      <c r="AC329" s="41"/>
      <c r="AD329" s="42">
        <v>1</v>
      </c>
      <c r="AE329" s="42"/>
      <c r="AF329" s="42"/>
      <c r="AG329" s="42"/>
      <c r="AH329" s="43">
        <f t="shared" si="119"/>
        <v>1</v>
      </c>
      <c r="AI329" s="41"/>
      <c r="AJ329" s="42"/>
      <c r="AK329" s="42"/>
      <c r="AL329" s="42"/>
      <c r="AM329" s="42"/>
      <c r="AN329" s="43">
        <f t="shared" si="120"/>
        <v>0</v>
      </c>
      <c r="AO329" s="42"/>
      <c r="AP329" s="53"/>
      <c r="AQ329" s="53">
        <v>1</v>
      </c>
      <c r="AR329" s="53"/>
      <c r="AS329" s="72"/>
      <c r="AT329" s="24">
        <f t="shared" si="121"/>
        <v>1</v>
      </c>
      <c r="AU329" s="42">
        <v>1</v>
      </c>
      <c r="AV329" s="53"/>
      <c r="AW329" s="53"/>
      <c r="AX329" s="53"/>
      <c r="AY329" s="72"/>
      <c r="AZ329" s="24">
        <f t="shared" si="122"/>
        <v>1</v>
      </c>
      <c r="BA329" s="24">
        <f t="shared" si="123"/>
        <v>3</v>
      </c>
      <c r="BB329" s="83">
        <v>43734</v>
      </c>
      <c r="BC329" s="111"/>
    </row>
    <row r="330" spans="1:55" ht="14.25" x14ac:dyDescent="0.15">
      <c r="A330" s="40" t="s">
        <v>51</v>
      </c>
      <c r="B330" s="41"/>
      <c r="C330" s="42"/>
      <c r="D330" s="42"/>
      <c r="E330" s="42"/>
      <c r="F330" s="42"/>
      <c r="G330" s="43">
        <f t="shared" si="114"/>
        <v>0</v>
      </c>
      <c r="H330" s="41"/>
      <c r="I330" s="42">
        <v>-1</v>
      </c>
      <c r="J330" s="42">
        <v>-1</v>
      </c>
      <c r="K330" s="42">
        <v>-1</v>
      </c>
      <c r="L330" s="42">
        <v>-1</v>
      </c>
      <c r="M330" s="43">
        <f t="shared" si="115"/>
        <v>-4</v>
      </c>
      <c r="N330" s="42"/>
      <c r="O330" s="53"/>
      <c r="P330" s="53"/>
      <c r="Q330" s="53"/>
      <c r="R330" s="72"/>
      <c r="S330" s="24">
        <f t="shared" si="116"/>
        <v>0</v>
      </c>
      <c r="T330" s="42"/>
      <c r="U330" s="53"/>
      <c r="V330" s="53"/>
      <c r="W330" s="53"/>
      <c r="X330" s="72"/>
      <c r="Y330" s="24">
        <f t="shared" si="117"/>
        <v>0</v>
      </c>
      <c r="Z330" s="24">
        <f t="shared" si="118"/>
        <v>-4</v>
      </c>
      <c r="AA330" s="93">
        <v>43738</v>
      </c>
      <c r="AB330" s="21" t="s">
        <v>30</v>
      </c>
      <c r="AC330" s="41"/>
      <c r="AD330" s="42"/>
      <c r="AE330" s="42"/>
      <c r="AF330" s="42"/>
      <c r="AG330" s="42"/>
      <c r="AH330" s="43">
        <f t="shared" si="119"/>
        <v>0</v>
      </c>
      <c r="AI330" s="41"/>
      <c r="AJ330" s="42">
        <v>3</v>
      </c>
      <c r="AK330" s="42"/>
      <c r="AL330" s="42"/>
      <c r="AM330" s="42"/>
      <c r="AN330" s="43">
        <f t="shared" si="120"/>
        <v>3</v>
      </c>
      <c r="AO330" s="42"/>
      <c r="AP330" s="53"/>
      <c r="AQ330" s="53"/>
      <c r="AR330" s="53"/>
      <c r="AS330" s="72">
        <v>3</v>
      </c>
      <c r="AT330" s="24">
        <f t="shared" si="121"/>
        <v>3</v>
      </c>
      <c r="AU330" s="42"/>
      <c r="AV330" s="53"/>
      <c r="AW330" s="53"/>
      <c r="AX330" s="53"/>
      <c r="AY330" s="72"/>
      <c r="AZ330" s="24">
        <f t="shared" si="122"/>
        <v>0</v>
      </c>
      <c r="BA330" s="24">
        <f t="shared" si="123"/>
        <v>6</v>
      </c>
      <c r="BB330" s="83">
        <v>43735</v>
      </c>
      <c r="BC330" s="111"/>
    </row>
    <row r="331" spans="1:55" ht="14.25" x14ac:dyDescent="0.15">
      <c r="A331" s="40" t="s">
        <v>48</v>
      </c>
      <c r="B331" s="44"/>
      <c r="C331" s="45"/>
      <c r="D331" s="45"/>
      <c r="E331" s="45"/>
      <c r="F331" s="45"/>
      <c r="G331" s="43">
        <f t="shared" si="114"/>
        <v>0</v>
      </c>
      <c r="H331" s="44"/>
      <c r="I331" s="45"/>
      <c r="J331" s="45">
        <v>1</v>
      </c>
      <c r="K331" s="45"/>
      <c r="L331" s="45"/>
      <c r="M331" s="43">
        <f t="shared" si="115"/>
        <v>1</v>
      </c>
      <c r="N331" s="42"/>
      <c r="O331" s="53">
        <v>1</v>
      </c>
      <c r="P331" s="53"/>
      <c r="Q331" s="53"/>
      <c r="R331" s="72"/>
      <c r="S331" s="24">
        <f t="shared" si="116"/>
        <v>1</v>
      </c>
      <c r="T331" s="42"/>
      <c r="U331" s="53"/>
      <c r="V331" s="53"/>
      <c r="W331" s="53"/>
      <c r="X331" s="72"/>
      <c r="Y331" s="24">
        <f t="shared" si="117"/>
        <v>0</v>
      </c>
      <c r="Z331" s="24">
        <f t="shared" si="118"/>
        <v>2</v>
      </c>
      <c r="AA331" s="83">
        <v>43739</v>
      </c>
      <c r="AB331" s="21" t="s">
        <v>211</v>
      </c>
      <c r="AC331" s="44"/>
      <c r="AD331" s="45"/>
      <c r="AE331" s="45"/>
      <c r="AF331" s="45">
        <v>1</v>
      </c>
      <c r="AG331" s="45"/>
      <c r="AH331" s="43">
        <f t="shared" si="119"/>
        <v>1</v>
      </c>
      <c r="AI331" s="44"/>
      <c r="AJ331" s="45"/>
      <c r="AK331" s="45"/>
      <c r="AL331" s="45"/>
      <c r="AM331" s="45"/>
      <c r="AN331" s="43">
        <f t="shared" si="120"/>
        <v>0</v>
      </c>
      <c r="AO331" s="42"/>
      <c r="AP331" s="53"/>
      <c r="AQ331" s="53"/>
      <c r="AR331" s="53"/>
      <c r="AS331" s="72"/>
      <c r="AT331" s="24">
        <f t="shared" si="121"/>
        <v>0</v>
      </c>
      <c r="AU331" s="42"/>
      <c r="AV331" s="53"/>
      <c r="AW331" s="53"/>
      <c r="AX331" s="53"/>
      <c r="AY331" s="72"/>
      <c r="AZ331" s="24">
        <f t="shared" si="122"/>
        <v>0</v>
      </c>
      <c r="BA331" s="24">
        <f t="shared" si="123"/>
        <v>1</v>
      </c>
      <c r="BB331" s="83">
        <v>43735</v>
      </c>
      <c r="BC331" s="111"/>
    </row>
    <row r="332" spans="1:55" ht="14.25" x14ac:dyDescent="0.15">
      <c r="A332" s="10" t="s">
        <v>77</v>
      </c>
      <c r="B332" s="41"/>
      <c r="C332" s="42"/>
      <c r="D332" s="42"/>
      <c r="E332" s="42"/>
      <c r="F332" s="42"/>
      <c r="G332" s="43">
        <f t="shared" si="114"/>
        <v>0</v>
      </c>
      <c r="H332" s="41"/>
      <c r="I332" s="42"/>
      <c r="J332" s="42">
        <v>-1</v>
      </c>
      <c r="K332" s="42"/>
      <c r="L332" s="42"/>
      <c r="M332" s="43">
        <f t="shared" si="115"/>
        <v>-1</v>
      </c>
      <c r="N332" s="42"/>
      <c r="O332" s="53"/>
      <c r="P332" s="53"/>
      <c r="Q332" s="53"/>
      <c r="R332" s="72"/>
      <c r="S332" s="24">
        <f t="shared" si="116"/>
        <v>0</v>
      </c>
      <c r="T332" s="42"/>
      <c r="U332" s="53"/>
      <c r="V332" s="53"/>
      <c r="W332" s="53"/>
      <c r="X332" s="72"/>
      <c r="Y332" s="24">
        <f t="shared" si="117"/>
        <v>0</v>
      </c>
      <c r="Z332" s="24">
        <f t="shared" si="118"/>
        <v>-1</v>
      </c>
      <c r="AA332" s="93">
        <v>43741</v>
      </c>
      <c r="AB332" s="21" t="s">
        <v>212</v>
      </c>
      <c r="AC332" s="41"/>
      <c r="AD332" s="42">
        <v>1</v>
      </c>
      <c r="AE332" s="42"/>
      <c r="AF332" s="42"/>
      <c r="AG332" s="42"/>
      <c r="AH332" s="43">
        <f t="shared" si="119"/>
        <v>1</v>
      </c>
      <c r="AI332" s="41"/>
      <c r="AJ332" s="42"/>
      <c r="AK332" s="42"/>
      <c r="AL332" s="42"/>
      <c r="AM332" s="42"/>
      <c r="AN332" s="43">
        <f t="shared" si="120"/>
        <v>0</v>
      </c>
      <c r="AO332" s="42"/>
      <c r="AP332" s="53"/>
      <c r="AQ332" s="53"/>
      <c r="AR332" s="53"/>
      <c r="AS332" s="72"/>
      <c r="AT332" s="24">
        <f t="shared" si="121"/>
        <v>0</v>
      </c>
      <c r="AU332" s="42"/>
      <c r="AV332" s="53"/>
      <c r="AW332" s="53"/>
      <c r="AX332" s="53"/>
      <c r="AY332" s="72"/>
      <c r="AZ332" s="24">
        <f t="shared" si="122"/>
        <v>0</v>
      </c>
      <c r="BA332" s="24">
        <f t="shared" si="123"/>
        <v>1</v>
      </c>
      <c r="BB332" s="83">
        <v>43738</v>
      </c>
      <c r="BC332" s="111"/>
    </row>
    <row r="333" spans="1:55" ht="14.25" x14ac:dyDescent="0.15">
      <c r="A333" s="21" t="s">
        <v>214</v>
      </c>
      <c r="B333" s="41"/>
      <c r="C333" s="42"/>
      <c r="D333" s="42"/>
      <c r="E333" s="42"/>
      <c r="F333" s="42"/>
      <c r="G333" s="43">
        <f t="shared" si="114"/>
        <v>0</v>
      </c>
      <c r="H333" s="41"/>
      <c r="I333" s="42"/>
      <c r="J333" s="42"/>
      <c r="K333" s="42"/>
      <c r="L333" s="42"/>
      <c r="M333" s="43">
        <f t="shared" si="115"/>
        <v>0</v>
      </c>
      <c r="N333" s="42"/>
      <c r="O333" s="53">
        <v>-1</v>
      </c>
      <c r="P333" s="53"/>
      <c r="Q333" s="53"/>
      <c r="R333" s="72"/>
      <c r="S333" s="24">
        <f t="shared" si="116"/>
        <v>-1</v>
      </c>
      <c r="T333" s="42"/>
      <c r="U333" s="53"/>
      <c r="V333" s="53">
        <v>1</v>
      </c>
      <c r="W333" s="53"/>
      <c r="X333" s="72"/>
      <c r="Y333" s="24">
        <f t="shared" si="117"/>
        <v>1</v>
      </c>
      <c r="Z333" s="24">
        <f t="shared" si="118"/>
        <v>0</v>
      </c>
      <c r="AA333" s="93">
        <v>43741</v>
      </c>
      <c r="AB333" s="21" t="s">
        <v>213</v>
      </c>
      <c r="AC333" s="41">
        <v>1</v>
      </c>
      <c r="AD333" s="42"/>
      <c r="AE333" s="42"/>
      <c r="AF333" s="42"/>
      <c r="AG333" s="42"/>
      <c r="AH333" s="43">
        <f t="shared" si="119"/>
        <v>1</v>
      </c>
      <c r="AI333" s="41"/>
      <c r="AJ333" s="42"/>
      <c r="AK333" s="42"/>
      <c r="AL333" s="42"/>
      <c r="AM333" s="42"/>
      <c r="AN333" s="43">
        <f t="shared" si="120"/>
        <v>0</v>
      </c>
      <c r="AO333" s="42"/>
      <c r="AP333" s="53"/>
      <c r="AQ333" s="53"/>
      <c r="AR333" s="53">
        <v>1</v>
      </c>
      <c r="AS333" s="72"/>
      <c r="AT333" s="24">
        <f t="shared" si="121"/>
        <v>1</v>
      </c>
      <c r="AU333" s="42"/>
      <c r="AV333" s="53"/>
      <c r="AW333" s="53"/>
      <c r="AX333" s="53"/>
      <c r="AY333" s="72"/>
      <c r="AZ333" s="24">
        <f t="shared" si="122"/>
        <v>0</v>
      </c>
      <c r="BA333" s="24">
        <f t="shared" si="123"/>
        <v>2</v>
      </c>
      <c r="BB333" s="83">
        <v>43740</v>
      </c>
      <c r="BC333" s="111"/>
    </row>
    <row r="334" spans="1:55" ht="14.25" x14ac:dyDescent="0.15">
      <c r="A334" s="21" t="s">
        <v>215</v>
      </c>
      <c r="B334" s="41"/>
      <c r="C334" s="42"/>
      <c r="D334" s="42"/>
      <c r="E334" s="42"/>
      <c r="F334" s="42">
        <v>1</v>
      </c>
      <c r="G334" s="43">
        <f t="shared" si="114"/>
        <v>1</v>
      </c>
      <c r="H334" s="41"/>
      <c r="I334" s="42"/>
      <c r="J334" s="42">
        <v>1</v>
      </c>
      <c r="K334" s="42">
        <v>1</v>
      </c>
      <c r="L334" s="42">
        <v>1</v>
      </c>
      <c r="M334" s="43">
        <f t="shared" si="115"/>
        <v>3</v>
      </c>
      <c r="N334" s="42"/>
      <c r="O334" s="53">
        <v>2</v>
      </c>
      <c r="P334" s="53"/>
      <c r="Q334" s="53">
        <v>4</v>
      </c>
      <c r="R334" s="72">
        <v>2</v>
      </c>
      <c r="S334" s="24">
        <f t="shared" si="116"/>
        <v>8</v>
      </c>
      <c r="T334" s="42"/>
      <c r="U334" s="53">
        <v>5</v>
      </c>
      <c r="V334" s="53"/>
      <c r="W334" s="53">
        <v>1</v>
      </c>
      <c r="X334" s="72">
        <v>1</v>
      </c>
      <c r="Y334" s="24">
        <f t="shared" si="117"/>
        <v>7</v>
      </c>
      <c r="Z334" s="24">
        <f t="shared" si="118"/>
        <v>19</v>
      </c>
      <c r="AA334" s="83">
        <v>43743</v>
      </c>
      <c r="AB334" s="21" t="s">
        <v>29</v>
      </c>
      <c r="AC334" s="41"/>
      <c r="AD334" s="42"/>
      <c r="AE334" s="42"/>
      <c r="AF334" s="42"/>
      <c r="AG334" s="42"/>
      <c r="AH334" s="43">
        <f t="shared" si="119"/>
        <v>0</v>
      </c>
      <c r="AI334" s="41"/>
      <c r="AJ334" s="42"/>
      <c r="AK334" s="42">
        <v>5</v>
      </c>
      <c r="AL334" s="42"/>
      <c r="AM334" s="42"/>
      <c r="AN334" s="43">
        <f t="shared" si="120"/>
        <v>5</v>
      </c>
      <c r="AO334" s="42"/>
      <c r="AP334" s="53"/>
      <c r="AQ334" s="53"/>
      <c r="AR334" s="53"/>
      <c r="AS334" s="72"/>
      <c r="AT334" s="24">
        <f t="shared" si="121"/>
        <v>0</v>
      </c>
      <c r="AU334" s="42"/>
      <c r="AV334" s="53"/>
      <c r="AW334" s="53"/>
      <c r="AX334" s="53"/>
      <c r="AY334" s="72"/>
      <c r="AZ334" s="24">
        <f t="shared" si="122"/>
        <v>0</v>
      </c>
      <c r="BA334" s="24">
        <f t="shared" si="123"/>
        <v>5</v>
      </c>
      <c r="BB334" s="83">
        <v>43748</v>
      </c>
      <c r="BC334" s="111"/>
    </row>
    <row r="335" spans="1:55" ht="14.25" x14ac:dyDescent="0.15">
      <c r="A335" s="40" t="s">
        <v>48</v>
      </c>
      <c r="B335" s="38">
        <v>1</v>
      </c>
      <c r="C335" s="39"/>
      <c r="D335" s="39"/>
      <c r="E335" s="39"/>
      <c r="F335" s="39"/>
      <c r="G335" s="37">
        <f t="shared" si="114"/>
        <v>1</v>
      </c>
      <c r="H335" s="38"/>
      <c r="I335" s="39"/>
      <c r="J335" s="39"/>
      <c r="K335" s="39"/>
      <c r="L335" s="39"/>
      <c r="M335" s="37">
        <f t="shared" si="115"/>
        <v>0</v>
      </c>
      <c r="N335" s="42"/>
      <c r="O335" s="53"/>
      <c r="P335" s="53"/>
      <c r="Q335" s="53"/>
      <c r="R335" s="72">
        <v>1</v>
      </c>
      <c r="S335" s="24">
        <f t="shared" si="116"/>
        <v>1</v>
      </c>
      <c r="T335" s="42"/>
      <c r="U335" s="53"/>
      <c r="V335" s="53"/>
      <c r="W335" s="53"/>
      <c r="X335" s="72"/>
      <c r="Y335" s="24">
        <f t="shared" si="117"/>
        <v>0</v>
      </c>
      <c r="Z335" s="24">
        <f t="shared" si="118"/>
        <v>2</v>
      </c>
      <c r="AA335" s="83">
        <v>43743</v>
      </c>
      <c r="AB335" s="21" t="s">
        <v>30</v>
      </c>
      <c r="AC335" s="38"/>
      <c r="AD335" s="39">
        <v>3</v>
      </c>
      <c r="AE335" s="39"/>
      <c r="AF335" s="39"/>
      <c r="AG335" s="39"/>
      <c r="AH335" s="37">
        <f t="shared" si="119"/>
        <v>3</v>
      </c>
      <c r="AI335" s="38"/>
      <c r="AJ335" s="39"/>
      <c r="AK335" s="39"/>
      <c r="AL335" s="39"/>
      <c r="AM335" s="39"/>
      <c r="AN335" s="37">
        <f t="shared" si="120"/>
        <v>0</v>
      </c>
      <c r="AO335" s="42"/>
      <c r="AP335" s="53"/>
      <c r="AQ335" s="53"/>
      <c r="AR335" s="53"/>
      <c r="AS335" s="72"/>
      <c r="AT335" s="24">
        <f t="shared" si="121"/>
        <v>0</v>
      </c>
      <c r="AU335" s="42"/>
      <c r="AV335" s="53"/>
      <c r="AW335" s="53"/>
      <c r="AX335" s="53"/>
      <c r="AY335" s="72"/>
      <c r="AZ335" s="24">
        <f t="shared" si="122"/>
        <v>0</v>
      </c>
      <c r="BA335" s="24">
        <f t="shared" si="123"/>
        <v>3</v>
      </c>
      <c r="BB335" s="83">
        <v>43746</v>
      </c>
      <c r="BC335" s="111"/>
    </row>
    <row r="336" spans="1:55" ht="14.25" x14ac:dyDescent="0.15">
      <c r="A336" s="21" t="s">
        <v>124</v>
      </c>
      <c r="B336" s="41"/>
      <c r="C336" s="42">
        <v>1</v>
      </c>
      <c r="D336" s="42"/>
      <c r="E336" s="42"/>
      <c r="F336" s="42"/>
      <c r="G336" s="43">
        <f t="shared" si="114"/>
        <v>1</v>
      </c>
      <c r="H336" s="41"/>
      <c r="I336" s="42"/>
      <c r="J336" s="42"/>
      <c r="K336" s="42"/>
      <c r="L336" s="42"/>
      <c r="M336" s="43">
        <f t="shared" si="115"/>
        <v>0</v>
      </c>
      <c r="N336" s="42"/>
      <c r="O336" s="53"/>
      <c r="P336" s="53"/>
      <c r="Q336" s="53"/>
      <c r="R336" s="72"/>
      <c r="S336" s="24">
        <f t="shared" si="116"/>
        <v>0</v>
      </c>
      <c r="T336" s="42"/>
      <c r="U336" s="53"/>
      <c r="V336" s="53"/>
      <c r="W336" s="53"/>
      <c r="X336" s="72"/>
      <c r="Y336" s="24">
        <f t="shared" si="117"/>
        <v>0</v>
      </c>
      <c r="Z336" s="24">
        <f t="shared" si="118"/>
        <v>1</v>
      </c>
      <c r="AA336" s="83">
        <v>43747</v>
      </c>
      <c r="AB336" s="21" t="s">
        <v>226</v>
      </c>
      <c r="AC336" s="41">
        <v>1</v>
      </c>
      <c r="AD336" s="42"/>
      <c r="AE336" s="42">
        <v>1</v>
      </c>
      <c r="AF336" s="42">
        <v>1</v>
      </c>
      <c r="AG336" s="42"/>
      <c r="AH336" s="43">
        <f t="shared" si="119"/>
        <v>3</v>
      </c>
      <c r="AI336" s="41"/>
      <c r="AJ336" s="42"/>
      <c r="AK336" s="42"/>
      <c r="AL336" s="42">
        <v>1</v>
      </c>
      <c r="AM336" s="42"/>
      <c r="AN336" s="43">
        <f t="shared" si="120"/>
        <v>1</v>
      </c>
      <c r="AO336" s="42"/>
      <c r="AP336" s="53"/>
      <c r="AQ336" s="53"/>
      <c r="AR336" s="53"/>
      <c r="AS336" s="72"/>
      <c r="AT336" s="24">
        <f t="shared" si="121"/>
        <v>0</v>
      </c>
      <c r="AU336" s="42"/>
      <c r="AV336" s="53"/>
      <c r="AW336" s="53"/>
      <c r="AX336" s="53"/>
      <c r="AY336" s="72"/>
      <c r="AZ336" s="24">
        <f t="shared" si="122"/>
        <v>0</v>
      </c>
      <c r="BA336" s="24">
        <f t="shared" si="123"/>
        <v>4</v>
      </c>
      <c r="BB336" s="83">
        <v>43749</v>
      </c>
      <c r="BC336" s="111"/>
    </row>
    <row r="337" spans="1:55" ht="14.25" x14ac:dyDescent="0.15">
      <c r="A337" s="21" t="s">
        <v>42</v>
      </c>
      <c r="B337" s="14"/>
      <c r="C337" s="15">
        <v>-3</v>
      </c>
      <c r="D337" s="15"/>
      <c r="E337" s="15"/>
      <c r="F337" s="15"/>
      <c r="G337" s="24">
        <f t="shared" si="114"/>
        <v>-3</v>
      </c>
      <c r="H337" s="14"/>
      <c r="I337" s="15"/>
      <c r="J337" s="15"/>
      <c r="K337" s="15"/>
      <c r="L337" s="15"/>
      <c r="M337" s="24">
        <f t="shared" si="115"/>
        <v>0</v>
      </c>
      <c r="N337" s="15"/>
      <c r="O337" s="55"/>
      <c r="P337" s="55"/>
      <c r="Q337" s="55"/>
      <c r="R337" s="67"/>
      <c r="S337" s="24">
        <f t="shared" si="116"/>
        <v>0</v>
      </c>
      <c r="T337" s="15"/>
      <c r="U337" s="55"/>
      <c r="V337" s="55"/>
      <c r="W337" s="55"/>
      <c r="X337" s="67"/>
      <c r="Y337" s="24">
        <f t="shared" si="117"/>
        <v>0</v>
      </c>
      <c r="Z337" s="24">
        <f t="shared" si="118"/>
        <v>-3</v>
      </c>
      <c r="AA337" s="83">
        <v>43746</v>
      </c>
      <c r="AB337" s="21" t="s">
        <v>218</v>
      </c>
      <c r="AC337" s="14"/>
      <c r="AD337" s="15"/>
      <c r="AE337" s="15"/>
      <c r="AF337" s="15"/>
      <c r="AG337" s="15"/>
      <c r="AH337" s="24">
        <f t="shared" si="119"/>
        <v>0</v>
      </c>
      <c r="AI337" s="14"/>
      <c r="AJ337" s="15"/>
      <c r="AK337" s="15"/>
      <c r="AL337" s="15"/>
      <c r="AM337" s="15"/>
      <c r="AN337" s="24">
        <f t="shared" si="120"/>
        <v>0</v>
      </c>
      <c r="AO337" s="15"/>
      <c r="AP337" s="55">
        <v>1</v>
      </c>
      <c r="AQ337" s="55"/>
      <c r="AR337" s="55"/>
      <c r="AS337" s="67"/>
      <c r="AT337" s="24">
        <f t="shared" si="121"/>
        <v>1</v>
      </c>
      <c r="AU337" s="15"/>
      <c r="AV337" s="55"/>
      <c r="AW337" s="55"/>
      <c r="AX337" s="55"/>
      <c r="AY337" s="67"/>
      <c r="AZ337" s="24">
        <f t="shared" si="122"/>
        <v>0</v>
      </c>
      <c r="BA337" s="24">
        <f t="shared" si="123"/>
        <v>1</v>
      </c>
      <c r="BB337" s="83">
        <v>43747</v>
      </c>
      <c r="BC337" s="111"/>
    </row>
    <row r="338" spans="1:55" ht="14.25" x14ac:dyDescent="0.15">
      <c r="A338" s="23" t="s">
        <v>220</v>
      </c>
      <c r="B338" s="14"/>
      <c r="C338" s="15"/>
      <c r="D338" s="15"/>
      <c r="E338" s="15"/>
      <c r="F338" s="15"/>
      <c r="G338" s="24">
        <f t="shared" si="114"/>
        <v>0</v>
      </c>
      <c r="H338" s="14"/>
      <c r="I338" s="15">
        <v>1</v>
      </c>
      <c r="J338" s="15"/>
      <c r="K338" s="15"/>
      <c r="L338" s="15"/>
      <c r="M338" s="24">
        <f t="shared" si="115"/>
        <v>1</v>
      </c>
      <c r="N338" s="15"/>
      <c r="O338" s="55"/>
      <c r="P338" s="55"/>
      <c r="Q338" s="55"/>
      <c r="R338" s="67"/>
      <c r="S338" s="24">
        <f t="shared" si="116"/>
        <v>0</v>
      </c>
      <c r="T338" s="15"/>
      <c r="U338" s="55"/>
      <c r="V338" s="55"/>
      <c r="W338" s="55"/>
      <c r="X338" s="67"/>
      <c r="Y338" s="24">
        <f t="shared" si="117"/>
        <v>0</v>
      </c>
      <c r="Z338" s="24">
        <f t="shared" si="118"/>
        <v>1</v>
      </c>
      <c r="AA338" s="83">
        <v>43748</v>
      </c>
      <c r="AB338" s="21" t="s">
        <v>219</v>
      </c>
      <c r="AC338" s="14"/>
      <c r="AD338" s="15"/>
      <c r="AE338" s="15"/>
      <c r="AF338" s="15"/>
      <c r="AG338" s="15">
        <v>1</v>
      </c>
      <c r="AH338" s="24">
        <f t="shared" si="119"/>
        <v>1</v>
      </c>
      <c r="AI338" s="14"/>
      <c r="AJ338" s="15"/>
      <c r="AK338" s="15"/>
      <c r="AL338" s="15"/>
      <c r="AM338" s="15"/>
      <c r="AN338" s="24">
        <f t="shared" si="120"/>
        <v>0</v>
      </c>
      <c r="AO338" s="15"/>
      <c r="AP338" s="55"/>
      <c r="AQ338" s="55"/>
      <c r="AR338" s="55"/>
      <c r="AS338" s="67"/>
      <c r="AT338" s="24">
        <f t="shared" si="121"/>
        <v>0</v>
      </c>
      <c r="AU338" s="15"/>
      <c r="AV338" s="55"/>
      <c r="AW338" s="55"/>
      <c r="AX338" s="55"/>
      <c r="AY338" s="67"/>
      <c r="AZ338" s="24">
        <f t="shared" si="122"/>
        <v>0</v>
      </c>
      <c r="BA338" s="24">
        <f t="shared" si="123"/>
        <v>1</v>
      </c>
      <c r="BB338" s="83">
        <v>43748</v>
      </c>
      <c r="BC338" s="111"/>
    </row>
    <row r="339" spans="1:55" ht="14.25" x14ac:dyDescent="0.15">
      <c r="A339" s="47" t="s">
        <v>221</v>
      </c>
      <c r="B339" s="14">
        <v>1</v>
      </c>
      <c r="C339" s="15"/>
      <c r="D339" s="15"/>
      <c r="E339" s="15"/>
      <c r="F339" s="15"/>
      <c r="G339" s="24">
        <f t="shared" si="114"/>
        <v>1</v>
      </c>
      <c r="H339" s="14">
        <v>1</v>
      </c>
      <c r="I339" s="15"/>
      <c r="J339" s="15"/>
      <c r="K339" s="15"/>
      <c r="L339" s="15"/>
      <c r="M339" s="24">
        <f t="shared" si="115"/>
        <v>1</v>
      </c>
      <c r="N339" s="15"/>
      <c r="O339" s="55"/>
      <c r="P339" s="55"/>
      <c r="Q339" s="55"/>
      <c r="R339" s="67"/>
      <c r="S339" s="24">
        <f t="shared" si="116"/>
        <v>0</v>
      </c>
      <c r="T339" s="15"/>
      <c r="U339" s="55"/>
      <c r="V339" s="55"/>
      <c r="W339" s="55"/>
      <c r="X339" s="67"/>
      <c r="Y339" s="24">
        <f t="shared" si="117"/>
        <v>0</v>
      </c>
      <c r="Z339" s="24">
        <f t="shared" si="118"/>
        <v>2</v>
      </c>
      <c r="AA339" s="93">
        <v>43749</v>
      </c>
      <c r="AB339" s="21" t="s">
        <v>29</v>
      </c>
      <c r="AC339" s="14"/>
      <c r="AD339" s="15">
        <v>5</v>
      </c>
      <c r="AE339" s="15"/>
      <c r="AF339" s="15">
        <v>5</v>
      </c>
      <c r="AG339" s="15"/>
      <c r="AH339" s="24">
        <f t="shared" si="119"/>
        <v>10</v>
      </c>
      <c r="AI339" s="14"/>
      <c r="AJ339" s="15"/>
      <c r="AK339" s="15"/>
      <c r="AL339" s="15"/>
      <c r="AM339" s="15"/>
      <c r="AN339" s="24">
        <f t="shared" si="120"/>
        <v>0</v>
      </c>
      <c r="AO339" s="15"/>
      <c r="AP339" s="55"/>
      <c r="AQ339" s="55"/>
      <c r="AR339" s="55"/>
      <c r="AS339" s="67"/>
      <c r="AT339" s="24">
        <f t="shared" si="121"/>
        <v>0</v>
      </c>
      <c r="AU339" s="15"/>
      <c r="AV339" s="55"/>
      <c r="AW339" s="55"/>
      <c r="AX339" s="55"/>
      <c r="AY339" s="67"/>
      <c r="AZ339" s="24">
        <f t="shared" si="122"/>
        <v>0</v>
      </c>
      <c r="BA339" s="24">
        <f t="shared" si="123"/>
        <v>10</v>
      </c>
      <c r="BB339" s="83">
        <v>43755</v>
      </c>
      <c r="BC339" s="111"/>
    </row>
    <row r="340" spans="1:55" ht="14.25" x14ac:dyDescent="0.15">
      <c r="A340" s="23" t="s">
        <v>199</v>
      </c>
      <c r="B340" s="14"/>
      <c r="C340" s="15"/>
      <c r="D340" s="15"/>
      <c r="E340" s="15"/>
      <c r="F340" s="15"/>
      <c r="G340" s="24">
        <f t="shared" si="114"/>
        <v>0</v>
      </c>
      <c r="H340" s="14"/>
      <c r="I340" s="15"/>
      <c r="J340" s="15"/>
      <c r="K340" s="15"/>
      <c r="L340" s="15"/>
      <c r="M340" s="24">
        <f t="shared" si="115"/>
        <v>0</v>
      </c>
      <c r="N340" s="15"/>
      <c r="O340" s="55"/>
      <c r="P340" s="55"/>
      <c r="Q340" s="55"/>
      <c r="R340" s="67"/>
      <c r="S340" s="24">
        <f t="shared" si="116"/>
        <v>0</v>
      </c>
      <c r="T340" s="15"/>
      <c r="U340" s="55"/>
      <c r="V340" s="55"/>
      <c r="W340" s="55"/>
      <c r="X340" s="67">
        <v>-1</v>
      </c>
      <c r="Y340" s="24">
        <f t="shared" si="117"/>
        <v>-1</v>
      </c>
      <c r="Z340" s="24">
        <f t="shared" si="118"/>
        <v>-1</v>
      </c>
      <c r="AA340" s="93">
        <v>43753</v>
      </c>
      <c r="AB340" s="21" t="s">
        <v>227</v>
      </c>
      <c r="AC340" s="14"/>
      <c r="AD340" s="15"/>
      <c r="AE340" s="15">
        <v>2</v>
      </c>
      <c r="AF340" s="15"/>
      <c r="AG340" s="15">
        <v>2</v>
      </c>
      <c r="AH340" s="24">
        <f t="shared" si="119"/>
        <v>4</v>
      </c>
      <c r="AI340" s="14"/>
      <c r="AJ340" s="15"/>
      <c r="AK340" s="15">
        <v>2</v>
      </c>
      <c r="AL340" s="15"/>
      <c r="AM340" s="15">
        <v>6</v>
      </c>
      <c r="AN340" s="24">
        <f t="shared" si="120"/>
        <v>8</v>
      </c>
      <c r="AO340" s="15"/>
      <c r="AP340" s="55"/>
      <c r="AQ340" s="55"/>
      <c r="AR340" s="55"/>
      <c r="AS340" s="67"/>
      <c r="AT340" s="24">
        <f t="shared" si="121"/>
        <v>0</v>
      </c>
      <c r="AU340" s="15"/>
      <c r="AV340" s="55"/>
      <c r="AW340" s="55"/>
      <c r="AX340" s="55">
        <v>5</v>
      </c>
      <c r="AY340" s="67"/>
      <c r="AZ340" s="24">
        <f t="shared" si="122"/>
        <v>5</v>
      </c>
      <c r="BA340" s="24">
        <f t="shared" si="123"/>
        <v>17</v>
      </c>
      <c r="BB340" s="83">
        <v>43759</v>
      </c>
      <c r="BC340" s="111"/>
    </row>
    <row r="341" spans="1:55" ht="14.25" x14ac:dyDescent="0.15">
      <c r="A341" s="23" t="s">
        <v>229</v>
      </c>
      <c r="B341" s="14"/>
      <c r="C341" s="15">
        <v>1</v>
      </c>
      <c r="D341" s="15"/>
      <c r="E341" s="15"/>
      <c r="F341" s="15"/>
      <c r="G341" s="24">
        <f t="shared" si="114"/>
        <v>1</v>
      </c>
      <c r="H341" s="14"/>
      <c r="I341" s="15"/>
      <c r="J341" s="15"/>
      <c r="K341" s="15"/>
      <c r="L341" s="15"/>
      <c r="M341" s="24">
        <f t="shared" si="115"/>
        <v>0</v>
      </c>
      <c r="N341" s="15"/>
      <c r="O341" s="55"/>
      <c r="P341" s="55"/>
      <c r="Q341" s="55"/>
      <c r="R341" s="67"/>
      <c r="S341" s="24">
        <f t="shared" si="116"/>
        <v>0</v>
      </c>
      <c r="T341" s="15"/>
      <c r="U341" s="55"/>
      <c r="V341" s="55"/>
      <c r="W341" s="55"/>
      <c r="X341" s="67"/>
      <c r="Y341" s="24">
        <f t="shared" si="117"/>
        <v>0</v>
      </c>
      <c r="Z341" s="24">
        <f t="shared" si="118"/>
        <v>1</v>
      </c>
      <c r="AA341" s="83">
        <v>43756</v>
      </c>
      <c r="AB341" s="21" t="s">
        <v>228</v>
      </c>
      <c r="AC341" s="14"/>
      <c r="AD341" s="15">
        <v>1</v>
      </c>
      <c r="AE341" s="15"/>
      <c r="AF341" s="15"/>
      <c r="AG341" s="15"/>
      <c r="AH341" s="24">
        <f t="shared" si="119"/>
        <v>1</v>
      </c>
      <c r="AI341" s="14"/>
      <c r="AJ341" s="15"/>
      <c r="AK341" s="15"/>
      <c r="AL341" s="15"/>
      <c r="AM341" s="15"/>
      <c r="AN341" s="24">
        <f t="shared" si="120"/>
        <v>0</v>
      </c>
      <c r="AO341" s="15"/>
      <c r="AP341" s="55"/>
      <c r="AQ341" s="55"/>
      <c r="AR341" s="55"/>
      <c r="AS341" s="67"/>
      <c r="AT341" s="24">
        <f t="shared" si="121"/>
        <v>0</v>
      </c>
      <c r="AU341" s="15"/>
      <c r="AV341" s="55"/>
      <c r="AW341" s="55"/>
      <c r="AX341" s="55"/>
      <c r="AY341" s="67"/>
      <c r="AZ341" s="24">
        <f t="shared" si="122"/>
        <v>0</v>
      </c>
      <c r="BA341" s="24">
        <f t="shared" si="123"/>
        <v>1</v>
      </c>
      <c r="BB341" s="83">
        <v>43761</v>
      </c>
      <c r="BC341" s="111"/>
    </row>
    <row r="342" spans="1:55" ht="14.25" x14ac:dyDescent="0.15">
      <c r="A342" s="10" t="s">
        <v>77</v>
      </c>
      <c r="B342" s="14"/>
      <c r="C342" s="15">
        <v>-1</v>
      </c>
      <c r="D342" s="15"/>
      <c r="E342" s="15"/>
      <c r="F342" s="15"/>
      <c r="G342" s="24">
        <f t="shared" si="114"/>
        <v>-1</v>
      </c>
      <c r="H342" s="14"/>
      <c r="I342" s="15"/>
      <c r="J342" s="15"/>
      <c r="K342" s="15"/>
      <c r="L342" s="15"/>
      <c r="M342" s="24">
        <f t="shared" si="115"/>
        <v>0</v>
      </c>
      <c r="N342" s="15"/>
      <c r="O342" s="55"/>
      <c r="P342" s="55"/>
      <c r="Q342" s="55"/>
      <c r="R342" s="67"/>
      <c r="S342" s="24">
        <f t="shared" si="116"/>
        <v>0</v>
      </c>
      <c r="T342" s="15"/>
      <c r="U342" s="55"/>
      <c r="V342" s="55"/>
      <c r="W342" s="55"/>
      <c r="X342" s="67"/>
      <c r="Y342" s="24">
        <f t="shared" si="117"/>
        <v>0</v>
      </c>
      <c r="Z342" s="24">
        <f t="shared" si="118"/>
        <v>-1</v>
      </c>
      <c r="AA342" s="93">
        <v>43755</v>
      </c>
      <c r="AB342" s="21" t="s">
        <v>230</v>
      </c>
      <c r="AC342" s="14"/>
      <c r="AD342" s="15"/>
      <c r="AE342" s="15"/>
      <c r="AF342" s="15">
        <v>1</v>
      </c>
      <c r="AG342" s="15"/>
      <c r="AH342" s="24">
        <f t="shared" si="119"/>
        <v>1</v>
      </c>
      <c r="AI342" s="14"/>
      <c r="AJ342" s="15"/>
      <c r="AK342" s="15"/>
      <c r="AL342" s="15"/>
      <c r="AM342" s="15"/>
      <c r="AN342" s="24">
        <f t="shared" si="120"/>
        <v>0</v>
      </c>
      <c r="AO342" s="15"/>
      <c r="AP342" s="55"/>
      <c r="AQ342" s="55"/>
      <c r="AR342" s="55"/>
      <c r="AS342" s="67"/>
      <c r="AT342" s="24">
        <f t="shared" si="121"/>
        <v>0</v>
      </c>
      <c r="AU342" s="15"/>
      <c r="AV342" s="55"/>
      <c r="AW342" s="55"/>
      <c r="AX342" s="55"/>
      <c r="AY342" s="67"/>
      <c r="AZ342" s="24">
        <f t="shared" si="122"/>
        <v>0</v>
      </c>
      <c r="BA342" s="24">
        <f t="shared" si="123"/>
        <v>1</v>
      </c>
      <c r="BB342" s="83">
        <v>43763</v>
      </c>
      <c r="BC342" s="111"/>
    </row>
    <row r="343" spans="1:55" ht="14.25" x14ac:dyDescent="0.15">
      <c r="A343" s="23" t="s">
        <v>51</v>
      </c>
      <c r="B343" s="44"/>
      <c r="C343" s="45"/>
      <c r="D343" s="45">
        <v>-1</v>
      </c>
      <c r="E343" s="45"/>
      <c r="F343" s="45"/>
      <c r="G343" s="43">
        <f t="shared" si="114"/>
        <v>-1</v>
      </c>
      <c r="H343" s="44"/>
      <c r="I343" s="45"/>
      <c r="J343" s="45"/>
      <c r="K343" s="45"/>
      <c r="L343" s="45">
        <v>-2</v>
      </c>
      <c r="M343" s="43">
        <f t="shared" si="115"/>
        <v>-2</v>
      </c>
      <c r="N343" s="42"/>
      <c r="O343" s="53"/>
      <c r="P343" s="53"/>
      <c r="Q343" s="53"/>
      <c r="R343" s="72"/>
      <c r="S343" s="24">
        <f t="shared" si="116"/>
        <v>0</v>
      </c>
      <c r="T343" s="42"/>
      <c r="U343" s="53"/>
      <c r="V343" s="53"/>
      <c r="W343" s="53"/>
      <c r="X343" s="72"/>
      <c r="Y343" s="24">
        <f t="shared" si="117"/>
        <v>0</v>
      </c>
      <c r="Z343" s="24">
        <f t="shared" si="118"/>
        <v>-3</v>
      </c>
      <c r="AA343" s="93">
        <v>43757</v>
      </c>
      <c r="AB343" s="21" t="s">
        <v>231</v>
      </c>
      <c r="AC343" s="14"/>
      <c r="AD343" s="15"/>
      <c r="AE343" s="15"/>
      <c r="AF343" s="15"/>
      <c r="AG343" s="15"/>
      <c r="AH343" s="24">
        <f t="shared" si="119"/>
        <v>0</v>
      </c>
      <c r="AI343" s="14"/>
      <c r="AJ343" s="15"/>
      <c r="AK343" s="15"/>
      <c r="AL343" s="15">
        <v>1</v>
      </c>
      <c r="AM343" s="15"/>
      <c r="AN343" s="24">
        <f t="shared" si="120"/>
        <v>1</v>
      </c>
      <c r="AO343" s="15"/>
      <c r="AP343" s="55"/>
      <c r="AQ343" s="55"/>
      <c r="AR343" s="55"/>
      <c r="AS343" s="67"/>
      <c r="AT343" s="24">
        <f t="shared" si="121"/>
        <v>0</v>
      </c>
      <c r="AU343" s="15"/>
      <c r="AV343" s="55"/>
      <c r="AW343" s="55"/>
      <c r="AX343" s="55"/>
      <c r="AY343" s="67"/>
      <c r="AZ343" s="24">
        <f t="shared" si="122"/>
        <v>0</v>
      </c>
      <c r="BA343" s="24">
        <f t="shared" si="123"/>
        <v>1</v>
      </c>
      <c r="BB343" s="83">
        <v>43767</v>
      </c>
    </row>
    <row r="344" spans="1:55" ht="14.25" x14ac:dyDescent="0.15">
      <c r="A344" s="40" t="s">
        <v>48</v>
      </c>
      <c r="B344" s="41"/>
      <c r="C344" s="42"/>
      <c r="D344" s="42"/>
      <c r="E344" s="42"/>
      <c r="F344" s="42"/>
      <c r="G344" s="43">
        <f t="shared" si="114"/>
        <v>0</v>
      </c>
      <c r="H344" s="41"/>
      <c r="I344" s="42">
        <v>1</v>
      </c>
      <c r="J344" s="42"/>
      <c r="K344" s="42"/>
      <c r="L344" s="42"/>
      <c r="M344" s="43">
        <f t="shared" si="115"/>
        <v>1</v>
      </c>
      <c r="N344" s="42">
        <v>1</v>
      </c>
      <c r="O344" s="53"/>
      <c r="P344" s="53"/>
      <c r="Q344" s="53"/>
      <c r="R344" s="72"/>
      <c r="S344" s="24">
        <f t="shared" si="116"/>
        <v>1</v>
      </c>
      <c r="T344" s="42"/>
      <c r="U344" s="53"/>
      <c r="V344" s="53"/>
      <c r="W344" s="53"/>
      <c r="X344" s="72"/>
      <c r="Y344" s="24">
        <f t="shared" si="117"/>
        <v>0</v>
      </c>
      <c r="Z344" s="24">
        <f t="shared" si="118"/>
        <v>2</v>
      </c>
      <c r="AA344" s="93">
        <v>43763</v>
      </c>
      <c r="AB344" s="21" t="s">
        <v>232</v>
      </c>
      <c r="AC344" s="14"/>
      <c r="AD344" s="15">
        <v>3</v>
      </c>
      <c r="AE344" s="15"/>
      <c r="AF344" s="15"/>
      <c r="AG344" s="15"/>
      <c r="AH344" s="24">
        <f t="shared" si="119"/>
        <v>3</v>
      </c>
      <c r="AI344" s="14"/>
      <c r="AJ344" s="15">
        <v>3</v>
      </c>
      <c r="AK344" s="15"/>
      <c r="AL344" s="15"/>
      <c r="AM344" s="15"/>
      <c r="AN344" s="24">
        <f t="shared" si="120"/>
        <v>3</v>
      </c>
      <c r="AO344" s="15"/>
      <c r="AP344" s="55"/>
      <c r="AQ344" s="55"/>
      <c r="AR344" s="55"/>
      <c r="AS344" s="67"/>
      <c r="AT344" s="24">
        <f t="shared" si="121"/>
        <v>0</v>
      </c>
      <c r="AU344" s="15"/>
      <c r="AV344" s="55"/>
      <c r="AW344" s="55"/>
      <c r="AX344" s="55"/>
      <c r="AY344" s="67"/>
      <c r="AZ344" s="24">
        <f t="shared" si="122"/>
        <v>0</v>
      </c>
      <c r="BA344" s="24">
        <f t="shared" si="123"/>
        <v>6</v>
      </c>
      <c r="BB344" s="83">
        <v>43769</v>
      </c>
    </row>
    <row r="345" spans="1:55" ht="14.25" x14ac:dyDescent="0.15">
      <c r="A345" s="23" t="s">
        <v>233</v>
      </c>
      <c r="B345" s="41"/>
      <c r="C345" s="42"/>
      <c r="D345" s="42"/>
      <c r="E345" s="42"/>
      <c r="F345" s="42"/>
      <c r="G345" s="43">
        <f t="shared" si="114"/>
        <v>0</v>
      </c>
      <c r="H345" s="41"/>
      <c r="I345" s="42"/>
      <c r="J345" s="42"/>
      <c r="K345" s="42"/>
      <c r="L345" s="42"/>
      <c r="M345" s="43">
        <f t="shared" si="115"/>
        <v>0</v>
      </c>
      <c r="N345" s="42"/>
      <c r="O345" s="53">
        <v>-1</v>
      </c>
      <c r="P345" s="53"/>
      <c r="Q345" s="53">
        <v>-1</v>
      </c>
      <c r="R345" s="72"/>
      <c r="S345" s="24">
        <f t="shared" si="116"/>
        <v>-2</v>
      </c>
      <c r="T345" s="42"/>
      <c r="U345" s="53"/>
      <c r="V345" s="53"/>
      <c r="W345" s="53"/>
      <c r="X345" s="72"/>
      <c r="Y345" s="24">
        <f t="shared" si="117"/>
        <v>0</v>
      </c>
      <c r="Z345" s="24">
        <f t="shared" si="118"/>
        <v>-2</v>
      </c>
      <c r="AA345" s="93">
        <v>43768</v>
      </c>
      <c r="AB345" s="21" t="s">
        <v>29</v>
      </c>
      <c r="AC345" s="14"/>
      <c r="AD345" s="15"/>
      <c r="AE345" s="15"/>
      <c r="AF345" s="15"/>
      <c r="AG345" s="15"/>
      <c r="AH345" s="24">
        <f>SUM(AC345:AG345)</f>
        <v>0</v>
      </c>
      <c r="AI345" s="14"/>
      <c r="AJ345" s="15">
        <v>5</v>
      </c>
      <c r="AK345" s="15"/>
      <c r="AL345" s="15"/>
      <c r="AM345" s="15"/>
      <c r="AN345" s="24">
        <f>SUM(AI345:AM345)</f>
        <v>5</v>
      </c>
      <c r="AO345" s="15"/>
      <c r="AP345" s="55"/>
      <c r="AQ345" s="55"/>
      <c r="AR345" s="55"/>
      <c r="AS345" s="67"/>
      <c r="AT345" s="24">
        <f>SUM(AO345:AS345)</f>
        <v>0</v>
      </c>
      <c r="AU345" s="15"/>
      <c r="AV345" s="55"/>
      <c r="AW345" s="55"/>
      <c r="AX345" s="55"/>
      <c r="AY345" s="67"/>
      <c r="AZ345" s="24">
        <f>SUM(AU345:AY345)</f>
        <v>0</v>
      </c>
      <c r="BA345" s="24">
        <f>AH345+AN345+AT345+AZ345</f>
        <v>5</v>
      </c>
      <c r="BB345" s="83">
        <v>43774</v>
      </c>
    </row>
    <row r="346" spans="1:55" ht="14.25" x14ac:dyDescent="0.15">
      <c r="A346" s="21" t="s">
        <v>234</v>
      </c>
      <c r="B346" s="41"/>
      <c r="C346" s="42"/>
      <c r="D346" s="42"/>
      <c r="E346" s="42"/>
      <c r="F346" s="42"/>
      <c r="G346" s="43">
        <f t="shared" si="114"/>
        <v>0</v>
      </c>
      <c r="H346" s="41"/>
      <c r="I346" s="42">
        <v>1</v>
      </c>
      <c r="J346" s="42"/>
      <c r="K346" s="42"/>
      <c r="L346" s="42"/>
      <c r="M346" s="43">
        <f t="shared" si="115"/>
        <v>1</v>
      </c>
      <c r="N346" s="42"/>
      <c r="O346" s="53"/>
      <c r="P346" s="53"/>
      <c r="Q346" s="53"/>
      <c r="R346" s="72"/>
      <c r="S346" s="24">
        <f>SUM(N346:R346)</f>
        <v>0</v>
      </c>
      <c r="T346" s="42"/>
      <c r="U346" s="53"/>
      <c r="V346" s="53"/>
      <c r="W346" s="53"/>
      <c r="X346" s="72"/>
      <c r="Y346" s="24">
        <f>SUM(T346:X346)</f>
        <v>0</v>
      </c>
      <c r="Z346" s="24">
        <f>G346+M346+S346+Y346</f>
        <v>1</v>
      </c>
      <c r="AA346" s="83">
        <v>43771</v>
      </c>
      <c r="AB346" s="21" t="s">
        <v>29</v>
      </c>
      <c r="AC346" s="14"/>
      <c r="AD346" s="15"/>
      <c r="AE346" s="15"/>
      <c r="AF346" s="15"/>
      <c r="AG346" s="15"/>
      <c r="AH346" s="24">
        <f>SUM(AC346:AG346)</f>
        <v>0</v>
      </c>
      <c r="AI346" s="14"/>
      <c r="AJ346" s="15"/>
      <c r="AK346" s="15">
        <v>5</v>
      </c>
      <c r="AL346" s="15"/>
      <c r="AM346" s="15"/>
      <c r="AN346" s="24">
        <f>SUM(AI346:AM346)</f>
        <v>5</v>
      </c>
      <c r="AO346" s="15"/>
      <c r="AP346" s="55"/>
      <c r="AQ346" s="55"/>
      <c r="AR346" s="55"/>
      <c r="AS346" s="67"/>
      <c r="AT346" s="24">
        <f>SUM(AO346:AS346)</f>
        <v>0</v>
      </c>
      <c r="AU346" s="15"/>
      <c r="AV346" s="55"/>
      <c r="AW346" s="55"/>
      <c r="AX346" s="55"/>
      <c r="AY346" s="67"/>
      <c r="AZ346" s="24">
        <f>SUM(AU346:AY346)</f>
        <v>0</v>
      </c>
      <c r="BA346" s="24">
        <f>AH346+AN346+AT346+AZ346</f>
        <v>5</v>
      </c>
      <c r="BB346" s="83">
        <v>43780</v>
      </c>
    </row>
    <row r="347" spans="1:55" ht="15" thickBot="1" x14ac:dyDescent="0.2">
      <c r="A347" s="110" t="s">
        <v>160</v>
      </c>
      <c r="B347" s="44"/>
      <c r="C347" s="45"/>
      <c r="D347" s="45"/>
      <c r="E347" s="45"/>
      <c r="F347" s="45"/>
      <c r="G347" s="43">
        <f t="shared" si="114"/>
        <v>0</v>
      </c>
      <c r="H347" s="44"/>
      <c r="I347" s="45"/>
      <c r="J347" s="45"/>
      <c r="K347" s="45"/>
      <c r="L347" s="45">
        <v>2</v>
      </c>
      <c r="M347" s="112">
        <f t="shared" si="115"/>
        <v>2</v>
      </c>
      <c r="N347" s="45"/>
      <c r="O347" s="78"/>
      <c r="P347" s="78"/>
      <c r="Q347" s="78">
        <v>1</v>
      </c>
      <c r="R347" s="79"/>
      <c r="S347" s="113">
        <f>SUM(N347:R347)</f>
        <v>1</v>
      </c>
      <c r="T347" s="45"/>
      <c r="U347" s="78"/>
      <c r="V347" s="78"/>
      <c r="W347" s="78"/>
      <c r="X347" s="79"/>
      <c r="Y347" s="113">
        <f>SUM(T347:X347)</f>
        <v>0</v>
      </c>
      <c r="Z347" s="82">
        <f>G347+M347+S347+Y347</f>
        <v>3</v>
      </c>
      <c r="AA347" s="93">
        <v>43771</v>
      </c>
      <c r="AB347" s="21" t="s">
        <v>237</v>
      </c>
      <c r="AC347" s="14"/>
      <c r="AD347" s="15"/>
      <c r="AE347" s="15"/>
      <c r="AF347" s="15"/>
      <c r="AG347" s="15"/>
      <c r="AH347" s="24">
        <f>SUM(AC347:AG347)</f>
        <v>0</v>
      </c>
      <c r="AI347" s="14"/>
      <c r="AJ347" s="15"/>
      <c r="AK347" s="15"/>
      <c r="AL347" s="15"/>
      <c r="AM347" s="15"/>
      <c r="AN347" s="24">
        <f>SUM(AI347:AM347)</f>
        <v>0</v>
      </c>
      <c r="AO347" s="15"/>
      <c r="AP347" s="55"/>
      <c r="AQ347" s="55"/>
      <c r="AR347" s="55"/>
      <c r="AS347" s="67"/>
      <c r="AT347" s="24">
        <f>SUM(AO347:AS347)</f>
        <v>0</v>
      </c>
      <c r="AU347" s="15"/>
      <c r="AV347" s="55"/>
      <c r="AW347" s="55">
        <v>1</v>
      </c>
      <c r="AX347" s="55"/>
      <c r="AY347" s="67"/>
      <c r="AZ347" s="24">
        <f>SUM(AU347:AY347)</f>
        <v>1</v>
      </c>
      <c r="BA347" s="24">
        <f>AH347+AN347+AT347+AZ347</f>
        <v>1</v>
      </c>
      <c r="BB347" s="83">
        <v>43776</v>
      </c>
    </row>
    <row r="348" spans="1:55" ht="15" thickBot="1" x14ac:dyDescent="0.2">
      <c r="A348" s="9" t="s">
        <v>13</v>
      </c>
      <c r="B348" s="25">
        <f>SUM(B322:B347)</f>
        <v>2</v>
      </c>
      <c r="C348" s="26">
        <f>SUM(C322:C347)</f>
        <v>-1</v>
      </c>
      <c r="D348" s="26">
        <f>SUM(D322:D347)</f>
        <v>0</v>
      </c>
      <c r="E348" s="26">
        <f>SUM(E322:E347)</f>
        <v>0</v>
      </c>
      <c r="F348" s="27">
        <f>SUM(F322:F347)</f>
        <v>3</v>
      </c>
      <c r="G348" s="19">
        <f>SUM(B348:F348)</f>
        <v>4</v>
      </c>
      <c r="H348" s="25">
        <f>SUM(H322:H347)</f>
        <v>1</v>
      </c>
      <c r="I348" s="26">
        <f>SUM(I322:I347)</f>
        <v>3</v>
      </c>
      <c r="J348" s="26">
        <f>SUM(J322:J347)</f>
        <v>0</v>
      </c>
      <c r="K348" s="26">
        <f>SUM(K322:K347)</f>
        <v>1</v>
      </c>
      <c r="L348" s="27">
        <f>SUM(L322:L347)</f>
        <v>0</v>
      </c>
      <c r="M348" s="25">
        <f>SUM(H348:L348)</f>
        <v>5</v>
      </c>
      <c r="N348" s="65">
        <f>SUM(N322:N347)</f>
        <v>1</v>
      </c>
      <c r="O348" s="18">
        <f>SUM(O322:O347)</f>
        <v>1</v>
      </c>
      <c r="P348" s="18">
        <f>SUM(P322:P347)</f>
        <v>0</v>
      </c>
      <c r="Q348" s="18">
        <f>SUM(Q322:Q347)</f>
        <v>3</v>
      </c>
      <c r="R348" s="70">
        <f>SUM(R322:R347)</f>
        <v>4</v>
      </c>
      <c r="S348" s="49">
        <f>SUM(N348:R348)</f>
        <v>9</v>
      </c>
      <c r="T348" s="74">
        <f>SUM(T322:T347)</f>
        <v>0</v>
      </c>
      <c r="U348" s="18">
        <f>SUM(U322:U347)</f>
        <v>4</v>
      </c>
      <c r="V348" s="18">
        <f>SUM(V322:V347)</f>
        <v>1</v>
      </c>
      <c r="W348" s="18">
        <f>SUM(W322:W347)</f>
        <v>1</v>
      </c>
      <c r="X348" s="70">
        <f>SUM(X322:X347)</f>
        <v>0</v>
      </c>
      <c r="Y348" s="49">
        <f>SUM(T348:X348)</f>
        <v>6</v>
      </c>
      <c r="Z348" s="77">
        <f>G348+M348+S348+Y348</f>
        <v>24</v>
      </c>
      <c r="AB348" s="9" t="s">
        <v>13</v>
      </c>
      <c r="AC348" s="25">
        <f>SUM(AC322:AC347)</f>
        <v>2</v>
      </c>
      <c r="AD348" s="26">
        <f>SUM(AD322:AD347)</f>
        <v>15</v>
      </c>
      <c r="AE348" s="26">
        <f>SUM(AE322:AE347)</f>
        <v>9</v>
      </c>
      <c r="AF348" s="26">
        <f>SUM(AF322:AF347)</f>
        <v>9</v>
      </c>
      <c r="AG348" s="27">
        <f>SUM(AG322:AG347)</f>
        <v>11</v>
      </c>
      <c r="AH348" s="19">
        <f>SUM(AC348:AG348)</f>
        <v>46</v>
      </c>
      <c r="AI348" s="25">
        <f>SUM(AI322:AI347)</f>
        <v>0</v>
      </c>
      <c r="AJ348" s="26">
        <f>SUM(AJ322:AJ347)</f>
        <v>11</v>
      </c>
      <c r="AK348" s="26">
        <f>SUM(AK322:AK347)</f>
        <v>13</v>
      </c>
      <c r="AL348" s="26">
        <f>SUM(AL322:AL347)</f>
        <v>5</v>
      </c>
      <c r="AM348" s="27">
        <f>SUM(AM322:AM347)</f>
        <v>6</v>
      </c>
      <c r="AN348" s="25">
        <f>SUM(AI348:AM348)</f>
        <v>35</v>
      </c>
      <c r="AO348" s="65">
        <f>SUM(AO322:AO347)</f>
        <v>0</v>
      </c>
      <c r="AP348" s="18">
        <f>SUM(AP322:AP347)</f>
        <v>2</v>
      </c>
      <c r="AQ348" s="18">
        <f>SUM(AQ322:AQ347)</f>
        <v>2</v>
      </c>
      <c r="AR348" s="18">
        <f>SUM(AR322:AR347)</f>
        <v>2</v>
      </c>
      <c r="AS348" s="70">
        <f>SUM(AS322:AS347)</f>
        <v>3</v>
      </c>
      <c r="AT348" s="49">
        <f>SUM(AO348:AS348)</f>
        <v>9</v>
      </c>
      <c r="AU348" s="74">
        <f>SUM(AU322:AU347)</f>
        <v>1</v>
      </c>
      <c r="AV348" s="18">
        <f>SUM(AV322:AV347)</f>
        <v>0</v>
      </c>
      <c r="AW348" s="18">
        <f>SUM(AW322:AW347)</f>
        <v>1</v>
      </c>
      <c r="AX348" s="18">
        <f>SUM(AX322:AX347)</f>
        <v>8</v>
      </c>
      <c r="AY348" s="70">
        <f>SUM(AY322:AY347)</f>
        <v>0</v>
      </c>
      <c r="AZ348" s="49">
        <f>SUM(AU348:AY348)</f>
        <v>10</v>
      </c>
      <c r="BA348" s="77">
        <f>AH348+AN348+AT348+AZ348</f>
        <v>100</v>
      </c>
    </row>
    <row r="349" spans="1:55" ht="15" thickBot="1" x14ac:dyDescent="0.2">
      <c r="A349" s="32" t="s">
        <v>14</v>
      </c>
      <c r="B349" s="29">
        <f t="shared" ref="B349:Y349" si="124">B321-B348</f>
        <v>1</v>
      </c>
      <c r="C349" s="30">
        <f t="shared" si="124"/>
        <v>4</v>
      </c>
      <c r="D349" s="30">
        <f t="shared" si="124"/>
        <v>3</v>
      </c>
      <c r="E349" s="30">
        <f t="shared" si="124"/>
        <v>3</v>
      </c>
      <c r="F349" s="31">
        <f t="shared" si="124"/>
        <v>2</v>
      </c>
      <c r="G349" s="31">
        <f t="shared" si="124"/>
        <v>13</v>
      </c>
      <c r="H349" s="29">
        <f t="shared" si="124"/>
        <v>2</v>
      </c>
      <c r="I349" s="30">
        <f t="shared" si="124"/>
        <v>2</v>
      </c>
      <c r="J349" s="30">
        <f t="shared" si="124"/>
        <v>3</v>
      </c>
      <c r="K349" s="30">
        <f t="shared" si="124"/>
        <v>4</v>
      </c>
      <c r="L349" s="31">
        <f t="shared" si="124"/>
        <v>2</v>
      </c>
      <c r="M349" s="66">
        <f t="shared" si="124"/>
        <v>13</v>
      </c>
      <c r="N349" s="29">
        <f t="shared" si="124"/>
        <v>2</v>
      </c>
      <c r="O349" s="30">
        <f t="shared" si="124"/>
        <v>4</v>
      </c>
      <c r="P349" s="30">
        <f t="shared" si="124"/>
        <v>3</v>
      </c>
      <c r="Q349" s="30">
        <f t="shared" si="124"/>
        <v>3</v>
      </c>
      <c r="R349" s="66">
        <f t="shared" si="124"/>
        <v>2</v>
      </c>
      <c r="S349" s="33">
        <f t="shared" si="124"/>
        <v>14</v>
      </c>
      <c r="T349" s="75">
        <f t="shared" si="124"/>
        <v>3</v>
      </c>
      <c r="U349" s="30">
        <f t="shared" si="124"/>
        <v>3</v>
      </c>
      <c r="V349" s="30">
        <f t="shared" si="124"/>
        <v>2</v>
      </c>
      <c r="W349" s="30">
        <f t="shared" si="124"/>
        <v>3</v>
      </c>
      <c r="X349" s="66">
        <f t="shared" si="124"/>
        <v>4</v>
      </c>
      <c r="Y349" s="33">
        <f t="shared" si="124"/>
        <v>15</v>
      </c>
      <c r="Z349" s="77">
        <f>G349+M349+S349+Y349</f>
        <v>55</v>
      </c>
      <c r="AB349" s="32" t="s">
        <v>14</v>
      </c>
      <c r="AC349" s="29">
        <f t="shared" ref="AC349:AZ349" si="125">AC321-AC348</f>
        <v>127</v>
      </c>
      <c r="AD349" s="30">
        <f t="shared" si="125"/>
        <v>132</v>
      </c>
      <c r="AE349" s="30">
        <f t="shared" si="125"/>
        <v>158</v>
      </c>
      <c r="AF349" s="30">
        <f t="shared" si="125"/>
        <v>138</v>
      </c>
      <c r="AG349" s="31">
        <f t="shared" si="125"/>
        <v>123</v>
      </c>
      <c r="AH349" s="31">
        <f t="shared" si="125"/>
        <v>678</v>
      </c>
      <c r="AI349" s="29">
        <f t="shared" si="125"/>
        <v>104</v>
      </c>
      <c r="AJ349" s="30">
        <f t="shared" si="125"/>
        <v>92</v>
      </c>
      <c r="AK349" s="30">
        <f t="shared" si="125"/>
        <v>113</v>
      </c>
      <c r="AL349" s="30">
        <f t="shared" si="125"/>
        <v>117</v>
      </c>
      <c r="AM349" s="31">
        <f t="shared" si="125"/>
        <v>113</v>
      </c>
      <c r="AN349" s="66">
        <f t="shared" si="125"/>
        <v>539</v>
      </c>
      <c r="AO349" s="29">
        <f t="shared" si="125"/>
        <v>105</v>
      </c>
      <c r="AP349" s="30">
        <f t="shared" si="125"/>
        <v>105</v>
      </c>
      <c r="AQ349" s="30">
        <f t="shared" si="125"/>
        <v>84</v>
      </c>
      <c r="AR349" s="30">
        <f t="shared" si="125"/>
        <v>89</v>
      </c>
      <c r="AS349" s="66">
        <f t="shared" si="125"/>
        <v>55</v>
      </c>
      <c r="AT349" s="33">
        <f t="shared" si="125"/>
        <v>438</v>
      </c>
      <c r="AU349" s="75">
        <f t="shared" si="125"/>
        <v>111</v>
      </c>
      <c r="AV349" s="30">
        <f t="shared" si="125"/>
        <v>106</v>
      </c>
      <c r="AW349" s="30">
        <f t="shared" si="125"/>
        <v>90</v>
      </c>
      <c r="AX349" s="30">
        <f t="shared" si="125"/>
        <v>98</v>
      </c>
      <c r="AY349" s="66">
        <f t="shared" si="125"/>
        <v>54</v>
      </c>
      <c r="AZ349" s="33">
        <f t="shared" si="125"/>
        <v>459</v>
      </c>
      <c r="BA349" s="77">
        <f>AH349+AN349+AT349+AZ349</f>
        <v>2114</v>
      </c>
    </row>
    <row r="350" spans="1:55" x14ac:dyDescent="0.15">
      <c r="AC350" s="25">
        <f>AC348+AC309+AC270+AC231+AC192+AC153+AC114+AC75+AC36</f>
        <v>83</v>
      </c>
      <c r="AD350" s="124">
        <f t="shared" ref="AD350:AZ350" si="126">AD348+AD309+AD270+AD231+AD192+AD153+AD114+AD75+AD36</f>
        <v>154</v>
      </c>
      <c r="AE350" s="124">
        <f t="shared" si="126"/>
        <v>151</v>
      </c>
      <c r="AF350" s="124">
        <f t="shared" si="126"/>
        <v>161</v>
      </c>
      <c r="AG350" s="150">
        <f t="shared" si="126"/>
        <v>165</v>
      </c>
      <c r="AH350" s="2">
        <f t="shared" si="126"/>
        <v>714</v>
      </c>
      <c r="AI350" s="25">
        <f>AI348+AI309+AI270+AI231+AI192+AI153+AI114+AI75+AI36</f>
        <v>57</v>
      </c>
      <c r="AJ350" s="124">
        <f t="shared" si="126"/>
        <v>97</v>
      </c>
      <c r="AK350" s="124">
        <f t="shared" si="126"/>
        <v>89</v>
      </c>
      <c r="AL350" s="124">
        <f t="shared" si="126"/>
        <v>82</v>
      </c>
      <c r="AM350" s="150">
        <f t="shared" si="126"/>
        <v>89</v>
      </c>
      <c r="AN350" s="2">
        <f t="shared" si="126"/>
        <v>414</v>
      </c>
      <c r="AO350" s="25">
        <f>AO348+AO309+AO270+AO231+AO192+AO153+AO114+AO75+AO36</f>
        <v>72</v>
      </c>
      <c r="AP350" s="124">
        <f t="shared" si="126"/>
        <v>88</v>
      </c>
      <c r="AQ350" s="124">
        <f t="shared" si="126"/>
        <v>68</v>
      </c>
      <c r="AR350" s="124">
        <f t="shared" si="126"/>
        <v>70</v>
      </c>
      <c r="AS350" s="150">
        <f t="shared" si="126"/>
        <v>78</v>
      </c>
      <c r="AT350" s="2">
        <f t="shared" si="126"/>
        <v>376</v>
      </c>
      <c r="AU350" s="25">
        <f>AU348+AU309+AU270+AU231+AU192+AU153+AU114+AU75+AU36</f>
        <v>49</v>
      </c>
      <c r="AV350" s="124">
        <f t="shared" si="126"/>
        <v>69</v>
      </c>
      <c r="AW350" s="124">
        <f t="shared" si="126"/>
        <v>83</v>
      </c>
      <c r="AX350" s="124">
        <f t="shared" si="126"/>
        <v>72</v>
      </c>
      <c r="AY350" s="150">
        <f t="shared" si="126"/>
        <v>80</v>
      </c>
      <c r="AZ350" s="2">
        <f t="shared" si="126"/>
        <v>353</v>
      </c>
    </row>
    <row r="351" spans="1:55" ht="14.25" thickBot="1" x14ac:dyDescent="0.2">
      <c r="AC351" s="151">
        <f t="shared" ref="AC351:AH351" si="127">AC350/$AH$350*100</f>
        <v>11.624649859943977</v>
      </c>
      <c r="AD351" s="152">
        <f t="shared" si="127"/>
        <v>21.568627450980394</v>
      </c>
      <c r="AE351" s="152">
        <f t="shared" si="127"/>
        <v>21.148459383753501</v>
      </c>
      <c r="AF351" s="152">
        <f t="shared" si="127"/>
        <v>22.549019607843139</v>
      </c>
      <c r="AG351" s="153">
        <f t="shared" si="127"/>
        <v>23.109243697478991</v>
      </c>
      <c r="AH351" s="149">
        <f t="shared" si="127"/>
        <v>100</v>
      </c>
      <c r="AI351" s="151">
        <f t="shared" ref="AI351:AN351" si="128">AI350/$AN$350*100</f>
        <v>13.768115942028986</v>
      </c>
      <c r="AJ351" s="152">
        <f t="shared" si="128"/>
        <v>23.429951690821259</v>
      </c>
      <c r="AK351" s="152">
        <f t="shared" si="128"/>
        <v>21.497584541062803</v>
      </c>
      <c r="AL351" s="152">
        <f t="shared" si="128"/>
        <v>19.806763285024154</v>
      </c>
      <c r="AM351" s="153">
        <f t="shared" si="128"/>
        <v>21.497584541062803</v>
      </c>
      <c r="AN351" s="149">
        <f t="shared" si="128"/>
        <v>100</v>
      </c>
      <c r="AO351" s="151">
        <f t="shared" ref="AO351:AT351" si="129">AO350/$AT$350*100</f>
        <v>19.148936170212767</v>
      </c>
      <c r="AP351" s="152">
        <f t="shared" si="129"/>
        <v>23.404255319148938</v>
      </c>
      <c r="AQ351" s="152">
        <f t="shared" si="129"/>
        <v>18.085106382978726</v>
      </c>
      <c r="AR351" s="152">
        <f t="shared" si="129"/>
        <v>18.617021276595743</v>
      </c>
      <c r="AS351" s="153">
        <f t="shared" si="129"/>
        <v>20.74468085106383</v>
      </c>
      <c r="AT351" s="149">
        <f t="shared" si="129"/>
        <v>100</v>
      </c>
      <c r="AU351" s="151">
        <f t="shared" ref="AU351:AZ351" si="130">AU350/$AZ$350*100</f>
        <v>13.881019830028329</v>
      </c>
      <c r="AV351" s="152">
        <f t="shared" si="130"/>
        <v>19.546742209631731</v>
      </c>
      <c r="AW351" s="152">
        <f t="shared" si="130"/>
        <v>23.512747875354105</v>
      </c>
      <c r="AX351" s="152">
        <f t="shared" si="130"/>
        <v>20.396600566572236</v>
      </c>
      <c r="AY351" s="153">
        <f t="shared" si="130"/>
        <v>22.6628895184136</v>
      </c>
      <c r="AZ351" s="149">
        <f t="shared" si="130"/>
        <v>100</v>
      </c>
    </row>
    <row r="352" spans="1:55" ht="19.5" thickBot="1" x14ac:dyDescent="0.25">
      <c r="A352" s="1" t="s">
        <v>15</v>
      </c>
      <c r="AB352" s="1" t="s">
        <v>16</v>
      </c>
    </row>
    <row r="353" spans="1:56" ht="15" thickBot="1" x14ac:dyDescent="0.2">
      <c r="A353" s="4"/>
      <c r="B353" s="245" t="s">
        <v>17</v>
      </c>
      <c r="C353" s="246"/>
      <c r="D353" s="246"/>
      <c r="E353" s="246"/>
      <c r="F353" s="246"/>
      <c r="G353" s="247"/>
      <c r="H353" s="245" t="s">
        <v>18</v>
      </c>
      <c r="I353" s="246"/>
      <c r="J353" s="246"/>
      <c r="K353" s="246"/>
      <c r="L353" s="246"/>
      <c r="M353" s="247"/>
      <c r="N353" s="248" t="s">
        <v>27</v>
      </c>
      <c r="O353" s="249"/>
      <c r="P353" s="249"/>
      <c r="Q353" s="249"/>
      <c r="R353" s="249"/>
      <c r="S353" s="250"/>
      <c r="T353" s="248" t="s">
        <v>28</v>
      </c>
      <c r="U353" s="249"/>
      <c r="V353" s="249"/>
      <c r="W353" s="249"/>
      <c r="X353" s="249"/>
      <c r="Y353" s="250"/>
      <c r="Z353" s="251" t="s">
        <v>1</v>
      </c>
      <c r="AB353" s="4"/>
      <c r="AC353" s="248" t="s">
        <v>17</v>
      </c>
      <c r="AD353" s="249"/>
      <c r="AE353" s="249"/>
      <c r="AF353" s="249"/>
      <c r="AG353" s="249"/>
      <c r="AH353" s="250"/>
      <c r="AI353" s="248" t="s">
        <v>18</v>
      </c>
      <c r="AJ353" s="249"/>
      <c r="AK353" s="249"/>
      <c r="AL353" s="249"/>
      <c r="AM353" s="249"/>
      <c r="AN353" s="250"/>
      <c r="AO353" s="248" t="s">
        <v>27</v>
      </c>
      <c r="AP353" s="249"/>
      <c r="AQ353" s="249"/>
      <c r="AR353" s="249"/>
      <c r="AS353" s="249"/>
      <c r="AT353" s="250"/>
      <c r="AU353" s="248" t="s">
        <v>28</v>
      </c>
      <c r="AV353" s="249"/>
      <c r="AW353" s="249"/>
      <c r="AX353" s="249"/>
      <c r="AY353" s="249"/>
      <c r="AZ353" s="250"/>
      <c r="BA353" s="243" t="s">
        <v>1</v>
      </c>
    </row>
    <row r="354" spans="1:56" ht="15" thickBot="1" x14ac:dyDescent="0.2">
      <c r="A354" s="9" t="s">
        <v>2</v>
      </c>
      <c r="B354" s="6" t="s">
        <v>3</v>
      </c>
      <c r="C354" s="7" t="s">
        <v>4</v>
      </c>
      <c r="D354" s="7" t="s">
        <v>5</v>
      </c>
      <c r="E354" s="48" t="s">
        <v>20</v>
      </c>
      <c r="F354" s="8" t="s">
        <v>21</v>
      </c>
      <c r="G354" s="5" t="s">
        <v>6</v>
      </c>
      <c r="H354" s="6" t="s">
        <v>3</v>
      </c>
      <c r="I354" s="7" t="s">
        <v>4</v>
      </c>
      <c r="J354" s="7" t="s">
        <v>5</v>
      </c>
      <c r="K354" s="48" t="s">
        <v>20</v>
      </c>
      <c r="L354" s="8" t="s">
        <v>21</v>
      </c>
      <c r="M354" s="5" t="s">
        <v>6</v>
      </c>
      <c r="N354" s="6" t="s">
        <v>3</v>
      </c>
      <c r="O354" s="7" t="s">
        <v>4</v>
      </c>
      <c r="P354" s="7" t="s">
        <v>5</v>
      </c>
      <c r="Q354" s="48" t="s">
        <v>20</v>
      </c>
      <c r="R354" s="8" t="s">
        <v>21</v>
      </c>
      <c r="S354" s="5" t="s">
        <v>6</v>
      </c>
      <c r="T354" s="7" t="s">
        <v>3</v>
      </c>
      <c r="U354" s="7" t="s">
        <v>4</v>
      </c>
      <c r="V354" s="7" t="s">
        <v>5</v>
      </c>
      <c r="W354" s="48" t="s">
        <v>20</v>
      </c>
      <c r="X354" s="109" t="s">
        <v>21</v>
      </c>
      <c r="Y354" s="62" t="s">
        <v>6</v>
      </c>
      <c r="Z354" s="252"/>
      <c r="AB354" s="9" t="s">
        <v>2</v>
      </c>
      <c r="AC354" s="6" t="s">
        <v>3</v>
      </c>
      <c r="AD354" s="7" t="s">
        <v>4</v>
      </c>
      <c r="AE354" s="7" t="s">
        <v>5</v>
      </c>
      <c r="AF354" s="48" t="s">
        <v>20</v>
      </c>
      <c r="AG354" s="8" t="s">
        <v>21</v>
      </c>
      <c r="AH354" s="5" t="s">
        <v>6</v>
      </c>
      <c r="AI354" s="6" t="s">
        <v>3</v>
      </c>
      <c r="AJ354" s="7" t="s">
        <v>4</v>
      </c>
      <c r="AK354" s="7" t="s">
        <v>5</v>
      </c>
      <c r="AL354" s="48" t="s">
        <v>20</v>
      </c>
      <c r="AM354" s="8" t="s">
        <v>21</v>
      </c>
      <c r="AN354" s="5" t="s">
        <v>6</v>
      </c>
      <c r="AO354" s="6" t="s">
        <v>3</v>
      </c>
      <c r="AP354" s="7" t="s">
        <v>4</v>
      </c>
      <c r="AQ354" s="7" t="s">
        <v>5</v>
      </c>
      <c r="AR354" s="48" t="s">
        <v>20</v>
      </c>
      <c r="AS354" s="8" t="s">
        <v>21</v>
      </c>
      <c r="AT354" s="5" t="s">
        <v>6</v>
      </c>
      <c r="AU354" s="7" t="s">
        <v>3</v>
      </c>
      <c r="AV354" s="7" t="s">
        <v>4</v>
      </c>
      <c r="AW354" s="7" t="s">
        <v>5</v>
      </c>
      <c r="AX354" s="48" t="s">
        <v>20</v>
      </c>
      <c r="AY354" s="109" t="s">
        <v>21</v>
      </c>
      <c r="AZ354" s="62" t="s">
        <v>6</v>
      </c>
      <c r="BA354" s="244"/>
    </row>
    <row r="355" spans="1:56" ht="14.25" x14ac:dyDescent="0.15">
      <c r="A355" s="103" t="s">
        <v>43</v>
      </c>
      <c r="B355" s="104">
        <f>B349</f>
        <v>1</v>
      </c>
      <c r="C355" s="105">
        <f>C349</f>
        <v>4</v>
      </c>
      <c r="D355" s="105">
        <f>D349</f>
        <v>3</v>
      </c>
      <c r="E355" s="105">
        <f>E349</f>
        <v>3</v>
      </c>
      <c r="F355" s="105">
        <f>F349</f>
        <v>2</v>
      </c>
      <c r="G355" s="106">
        <f t="shared" ref="G355:G386" si="131">SUM(B355:F355)</f>
        <v>13</v>
      </c>
      <c r="H355" s="104">
        <f>H349</f>
        <v>2</v>
      </c>
      <c r="I355" s="105">
        <f>I349</f>
        <v>2</v>
      </c>
      <c r="J355" s="105">
        <f>J349</f>
        <v>3</v>
      </c>
      <c r="K355" s="105">
        <f>K349</f>
        <v>4</v>
      </c>
      <c r="L355" s="105">
        <f>L349</f>
        <v>2</v>
      </c>
      <c r="M355" s="107">
        <f t="shared" ref="M355:M386" si="132">SUM(H355:L355)</f>
        <v>13</v>
      </c>
      <c r="N355" s="104">
        <f>N349</f>
        <v>2</v>
      </c>
      <c r="O355" s="105">
        <f>O349</f>
        <v>4</v>
      </c>
      <c r="P355" s="105">
        <f>P349</f>
        <v>3</v>
      </c>
      <c r="Q355" s="105">
        <f>Q349</f>
        <v>3</v>
      </c>
      <c r="R355" s="105">
        <f>R349</f>
        <v>2</v>
      </c>
      <c r="S355" s="108">
        <f t="shared" ref="S355:S384" si="133">SUM(N355:R355)</f>
        <v>14</v>
      </c>
      <c r="T355" s="104">
        <f>T349</f>
        <v>3</v>
      </c>
      <c r="U355" s="105">
        <f>U349</f>
        <v>3</v>
      </c>
      <c r="V355" s="105">
        <f>V349</f>
        <v>2</v>
      </c>
      <c r="W355" s="105">
        <f>W349</f>
        <v>3</v>
      </c>
      <c r="X355" s="105">
        <f>X349</f>
        <v>4</v>
      </c>
      <c r="Y355" s="106">
        <f t="shared" ref="Y355:Y384" si="134">SUM(T355:X355)</f>
        <v>15</v>
      </c>
      <c r="Z355" s="106">
        <f t="shared" ref="Z355:Z384" si="135">G355+M355+S355+Y355</f>
        <v>55</v>
      </c>
      <c r="AB355" s="103" t="s">
        <v>43</v>
      </c>
      <c r="AC355" s="104">
        <f>AC349</f>
        <v>127</v>
      </c>
      <c r="AD355" s="105">
        <f>AD349</f>
        <v>132</v>
      </c>
      <c r="AE355" s="105">
        <f>AE349</f>
        <v>158</v>
      </c>
      <c r="AF355" s="105">
        <f>AF349</f>
        <v>138</v>
      </c>
      <c r="AG355" s="105">
        <f>AG349</f>
        <v>123</v>
      </c>
      <c r="AH355" s="106">
        <f t="shared" ref="AH355:AH362" si="136">SUM(AC355:AG355)</f>
        <v>678</v>
      </c>
      <c r="AI355" s="104">
        <f>AI349</f>
        <v>104</v>
      </c>
      <c r="AJ355" s="105">
        <f>AJ349</f>
        <v>92</v>
      </c>
      <c r="AK355" s="105">
        <f>AK349</f>
        <v>113</v>
      </c>
      <c r="AL355" s="105">
        <f>AL349</f>
        <v>117</v>
      </c>
      <c r="AM355" s="105">
        <f>AM349</f>
        <v>113</v>
      </c>
      <c r="AN355" s="107">
        <f t="shared" ref="AN355:AN362" si="137">SUM(AI355:AM355)</f>
        <v>539</v>
      </c>
      <c r="AO355" s="104">
        <f>AO349</f>
        <v>105</v>
      </c>
      <c r="AP355" s="105">
        <f>AP349</f>
        <v>105</v>
      </c>
      <c r="AQ355" s="105">
        <f>AQ349</f>
        <v>84</v>
      </c>
      <c r="AR355" s="105">
        <f>AR349</f>
        <v>89</v>
      </c>
      <c r="AS355" s="105">
        <f>AS349</f>
        <v>55</v>
      </c>
      <c r="AT355" s="108">
        <f t="shared" ref="AT355:AT362" si="138">SUM(AO355:AS355)</f>
        <v>438</v>
      </c>
      <c r="AU355" s="104">
        <f>AU349</f>
        <v>111</v>
      </c>
      <c r="AV355" s="105">
        <f>AV349</f>
        <v>106</v>
      </c>
      <c r="AW355" s="105">
        <f>AW349</f>
        <v>90</v>
      </c>
      <c r="AX355" s="105">
        <f>AX349</f>
        <v>98</v>
      </c>
      <c r="AY355" s="105">
        <f>AY349</f>
        <v>54</v>
      </c>
      <c r="AZ355" s="106">
        <f t="shared" ref="AZ355:AZ362" si="139">SUM(AU355:AY355)</f>
        <v>459</v>
      </c>
      <c r="BA355" s="106">
        <f t="shared" ref="BA355:BA362" si="140">AH355+AN355+AT355+AZ355</f>
        <v>2114</v>
      </c>
    </row>
    <row r="356" spans="1:56" ht="14.25" x14ac:dyDescent="0.15">
      <c r="A356" s="40" t="s">
        <v>280</v>
      </c>
      <c r="B356" s="14">
        <v>1</v>
      </c>
      <c r="C356" s="15"/>
      <c r="D356" s="15"/>
      <c r="E356" s="15"/>
      <c r="F356" s="15"/>
      <c r="G356" s="16">
        <f t="shared" si="131"/>
        <v>1</v>
      </c>
      <c r="H356" s="14"/>
      <c r="I356" s="15"/>
      <c r="J356" s="15"/>
      <c r="K356" s="15"/>
      <c r="L356" s="15"/>
      <c r="M356" s="57">
        <f t="shared" si="132"/>
        <v>0</v>
      </c>
      <c r="N356" s="14">
        <v>1</v>
      </c>
      <c r="O356" s="55"/>
      <c r="P356" s="55"/>
      <c r="Q356" s="55"/>
      <c r="R356" s="67"/>
      <c r="S356" s="24">
        <f t="shared" si="133"/>
        <v>1</v>
      </c>
      <c r="T356" s="15"/>
      <c r="U356" s="55"/>
      <c r="V356" s="55"/>
      <c r="W356" s="55"/>
      <c r="X356" s="67"/>
      <c r="Y356" s="24">
        <f t="shared" si="134"/>
        <v>0</v>
      </c>
      <c r="Z356" s="24">
        <f t="shared" si="135"/>
        <v>2</v>
      </c>
      <c r="AA356" s="83">
        <v>43771</v>
      </c>
      <c r="AB356" s="10" t="s">
        <v>126</v>
      </c>
      <c r="AC356" s="14"/>
      <c r="AD356" s="15"/>
      <c r="AE356" s="15"/>
      <c r="AF356" s="15"/>
      <c r="AG356" s="15"/>
      <c r="AH356" s="16">
        <f t="shared" si="136"/>
        <v>0</v>
      </c>
      <c r="AI356" s="14"/>
      <c r="AJ356" s="15"/>
      <c r="AK356" s="15"/>
      <c r="AL356" s="15">
        <v>2</v>
      </c>
      <c r="AM356" s="15"/>
      <c r="AN356" s="57">
        <f t="shared" si="137"/>
        <v>2</v>
      </c>
      <c r="AO356" s="14"/>
      <c r="AP356" s="55"/>
      <c r="AQ356" s="55"/>
      <c r="AR356" s="55"/>
      <c r="AS356" s="67"/>
      <c r="AT356" s="24">
        <f t="shared" si="138"/>
        <v>0</v>
      </c>
      <c r="AU356" s="15"/>
      <c r="AV356" s="55"/>
      <c r="AW356" s="55"/>
      <c r="AX356" s="55"/>
      <c r="AY356" s="67">
        <v>3</v>
      </c>
      <c r="AZ356" s="24">
        <f t="shared" si="139"/>
        <v>3</v>
      </c>
      <c r="BA356" s="24">
        <f t="shared" si="140"/>
        <v>5</v>
      </c>
      <c r="BB356" s="83">
        <v>43806</v>
      </c>
    </row>
    <row r="357" spans="1:56" ht="14.25" x14ac:dyDescent="0.15">
      <c r="A357" s="10" t="s">
        <v>243</v>
      </c>
      <c r="B357" s="41">
        <v>1</v>
      </c>
      <c r="C357" s="42"/>
      <c r="D357" s="42"/>
      <c r="E357" s="42"/>
      <c r="F357" s="42"/>
      <c r="G357" s="37">
        <f t="shared" si="131"/>
        <v>1</v>
      </c>
      <c r="H357" s="41"/>
      <c r="I357" s="42"/>
      <c r="J357" s="42">
        <v>1</v>
      </c>
      <c r="K357" s="42">
        <v>1</v>
      </c>
      <c r="L357" s="42"/>
      <c r="M357" s="114">
        <f t="shared" si="132"/>
        <v>2</v>
      </c>
      <c r="N357" s="41"/>
      <c r="O357" s="53"/>
      <c r="P357" s="53">
        <v>1</v>
      </c>
      <c r="Q357" s="53"/>
      <c r="R357" s="72"/>
      <c r="S357" s="24">
        <f t="shared" si="133"/>
        <v>1</v>
      </c>
      <c r="T357" s="42">
        <v>2</v>
      </c>
      <c r="U357" s="53"/>
      <c r="V357" s="53"/>
      <c r="W357" s="53"/>
      <c r="X357" s="72">
        <v>1</v>
      </c>
      <c r="Y357" s="24">
        <f t="shared" si="134"/>
        <v>3</v>
      </c>
      <c r="Z357" s="24">
        <f t="shared" si="135"/>
        <v>7</v>
      </c>
      <c r="AA357" s="83">
        <v>43780</v>
      </c>
      <c r="AB357" s="10" t="s">
        <v>181</v>
      </c>
      <c r="AC357" s="14"/>
      <c r="AD357" s="15"/>
      <c r="AE357" s="15"/>
      <c r="AF357" s="15"/>
      <c r="AG357" s="15"/>
      <c r="AH357" s="16">
        <f>SUM(AC357:AG357)</f>
        <v>0</v>
      </c>
      <c r="AI357" s="14"/>
      <c r="AJ357" s="15"/>
      <c r="AK357" s="15"/>
      <c r="AL357" s="15"/>
      <c r="AM357" s="15"/>
      <c r="AN357" s="57">
        <f>SUM(AI357:AM357)</f>
        <v>0</v>
      </c>
      <c r="AO357" s="14"/>
      <c r="AP357" s="55"/>
      <c r="AQ357" s="55"/>
      <c r="AR357" s="55"/>
      <c r="AS357" s="67"/>
      <c r="AT357" s="24">
        <f>SUM(AO357:AS357)</f>
        <v>0</v>
      </c>
      <c r="AU357" s="15"/>
      <c r="AV357" s="55"/>
      <c r="AW357" s="55"/>
      <c r="AX357" s="55"/>
      <c r="AY357" s="67"/>
      <c r="AZ357" s="24">
        <f>SUM(AU357:AY357)</f>
        <v>0</v>
      </c>
      <c r="BA357" s="24">
        <f t="shared" si="140"/>
        <v>0</v>
      </c>
      <c r="BB357" s="83"/>
    </row>
    <row r="358" spans="1:56" ht="14.25" x14ac:dyDescent="0.15">
      <c r="A358" s="10" t="s">
        <v>77</v>
      </c>
      <c r="B358" s="14">
        <v>1</v>
      </c>
      <c r="C358" s="15"/>
      <c r="D358" s="15">
        <v>1</v>
      </c>
      <c r="E358" s="15"/>
      <c r="F358" s="15"/>
      <c r="G358" s="16">
        <f t="shared" si="131"/>
        <v>2</v>
      </c>
      <c r="H358" s="14"/>
      <c r="I358" s="15"/>
      <c r="J358" s="15"/>
      <c r="K358" s="15"/>
      <c r="L358" s="15"/>
      <c r="M358" s="57">
        <f t="shared" si="132"/>
        <v>0</v>
      </c>
      <c r="N358" s="14"/>
      <c r="O358" s="55"/>
      <c r="P358" s="55"/>
      <c r="Q358" s="55"/>
      <c r="R358" s="67"/>
      <c r="S358" s="24">
        <f t="shared" si="133"/>
        <v>0</v>
      </c>
      <c r="T358" s="15"/>
      <c r="U358" s="55"/>
      <c r="V358" s="55"/>
      <c r="W358" s="55"/>
      <c r="X358" s="67"/>
      <c r="Y358" s="24">
        <f t="shared" si="134"/>
        <v>0</v>
      </c>
      <c r="Z358" s="24">
        <f t="shared" si="135"/>
        <v>2</v>
      </c>
      <c r="AA358" s="93">
        <v>43781</v>
      </c>
      <c r="AB358" s="10" t="s">
        <v>181</v>
      </c>
      <c r="AC358" s="14"/>
      <c r="AD358" s="15"/>
      <c r="AE358" s="15"/>
      <c r="AF358" s="15"/>
      <c r="AG358" s="15"/>
      <c r="AH358" s="16">
        <f t="shared" si="136"/>
        <v>0</v>
      </c>
      <c r="AI358" s="14"/>
      <c r="AJ358" s="15"/>
      <c r="AK358" s="15"/>
      <c r="AL358" s="15"/>
      <c r="AM358" s="15"/>
      <c r="AN358" s="57">
        <f t="shared" si="137"/>
        <v>0</v>
      </c>
      <c r="AO358" s="14"/>
      <c r="AP358" s="55"/>
      <c r="AQ358" s="55"/>
      <c r="AR358" s="55"/>
      <c r="AS358" s="67"/>
      <c r="AT358" s="24">
        <f t="shared" si="138"/>
        <v>0</v>
      </c>
      <c r="AU358" s="15"/>
      <c r="AV358" s="55"/>
      <c r="AW358" s="55"/>
      <c r="AX358" s="55"/>
      <c r="AY358" s="67"/>
      <c r="AZ358" s="24">
        <f t="shared" si="139"/>
        <v>0</v>
      </c>
      <c r="BA358" s="24">
        <f t="shared" si="140"/>
        <v>0</v>
      </c>
      <c r="BB358" s="128"/>
    </row>
    <row r="359" spans="1:56" ht="15" thickBot="1" x14ac:dyDescent="0.2">
      <c r="A359" s="10" t="s">
        <v>77</v>
      </c>
      <c r="B359" s="14">
        <v>1</v>
      </c>
      <c r="C359" s="15">
        <v>1</v>
      </c>
      <c r="D359" s="15"/>
      <c r="E359" s="15"/>
      <c r="F359" s="15">
        <v>1</v>
      </c>
      <c r="G359" s="16">
        <f t="shared" si="131"/>
        <v>3</v>
      </c>
      <c r="H359" s="14">
        <v>1</v>
      </c>
      <c r="I359" s="15"/>
      <c r="J359" s="15"/>
      <c r="K359" s="15"/>
      <c r="L359" s="15"/>
      <c r="M359" s="57">
        <f t="shared" si="132"/>
        <v>1</v>
      </c>
      <c r="N359" s="63"/>
      <c r="O359" s="64"/>
      <c r="P359" s="64"/>
      <c r="Q359" s="64"/>
      <c r="R359" s="69"/>
      <c r="S359" s="82">
        <f t="shared" si="133"/>
        <v>0</v>
      </c>
      <c r="T359" s="73"/>
      <c r="U359" s="64"/>
      <c r="V359" s="64"/>
      <c r="W359" s="64"/>
      <c r="X359" s="69"/>
      <c r="Y359" s="82">
        <f t="shared" si="134"/>
        <v>0</v>
      </c>
      <c r="Z359" s="82">
        <f t="shared" si="135"/>
        <v>4</v>
      </c>
      <c r="AA359" s="93">
        <v>43782</v>
      </c>
      <c r="AB359" s="10" t="s">
        <v>11</v>
      </c>
      <c r="AC359" s="14"/>
      <c r="AD359" s="15"/>
      <c r="AE359" s="15"/>
      <c r="AF359" s="15"/>
      <c r="AG359" s="15"/>
      <c r="AH359" s="16">
        <f t="shared" si="136"/>
        <v>0</v>
      </c>
      <c r="AI359" s="14"/>
      <c r="AJ359" s="15"/>
      <c r="AK359" s="15"/>
      <c r="AL359" s="15"/>
      <c r="AM359" s="15"/>
      <c r="AN359" s="57">
        <f t="shared" si="137"/>
        <v>0</v>
      </c>
      <c r="AO359" s="63"/>
      <c r="AP359" s="64"/>
      <c r="AQ359" s="64"/>
      <c r="AR359" s="64"/>
      <c r="AS359" s="69"/>
      <c r="AT359" s="82">
        <f t="shared" si="138"/>
        <v>0</v>
      </c>
      <c r="AU359" s="73"/>
      <c r="AV359" s="64"/>
      <c r="AW359" s="64"/>
      <c r="AX359" s="64"/>
      <c r="AY359" s="69"/>
      <c r="AZ359" s="82">
        <f t="shared" si="139"/>
        <v>0</v>
      </c>
      <c r="BA359" s="82">
        <f t="shared" si="140"/>
        <v>0</v>
      </c>
      <c r="BB359" s="128"/>
    </row>
    <row r="360" spans="1:56" ht="15" thickBot="1" x14ac:dyDescent="0.2">
      <c r="A360" s="4" t="s">
        <v>12</v>
      </c>
      <c r="B360" s="17">
        <f>SUM(B355:B359)</f>
        <v>5</v>
      </c>
      <c r="C360" s="18">
        <f>SUM(C355:C359)</f>
        <v>5</v>
      </c>
      <c r="D360" s="18">
        <f>SUM(D355:D359)</f>
        <v>4</v>
      </c>
      <c r="E360" s="18">
        <f>SUM(E355:E359)</f>
        <v>3</v>
      </c>
      <c r="F360" s="18">
        <f>SUM(F355:F359)</f>
        <v>3</v>
      </c>
      <c r="G360" s="19">
        <f t="shared" si="131"/>
        <v>20</v>
      </c>
      <c r="H360" s="17">
        <f>SUM(H355:H359)</f>
        <v>3</v>
      </c>
      <c r="I360" s="18">
        <f>SUM(I355:I359)</f>
        <v>2</v>
      </c>
      <c r="J360" s="18">
        <f>SUM(J355:J359)</f>
        <v>4</v>
      </c>
      <c r="K360" s="18">
        <f>SUM(K355:K359)</f>
        <v>5</v>
      </c>
      <c r="L360" s="18">
        <f>SUM(L355:L359)</f>
        <v>2</v>
      </c>
      <c r="M360" s="25">
        <f t="shared" si="132"/>
        <v>16</v>
      </c>
      <c r="N360" s="65">
        <f>SUM(N355:N359)</f>
        <v>3</v>
      </c>
      <c r="O360" s="18">
        <f>SUM(O355:O359)</f>
        <v>4</v>
      </c>
      <c r="P360" s="18">
        <f>SUM(P355:P359)</f>
        <v>4</v>
      </c>
      <c r="Q360" s="18">
        <f>SUM(Q355:Q359)</f>
        <v>3</v>
      </c>
      <c r="R360" s="70">
        <f>SUM(R355:R359)</f>
        <v>2</v>
      </c>
      <c r="S360" s="49">
        <f t="shared" si="133"/>
        <v>16</v>
      </c>
      <c r="T360" s="74">
        <f>SUM(T355:T359)</f>
        <v>5</v>
      </c>
      <c r="U360" s="18">
        <f>SUM(U355:U359)</f>
        <v>3</v>
      </c>
      <c r="V360" s="18">
        <f>SUM(V355:V359)</f>
        <v>2</v>
      </c>
      <c r="W360" s="18">
        <f>SUM(W355:W359)</f>
        <v>3</v>
      </c>
      <c r="X360" s="70">
        <f>SUM(X355:X359)</f>
        <v>5</v>
      </c>
      <c r="Y360" s="49">
        <f t="shared" si="134"/>
        <v>18</v>
      </c>
      <c r="Z360" s="33">
        <f t="shared" si="135"/>
        <v>70</v>
      </c>
      <c r="AB360" s="4" t="s">
        <v>12</v>
      </c>
      <c r="AC360" s="17">
        <f>SUM(AC355:AC359)</f>
        <v>127</v>
      </c>
      <c r="AD360" s="18">
        <f>SUM(AD355:AD359)</f>
        <v>132</v>
      </c>
      <c r="AE360" s="18">
        <f>SUM(AE355:AE359)</f>
        <v>158</v>
      </c>
      <c r="AF360" s="18">
        <f>SUM(AF355:AF359)</f>
        <v>138</v>
      </c>
      <c r="AG360" s="18">
        <f>SUM(AG355:AG359)</f>
        <v>123</v>
      </c>
      <c r="AH360" s="148">
        <f t="shared" si="136"/>
        <v>678</v>
      </c>
      <c r="AI360" s="17">
        <f>SUM(AI355:AI359)</f>
        <v>104</v>
      </c>
      <c r="AJ360" s="18">
        <f>SUM(AJ355:AJ359)</f>
        <v>92</v>
      </c>
      <c r="AK360" s="18">
        <f>SUM(AK355:AK359)</f>
        <v>113</v>
      </c>
      <c r="AL360" s="18">
        <f>SUM(AL355:AL359)</f>
        <v>119</v>
      </c>
      <c r="AM360" s="18">
        <f>SUM(AM355:AM359)</f>
        <v>113</v>
      </c>
      <c r="AN360" s="148">
        <f t="shared" si="137"/>
        <v>541</v>
      </c>
      <c r="AO360" s="65">
        <f>SUM(AO355:AO359)</f>
        <v>105</v>
      </c>
      <c r="AP360" s="18">
        <f>SUM(AP355:AP359)</f>
        <v>105</v>
      </c>
      <c r="AQ360" s="18">
        <f>SUM(AQ355:AQ359)</f>
        <v>84</v>
      </c>
      <c r="AR360" s="18">
        <f>SUM(AR355:AR359)</f>
        <v>89</v>
      </c>
      <c r="AS360" s="70">
        <f>SUM(AS355:AS359)</f>
        <v>55</v>
      </c>
      <c r="AT360" s="49">
        <f t="shared" si="138"/>
        <v>438</v>
      </c>
      <c r="AU360" s="74">
        <f>SUM(AU355:AU359)</f>
        <v>111</v>
      </c>
      <c r="AV360" s="18">
        <f>SUM(AV355:AV359)</f>
        <v>106</v>
      </c>
      <c r="AW360" s="18">
        <f>SUM(AW355:AW359)</f>
        <v>90</v>
      </c>
      <c r="AX360" s="18">
        <f>SUM(AX355:AX359)</f>
        <v>98</v>
      </c>
      <c r="AY360" s="70">
        <f>SUM(AY355:AY359)</f>
        <v>57</v>
      </c>
      <c r="AZ360" s="49">
        <f t="shared" si="139"/>
        <v>462</v>
      </c>
      <c r="BA360" s="33">
        <f t="shared" si="140"/>
        <v>2119</v>
      </c>
    </row>
    <row r="361" spans="1:56" ht="14.25" x14ac:dyDescent="0.15">
      <c r="A361" s="40" t="s">
        <v>235</v>
      </c>
      <c r="B361" s="34"/>
      <c r="C361" s="35">
        <v>1</v>
      </c>
      <c r="D361" s="35"/>
      <c r="E361" s="35"/>
      <c r="F361" s="35"/>
      <c r="G361" s="36">
        <f t="shared" si="131"/>
        <v>1</v>
      </c>
      <c r="H361" s="34"/>
      <c r="I361" s="35"/>
      <c r="J361" s="35"/>
      <c r="K361" s="35"/>
      <c r="L361" s="35"/>
      <c r="M361" s="36">
        <f t="shared" si="132"/>
        <v>0</v>
      </c>
      <c r="N361" s="39"/>
      <c r="O361" s="56"/>
      <c r="P361" s="56"/>
      <c r="Q361" s="56"/>
      <c r="R361" s="71"/>
      <c r="S361" s="16">
        <f t="shared" si="133"/>
        <v>0</v>
      </c>
      <c r="T361" s="39"/>
      <c r="U361" s="56"/>
      <c r="V361" s="56"/>
      <c r="W361" s="56"/>
      <c r="X361" s="71"/>
      <c r="Y361" s="16">
        <f t="shared" si="134"/>
        <v>0</v>
      </c>
      <c r="Z361" s="16">
        <f t="shared" si="135"/>
        <v>1</v>
      </c>
      <c r="AA361" s="83">
        <v>43768</v>
      </c>
      <c r="AB361" s="21" t="s">
        <v>238</v>
      </c>
      <c r="AC361" s="14">
        <v>1</v>
      </c>
      <c r="AD361" s="15"/>
      <c r="AE361" s="15"/>
      <c r="AF361" s="15"/>
      <c r="AG361" s="15"/>
      <c r="AH361" s="24">
        <f t="shared" si="136"/>
        <v>1</v>
      </c>
      <c r="AI361" s="14"/>
      <c r="AJ361" s="15"/>
      <c r="AK361" s="15"/>
      <c r="AL361" s="15"/>
      <c r="AM361" s="15"/>
      <c r="AN361" s="24">
        <f t="shared" si="137"/>
        <v>0</v>
      </c>
      <c r="AO361" s="15"/>
      <c r="AP361" s="55"/>
      <c r="AQ361" s="55"/>
      <c r="AR361" s="55"/>
      <c r="AS361" s="67"/>
      <c r="AT361" s="24">
        <f t="shared" si="138"/>
        <v>0</v>
      </c>
      <c r="AU361" s="15"/>
      <c r="AV361" s="55"/>
      <c r="AW361" s="55"/>
      <c r="AX361" s="55"/>
      <c r="AY361" s="67"/>
      <c r="AZ361" s="24">
        <f t="shared" si="139"/>
        <v>0</v>
      </c>
      <c r="BA361" s="24">
        <f t="shared" si="140"/>
        <v>1</v>
      </c>
      <c r="BB361" s="83">
        <v>43778</v>
      </c>
      <c r="BC361" s="111"/>
      <c r="BD361" s="111"/>
    </row>
    <row r="362" spans="1:56" ht="14.25" x14ac:dyDescent="0.15">
      <c r="A362" s="23" t="s">
        <v>47</v>
      </c>
      <c r="B362" s="41">
        <v>1</v>
      </c>
      <c r="C362" s="42"/>
      <c r="D362" s="42"/>
      <c r="E362" s="42"/>
      <c r="F362" s="42"/>
      <c r="G362" s="43">
        <f t="shared" si="131"/>
        <v>1</v>
      </c>
      <c r="H362" s="41"/>
      <c r="I362" s="42"/>
      <c r="J362" s="42"/>
      <c r="K362" s="42"/>
      <c r="L362" s="42"/>
      <c r="M362" s="43">
        <f t="shared" si="132"/>
        <v>0</v>
      </c>
      <c r="N362" s="42"/>
      <c r="O362" s="53"/>
      <c r="P362" s="53"/>
      <c r="Q362" s="53"/>
      <c r="R362" s="72"/>
      <c r="S362" s="24">
        <f t="shared" si="133"/>
        <v>0</v>
      </c>
      <c r="T362" s="42"/>
      <c r="U362" s="53"/>
      <c r="V362" s="53"/>
      <c r="W362" s="53"/>
      <c r="X362" s="72"/>
      <c r="Y362" s="24">
        <f t="shared" si="134"/>
        <v>0</v>
      </c>
      <c r="Z362" s="24">
        <f t="shared" si="135"/>
        <v>1</v>
      </c>
      <c r="AA362" s="83">
        <v>43775</v>
      </c>
      <c r="AB362" s="21" t="s">
        <v>29</v>
      </c>
      <c r="AC362" s="14"/>
      <c r="AD362" s="15"/>
      <c r="AE362" s="15"/>
      <c r="AF362" s="15"/>
      <c r="AG362" s="15"/>
      <c r="AH362" s="24">
        <f t="shared" si="136"/>
        <v>0</v>
      </c>
      <c r="AI362" s="14"/>
      <c r="AJ362" s="15"/>
      <c r="AK362" s="15"/>
      <c r="AL362" s="15"/>
      <c r="AM362" s="15">
        <v>5</v>
      </c>
      <c r="AN362" s="24">
        <f t="shared" si="137"/>
        <v>5</v>
      </c>
      <c r="AO362" s="15"/>
      <c r="AP362" s="55"/>
      <c r="AQ362" s="55"/>
      <c r="AR362" s="55"/>
      <c r="AS362" s="67"/>
      <c r="AT362" s="24">
        <f t="shared" si="138"/>
        <v>0</v>
      </c>
      <c r="AU362" s="15"/>
      <c r="AV362" s="55"/>
      <c r="AW362" s="55"/>
      <c r="AX362" s="55"/>
      <c r="AY362" s="67"/>
      <c r="AZ362" s="24">
        <f t="shared" si="139"/>
        <v>0</v>
      </c>
      <c r="BA362" s="24">
        <f t="shared" si="140"/>
        <v>5</v>
      </c>
      <c r="BB362" s="83">
        <v>43784</v>
      </c>
      <c r="BC362" s="111"/>
      <c r="BD362" s="111"/>
    </row>
    <row r="363" spans="1:56" ht="14.25" x14ac:dyDescent="0.15">
      <c r="A363" s="94" t="s">
        <v>236</v>
      </c>
      <c r="B363" s="41"/>
      <c r="C363" s="42"/>
      <c r="D363" s="42"/>
      <c r="E363" s="42"/>
      <c r="F363" s="42"/>
      <c r="G363" s="43">
        <f t="shared" si="131"/>
        <v>0</v>
      </c>
      <c r="H363" s="41"/>
      <c r="I363" s="42"/>
      <c r="J363" s="42"/>
      <c r="K363" s="42"/>
      <c r="L363" s="42"/>
      <c r="M363" s="43">
        <f t="shared" si="132"/>
        <v>0</v>
      </c>
      <c r="N363" s="42"/>
      <c r="O363" s="53">
        <v>1</v>
      </c>
      <c r="P363" s="53"/>
      <c r="Q363" s="53"/>
      <c r="R363" s="72"/>
      <c r="S363" s="24">
        <f t="shared" si="133"/>
        <v>1</v>
      </c>
      <c r="T363" s="42"/>
      <c r="U363" s="53">
        <v>1</v>
      </c>
      <c r="V363" s="53"/>
      <c r="W363" s="53"/>
      <c r="X363" s="72"/>
      <c r="Y363" s="24">
        <f t="shared" si="134"/>
        <v>1</v>
      </c>
      <c r="Z363" s="24">
        <f t="shared" si="135"/>
        <v>2</v>
      </c>
      <c r="AA363" s="83">
        <v>43776</v>
      </c>
      <c r="AB363" s="23" t="s">
        <v>246</v>
      </c>
      <c r="AC363" s="41"/>
      <c r="AD363" s="42"/>
      <c r="AE363" s="42"/>
      <c r="AF363" s="42"/>
      <c r="AG363" s="42"/>
      <c r="AH363" s="43">
        <f t="shared" ref="AH363:AH380" si="141">SUM(AC363:AG363)</f>
        <v>0</v>
      </c>
      <c r="AI363" s="41"/>
      <c r="AJ363" s="42"/>
      <c r="AK363" s="42"/>
      <c r="AL363" s="42"/>
      <c r="AM363" s="42"/>
      <c r="AN363" s="43">
        <f t="shared" ref="AN363:AN380" si="142">SUM(AI363:AM363)</f>
        <v>0</v>
      </c>
      <c r="AO363" s="42">
        <v>1</v>
      </c>
      <c r="AP363" s="53">
        <v>7</v>
      </c>
      <c r="AQ363" s="53">
        <v>6</v>
      </c>
      <c r="AR363" s="53">
        <v>2</v>
      </c>
      <c r="AS363" s="72">
        <v>4</v>
      </c>
      <c r="AT363" s="24">
        <f t="shared" ref="AT363:AT380" si="143">SUM(AO363:AS363)</f>
        <v>20</v>
      </c>
      <c r="AU363" s="42">
        <v>1</v>
      </c>
      <c r="AV363" s="53">
        <v>4</v>
      </c>
      <c r="AW363" s="53">
        <v>7</v>
      </c>
      <c r="AX363" s="53">
        <v>1</v>
      </c>
      <c r="AY363" s="72">
        <v>4</v>
      </c>
      <c r="AZ363" s="24">
        <f t="shared" ref="AZ363:AZ380" si="144">SUM(AU363:AY363)</f>
        <v>17</v>
      </c>
      <c r="BA363" s="24">
        <f t="shared" ref="BA363:BA380" si="145">AH363+AN363+AT363+AZ363</f>
        <v>37</v>
      </c>
      <c r="BB363" s="83">
        <v>43784</v>
      </c>
      <c r="BC363" s="111"/>
      <c r="BD363" s="111"/>
    </row>
    <row r="364" spans="1:56" ht="14.25" x14ac:dyDescent="0.15">
      <c r="A364" s="40" t="s">
        <v>124</v>
      </c>
      <c r="B364" s="41"/>
      <c r="C364" s="42"/>
      <c r="D364" s="42">
        <v>1</v>
      </c>
      <c r="E364" s="42"/>
      <c r="F364" s="42"/>
      <c r="G364" s="43">
        <f t="shared" si="131"/>
        <v>1</v>
      </c>
      <c r="H364" s="41"/>
      <c r="I364" s="42"/>
      <c r="J364" s="42"/>
      <c r="K364" s="42"/>
      <c r="L364" s="42"/>
      <c r="M364" s="43">
        <f t="shared" si="132"/>
        <v>0</v>
      </c>
      <c r="N364" s="42"/>
      <c r="O364" s="53"/>
      <c r="P364" s="53"/>
      <c r="Q364" s="53"/>
      <c r="R364" s="72"/>
      <c r="S364" s="24">
        <f t="shared" si="133"/>
        <v>0</v>
      </c>
      <c r="T364" s="42"/>
      <c r="U364" s="53"/>
      <c r="V364" s="53"/>
      <c r="W364" s="53"/>
      <c r="X364" s="72"/>
      <c r="Y364" s="24">
        <f t="shared" si="134"/>
        <v>0</v>
      </c>
      <c r="Z364" s="24">
        <f t="shared" si="135"/>
        <v>1</v>
      </c>
      <c r="AA364" s="83">
        <v>43782</v>
      </c>
      <c r="AB364" s="21" t="s">
        <v>29</v>
      </c>
      <c r="AC364" s="41"/>
      <c r="AD364" s="42"/>
      <c r="AE364" s="42"/>
      <c r="AF364" s="42">
        <v>5</v>
      </c>
      <c r="AG364" s="42">
        <v>5</v>
      </c>
      <c r="AH364" s="43">
        <f t="shared" si="141"/>
        <v>10</v>
      </c>
      <c r="AI364" s="41"/>
      <c r="AJ364" s="42"/>
      <c r="AK364" s="42"/>
      <c r="AL364" s="42"/>
      <c r="AM364" s="42"/>
      <c r="AN364" s="43">
        <f t="shared" si="142"/>
        <v>0</v>
      </c>
      <c r="AO364" s="42"/>
      <c r="AP364" s="53"/>
      <c r="AQ364" s="53"/>
      <c r="AR364" s="53"/>
      <c r="AS364" s="72"/>
      <c r="AT364" s="43">
        <f t="shared" si="143"/>
        <v>0</v>
      </c>
      <c r="AU364" s="42"/>
      <c r="AV364" s="53"/>
      <c r="AW364" s="53"/>
      <c r="AX364" s="53"/>
      <c r="AY364" s="72"/>
      <c r="AZ364" s="43">
        <f t="shared" si="144"/>
        <v>0</v>
      </c>
      <c r="BA364" s="43">
        <f t="shared" si="145"/>
        <v>10</v>
      </c>
      <c r="BB364" s="83">
        <v>43797</v>
      </c>
      <c r="BC364" s="111"/>
      <c r="BD364" s="111"/>
    </row>
    <row r="365" spans="1:56" ht="14.25" x14ac:dyDescent="0.15">
      <c r="A365" s="40" t="s">
        <v>248</v>
      </c>
      <c r="B365" s="41">
        <v>-1</v>
      </c>
      <c r="C365" s="42"/>
      <c r="D365" s="42"/>
      <c r="E365" s="42"/>
      <c r="F365" s="42"/>
      <c r="G365" s="43">
        <f t="shared" si="131"/>
        <v>-1</v>
      </c>
      <c r="H365" s="41"/>
      <c r="I365" s="42"/>
      <c r="J365" s="42"/>
      <c r="K365" s="42"/>
      <c r="L365" s="42">
        <v>-1</v>
      </c>
      <c r="M365" s="43">
        <f t="shared" si="132"/>
        <v>-1</v>
      </c>
      <c r="N365" s="42"/>
      <c r="O365" s="53">
        <v>-1</v>
      </c>
      <c r="P365" s="53"/>
      <c r="Q365" s="53">
        <v>-1</v>
      </c>
      <c r="R365" s="72"/>
      <c r="S365" s="24">
        <f t="shared" si="133"/>
        <v>-2</v>
      </c>
      <c r="T365" s="42"/>
      <c r="U365" s="53"/>
      <c r="V365" s="53">
        <v>-1</v>
      </c>
      <c r="W365" s="53"/>
      <c r="X365" s="72"/>
      <c r="Y365" s="24">
        <f t="shared" si="134"/>
        <v>-1</v>
      </c>
      <c r="Z365" s="24">
        <f t="shared" si="135"/>
        <v>-5</v>
      </c>
      <c r="AA365" s="93">
        <v>43796</v>
      </c>
      <c r="AB365" s="23" t="s">
        <v>247</v>
      </c>
      <c r="AC365" s="41"/>
      <c r="AD365" s="42"/>
      <c r="AE365" s="42"/>
      <c r="AF365" s="42"/>
      <c r="AG365" s="42">
        <v>2</v>
      </c>
      <c r="AH365" s="43">
        <f t="shared" si="141"/>
        <v>2</v>
      </c>
      <c r="AI365" s="41"/>
      <c r="AJ365" s="42"/>
      <c r="AK365" s="42"/>
      <c r="AL365" s="42"/>
      <c r="AM365" s="42"/>
      <c r="AN365" s="43">
        <f t="shared" si="142"/>
        <v>0</v>
      </c>
      <c r="AO365" s="42"/>
      <c r="AP365" s="53"/>
      <c r="AQ365" s="53"/>
      <c r="AR365" s="53"/>
      <c r="AS365" s="72"/>
      <c r="AT365" s="24">
        <f t="shared" si="143"/>
        <v>0</v>
      </c>
      <c r="AU365" s="42"/>
      <c r="AV365" s="53"/>
      <c r="AW365" s="53"/>
      <c r="AX365" s="53"/>
      <c r="AY365" s="72"/>
      <c r="AZ365" s="24">
        <f t="shared" si="144"/>
        <v>0</v>
      </c>
      <c r="BA365" s="24">
        <f t="shared" si="145"/>
        <v>2</v>
      </c>
      <c r="BB365" s="83">
        <v>43797</v>
      </c>
      <c r="BC365" s="111"/>
      <c r="BD365" s="111"/>
    </row>
    <row r="366" spans="1:56" ht="14.25" x14ac:dyDescent="0.15">
      <c r="A366" s="40" t="s">
        <v>214</v>
      </c>
      <c r="B366" s="41"/>
      <c r="C366" s="42"/>
      <c r="D366" s="42"/>
      <c r="E366" s="42"/>
      <c r="F366" s="42"/>
      <c r="G366" s="43">
        <f t="shared" si="131"/>
        <v>0</v>
      </c>
      <c r="H366" s="41"/>
      <c r="I366" s="42"/>
      <c r="J366" s="42"/>
      <c r="K366" s="42"/>
      <c r="L366" s="42"/>
      <c r="M366" s="43">
        <f t="shared" si="132"/>
        <v>0</v>
      </c>
      <c r="N366" s="42">
        <v>1</v>
      </c>
      <c r="O366" s="53"/>
      <c r="P366" s="53">
        <v>-1</v>
      </c>
      <c r="Q366" s="53"/>
      <c r="R366" s="72"/>
      <c r="S366" s="24">
        <f t="shared" si="133"/>
        <v>0</v>
      </c>
      <c r="T366" s="42"/>
      <c r="U366" s="53"/>
      <c r="V366" s="53"/>
      <c r="W366" s="53"/>
      <c r="X366" s="72"/>
      <c r="Y366" s="24">
        <f t="shared" si="134"/>
        <v>0</v>
      </c>
      <c r="Z366" s="24">
        <f t="shared" si="135"/>
        <v>0</v>
      </c>
      <c r="AA366" s="83">
        <v>43804</v>
      </c>
      <c r="AB366" s="21" t="s">
        <v>29</v>
      </c>
      <c r="AC366" s="41"/>
      <c r="AD366" s="42"/>
      <c r="AE366" s="42"/>
      <c r="AF366" s="42"/>
      <c r="AG366" s="42"/>
      <c r="AH366" s="43">
        <f t="shared" si="141"/>
        <v>0</v>
      </c>
      <c r="AI366" s="41"/>
      <c r="AJ366" s="42"/>
      <c r="AK366" s="42">
        <v>5</v>
      </c>
      <c r="AL366" s="42"/>
      <c r="AM366" s="42"/>
      <c r="AN366" s="43">
        <f t="shared" si="142"/>
        <v>5</v>
      </c>
      <c r="AO366" s="42"/>
      <c r="AP366" s="53"/>
      <c r="AQ366" s="53"/>
      <c r="AR366" s="53"/>
      <c r="AS366" s="72"/>
      <c r="AT366" s="24">
        <f t="shared" si="143"/>
        <v>0</v>
      </c>
      <c r="AU366" s="42"/>
      <c r="AV366" s="53"/>
      <c r="AW366" s="53"/>
      <c r="AX366" s="53"/>
      <c r="AY366" s="72"/>
      <c r="AZ366" s="24">
        <f t="shared" si="144"/>
        <v>0</v>
      </c>
      <c r="BA366" s="24">
        <f t="shared" si="145"/>
        <v>5</v>
      </c>
      <c r="BB366" s="83">
        <v>43804</v>
      </c>
      <c r="BC366" s="111"/>
      <c r="BD366" s="111"/>
    </row>
    <row r="367" spans="1:56" x14ac:dyDescent="0.15">
      <c r="A367" s="40" t="s">
        <v>250</v>
      </c>
      <c r="B367" s="41"/>
      <c r="C367" s="42"/>
      <c r="D367" s="42"/>
      <c r="E367" s="42"/>
      <c r="F367" s="42"/>
      <c r="G367" s="43">
        <f t="shared" si="131"/>
        <v>0</v>
      </c>
      <c r="H367" s="41"/>
      <c r="I367" s="42"/>
      <c r="J367" s="42"/>
      <c r="K367" s="42"/>
      <c r="L367" s="42">
        <v>1</v>
      </c>
      <c r="M367" s="43">
        <f t="shared" si="132"/>
        <v>1</v>
      </c>
      <c r="N367" s="42"/>
      <c r="O367" s="53"/>
      <c r="P367" s="53"/>
      <c r="Q367" s="53"/>
      <c r="R367" s="72"/>
      <c r="S367" s="24">
        <f t="shared" si="133"/>
        <v>0</v>
      </c>
      <c r="T367" s="42"/>
      <c r="U367" s="53"/>
      <c r="V367" s="53"/>
      <c r="W367" s="53"/>
      <c r="X367" s="72"/>
      <c r="Y367" s="24">
        <f t="shared" si="134"/>
        <v>0</v>
      </c>
      <c r="Z367" s="24">
        <f t="shared" si="135"/>
        <v>1</v>
      </c>
      <c r="AA367" s="83">
        <v>43803</v>
      </c>
      <c r="AB367" s="47" t="s">
        <v>268</v>
      </c>
      <c r="AC367" s="44">
        <v>10</v>
      </c>
      <c r="AD367" s="45">
        <v>10</v>
      </c>
      <c r="AE367" s="45">
        <v>7</v>
      </c>
      <c r="AF367" s="45">
        <v>7</v>
      </c>
      <c r="AG367" s="45">
        <v>7</v>
      </c>
      <c r="AH367" s="43">
        <f t="shared" si="141"/>
        <v>41</v>
      </c>
      <c r="AI367" s="44"/>
      <c r="AJ367" s="45"/>
      <c r="AK367" s="45"/>
      <c r="AL367" s="45"/>
      <c r="AM367" s="45"/>
      <c r="AN367" s="43">
        <f t="shared" si="142"/>
        <v>0</v>
      </c>
      <c r="AO367" s="45"/>
      <c r="AP367" s="78"/>
      <c r="AQ367" s="78"/>
      <c r="AR367" s="78"/>
      <c r="AS367" s="79"/>
      <c r="AT367" s="113">
        <f>SUM(AO367:AS367)</f>
        <v>0</v>
      </c>
      <c r="AU367" s="45"/>
      <c r="AV367" s="78"/>
      <c r="AW367" s="78"/>
      <c r="AX367" s="78"/>
      <c r="AY367" s="79"/>
      <c r="AZ367" s="113">
        <f>SUM(AU367:AY367)</f>
        <v>0</v>
      </c>
      <c r="BA367" s="24">
        <f>AH367+AN367+AT367+AZ367</f>
        <v>41</v>
      </c>
      <c r="BB367" s="83">
        <v>43812</v>
      </c>
    </row>
    <row r="368" spans="1:56" ht="14.25" x14ac:dyDescent="0.15">
      <c r="A368" s="40" t="s">
        <v>251</v>
      </c>
      <c r="B368" s="41"/>
      <c r="C368" s="42"/>
      <c r="D368" s="42"/>
      <c r="E368" s="42"/>
      <c r="F368" s="42"/>
      <c r="G368" s="43">
        <f t="shared" si="131"/>
        <v>0</v>
      </c>
      <c r="H368" s="41"/>
      <c r="I368" s="42"/>
      <c r="J368" s="42"/>
      <c r="K368" s="42">
        <v>2</v>
      </c>
      <c r="L368" s="42"/>
      <c r="M368" s="43">
        <f t="shared" si="132"/>
        <v>2</v>
      </c>
      <c r="N368" s="42"/>
      <c r="O368" s="53"/>
      <c r="P368" s="53"/>
      <c r="Q368" s="53"/>
      <c r="R368" s="72"/>
      <c r="S368" s="24">
        <f t="shared" si="133"/>
        <v>0</v>
      </c>
      <c r="T368" s="42"/>
      <c r="U368" s="53"/>
      <c r="V368" s="53"/>
      <c r="W368" s="53"/>
      <c r="X368" s="72">
        <v>3</v>
      </c>
      <c r="Y368" s="24">
        <f t="shared" si="134"/>
        <v>3</v>
      </c>
      <c r="Z368" s="24">
        <f t="shared" si="135"/>
        <v>5</v>
      </c>
      <c r="AA368" s="93">
        <v>43806</v>
      </c>
      <c r="AB368" s="23" t="s">
        <v>266</v>
      </c>
      <c r="AC368" s="41"/>
      <c r="AD368" s="42"/>
      <c r="AE368" s="42"/>
      <c r="AF368" s="42"/>
      <c r="AG368" s="42"/>
      <c r="AH368" s="43">
        <f t="shared" si="141"/>
        <v>0</v>
      </c>
      <c r="AI368" s="41"/>
      <c r="AJ368" s="42"/>
      <c r="AK368" s="42"/>
      <c r="AL368" s="42"/>
      <c r="AM368" s="42"/>
      <c r="AN368" s="37">
        <f t="shared" si="142"/>
        <v>0</v>
      </c>
      <c r="AO368" s="42"/>
      <c r="AP368" s="53"/>
      <c r="AQ368" s="53"/>
      <c r="AR368" s="53"/>
      <c r="AS368" s="72"/>
      <c r="AT368" s="24">
        <f t="shared" si="143"/>
        <v>0</v>
      </c>
      <c r="AU368" s="42"/>
      <c r="AV368" s="53">
        <v>5</v>
      </c>
      <c r="AW368" s="53">
        <v>5</v>
      </c>
      <c r="AX368" s="53">
        <v>5</v>
      </c>
      <c r="AY368" s="72">
        <v>5</v>
      </c>
      <c r="AZ368" s="24">
        <f t="shared" si="144"/>
        <v>20</v>
      </c>
      <c r="BA368" s="16">
        <f t="shared" si="145"/>
        <v>20</v>
      </c>
      <c r="BB368" s="83">
        <v>43809</v>
      </c>
    </row>
    <row r="369" spans="1:55" ht="14.25" x14ac:dyDescent="0.15">
      <c r="A369" s="40" t="s">
        <v>252</v>
      </c>
      <c r="B369" s="41"/>
      <c r="C369" s="42"/>
      <c r="D369" s="42"/>
      <c r="E369" s="42"/>
      <c r="F369" s="42"/>
      <c r="G369" s="43">
        <f t="shared" si="131"/>
        <v>0</v>
      </c>
      <c r="H369" s="41"/>
      <c r="I369" s="42"/>
      <c r="J369" s="42"/>
      <c r="K369" s="42"/>
      <c r="L369" s="42"/>
      <c r="M369" s="43">
        <f t="shared" si="132"/>
        <v>0</v>
      </c>
      <c r="N369" s="42">
        <v>1</v>
      </c>
      <c r="O369" s="53"/>
      <c r="P369" s="53"/>
      <c r="Q369" s="53"/>
      <c r="R369" s="72"/>
      <c r="S369" s="24">
        <f t="shared" si="133"/>
        <v>1</v>
      </c>
      <c r="T369" s="42">
        <v>1</v>
      </c>
      <c r="U369" s="53"/>
      <c r="V369" s="53"/>
      <c r="W369" s="53"/>
      <c r="X369" s="72"/>
      <c r="Y369" s="24">
        <f t="shared" si="134"/>
        <v>1</v>
      </c>
      <c r="Z369" s="24">
        <f t="shared" si="135"/>
        <v>2</v>
      </c>
      <c r="AA369" s="93">
        <v>43809</v>
      </c>
      <c r="AB369" s="23" t="s">
        <v>267</v>
      </c>
      <c r="AC369" s="41"/>
      <c r="AD369" s="42"/>
      <c r="AE369" s="42"/>
      <c r="AF369" s="42"/>
      <c r="AG369" s="42"/>
      <c r="AH369" s="43">
        <f t="shared" si="141"/>
        <v>0</v>
      </c>
      <c r="AI369" s="41"/>
      <c r="AJ369" s="42"/>
      <c r="AK369" s="42"/>
      <c r="AL369" s="42"/>
      <c r="AM369" s="42"/>
      <c r="AN369" s="43">
        <f t="shared" si="142"/>
        <v>0</v>
      </c>
      <c r="AO369" s="42"/>
      <c r="AP369" s="53"/>
      <c r="AQ369" s="53"/>
      <c r="AR369" s="53">
        <v>5</v>
      </c>
      <c r="AS369" s="72"/>
      <c r="AT369" s="24">
        <f t="shared" si="143"/>
        <v>5</v>
      </c>
      <c r="AU369" s="42"/>
      <c r="AV369" s="53"/>
      <c r="AW369" s="53"/>
      <c r="AX369" s="53"/>
      <c r="AY369" s="72"/>
      <c r="AZ369" s="24">
        <f t="shared" si="144"/>
        <v>0</v>
      </c>
      <c r="BA369" s="24">
        <f t="shared" si="145"/>
        <v>5</v>
      </c>
      <c r="BB369" s="83">
        <v>43809</v>
      </c>
    </row>
    <row r="370" spans="1:55" ht="14.25" x14ac:dyDescent="0.15">
      <c r="A370" s="40" t="s">
        <v>253</v>
      </c>
      <c r="B370" s="44"/>
      <c r="C370" s="45"/>
      <c r="D370" s="45"/>
      <c r="E370" s="45"/>
      <c r="F370" s="45">
        <v>1</v>
      </c>
      <c r="G370" s="43">
        <f t="shared" si="131"/>
        <v>1</v>
      </c>
      <c r="H370" s="44"/>
      <c r="I370" s="45"/>
      <c r="J370" s="45"/>
      <c r="K370" s="45"/>
      <c r="L370" s="45"/>
      <c r="M370" s="43">
        <f t="shared" si="132"/>
        <v>0</v>
      </c>
      <c r="N370" s="42"/>
      <c r="O370" s="53"/>
      <c r="P370" s="53"/>
      <c r="Q370" s="53"/>
      <c r="R370" s="72"/>
      <c r="S370" s="24">
        <f t="shared" si="133"/>
        <v>0</v>
      </c>
      <c r="T370" s="42"/>
      <c r="U370" s="53"/>
      <c r="V370" s="53"/>
      <c r="W370" s="53"/>
      <c r="X370" s="72"/>
      <c r="Y370" s="24">
        <f t="shared" si="134"/>
        <v>0</v>
      </c>
      <c r="Z370" s="24">
        <f t="shared" si="135"/>
        <v>1</v>
      </c>
      <c r="AA370" s="83">
        <v>43811</v>
      </c>
      <c r="AB370" s="21" t="s">
        <v>29</v>
      </c>
      <c r="AC370" s="44"/>
      <c r="AD370" s="45">
        <v>5</v>
      </c>
      <c r="AE370" s="45">
        <v>5</v>
      </c>
      <c r="AF370" s="45"/>
      <c r="AG370" s="45">
        <v>10</v>
      </c>
      <c r="AH370" s="43">
        <f t="shared" si="141"/>
        <v>20</v>
      </c>
      <c r="AI370" s="44">
        <v>5</v>
      </c>
      <c r="AJ370" s="45">
        <v>5</v>
      </c>
      <c r="AK370" s="45"/>
      <c r="AL370" s="45">
        <v>5</v>
      </c>
      <c r="AM370" s="45"/>
      <c r="AN370" s="43">
        <f t="shared" si="142"/>
        <v>15</v>
      </c>
      <c r="AO370" s="42"/>
      <c r="AP370" s="53"/>
      <c r="AQ370" s="53"/>
      <c r="AR370" s="53"/>
      <c r="AS370" s="72"/>
      <c r="AT370" s="24">
        <f t="shared" si="143"/>
        <v>0</v>
      </c>
      <c r="AU370" s="42"/>
      <c r="AV370" s="53"/>
      <c r="AW370" s="53"/>
      <c r="AX370" s="53"/>
      <c r="AY370" s="72"/>
      <c r="AZ370" s="24">
        <f t="shared" si="144"/>
        <v>0</v>
      </c>
      <c r="BA370" s="24">
        <f t="shared" si="145"/>
        <v>35</v>
      </c>
      <c r="BB370" s="83">
        <v>43811</v>
      </c>
      <c r="BC370" s="111"/>
    </row>
    <row r="371" spans="1:55" ht="14.25" x14ac:dyDescent="0.15">
      <c r="A371" s="40" t="s">
        <v>51</v>
      </c>
      <c r="B371" s="41"/>
      <c r="C371" s="42"/>
      <c r="D371" s="42"/>
      <c r="E371" s="42"/>
      <c r="F371" s="42"/>
      <c r="G371" s="43">
        <f t="shared" si="131"/>
        <v>0</v>
      </c>
      <c r="H371" s="41"/>
      <c r="I371" s="42">
        <v>-1</v>
      </c>
      <c r="J371" s="42"/>
      <c r="K371" s="42">
        <v>-2</v>
      </c>
      <c r="L371" s="42"/>
      <c r="M371" s="43">
        <f t="shared" si="132"/>
        <v>-3</v>
      </c>
      <c r="N371" s="42"/>
      <c r="O371" s="53"/>
      <c r="P371" s="53"/>
      <c r="Q371" s="53"/>
      <c r="R371" s="72"/>
      <c r="S371" s="24">
        <f t="shared" si="133"/>
        <v>0</v>
      </c>
      <c r="T371" s="42"/>
      <c r="U371" s="53"/>
      <c r="V371" s="53"/>
      <c r="W371" s="53"/>
      <c r="X371" s="72"/>
      <c r="Y371" s="24">
        <f t="shared" si="134"/>
        <v>0</v>
      </c>
      <c r="Z371" s="24">
        <f t="shared" si="135"/>
        <v>-3</v>
      </c>
      <c r="AA371" s="93">
        <v>43812</v>
      </c>
      <c r="AB371" s="21" t="s">
        <v>29</v>
      </c>
      <c r="AC371" s="41"/>
      <c r="AD371" s="42"/>
      <c r="AE371" s="42"/>
      <c r="AF371" s="42">
        <v>5</v>
      </c>
      <c r="AG371" s="42"/>
      <c r="AH371" s="43">
        <f t="shared" si="141"/>
        <v>5</v>
      </c>
      <c r="AI371" s="41"/>
      <c r="AJ371" s="42"/>
      <c r="AK371" s="42"/>
      <c r="AL371" s="42"/>
      <c r="AM371" s="42"/>
      <c r="AN371" s="43">
        <f t="shared" si="142"/>
        <v>0</v>
      </c>
      <c r="AO371" s="42"/>
      <c r="AP371" s="53"/>
      <c r="AQ371" s="53"/>
      <c r="AR371" s="53"/>
      <c r="AS371" s="72"/>
      <c r="AT371" s="24">
        <f t="shared" si="143"/>
        <v>0</v>
      </c>
      <c r="AU371" s="42"/>
      <c r="AV371" s="53"/>
      <c r="AW371" s="53"/>
      <c r="AX371" s="53"/>
      <c r="AY371" s="72"/>
      <c r="AZ371" s="24">
        <f t="shared" si="144"/>
        <v>0</v>
      </c>
      <c r="BA371" s="24">
        <f t="shared" si="145"/>
        <v>5</v>
      </c>
      <c r="BB371" s="83">
        <v>43815</v>
      </c>
    </row>
    <row r="372" spans="1:55" ht="14.25" x14ac:dyDescent="0.15">
      <c r="A372" s="21" t="s">
        <v>199</v>
      </c>
      <c r="B372" s="41"/>
      <c r="C372" s="42"/>
      <c r="D372" s="42"/>
      <c r="E372" s="42"/>
      <c r="F372" s="42"/>
      <c r="G372" s="43">
        <f t="shared" si="131"/>
        <v>0</v>
      </c>
      <c r="H372" s="41"/>
      <c r="I372" s="42"/>
      <c r="J372" s="42"/>
      <c r="K372" s="42"/>
      <c r="L372" s="42"/>
      <c r="M372" s="43">
        <f t="shared" si="132"/>
        <v>0</v>
      </c>
      <c r="N372" s="42"/>
      <c r="O372" s="53"/>
      <c r="P372" s="53"/>
      <c r="Q372" s="53"/>
      <c r="R372" s="72">
        <v>-1</v>
      </c>
      <c r="S372" s="24">
        <f t="shared" si="133"/>
        <v>-1</v>
      </c>
      <c r="T372" s="42"/>
      <c r="U372" s="53"/>
      <c r="V372" s="53"/>
      <c r="W372" s="53"/>
      <c r="X372" s="72"/>
      <c r="Y372" s="24">
        <f t="shared" si="134"/>
        <v>0</v>
      </c>
      <c r="Z372" s="24">
        <f t="shared" si="135"/>
        <v>-1</v>
      </c>
      <c r="AA372" s="93">
        <v>43815</v>
      </c>
      <c r="AB372" s="21" t="s">
        <v>29</v>
      </c>
      <c r="AC372" s="41"/>
      <c r="AD372" s="42"/>
      <c r="AE372" s="42">
        <v>5</v>
      </c>
      <c r="AF372" s="42"/>
      <c r="AG372" s="42"/>
      <c r="AH372" s="43">
        <f t="shared" si="141"/>
        <v>5</v>
      </c>
      <c r="AI372" s="41"/>
      <c r="AJ372" s="42"/>
      <c r="AK372" s="42"/>
      <c r="AL372" s="42"/>
      <c r="AM372" s="42"/>
      <c r="AN372" s="43">
        <f t="shared" si="142"/>
        <v>0</v>
      </c>
      <c r="AO372" s="42"/>
      <c r="AP372" s="53"/>
      <c r="AQ372" s="53"/>
      <c r="AR372" s="53"/>
      <c r="AS372" s="72"/>
      <c r="AT372" s="24">
        <f t="shared" si="143"/>
        <v>0</v>
      </c>
      <c r="AU372" s="42"/>
      <c r="AV372" s="53"/>
      <c r="AW372" s="53"/>
      <c r="AX372" s="53"/>
      <c r="AY372" s="72"/>
      <c r="AZ372" s="24">
        <f t="shared" si="144"/>
        <v>0</v>
      </c>
      <c r="BA372" s="24">
        <f t="shared" si="145"/>
        <v>5</v>
      </c>
      <c r="BB372" s="83">
        <v>43818</v>
      </c>
    </row>
    <row r="373" spans="1:55" ht="14.25" x14ac:dyDescent="0.15">
      <c r="A373" s="40" t="s">
        <v>48</v>
      </c>
      <c r="B373" s="41"/>
      <c r="C373" s="42"/>
      <c r="D373" s="42"/>
      <c r="E373" s="42"/>
      <c r="F373" s="42">
        <v>2</v>
      </c>
      <c r="G373" s="43">
        <f t="shared" si="131"/>
        <v>2</v>
      </c>
      <c r="H373" s="41"/>
      <c r="I373" s="42"/>
      <c r="J373" s="42"/>
      <c r="K373" s="42"/>
      <c r="L373" s="42"/>
      <c r="M373" s="43">
        <f t="shared" si="132"/>
        <v>0</v>
      </c>
      <c r="N373" s="42"/>
      <c r="O373" s="53"/>
      <c r="P373" s="53"/>
      <c r="Q373" s="53"/>
      <c r="R373" s="72"/>
      <c r="S373" s="24">
        <f t="shared" si="133"/>
        <v>0</v>
      </c>
      <c r="T373" s="42"/>
      <c r="U373" s="53"/>
      <c r="V373" s="53"/>
      <c r="W373" s="53"/>
      <c r="X373" s="72"/>
      <c r="Y373" s="24">
        <f t="shared" si="134"/>
        <v>0</v>
      </c>
      <c r="Z373" s="24">
        <f t="shared" si="135"/>
        <v>2</v>
      </c>
      <c r="AA373" s="93">
        <v>43815</v>
      </c>
      <c r="AB373" s="21" t="s">
        <v>30</v>
      </c>
      <c r="AC373" s="41"/>
      <c r="AD373" s="42"/>
      <c r="AE373" s="42"/>
      <c r="AF373" s="42"/>
      <c r="AG373" s="42">
        <v>3</v>
      </c>
      <c r="AH373" s="43">
        <f t="shared" si="141"/>
        <v>3</v>
      </c>
      <c r="AI373" s="41"/>
      <c r="AJ373" s="42"/>
      <c r="AK373" s="42"/>
      <c r="AL373" s="42"/>
      <c r="AM373" s="42"/>
      <c r="AN373" s="43">
        <f t="shared" si="142"/>
        <v>0</v>
      </c>
      <c r="AO373" s="42">
        <v>2</v>
      </c>
      <c r="AP373" s="53"/>
      <c r="AQ373" s="53"/>
      <c r="AR373" s="53"/>
      <c r="AS373" s="72"/>
      <c r="AT373" s="24">
        <f t="shared" si="143"/>
        <v>2</v>
      </c>
      <c r="AU373" s="42"/>
      <c r="AV373" s="53"/>
      <c r="AW373" s="53"/>
      <c r="AX373" s="53"/>
      <c r="AY373" s="72"/>
      <c r="AZ373" s="24">
        <f t="shared" si="144"/>
        <v>0</v>
      </c>
      <c r="BA373" s="24">
        <f t="shared" si="145"/>
        <v>5</v>
      </c>
      <c r="BB373" s="83">
        <v>43815</v>
      </c>
    </row>
    <row r="374" spans="1:55" ht="14.25" x14ac:dyDescent="0.15">
      <c r="A374" s="40" t="s">
        <v>42</v>
      </c>
      <c r="B374" s="38"/>
      <c r="C374" s="39"/>
      <c r="D374" s="39"/>
      <c r="E374" s="39"/>
      <c r="F374" s="39">
        <v>-3</v>
      </c>
      <c r="G374" s="37">
        <f t="shared" si="131"/>
        <v>-3</v>
      </c>
      <c r="H374" s="38"/>
      <c r="I374" s="39"/>
      <c r="J374" s="39"/>
      <c r="K374" s="39"/>
      <c r="L374" s="39"/>
      <c r="M374" s="37">
        <f t="shared" si="132"/>
        <v>0</v>
      </c>
      <c r="N374" s="42">
        <v>-2</v>
      </c>
      <c r="O374" s="53"/>
      <c r="P374" s="53"/>
      <c r="Q374" s="53"/>
      <c r="R374" s="72"/>
      <c r="S374" s="24">
        <f t="shared" si="133"/>
        <v>-2</v>
      </c>
      <c r="T374" s="42"/>
      <c r="U374" s="53"/>
      <c r="V374" s="53"/>
      <c r="W374" s="53"/>
      <c r="X374" s="72"/>
      <c r="Y374" s="24">
        <f t="shared" si="134"/>
        <v>0</v>
      </c>
      <c r="Z374" s="24">
        <f t="shared" si="135"/>
        <v>-5</v>
      </c>
      <c r="AA374" s="83">
        <v>43816</v>
      </c>
      <c r="AB374" s="21" t="s">
        <v>29</v>
      </c>
      <c r="AC374" s="38"/>
      <c r="AD374" s="39">
        <v>5</v>
      </c>
      <c r="AE374" s="39"/>
      <c r="AF374" s="39"/>
      <c r="AG374" s="39"/>
      <c r="AH374" s="37">
        <f t="shared" si="141"/>
        <v>5</v>
      </c>
      <c r="AI374" s="38"/>
      <c r="AJ374" s="39"/>
      <c r="AK374" s="39"/>
      <c r="AL374" s="39"/>
      <c r="AM374" s="39"/>
      <c r="AN374" s="37">
        <f t="shared" si="142"/>
        <v>0</v>
      </c>
      <c r="AO374" s="42"/>
      <c r="AP374" s="53"/>
      <c r="AQ374" s="53"/>
      <c r="AR374" s="53"/>
      <c r="AS374" s="72"/>
      <c r="AT374" s="24">
        <f t="shared" si="143"/>
        <v>0</v>
      </c>
      <c r="AU374" s="42"/>
      <c r="AV374" s="53"/>
      <c r="AW374" s="53"/>
      <c r="AX374" s="53"/>
      <c r="AY374" s="72"/>
      <c r="AZ374" s="24">
        <f t="shared" si="144"/>
        <v>0</v>
      </c>
      <c r="BA374" s="24">
        <f t="shared" si="145"/>
        <v>5</v>
      </c>
      <c r="BB374" s="83">
        <v>43822</v>
      </c>
    </row>
    <row r="375" spans="1:55" ht="14.25" x14ac:dyDescent="0.15">
      <c r="A375" s="21" t="s">
        <v>254</v>
      </c>
      <c r="B375" s="41"/>
      <c r="C375" s="42"/>
      <c r="D375" s="42"/>
      <c r="E375" s="42"/>
      <c r="F375" s="42"/>
      <c r="G375" s="43">
        <f t="shared" si="131"/>
        <v>0</v>
      </c>
      <c r="H375" s="41"/>
      <c r="I375" s="42"/>
      <c r="J375" s="42"/>
      <c r="K375" s="42"/>
      <c r="L375" s="42"/>
      <c r="M375" s="43">
        <f t="shared" si="132"/>
        <v>0</v>
      </c>
      <c r="N375" s="42"/>
      <c r="O375" s="53"/>
      <c r="P375" s="53"/>
      <c r="Q375" s="53"/>
      <c r="R375" s="72"/>
      <c r="S375" s="24">
        <f t="shared" si="133"/>
        <v>0</v>
      </c>
      <c r="T375" s="42"/>
      <c r="U375" s="53"/>
      <c r="V375" s="53"/>
      <c r="W375" s="53">
        <v>1</v>
      </c>
      <c r="X375" s="72"/>
      <c r="Y375" s="24">
        <f t="shared" si="134"/>
        <v>1</v>
      </c>
      <c r="Z375" s="24">
        <f t="shared" si="135"/>
        <v>1</v>
      </c>
      <c r="AA375" s="83">
        <v>43817</v>
      </c>
      <c r="AB375" s="21" t="s">
        <v>257</v>
      </c>
      <c r="AC375" s="42">
        <v>2</v>
      </c>
      <c r="AD375" s="53">
        <v>3</v>
      </c>
      <c r="AE375" s="53">
        <v>2</v>
      </c>
      <c r="AF375" s="53">
        <v>2</v>
      </c>
      <c r="AG375" s="72">
        <v>1</v>
      </c>
      <c r="AH375" s="43">
        <f t="shared" si="141"/>
        <v>10</v>
      </c>
      <c r="AI375" s="41"/>
      <c r="AJ375" s="42"/>
      <c r="AK375" s="42"/>
      <c r="AL375" s="42"/>
      <c r="AM375" s="42"/>
      <c r="AN375" s="43">
        <f t="shared" si="142"/>
        <v>0</v>
      </c>
      <c r="AO375" s="42">
        <v>3</v>
      </c>
      <c r="AP375" s="53">
        <v>5</v>
      </c>
      <c r="AQ375" s="53">
        <v>2</v>
      </c>
      <c r="AR375" s="53">
        <v>2</v>
      </c>
      <c r="AS375" s="72">
        <v>1</v>
      </c>
      <c r="AT375" s="24">
        <f t="shared" si="143"/>
        <v>13</v>
      </c>
      <c r="AU375" s="42"/>
      <c r="AV375" s="53"/>
      <c r="AW375" s="53"/>
      <c r="AX375" s="53"/>
      <c r="AY375" s="72"/>
      <c r="AZ375" s="24">
        <f t="shared" si="144"/>
        <v>0</v>
      </c>
      <c r="BA375" s="24">
        <f t="shared" si="145"/>
        <v>23</v>
      </c>
      <c r="BB375" s="83">
        <v>43473</v>
      </c>
    </row>
    <row r="376" spans="1:55" ht="14.25" x14ac:dyDescent="0.15">
      <c r="A376" s="21" t="s">
        <v>255</v>
      </c>
      <c r="B376" s="14">
        <v>1</v>
      </c>
      <c r="C376" s="15"/>
      <c r="D376" s="15"/>
      <c r="E376" s="15"/>
      <c r="F376" s="15"/>
      <c r="G376" s="24">
        <f t="shared" si="131"/>
        <v>1</v>
      </c>
      <c r="H376" s="14"/>
      <c r="I376" s="15"/>
      <c r="J376" s="15"/>
      <c r="K376" s="15"/>
      <c r="L376" s="15">
        <v>1</v>
      </c>
      <c r="M376" s="24">
        <f t="shared" si="132"/>
        <v>1</v>
      </c>
      <c r="N376" s="15"/>
      <c r="O376" s="55">
        <v>1</v>
      </c>
      <c r="P376" s="55"/>
      <c r="Q376" s="55">
        <v>1</v>
      </c>
      <c r="R376" s="67"/>
      <c r="S376" s="24">
        <f t="shared" si="133"/>
        <v>2</v>
      </c>
      <c r="T376" s="15"/>
      <c r="U376" s="55"/>
      <c r="V376" s="55">
        <v>1</v>
      </c>
      <c r="W376" s="55"/>
      <c r="X376" s="67"/>
      <c r="Y376" s="24">
        <f t="shared" si="134"/>
        <v>1</v>
      </c>
      <c r="Z376" s="24">
        <f t="shared" si="135"/>
        <v>5</v>
      </c>
      <c r="AA376" s="93">
        <v>43822</v>
      </c>
      <c r="AB376" s="21" t="s">
        <v>29</v>
      </c>
      <c r="AC376" s="14"/>
      <c r="AD376" s="15"/>
      <c r="AE376" s="15"/>
      <c r="AF376" s="15"/>
      <c r="AG376" s="15"/>
      <c r="AH376" s="24">
        <f t="shared" si="141"/>
        <v>0</v>
      </c>
      <c r="AI376" s="14"/>
      <c r="AJ376" s="15"/>
      <c r="AK376" s="15">
        <v>5</v>
      </c>
      <c r="AL376" s="15"/>
      <c r="AM376" s="15"/>
      <c r="AN376" s="24">
        <f t="shared" si="142"/>
        <v>5</v>
      </c>
      <c r="AO376" s="15"/>
      <c r="AP376" s="55"/>
      <c r="AQ376" s="55"/>
      <c r="AR376" s="55"/>
      <c r="AS376" s="67"/>
      <c r="AT376" s="24">
        <f t="shared" si="143"/>
        <v>0</v>
      </c>
      <c r="AU376" s="15"/>
      <c r="AV376" s="55"/>
      <c r="AW376" s="55"/>
      <c r="AX376" s="55"/>
      <c r="AY376" s="67"/>
      <c r="AZ376" s="24">
        <f t="shared" si="144"/>
        <v>0</v>
      </c>
      <c r="BA376" s="24">
        <f t="shared" si="145"/>
        <v>5</v>
      </c>
      <c r="BB376" s="83">
        <v>43844</v>
      </c>
    </row>
    <row r="377" spans="1:55" ht="14.25" x14ac:dyDescent="0.15">
      <c r="A377" s="40" t="s">
        <v>124</v>
      </c>
      <c r="B377" s="14"/>
      <c r="C377" s="15"/>
      <c r="D377" s="15"/>
      <c r="E377" s="15"/>
      <c r="F377" s="15"/>
      <c r="G377" s="24">
        <f t="shared" si="131"/>
        <v>0</v>
      </c>
      <c r="H377" s="14"/>
      <c r="I377" s="15"/>
      <c r="J377" s="15"/>
      <c r="K377" s="15">
        <v>1</v>
      </c>
      <c r="L377" s="15"/>
      <c r="M377" s="24">
        <f t="shared" si="132"/>
        <v>1</v>
      </c>
      <c r="N377" s="15"/>
      <c r="O377" s="55"/>
      <c r="P377" s="55"/>
      <c r="Q377" s="55"/>
      <c r="R377" s="67"/>
      <c r="S377" s="24">
        <f t="shared" si="133"/>
        <v>0</v>
      </c>
      <c r="T377" s="15"/>
      <c r="U377" s="55"/>
      <c r="V377" s="55"/>
      <c r="W377" s="55"/>
      <c r="X377" s="67"/>
      <c r="Y377" s="24">
        <f t="shared" si="134"/>
        <v>0</v>
      </c>
      <c r="Z377" s="24">
        <f t="shared" si="135"/>
        <v>1</v>
      </c>
      <c r="AA377" s="83">
        <v>43823</v>
      </c>
      <c r="AB377" s="23" t="s">
        <v>263</v>
      </c>
      <c r="AC377" s="14"/>
      <c r="AD377" s="15"/>
      <c r="AE377" s="15"/>
      <c r="AF377" s="15"/>
      <c r="AG377" s="15"/>
      <c r="AH377" s="24">
        <f t="shared" si="141"/>
        <v>0</v>
      </c>
      <c r="AI377" s="14"/>
      <c r="AJ377" s="15"/>
      <c r="AK377" s="15"/>
      <c r="AL377" s="15"/>
      <c r="AM377" s="15"/>
      <c r="AN377" s="24">
        <f t="shared" si="142"/>
        <v>0</v>
      </c>
      <c r="AO377" s="15">
        <v>3</v>
      </c>
      <c r="AP377" s="55">
        <v>1</v>
      </c>
      <c r="AQ377" s="55"/>
      <c r="AR377" s="55"/>
      <c r="AS377" s="67"/>
      <c r="AT377" s="24">
        <f t="shared" si="143"/>
        <v>4</v>
      </c>
      <c r="AU377" s="15"/>
      <c r="AV377" s="55">
        <v>2</v>
      </c>
      <c r="AW377" s="55"/>
      <c r="AX377" s="55"/>
      <c r="AY377" s="67">
        <v>2</v>
      </c>
      <c r="AZ377" s="24">
        <f t="shared" si="144"/>
        <v>4</v>
      </c>
      <c r="BA377" s="24">
        <f t="shared" si="145"/>
        <v>8</v>
      </c>
      <c r="BB377" s="83">
        <v>43844</v>
      </c>
    </row>
    <row r="378" spans="1:55" ht="14.25" x14ac:dyDescent="0.15">
      <c r="A378" s="23" t="s">
        <v>260</v>
      </c>
      <c r="B378" s="14"/>
      <c r="C378" s="15"/>
      <c r="D378" s="15"/>
      <c r="E378" s="15"/>
      <c r="F378" s="15"/>
      <c r="G378" s="24">
        <f t="shared" si="131"/>
        <v>0</v>
      </c>
      <c r="H378" s="14"/>
      <c r="I378" s="15"/>
      <c r="J378" s="15"/>
      <c r="K378" s="15">
        <v>1</v>
      </c>
      <c r="L378" s="15"/>
      <c r="M378" s="24">
        <f t="shared" si="132"/>
        <v>1</v>
      </c>
      <c r="N378" s="15"/>
      <c r="O378" s="55"/>
      <c r="P378" s="55"/>
      <c r="Q378" s="55"/>
      <c r="R378" s="67"/>
      <c r="S378" s="24">
        <f t="shared" si="133"/>
        <v>0</v>
      </c>
      <c r="T378" s="15"/>
      <c r="U378" s="55"/>
      <c r="V378" s="55"/>
      <c r="W378" s="55"/>
      <c r="X378" s="67"/>
      <c r="Y378" s="24">
        <f t="shared" si="134"/>
        <v>0</v>
      </c>
      <c r="Z378" s="24">
        <f t="shared" si="135"/>
        <v>1</v>
      </c>
      <c r="AA378" s="83">
        <v>43825</v>
      </c>
      <c r="AB378" s="21" t="s">
        <v>29</v>
      </c>
      <c r="AC378" s="14"/>
      <c r="AD378" s="15"/>
      <c r="AE378" s="15"/>
      <c r="AF378" s="15"/>
      <c r="AG378" s="15"/>
      <c r="AH378" s="24">
        <f t="shared" si="141"/>
        <v>0</v>
      </c>
      <c r="AI378" s="14"/>
      <c r="AJ378" s="15">
        <v>5</v>
      </c>
      <c r="AK378" s="15"/>
      <c r="AL378" s="15"/>
      <c r="AM378" s="15">
        <v>5</v>
      </c>
      <c r="AN378" s="24">
        <f t="shared" si="142"/>
        <v>10</v>
      </c>
      <c r="AO378" s="15"/>
      <c r="AP378" s="55"/>
      <c r="AQ378" s="55"/>
      <c r="AR378" s="55"/>
      <c r="AS378" s="67"/>
      <c r="AT378" s="24">
        <f t="shared" si="143"/>
        <v>0</v>
      </c>
      <c r="AU378" s="15"/>
      <c r="AV378" s="55"/>
      <c r="AW378" s="55"/>
      <c r="AX378" s="55"/>
      <c r="AY378" s="67"/>
      <c r="AZ378" s="24">
        <f t="shared" si="144"/>
        <v>0</v>
      </c>
      <c r="BA378" s="24">
        <f t="shared" si="145"/>
        <v>10</v>
      </c>
      <c r="BB378" s="83">
        <v>43846</v>
      </c>
    </row>
    <row r="379" spans="1:55" ht="14.25" x14ac:dyDescent="0.15">
      <c r="A379" s="23" t="s">
        <v>261</v>
      </c>
      <c r="B379" s="14"/>
      <c r="C379" s="15"/>
      <c r="D379" s="15"/>
      <c r="E379" s="15"/>
      <c r="F379" s="15"/>
      <c r="G379" s="24">
        <f t="shared" si="131"/>
        <v>0</v>
      </c>
      <c r="H379" s="14"/>
      <c r="I379" s="15"/>
      <c r="J379" s="15"/>
      <c r="K379" s="15"/>
      <c r="L379" s="15"/>
      <c r="M379" s="24">
        <f t="shared" si="132"/>
        <v>0</v>
      </c>
      <c r="N379" s="15">
        <v>1</v>
      </c>
      <c r="O379" s="55"/>
      <c r="P379" s="55"/>
      <c r="Q379" s="55"/>
      <c r="R379" s="67"/>
      <c r="S379" s="24">
        <f t="shared" si="133"/>
        <v>1</v>
      </c>
      <c r="T379" s="15"/>
      <c r="U379" s="55"/>
      <c r="V379" s="55"/>
      <c r="W379" s="55"/>
      <c r="X379" s="67"/>
      <c r="Y379" s="24">
        <f t="shared" si="134"/>
        <v>0</v>
      </c>
      <c r="Z379" s="24">
        <f t="shared" si="135"/>
        <v>1</v>
      </c>
      <c r="AA379" s="93">
        <v>43826</v>
      </c>
      <c r="AB379" s="23" t="s">
        <v>269</v>
      </c>
      <c r="AC379" s="14"/>
      <c r="AD379" s="15"/>
      <c r="AE379" s="15"/>
      <c r="AF379" s="15">
        <v>3</v>
      </c>
      <c r="AG379" s="15">
        <v>3</v>
      </c>
      <c r="AH379" s="24">
        <f t="shared" si="141"/>
        <v>6</v>
      </c>
      <c r="AI379" s="14"/>
      <c r="AJ379" s="15"/>
      <c r="AK379" s="15"/>
      <c r="AL379" s="15"/>
      <c r="AM379" s="15"/>
      <c r="AN379" s="24">
        <f t="shared" si="142"/>
        <v>0</v>
      </c>
      <c r="AO379" s="15"/>
      <c r="AP379" s="55"/>
      <c r="AQ379" s="55"/>
      <c r="AR379" s="55"/>
      <c r="AS379" s="67"/>
      <c r="AT379" s="24">
        <f t="shared" si="143"/>
        <v>0</v>
      </c>
      <c r="AU379" s="15"/>
      <c r="AV379" s="55"/>
      <c r="AW379" s="55"/>
      <c r="AX379" s="55"/>
      <c r="AY379" s="67"/>
      <c r="AZ379" s="24">
        <f t="shared" si="144"/>
        <v>0</v>
      </c>
      <c r="BA379" s="24">
        <f t="shared" si="145"/>
        <v>6</v>
      </c>
      <c r="BB379" s="83">
        <v>43846</v>
      </c>
    </row>
    <row r="380" spans="1:55" ht="14.25" x14ac:dyDescent="0.15">
      <c r="A380" s="21" t="s">
        <v>199</v>
      </c>
      <c r="B380" s="14"/>
      <c r="C380" s="15"/>
      <c r="D380" s="15"/>
      <c r="E380" s="15"/>
      <c r="F380" s="15"/>
      <c r="G380" s="24">
        <f t="shared" si="131"/>
        <v>0</v>
      </c>
      <c r="H380" s="14"/>
      <c r="I380" s="15"/>
      <c r="J380" s="15"/>
      <c r="K380" s="15"/>
      <c r="L380" s="15"/>
      <c r="M380" s="24">
        <f t="shared" si="132"/>
        <v>0</v>
      </c>
      <c r="N380" s="15">
        <v>-1</v>
      </c>
      <c r="O380" s="55"/>
      <c r="P380" s="55"/>
      <c r="Q380" s="55"/>
      <c r="R380" s="67"/>
      <c r="S380" s="24">
        <f t="shared" si="133"/>
        <v>-1</v>
      </c>
      <c r="T380" s="15"/>
      <c r="U380" s="55"/>
      <c r="V380" s="55"/>
      <c r="W380" s="55"/>
      <c r="X380" s="67"/>
      <c r="Y380" s="24">
        <f t="shared" si="134"/>
        <v>0</v>
      </c>
      <c r="Z380" s="24">
        <f t="shared" si="135"/>
        <v>-1</v>
      </c>
      <c r="AA380" s="93">
        <v>43825</v>
      </c>
      <c r="AB380" s="23" t="s">
        <v>30</v>
      </c>
      <c r="AC380" s="14">
        <v>2</v>
      </c>
      <c r="AD380" s="15"/>
      <c r="AE380" s="15"/>
      <c r="AF380" s="15"/>
      <c r="AG380" s="15"/>
      <c r="AH380" s="24">
        <f t="shared" si="141"/>
        <v>2</v>
      </c>
      <c r="AI380" s="14"/>
      <c r="AJ380" s="15"/>
      <c r="AK380" s="15"/>
      <c r="AL380" s="15"/>
      <c r="AM380" s="15">
        <v>2</v>
      </c>
      <c r="AN380" s="24">
        <f t="shared" si="142"/>
        <v>2</v>
      </c>
      <c r="AO380" s="15"/>
      <c r="AP380" s="55"/>
      <c r="AQ380" s="55"/>
      <c r="AR380" s="55"/>
      <c r="AS380" s="67">
        <v>2</v>
      </c>
      <c r="AT380" s="24">
        <f t="shared" si="143"/>
        <v>2</v>
      </c>
      <c r="AU380" s="15"/>
      <c r="AV380" s="55"/>
      <c r="AW380" s="55"/>
      <c r="AX380" s="55"/>
      <c r="AY380" s="67">
        <v>2</v>
      </c>
      <c r="AZ380" s="24">
        <f t="shared" si="144"/>
        <v>2</v>
      </c>
      <c r="BA380" s="24">
        <f t="shared" si="145"/>
        <v>8</v>
      </c>
      <c r="BB380" s="83">
        <v>43845</v>
      </c>
    </row>
    <row r="381" spans="1:55" ht="14.25" x14ac:dyDescent="0.15">
      <c r="A381" s="40" t="s">
        <v>48</v>
      </c>
      <c r="B381" s="14"/>
      <c r="C381" s="15"/>
      <c r="D381" s="15"/>
      <c r="E381" s="15"/>
      <c r="F381" s="15"/>
      <c r="G381" s="24">
        <f t="shared" si="131"/>
        <v>0</v>
      </c>
      <c r="H381" s="14"/>
      <c r="I381" s="15"/>
      <c r="J381" s="15"/>
      <c r="K381" s="15"/>
      <c r="L381" s="15"/>
      <c r="M381" s="24">
        <f t="shared" si="132"/>
        <v>0</v>
      </c>
      <c r="N381" s="15"/>
      <c r="O381" s="55"/>
      <c r="P381" s="55">
        <v>1</v>
      </c>
      <c r="Q381" s="55"/>
      <c r="R381" s="67"/>
      <c r="S381" s="24">
        <f t="shared" si="133"/>
        <v>1</v>
      </c>
      <c r="T381" s="15"/>
      <c r="U381" s="55"/>
      <c r="V381" s="55"/>
      <c r="W381" s="55"/>
      <c r="X381" s="67"/>
      <c r="Y381" s="24">
        <f t="shared" si="134"/>
        <v>0</v>
      </c>
      <c r="Z381" s="24">
        <f t="shared" si="135"/>
        <v>1</v>
      </c>
      <c r="AA381" s="93">
        <v>43835</v>
      </c>
      <c r="AB381" s="23"/>
      <c r="AC381" s="14"/>
      <c r="AD381" s="15"/>
      <c r="AE381" s="15"/>
      <c r="AF381" s="15"/>
      <c r="AG381" s="15"/>
      <c r="AH381" s="24">
        <f t="shared" ref="AH381:AH387" si="146">SUM(AC381:AG381)</f>
        <v>0</v>
      </c>
      <c r="AI381" s="14"/>
      <c r="AJ381" s="15"/>
      <c r="AK381" s="15"/>
      <c r="AL381" s="15"/>
      <c r="AM381" s="15"/>
      <c r="AN381" s="24">
        <f t="shared" ref="AN381:AN387" si="147">SUM(AI381:AM381)</f>
        <v>0</v>
      </c>
      <c r="AO381" s="15"/>
      <c r="AP381" s="55"/>
      <c r="AQ381" s="55"/>
      <c r="AR381" s="55"/>
      <c r="AS381" s="67"/>
      <c r="AT381" s="24">
        <f t="shared" ref="AT381:AT387" si="148">SUM(AO381:AS381)</f>
        <v>0</v>
      </c>
      <c r="AU381" s="15"/>
      <c r="AV381" s="55"/>
      <c r="AW381" s="55"/>
      <c r="AX381" s="55"/>
      <c r="AY381" s="67"/>
      <c r="AZ381" s="24">
        <f t="shared" ref="AZ381:AZ387" si="149">SUM(AU381:AY381)</f>
        <v>0</v>
      </c>
      <c r="BA381" s="24">
        <f t="shared" ref="BA381:BA388" si="150">AH381+AN381+AT381+AZ381</f>
        <v>0</v>
      </c>
      <c r="BB381" s="128"/>
    </row>
    <row r="382" spans="1:55" ht="14.25" x14ac:dyDescent="0.15">
      <c r="A382" s="21" t="s">
        <v>270</v>
      </c>
      <c r="B382" s="44"/>
      <c r="C382" s="45"/>
      <c r="D382" s="45"/>
      <c r="E382" s="45"/>
      <c r="F382" s="45"/>
      <c r="G382" s="43">
        <f t="shared" si="131"/>
        <v>0</v>
      </c>
      <c r="H382" s="44"/>
      <c r="I382" s="45"/>
      <c r="J382" s="45"/>
      <c r="K382" s="45"/>
      <c r="L382" s="45"/>
      <c r="M382" s="43">
        <f t="shared" si="132"/>
        <v>0</v>
      </c>
      <c r="N382" s="42"/>
      <c r="O382" s="53"/>
      <c r="P382" s="53"/>
      <c r="Q382" s="53"/>
      <c r="R382" s="72">
        <v>2</v>
      </c>
      <c r="S382" s="24">
        <f t="shared" si="133"/>
        <v>2</v>
      </c>
      <c r="T382" s="42"/>
      <c r="U382" s="53"/>
      <c r="V382" s="53"/>
      <c r="W382" s="53"/>
      <c r="X382" s="72">
        <v>2</v>
      </c>
      <c r="Y382" s="24">
        <f t="shared" si="134"/>
        <v>2</v>
      </c>
      <c r="Z382" s="24">
        <f t="shared" si="135"/>
        <v>4</v>
      </c>
      <c r="AA382" s="83">
        <v>43847</v>
      </c>
      <c r="AB382" s="23"/>
      <c r="AC382" s="14"/>
      <c r="AD382" s="15"/>
      <c r="AE382" s="15"/>
      <c r="AF382" s="15"/>
      <c r="AG382" s="15"/>
      <c r="AH382" s="24">
        <f>SUM(AC382:AG382)</f>
        <v>0</v>
      </c>
      <c r="AI382" s="14"/>
      <c r="AJ382" s="15"/>
      <c r="AK382" s="15"/>
      <c r="AL382" s="15"/>
      <c r="AM382" s="15"/>
      <c r="AN382" s="24">
        <f>SUM(AI382:AM382)</f>
        <v>0</v>
      </c>
      <c r="AO382" s="15"/>
      <c r="AP382" s="55"/>
      <c r="AQ382" s="55"/>
      <c r="AR382" s="55"/>
      <c r="AS382" s="67"/>
      <c r="AT382" s="24">
        <f>SUM(AO382:AS382)</f>
        <v>0</v>
      </c>
      <c r="AU382" s="15"/>
      <c r="AV382" s="55"/>
      <c r="AW382" s="55"/>
      <c r="AX382" s="55"/>
      <c r="AY382" s="67"/>
      <c r="AZ382" s="24">
        <f>SUM(AU382:AY382)</f>
        <v>0</v>
      </c>
      <c r="BA382" s="24">
        <f>AH382+AN382+AT382+AZ382</f>
        <v>0</v>
      </c>
      <c r="BB382" s="83"/>
    </row>
    <row r="383" spans="1:55" ht="14.25" x14ac:dyDescent="0.15">
      <c r="A383" s="110" t="s">
        <v>42</v>
      </c>
      <c r="B383" s="41">
        <v>-2</v>
      </c>
      <c r="C383" s="42"/>
      <c r="D383" s="42"/>
      <c r="E383" s="42"/>
      <c r="F383" s="42"/>
      <c r="G383" s="43">
        <f t="shared" si="131"/>
        <v>-2</v>
      </c>
      <c r="H383" s="41"/>
      <c r="I383" s="42"/>
      <c r="J383" s="42"/>
      <c r="K383" s="42"/>
      <c r="L383" s="42">
        <v>-2</v>
      </c>
      <c r="M383" s="43">
        <f t="shared" si="132"/>
        <v>-2</v>
      </c>
      <c r="N383" s="42"/>
      <c r="O383" s="53"/>
      <c r="P383" s="53"/>
      <c r="Q383" s="53"/>
      <c r="R383" s="72">
        <v>-2</v>
      </c>
      <c r="S383" s="24">
        <f t="shared" si="133"/>
        <v>-2</v>
      </c>
      <c r="T383" s="42"/>
      <c r="U383" s="53"/>
      <c r="V383" s="53"/>
      <c r="W383" s="53"/>
      <c r="X383" s="72">
        <v>-2</v>
      </c>
      <c r="Y383" s="24">
        <f t="shared" si="134"/>
        <v>-2</v>
      </c>
      <c r="Z383" s="24">
        <f t="shared" si="135"/>
        <v>-8</v>
      </c>
      <c r="AA383" s="83">
        <v>43845</v>
      </c>
      <c r="AB383" s="23"/>
      <c r="AC383" s="14"/>
      <c r="AD383" s="15"/>
      <c r="AE383" s="15"/>
      <c r="AF383" s="15"/>
      <c r="AG383" s="15"/>
      <c r="AH383" s="24">
        <f t="shared" si="146"/>
        <v>0</v>
      </c>
      <c r="AI383" s="14"/>
      <c r="AJ383" s="15"/>
      <c r="AK383" s="15"/>
      <c r="AL383" s="15"/>
      <c r="AM383" s="15"/>
      <c r="AN383" s="24">
        <f t="shared" si="147"/>
        <v>0</v>
      </c>
      <c r="AO383" s="15"/>
      <c r="AP383" s="55"/>
      <c r="AQ383" s="55"/>
      <c r="AR383" s="55"/>
      <c r="AS383" s="67"/>
      <c r="AT383" s="24">
        <f t="shared" si="148"/>
        <v>0</v>
      </c>
      <c r="AU383" s="15"/>
      <c r="AV383" s="55"/>
      <c r="AW383" s="55"/>
      <c r="AX383" s="55"/>
      <c r="AY383" s="67"/>
      <c r="AZ383" s="24">
        <f t="shared" si="149"/>
        <v>0</v>
      </c>
      <c r="BA383" s="24">
        <f t="shared" si="150"/>
        <v>0</v>
      </c>
      <c r="BB383" s="83"/>
    </row>
    <row r="384" spans="1:55" ht="14.25" x14ac:dyDescent="0.15">
      <c r="A384" s="23"/>
      <c r="B384" s="41"/>
      <c r="C384" s="42"/>
      <c r="D384" s="42"/>
      <c r="E384" s="42"/>
      <c r="F384" s="42"/>
      <c r="G384" s="43">
        <f t="shared" si="131"/>
        <v>0</v>
      </c>
      <c r="H384" s="41"/>
      <c r="I384" s="42"/>
      <c r="J384" s="42"/>
      <c r="K384" s="42"/>
      <c r="L384" s="42"/>
      <c r="M384" s="43">
        <f t="shared" si="132"/>
        <v>0</v>
      </c>
      <c r="N384" s="42"/>
      <c r="O384" s="53"/>
      <c r="P384" s="53"/>
      <c r="Q384" s="53"/>
      <c r="R384" s="72"/>
      <c r="S384" s="24">
        <f t="shared" si="133"/>
        <v>0</v>
      </c>
      <c r="T384" s="42"/>
      <c r="U384" s="53"/>
      <c r="V384" s="53"/>
      <c r="W384" s="53"/>
      <c r="X384" s="72"/>
      <c r="Y384" s="24">
        <f t="shared" si="134"/>
        <v>0</v>
      </c>
      <c r="Z384" s="24">
        <f t="shared" si="135"/>
        <v>0</v>
      </c>
      <c r="AB384" s="23"/>
      <c r="AC384" s="14"/>
      <c r="AD384" s="15"/>
      <c r="AE384" s="15"/>
      <c r="AF384" s="15"/>
      <c r="AG384" s="15"/>
      <c r="AH384" s="24">
        <f>SUM(AC384:AG384)</f>
        <v>0</v>
      </c>
      <c r="AI384" s="14"/>
      <c r="AJ384" s="15"/>
      <c r="AK384" s="15"/>
      <c r="AL384" s="15"/>
      <c r="AM384" s="15"/>
      <c r="AN384" s="24">
        <f>SUM(AI384:AM384)</f>
        <v>0</v>
      </c>
      <c r="AO384" s="15"/>
      <c r="AP384" s="55"/>
      <c r="AQ384" s="55"/>
      <c r="AR384" s="55"/>
      <c r="AS384" s="67"/>
      <c r="AT384" s="24">
        <f>SUM(AO384:AS384)</f>
        <v>0</v>
      </c>
      <c r="AU384" s="15"/>
      <c r="AV384" s="55"/>
      <c r="AW384" s="55"/>
      <c r="AX384" s="55"/>
      <c r="AY384" s="67"/>
      <c r="AZ384" s="24">
        <f>SUM(AU384:AY384)</f>
        <v>0</v>
      </c>
      <c r="BA384" s="24">
        <f>AH384+AN384+AT384+AZ384</f>
        <v>0</v>
      </c>
      <c r="BB384" s="83"/>
    </row>
    <row r="385" spans="1:55" ht="14.25" x14ac:dyDescent="0.15">
      <c r="A385" s="23"/>
      <c r="B385" s="41"/>
      <c r="C385" s="42"/>
      <c r="D385" s="42"/>
      <c r="E385" s="42"/>
      <c r="F385" s="42"/>
      <c r="G385" s="43">
        <f t="shared" si="131"/>
        <v>0</v>
      </c>
      <c r="H385" s="41"/>
      <c r="I385" s="42"/>
      <c r="J385" s="42"/>
      <c r="K385" s="42"/>
      <c r="L385" s="42"/>
      <c r="M385" s="43">
        <f t="shared" si="132"/>
        <v>0</v>
      </c>
      <c r="N385" s="42"/>
      <c r="O385" s="53"/>
      <c r="P385" s="53"/>
      <c r="Q385" s="53"/>
      <c r="R385" s="72"/>
      <c r="S385" s="24">
        <f>SUM(N385:R385)</f>
        <v>0</v>
      </c>
      <c r="T385" s="42"/>
      <c r="U385" s="53"/>
      <c r="V385" s="53"/>
      <c r="W385" s="53"/>
      <c r="X385" s="72"/>
      <c r="Y385" s="24">
        <f>SUM(T385:X385)</f>
        <v>0</v>
      </c>
      <c r="Z385" s="24">
        <f>G385+M385+S385+Y385</f>
        <v>0</v>
      </c>
      <c r="AA385" s="128"/>
      <c r="AB385" s="23" t="s">
        <v>244</v>
      </c>
      <c r="AC385" s="14"/>
      <c r="AD385" s="15"/>
      <c r="AE385" s="15"/>
      <c r="AF385" s="15"/>
      <c r="AG385" s="15"/>
      <c r="AH385" s="24">
        <f>SUM(AC385:AG385)</f>
        <v>0</v>
      </c>
      <c r="AI385" s="14"/>
      <c r="AJ385" s="15"/>
      <c r="AK385" s="15"/>
      <c r="AL385" s="15"/>
      <c r="AM385" s="15"/>
      <c r="AN385" s="24">
        <f>SUM(AI385:AM385)</f>
        <v>0</v>
      </c>
      <c r="AO385" s="15"/>
      <c r="AP385" s="55"/>
      <c r="AQ385" s="55"/>
      <c r="AR385" s="55"/>
      <c r="AS385" s="67"/>
      <c r="AT385" s="24">
        <f>SUM(AO385:AS385)</f>
        <v>0</v>
      </c>
      <c r="AU385" s="15"/>
      <c r="AV385" s="55"/>
      <c r="AW385" s="55"/>
      <c r="AX385" s="55"/>
      <c r="AY385" s="67"/>
      <c r="AZ385" s="24">
        <f>SUM(AU385:AY385)</f>
        <v>0</v>
      </c>
      <c r="BA385" s="24">
        <f>AH385+AN385+AT385+AZ385</f>
        <v>0</v>
      </c>
      <c r="BB385" s="83">
        <v>43471</v>
      </c>
    </row>
    <row r="386" spans="1:55" ht="15" thickBot="1" x14ac:dyDescent="0.2">
      <c r="A386" s="47"/>
      <c r="B386" s="44"/>
      <c r="C386" s="45"/>
      <c r="D386" s="45"/>
      <c r="E386" s="45"/>
      <c r="F386" s="45"/>
      <c r="G386" s="43">
        <f t="shared" si="131"/>
        <v>0</v>
      </c>
      <c r="H386" s="44"/>
      <c r="I386" s="45"/>
      <c r="J386" s="45"/>
      <c r="K386" s="45"/>
      <c r="L386" s="45"/>
      <c r="M386" s="112">
        <f t="shared" si="132"/>
        <v>0</v>
      </c>
      <c r="N386" s="45"/>
      <c r="O386" s="78"/>
      <c r="P386" s="78"/>
      <c r="Q386" s="78"/>
      <c r="R386" s="79"/>
      <c r="S386" s="113">
        <f>SUM(N386:R386)</f>
        <v>0</v>
      </c>
      <c r="T386" s="45"/>
      <c r="U386" s="78"/>
      <c r="V386" s="78"/>
      <c r="W386" s="78"/>
      <c r="X386" s="79"/>
      <c r="Y386" s="113">
        <f>SUM(T386:X386)</f>
        <v>0</v>
      </c>
      <c r="Z386" s="82">
        <f>G386+M386+S386+Y386</f>
        <v>0</v>
      </c>
      <c r="AA386" s="83"/>
      <c r="AB386" s="21" t="s">
        <v>239</v>
      </c>
      <c r="AC386" s="14"/>
      <c r="AD386" s="15"/>
      <c r="AE386" s="15"/>
      <c r="AF386" s="15"/>
      <c r="AG386" s="15"/>
      <c r="AH386" s="24">
        <f t="shared" si="146"/>
        <v>0</v>
      </c>
      <c r="AI386" s="154"/>
      <c r="AJ386" s="155"/>
      <c r="AK386" s="155"/>
      <c r="AL386" s="155"/>
      <c r="AM386" s="155"/>
      <c r="AN386" s="24">
        <f t="shared" si="147"/>
        <v>0</v>
      </c>
      <c r="AO386" s="15"/>
      <c r="AP386" s="55"/>
      <c r="AQ386" s="55"/>
      <c r="AR386" s="55"/>
      <c r="AS386" s="67"/>
      <c r="AT386" s="24">
        <f t="shared" si="148"/>
        <v>0</v>
      </c>
      <c r="AU386" s="154"/>
      <c r="AV386" s="155"/>
      <c r="AW386" s="155"/>
      <c r="AX386" s="15"/>
      <c r="AY386" s="155"/>
      <c r="AZ386" s="24">
        <f t="shared" si="149"/>
        <v>0</v>
      </c>
      <c r="BA386" s="24">
        <f t="shared" si="150"/>
        <v>0</v>
      </c>
      <c r="BB386" s="128" t="s">
        <v>240</v>
      </c>
    </row>
    <row r="387" spans="1:55" ht="15" thickBot="1" x14ac:dyDescent="0.2">
      <c r="A387" s="9" t="s">
        <v>13</v>
      </c>
      <c r="B387" s="25">
        <f>SUM(B361:B386)</f>
        <v>-1</v>
      </c>
      <c r="C387" s="26">
        <f>SUM(C361:C386)</f>
        <v>1</v>
      </c>
      <c r="D387" s="26">
        <f>SUM(D361:D386)</f>
        <v>1</v>
      </c>
      <c r="E387" s="26">
        <f>SUM(E361:E386)</f>
        <v>0</v>
      </c>
      <c r="F387" s="27">
        <f>SUM(F361:F386)</f>
        <v>0</v>
      </c>
      <c r="G387" s="19">
        <f>SUM(B387:F387)</f>
        <v>1</v>
      </c>
      <c r="H387" s="25">
        <f>SUM(H361:H386)</f>
        <v>0</v>
      </c>
      <c r="I387" s="26">
        <f>SUM(I361:I386)</f>
        <v>-1</v>
      </c>
      <c r="J387" s="26">
        <f>SUM(J361:J386)</f>
        <v>0</v>
      </c>
      <c r="K387" s="26">
        <f>SUM(K361:K386)</f>
        <v>2</v>
      </c>
      <c r="L387" s="27">
        <f>SUM(L361:L386)</f>
        <v>-1</v>
      </c>
      <c r="M387" s="25">
        <f>SUM(H387:L387)</f>
        <v>0</v>
      </c>
      <c r="N387" s="65">
        <f>SUM(N361:N386)</f>
        <v>0</v>
      </c>
      <c r="O387" s="18">
        <f>SUM(O361:O386)</f>
        <v>1</v>
      </c>
      <c r="P387" s="18">
        <f>SUM(P361:P386)</f>
        <v>0</v>
      </c>
      <c r="Q387" s="18">
        <f>SUM(Q361:Q386)</f>
        <v>0</v>
      </c>
      <c r="R387" s="70">
        <f>SUM(R361:R386)</f>
        <v>-1</v>
      </c>
      <c r="S387" s="49">
        <f>SUM(N387:R387)</f>
        <v>0</v>
      </c>
      <c r="T387" s="74">
        <f>SUM(T361:T386)</f>
        <v>1</v>
      </c>
      <c r="U387" s="18">
        <f>SUM(U361:U386)</f>
        <v>1</v>
      </c>
      <c r="V387" s="18">
        <f>SUM(V361:V386)</f>
        <v>0</v>
      </c>
      <c r="W387" s="18">
        <f>SUM(W361:W386)</f>
        <v>1</v>
      </c>
      <c r="X387" s="70">
        <f>SUM(X361:X386)</f>
        <v>3</v>
      </c>
      <c r="Y387" s="49">
        <f>SUM(T387:X387)</f>
        <v>6</v>
      </c>
      <c r="Z387" s="77">
        <f>G387+M387+S387+Y387</f>
        <v>7</v>
      </c>
      <c r="AB387" s="9" t="s">
        <v>13</v>
      </c>
      <c r="AC387" s="25">
        <f>SUM(AC361:AC386)</f>
        <v>15</v>
      </c>
      <c r="AD387" s="26">
        <f>SUM(AD361:AD386)</f>
        <v>23</v>
      </c>
      <c r="AE387" s="26">
        <f>SUM(AE361:AE386)</f>
        <v>19</v>
      </c>
      <c r="AF387" s="26">
        <f>SUM(AF361:AF386)</f>
        <v>22</v>
      </c>
      <c r="AG387" s="27">
        <f>SUM(AG361:AG386)</f>
        <v>31</v>
      </c>
      <c r="AH387" s="19">
        <f t="shared" si="146"/>
        <v>110</v>
      </c>
      <c r="AI387" s="25">
        <f>SUM(AI361:AI386)</f>
        <v>5</v>
      </c>
      <c r="AJ387" s="26">
        <f>SUM(AJ361:AJ386)</f>
        <v>10</v>
      </c>
      <c r="AK387" s="26">
        <f>SUM(AK361:AK386)</f>
        <v>10</v>
      </c>
      <c r="AL387" s="26">
        <f>SUM(AL361:AL386)</f>
        <v>5</v>
      </c>
      <c r="AM387" s="27">
        <f>SUM(AM361:AM386)</f>
        <v>12</v>
      </c>
      <c r="AN387" s="25">
        <f t="shared" si="147"/>
        <v>42</v>
      </c>
      <c r="AO387" s="65">
        <f>SUM(AO361:AO386)</f>
        <v>9</v>
      </c>
      <c r="AP387" s="18">
        <f>SUM(AP361:AP386)</f>
        <v>13</v>
      </c>
      <c r="AQ387" s="18">
        <f>SUM(AQ361:AQ386)</f>
        <v>8</v>
      </c>
      <c r="AR387" s="18">
        <f>SUM(AR361:AR386)</f>
        <v>9</v>
      </c>
      <c r="AS387" s="70">
        <f>SUM(AS361:AS386)</f>
        <v>7</v>
      </c>
      <c r="AT387" s="49">
        <f t="shared" si="148"/>
        <v>46</v>
      </c>
      <c r="AU387" s="74">
        <f>SUM(AU361:AU386)</f>
        <v>1</v>
      </c>
      <c r="AV387" s="18">
        <f>SUM(AV361:AV386)</f>
        <v>11</v>
      </c>
      <c r="AW387" s="18">
        <f>SUM(AW361:AW386)</f>
        <v>12</v>
      </c>
      <c r="AX387" s="18">
        <f>SUM(AX361:AX386)</f>
        <v>6</v>
      </c>
      <c r="AY387" s="70">
        <f>SUM(AY361:AY386)</f>
        <v>13</v>
      </c>
      <c r="AZ387" s="49">
        <f t="shared" si="149"/>
        <v>43</v>
      </c>
      <c r="BA387" s="77">
        <f t="shared" si="150"/>
        <v>241</v>
      </c>
    </row>
    <row r="388" spans="1:55" ht="15" thickBot="1" x14ac:dyDescent="0.2">
      <c r="A388" s="32" t="s">
        <v>14</v>
      </c>
      <c r="B388" s="29">
        <f t="shared" ref="B388:Y388" si="151">B360-B387</f>
        <v>6</v>
      </c>
      <c r="C388" s="30">
        <f t="shared" si="151"/>
        <v>4</v>
      </c>
      <c r="D388" s="30">
        <f t="shared" si="151"/>
        <v>3</v>
      </c>
      <c r="E388" s="30">
        <f t="shared" si="151"/>
        <v>3</v>
      </c>
      <c r="F388" s="31">
        <f t="shared" si="151"/>
        <v>3</v>
      </c>
      <c r="G388" s="31">
        <f t="shared" si="151"/>
        <v>19</v>
      </c>
      <c r="H388" s="29">
        <f t="shared" si="151"/>
        <v>3</v>
      </c>
      <c r="I388" s="30">
        <f t="shared" si="151"/>
        <v>3</v>
      </c>
      <c r="J388" s="30">
        <f t="shared" si="151"/>
        <v>4</v>
      </c>
      <c r="K388" s="30">
        <f t="shared" si="151"/>
        <v>3</v>
      </c>
      <c r="L388" s="31">
        <f t="shared" si="151"/>
        <v>3</v>
      </c>
      <c r="M388" s="66">
        <f t="shared" si="151"/>
        <v>16</v>
      </c>
      <c r="N388" s="29">
        <f t="shared" si="151"/>
        <v>3</v>
      </c>
      <c r="O388" s="30">
        <f t="shared" si="151"/>
        <v>3</v>
      </c>
      <c r="P388" s="30">
        <f t="shared" si="151"/>
        <v>4</v>
      </c>
      <c r="Q388" s="30">
        <f t="shared" si="151"/>
        <v>3</v>
      </c>
      <c r="R388" s="66">
        <f t="shared" si="151"/>
        <v>3</v>
      </c>
      <c r="S388" s="33">
        <f t="shared" si="151"/>
        <v>16</v>
      </c>
      <c r="T388" s="75">
        <f t="shared" si="151"/>
        <v>4</v>
      </c>
      <c r="U388" s="30">
        <f t="shared" si="151"/>
        <v>2</v>
      </c>
      <c r="V388" s="30">
        <f t="shared" si="151"/>
        <v>2</v>
      </c>
      <c r="W388" s="30">
        <f t="shared" si="151"/>
        <v>2</v>
      </c>
      <c r="X388" s="66">
        <f t="shared" si="151"/>
        <v>2</v>
      </c>
      <c r="Y388" s="33">
        <f t="shared" si="151"/>
        <v>12</v>
      </c>
      <c r="Z388" s="77">
        <f>G388+M388+S388+Y388</f>
        <v>63</v>
      </c>
      <c r="AB388" s="32" t="s">
        <v>14</v>
      </c>
      <c r="AC388" s="29">
        <f t="shared" ref="AC388:AZ388" si="152">AC360-AC387</f>
        <v>112</v>
      </c>
      <c r="AD388" s="30">
        <f t="shared" si="152"/>
        <v>109</v>
      </c>
      <c r="AE388" s="30">
        <f t="shared" si="152"/>
        <v>139</v>
      </c>
      <c r="AF388" s="30">
        <f t="shared" si="152"/>
        <v>116</v>
      </c>
      <c r="AG388" s="31">
        <f t="shared" si="152"/>
        <v>92</v>
      </c>
      <c r="AH388" s="31">
        <f t="shared" si="152"/>
        <v>568</v>
      </c>
      <c r="AI388" s="29">
        <f t="shared" si="152"/>
        <v>99</v>
      </c>
      <c r="AJ388" s="30">
        <f t="shared" si="152"/>
        <v>82</v>
      </c>
      <c r="AK388" s="30">
        <f t="shared" si="152"/>
        <v>103</v>
      </c>
      <c r="AL388" s="30">
        <f t="shared" si="152"/>
        <v>114</v>
      </c>
      <c r="AM388" s="31">
        <f t="shared" si="152"/>
        <v>101</v>
      </c>
      <c r="AN388" s="66">
        <f t="shared" si="152"/>
        <v>499</v>
      </c>
      <c r="AO388" s="29">
        <f t="shared" si="152"/>
        <v>96</v>
      </c>
      <c r="AP388" s="30">
        <f t="shared" si="152"/>
        <v>92</v>
      </c>
      <c r="AQ388" s="30">
        <f t="shared" si="152"/>
        <v>76</v>
      </c>
      <c r="AR388" s="30">
        <f t="shared" si="152"/>
        <v>80</v>
      </c>
      <c r="AS388" s="66">
        <f t="shared" si="152"/>
        <v>48</v>
      </c>
      <c r="AT388" s="33">
        <f t="shared" si="152"/>
        <v>392</v>
      </c>
      <c r="AU388" s="75">
        <f t="shared" si="152"/>
        <v>110</v>
      </c>
      <c r="AV388" s="30">
        <f t="shared" si="152"/>
        <v>95</v>
      </c>
      <c r="AW388" s="30">
        <f t="shared" si="152"/>
        <v>78</v>
      </c>
      <c r="AX388" s="30">
        <f t="shared" si="152"/>
        <v>92</v>
      </c>
      <c r="AY388" s="66">
        <f t="shared" si="152"/>
        <v>44</v>
      </c>
      <c r="AZ388" s="33">
        <f t="shared" si="152"/>
        <v>419</v>
      </c>
      <c r="BA388" s="77">
        <f t="shared" si="150"/>
        <v>1878</v>
      </c>
    </row>
    <row r="389" spans="1:55" x14ac:dyDescent="0.15"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</row>
    <row r="390" spans="1:55" x14ac:dyDescent="0.15"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</row>
    <row r="391" spans="1:55" ht="19.5" thickBot="1" x14ac:dyDescent="0.25">
      <c r="A391" s="1" t="s">
        <v>15</v>
      </c>
      <c r="AB391" s="1" t="s">
        <v>16</v>
      </c>
    </row>
    <row r="392" spans="1:55" ht="15" thickBot="1" x14ac:dyDescent="0.2">
      <c r="A392" s="4"/>
      <c r="B392" s="245" t="s">
        <v>17</v>
      </c>
      <c r="C392" s="246"/>
      <c r="D392" s="246"/>
      <c r="E392" s="246"/>
      <c r="F392" s="246"/>
      <c r="G392" s="247"/>
      <c r="H392" s="245" t="s">
        <v>18</v>
      </c>
      <c r="I392" s="246"/>
      <c r="J392" s="246"/>
      <c r="K392" s="246"/>
      <c r="L392" s="246"/>
      <c r="M392" s="247"/>
      <c r="N392" s="248" t="s">
        <v>27</v>
      </c>
      <c r="O392" s="249"/>
      <c r="P392" s="249"/>
      <c r="Q392" s="249"/>
      <c r="R392" s="249"/>
      <c r="S392" s="250"/>
      <c r="T392" s="248" t="s">
        <v>28</v>
      </c>
      <c r="U392" s="249"/>
      <c r="V392" s="249"/>
      <c r="W392" s="249"/>
      <c r="X392" s="249"/>
      <c r="Y392" s="250"/>
      <c r="Z392" s="251" t="s">
        <v>1</v>
      </c>
      <c r="AB392" s="4"/>
      <c r="AC392" s="253" t="s">
        <v>17</v>
      </c>
      <c r="AD392" s="249"/>
      <c r="AE392" s="249"/>
      <c r="AF392" s="249"/>
      <c r="AG392" s="249"/>
      <c r="AH392" s="250"/>
      <c r="AI392" s="248" t="s">
        <v>18</v>
      </c>
      <c r="AJ392" s="249"/>
      <c r="AK392" s="249"/>
      <c r="AL392" s="249"/>
      <c r="AM392" s="249"/>
      <c r="AN392" s="250"/>
      <c r="AO392" s="248" t="s">
        <v>27</v>
      </c>
      <c r="AP392" s="249"/>
      <c r="AQ392" s="249"/>
      <c r="AR392" s="249"/>
      <c r="AS392" s="249"/>
      <c r="AT392" s="250"/>
      <c r="AU392" s="248" t="s">
        <v>28</v>
      </c>
      <c r="AV392" s="249"/>
      <c r="AW392" s="249"/>
      <c r="AX392" s="249"/>
      <c r="AY392" s="249"/>
      <c r="AZ392" s="250"/>
      <c r="BA392" s="243" t="s">
        <v>1</v>
      </c>
    </row>
    <row r="393" spans="1:55" ht="15" thickBot="1" x14ac:dyDescent="0.2">
      <c r="A393" s="9" t="s">
        <v>2</v>
      </c>
      <c r="B393" s="6" t="s">
        <v>3</v>
      </c>
      <c r="C393" s="7" t="s">
        <v>4</v>
      </c>
      <c r="D393" s="7" t="s">
        <v>5</v>
      </c>
      <c r="E393" s="48" t="s">
        <v>20</v>
      </c>
      <c r="F393" s="8" t="s">
        <v>21</v>
      </c>
      <c r="G393" s="5" t="s">
        <v>6</v>
      </c>
      <c r="H393" s="6" t="s">
        <v>3</v>
      </c>
      <c r="I393" s="7" t="s">
        <v>4</v>
      </c>
      <c r="J393" s="7" t="s">
        <v>5</v>
      </c>
      <c r="K393" s="48" t="s">
        <v>20</v>
      </c>
      <c r="L393" s="8" t="s">
        <v>21</v>
      </c>
      <c r="M393" s="5" t="s">
        <v>6</v>
      </c>
      <c r="N393" s="6" t="s">
        <v>3</v>
      </c>
      <c r="O393" s="7" t="s">
        <v>4</v>
      </c>
      <c r="P393" s="7" t="s">
        <v>5</v>
      </c>
      <c r="Q393" s="48" t="s">
        <v>20</v>
      </c>
      <c r="R393" s="8" t="s">
        <v>21</v>
      </c>
      <c r="S393" s="5" t="s">
        <v>6</v>
      </c>
      <c r="T393" s="7" t="s">
        <v>3</v>
      </c>
      <c r="U393" s="7" t="s">
        <v>4</v>
      </c>
      <c r="V393" s="7" t="s">
        <v>5</v>
      </c>
      <c r="W393" s="48" t="s">
        <v>20</v>
      </c>
      <c r="X393" s="109" t="s">
        <v>21</v>
      </c>
      <c r="Y393" s="62" t="s">
        <v>6</v>
      </c>
      <c r="Z393" s="252"/>
      <c r="AB393" s="9" t="s">
        <v>2</v>
      </c>
      <c r="AC393" s="6" t="s">
        <v>3</v>
      </c>
      <c r="AD393" s="7" t="s">
        <v>4</v>
      </c>
      <c r="AE393" s="7" t="s">
        <v>5</v>
      </c>
      <c r="AF393" s="48" t="s">
        <v>20</v>
      </c>
      <c r="AG393" s="8" t="s">
        <v>21</v>
      </c>
      <c r="AH393" s="5" t="s">
        <v>6</v>
      </c>
      <c r="AI393" s="6" t="s">
        <v>3</v>
      </c>
      <c r="AJ393" s="7" t="s">
        <v>4</v>
      </c>
      <c r="AK393" s="7" t="s">
        <v>5</v>
      </c>
      <c r="AL393" s="48" t="s">
        <v>20</v>
      </c>
      <c r="AM393" s="8" t="s">
        <v>21</v>
      </c>
      <c r="AN393" s="5" t="s">
        <v>6</v>
      </c>
      <c r="AO393" s="6" t="s">
        <v>3</v>
      </c>
      <c r="AP393" s="7" t="s">
        <v>4</v>
      </c>
      <c r="AQ393" s="7" t="s">
        <v>5</v>
      </c>
      <c r="AR393" s="48" t="s">
        <v>20</v>
      </c>
      <c r="AS393" s="8" t="s">
        <v>21</v>
      </c>
      <c r="AT393" s="5" t="s">
        <v>6</v>
      </c>
      <c r="AU393" s="7" t="s">
        <v>3</v>
      </c>
      <c r="AV393" s="7" t="s">
        <v>4</v>
      </c>
      <c r="AW393" s="7" t="s">
        <v>5</v>
      </c>
      <c r="AX393" s="48" t="s">
        <v>20</v>
      </c>
      <c r="AY393" s="109" t="s">
        <v>21</v>
      </c>
      <c r="AZ393" s="62" t="s">
        <v>6</v>
      </c>
      <c r="BA393" s="244"/>
    </row>
    <row r="394" spans="1:55" ht="14.25" x14ac:dyDescent="0.15">
      <c r="A394" s="103" t="s">
        <v>43</v>
      </c>
      <c r="B394" s="104">
        <f>B388</f>
        <v>6</v>
      </c>
      <c r="C394" s="105">
        <f>C388</f>
        <v>4</v>
      </c>
      <c r="D394" s="105">
        <f>D388</f>
        <v>3</v>
      </c>
      <c r="E394" s="105">
        <f>E388</f>
        <v>3</v>
      </c>
      <c r="F394" s="105">
        <f>F388</f>
        <v>3</v>
      </c>
      <c r="G394" s="106">
        <f t="shared" ref="G394:G425" si="153">SUM(B394:F394)</f>
        <v>19</v>
      </c>
      <c r="H394" s="104">
        <f>H388</f>
        <v>3</v>
      </c>
      <c r="I394" s="105">
        <f>I388</f>
        <v>3</v>
      </c>
      <c r="J394" s="105">
        <f>J388</f>
        <v>4</v>
      </c>
      <c r="K394" s="105">
        <f>K388</f>
        <v>3</v>
      </c>
      <c r="L394" s="105">
        <f>L388</f>
        <v>3</v>
      </c>
      <c r="M394" s="107">
        <f t="shared" ref="M394:M425" si="154">SUM(H394:L394)</f>
        <v>16</v>
      </c>
      <c r="N394" s="104">
        <f>N388</f>
        <v>3</v>
      </c>
      <c r="O394" s="105">
        <f>O388</f>
        <v>3</v>
      </c>
      <c r="P394" s="105">
        <f>P388</f>
        <v>4</v>
      </c>
      <c r="Q394" s="105">
        <f>Q388</f>
        <v>3</v>
      </c>
      <c r="R394" s="105">
        <f>R388</f>
        <v>3</v>
      </c>
      <c r="S394" s="108">
        <f t="shared" ref="S394:S423" si="155">SUM(N394:R394)</f>
        <v>16</v>
      </c>
      <c r="T394" s="104">
        <f>T388</f>
        <v>4</v>
      </c>
      <c r="U394" s="105">
        <f>U388</f>
        <v>2</v>
      </c>
      <c r="V394" s="105">
        <f>V388</f>
        <v>2</v>
      </c>
      <c r="W394" s="105">
        <f>W388</f>
        <v>2</v>
      </c>
      <c r="X394" s="105">
        <f>X388</f>
        <v>2</v>
      </c>
      <c r="Y394" s="106">
        <f t="shared" ref="Y394:Y423" si="156">SUM(T394:X394)</f>
        <v>12</v>
      </c>
      <c r="Z394" s="106">
        <f t="shared" ref="Z394:Z423" si="157">G394+M394+S394+Y394</f>
        <v>63</v>
      </c>
      <c r="AB394" s="103" t="s">
        <v>43</v>
      </c>
      <c r="AC394" s="104">
        <f>AC388</f>
        <v>112</v>
      </c>
      <c r="AD394" s="105">
        <f>AD388</f>
        <v>109</v>
      </c>
      <c r="AE394" s="105">
        <f>AE388</f>
        <v>139</v>
      </c>
      <c r="AF394" s="105">
        <f>AF388</f>
        <v>116</v>
      </c>
      <c r="AG394" s="105">
        <f>AG388</f>
        <v>92</v>
      </c>
      <c r="AH394" s="106">
        <f>SUM(AC394:AG394)</f>
        <v>568</v>
      </c>
      <c r="AI394" s="104">
        <f>AI388</f>
        <v>99</v>
      </c>
      <c r="AJ394" s="105">
        <f>AJ388</f>
        <v>82</v>
      </c>
      <c r="AK394" s="105">
        <f>AK388</f>
        <v>103</v>
      </c>
      <c r="AL394" s="105">
        <f>AL388</f>
        <v>114</v>
      </c>
      <c r="AM394" s="105">
        <f>AM388</f>
        <v>101</v>
      </c>
      <c r="AN394" s="107">
        <f>SUM(AI394:AM394)</f>
        <v>499</v>
      </c>
      <c r="AO394" s="104">
        <f>AO388</f>
        <v>96</v>
      </c>
      <c r="AP394" s="105">
        <f>AP388</f>
        <v>92</v>
      </c>
      <c r="AQ394" s="105">
        <f>AQ388</f>
        <v>76</v>
      </c>
      <c r="AR394" s="105">
        <f>AR388</f>
        <v>80</v>
      </c>
      <c r="AS394" s="105">
        <f>AS388</f>
        <v>48</v>
      </c>
      <c r="AT394" s="108">
        <f>SUM(AO394:AS394)</f>
        <v>392</v>
      </c>
      <c r="AU394" s="104">
        <f>AU388</f>
        <v>110</v>
      </c>
      <c r="AV394" s="105">
        <f>AV388</f>
        <v>95</v>
      </c>
      <c r="AW394" s="105">
        <f>AW388</f>
        <v>78</v>
      </c>
      <c r="AX394" s="105">
        <f>AX388</f>
        <v>92</v>
      </c>
      <c r="AY394" s="105">
        <f>AY388</f>
        <v>44</v>
      </c>
      <c r="AZ394" s="106">
        <f>SUM(AU394:AY394)</f>
        <v>419</v>
      </c>
      <c r="BA394" s="106">
        <f t="shared" ref="BA394:BA420" si="158">AH394+AN394+AT394+AZ394</f>
        <v>1878</v>
      </c>
    </row>
    <row r="395" spans="1:55" ht="14.25" x14ac:dyDescent="0.15">
      <c r="A395" s="10" t="s">
        <v>33</v>
      </c>
      <c r="B395" s="14"/>
      <c r="C395" s="15"/>
      <c r="D395" s="15"/>
      <c r="E395" s="15">
        <v>1</v>
      </c>
      <c r="F395" s="15">
        <v>1</v>
      </c>
      <c r="G395" s="16">
        <f t="shared" si="153"/>
        <v>2</v>
      </c>
      <c r="H395" s="14">
        <v>1</v>
      </c>
      <c r="I395" s="15">
        <v>1</v>
      </c>
      <c r="J395" s="15">
        <v>1</v>
      </c>
      <c r="K395" s="15"/>
      <c r="L395" s="15"/>
      <c r="M395" s="57">
        <f t="shared" si="154"/>
        <v>3</v>
      </c>
      <c r="N395" s="14"/>
      <c r="O395" s="55"/>
      <c r="P395" s="55"/>
      <c r="Q395" s="55"/>
      <c r="R395" s="67"/>
      <c r="S395" s="24">
        <f t="shared" si="155"/>
        <v>0</v>
      </c>
      <c r="T395" s="15"/>
      <c r="U395" s="55"/>
      <c r="V395" s="55"/>
      <c r="W395" s="55"/>
      <c r="X395" s="67"/>
      <c r="Y395" s="24">
        <f t="shared" si="156"/>
        <v>0</v>
      </c>
      <c r="Z395" s="24">
        <f t="shared" si="157"/>
        <v>5</v>
      </c>
      <c r="AA395" s="93">
        <v>43848</v>
      </c>
      <c r="AB395" s="10" t="s">
        <v>217</v>
      </c>
      <c r="AC395" s="14">
        <v>25</v>
      </c>
      <c r="AD395" s="15">
        <v>25</v>
      </c>
      <c r="AE395" s="15">
        <v>25</v>
      </c>
      <c r="AF395" s="15">
        <v>25</v>
      </c>
      <c r="AG395" s="15">
        <v>50</v>
      </c>
      <c r="AH395" s="16">
        <f>SUM(AC395:AG395)</f>
        <v>150</v>
      </c>
      <c r="AI395" s="14"/>
      <c r="AJ395" s="15"/>
      <c r="AK395" s="15"/>
      <c r="AL395" s="15"/>
      <c r="AM395" s="15"/>
      <c r="AN395" s="57">
        <f>SUM(AI395:AM395)</f>
        <v>0</v>
      </c>
      <c r="AO395" s="14">
        <v>0</v>
      </c>
      <c r="AP395" s="55">
        <v>0</v>
      </c>
      <c r="AQ395" s="55">
        <v>25</v>
      </c>
      <c r="AR395" s="55">
        <v>25</v>
      </c>
      <c r="AS395" s="67">
        <v>50</v>
      </c>
      <c r="AT395" s="24">
        <f>SUM(AO395:AS395)</f>
        <v>100</v>
      </c>
      <c r="AU395" s="15">
        <v>0</v>
      </c>
      <c r="AV395" s="55">
        <v>25</v>
      </c>
      <c r="AW395" s="55">
        <v>25</v>
      </c>
      <c r="AX395" s="55">
        <v>25</v>
      </c>
      <c r="AY395" s="67">
        <v>50</v>
      </c>
      <c r="AZ395" s="24">
        <f>SUM(AU395:AY395)</f>
        <v>125</v>
      </c>
      <c r="BA395" s="24">
        <f t="shared" si="158"/>
        <v>375</v>
      </c>
      <c r="BB395" s="83">
        <v>43861</v>
      </c>
      <c r="BC395" s="111" t="s">
        <v>312</v>
      </c>
    </row>
    <row r="396" spans="1:55" ht="14.25" x14ac:dyDescent="0.15">
      <c r="A396" s="10" t="s">
        <v>275</v>
      </c>
      <c r="B396" s="41"/>
      <c r="C396" s="42"/>
      <c r="D396" s="42"/>
      <c r="E396" s="42"/>
      <c r="F396" s="42"/>
      <c r="G396" s="37">
        <f t="shared" si="153"/>
        <v>0</v>
      </c>
      <c r="H396" s="41"/>
      <c r="I396" s="42"/>
      <c r="J396" s="42"/>
      <c r="K396" s="42"/>
      <c r="L396" s="42"/>
      <c r="M396" s="114">
        <f t="shared" si="154"/>
        <v>0</v>
      </c>
      <c r="N396" s="41"/>
      <c r="O396" s="53"/>
      <c r="P396" s="53"/>
      <c r="Q396" s="53"/>
      <c r="R396" s="72"/>
      <c r="S396" s="24">
        <f t="shared" si="155"/>
        <v>0</v>
      </c>
      <c r="T396" s="42"/>
      <c r="U396" s="53"/>
      <c r="V396" s="53"/>
      <c r="W396" s="53"/>
      <c r="X396" s="72">
        <v>2</v>
      </c>
      <c r="Y396" s="24">
        <f t="shared" si="156"/>
        <v>2</v>
      </c>
      <c r="Z396" s="24">
        <f t="shared" si="157"/>
        <v>2</v>
      </c>
      <c r="AA396" s="93">
        <v>43850</v>
      </c>
      <c r="AB396" s="10" t="s">
        <v>216</v>
      </c>
      <c r="AC396" s="14">
        <v>24</v>
      </c>
      <c r="AD396" s="15">
        <v>25</v>
      </c>
      <c r="AE396" s="15">
        <v>25</v>
      </c>
      <c r="AF396" s="15">
        <v>50</v>
      </c>
      <c r="AG396" s="15">
        <v>74</v>
      </c>
      <c r="AH396" s="16">
        <f>SUM(AC396:AG396)</f>
        <v>198</v>
      </c>
      <c r="AI396" s="14"/>
      <c r="AJ396" s="15"/>
      <c r="AK396" s="15"/>
      <c r="AL396" s="15"/>
      <c r="AM396" s="15"/>
      <c r="AN396" s="57">
        <f>SUM(AI396:AM396)</f>
        <v>0</v>
      </c>
      <c r="AO396" s="14">
        <v>25</v>
      </c>
      <c r="AP396" s="55">
        <v>24</v>
      </c>
      <c r="AQ396" s="55">
        <v>25</v>
      </c>
      <c r="AR396" s="55">
        <v>49</v>
      </c>
      <c r="AS396" s="67">
        <v>75</v>
      </c>
      <c r="AT396" s="24">
        <f>SUM(AO396:AS396)</f>
        <v>198</v>
      </c>
      <c r="AU396" s="15">
        <v>25</v>
      </c>
      <c r="AV396" s="55">
        <v>25</v>
      </c>
      <c r="AW396" s="55">
        <v>24</v>
      </c>
      <c r="AX396" s="55">
        <v>25</v>
      </c>
      <c r="AY396" s="67">
        <v>75</v>
      </c>
      <c r="AZ396" s="24">
        <f>SUM(AU396:AY396)</f>
        <v>174</v>
      </c>
      <c r="BA396" s="24">
        <f t="shared" si="158"/>
        <v>570</v>
      </c>
      <c r="BB396" s="83">
        <v>43861</v>
      </c>
      <c r="BC396" s="2" t="s">
        <v>333</v>
      </c>
    </row>
    <row r="397" spans="1:55" ht="14.25" x14ac:dyDescent="0.15">
      <c r="A397" s="94" t="s">
        <v>281</v>
      </c>
      <c r="B397" s="14"/>
      <c r="C397" s="15">
        <v>1</v>
      </c>
      <c r="D397" s="15"/>
      <c r="E397" s="15"/>
      <c r="F397" s="15"/>
      <c r="G397" s="16">
        <f t="shared" si="153"/>
        <v>1</v>
      </c>
      <c r="H397" s="14"/>
      <c r="I397" s="15"/>
      <c r="J397" s="15"/>
      <c r="K397" s="15"/>
      <c r="L397" s="15"/>
      <c r="M397" s="57">
        <f t="shared" si="154"/>
        <v>0</v>
      </c>
      <c r="N397" s="14"/>
      <c r="O397" s="55"/>
      <c r="P397" s="55"/>
      <c r="Q397" s="55"/>
      <c r="R397" s="67"/>
      <c r="S397" s="24">
        <f t="shared" si="155"/>
        <v>0</v>
      </c>
      <c r="T397" s="15"/>
      <c r="U397" s="55"/>
      <c r="V397" s="55"/>
      <c r="W397" s="55"/>
      <c r="X397" s="67"/>
      <c r="Y397" s="24">
        <f t="shared" si="156"/>
        <v>0</v>
      </c>
      <c r="Z397" s="24">
        <f t="shared" si="157"/>
        <v>1</v>
      </c>
      <c r="AA397" s="93">
        <v>43857</v>
      </c>
      <c r="AB397" s="10" t="s">
        <v>126</v>
      </c>
      <c r="AC397" s="14"/>
      <c r="AD397" s="15"/>
      <c r="AE397" s="15"/>
      <c r="AF397" s="15"/>
      <c r="AG397" s="15"/>
      <c r="AH397" s="16">
        <f t="shared" ref="AH397:AH420" si="159">SUM(AC397:AG397)</f>
        <v>0</v>
      </c>
      <c r="AI397" s="14"/>
      <c r="AJ397" s="15"/>
      <c r="AK397" s="15"/>
      <c r="AL397" s="15"/>
      <c r="AM397" s="15"/>
      <c r="AN397" s="57">
        <f t="shared" ref="AN397:AN420" si="160">SUM(AI397:AM397)</f>
        <v>0</v>
      </c>
      <c r="AO397" s="14"/>
      <c r="AP397" s="55"/>
      <c r="AQ397" s="55"/>
      <c r="AR397" s="55"/>
      <c r="AS397" s="67"/>
      <c r="AT397" s="24">
        <f t="shared" ref="AT397:AT420" si="161">SUM(AO397:AS397)</f>
        <v>0</v>
      </c>
      <c r="AU397" s="15"/>
      <c r="AV397" s="55"/>
      <c r="AW397" s="55"/>
      <c r="AX397" s="55"/>
      <c r="AY397" s="67">
        <v>2</v>
      </c>
      <c r="AZ397" s="24">
        <f t="shared" ref="AZ397:AZ420" si="162">SUM(AU397:AY397)</f>
        <v>2</v>
      </c>
      <c r="BA397" s="24">
        <f t="shared" si="158"/>
        <v>2</v>
      </c>
      <c r="BB397" s="83">
        <v>43862</v>
      </c>
    </row>
    <row r="398" spans="1:55" ht="15" thickBot="1" x14ac:dyDescent="0.2">
      <c r="A398" s="10" t="s">
        <v>33</v>
      </c>
      <c r="B398" s="14"/>
      <c r="C398" s="15"/>
      <c r="D398" s="15">
        <v>1</v>
      </c>
      <c r="E398" s="15"/>
      <c r="F398" s="15"/>
      <c r="G398" s="16">
        <f t="shared" si="153"/>
        <v>1</v>
      </c>
      <c r="H398" s="14">
        <v>1</v>
      </c>
      <c r="I398" s="15"/>
      <c r="J398" s="15">
        <v>1</v>
      </c>
      <c r="K398" s="15"/>
      <c r="L398" s="15"/>
      <c r="M398" s="57">
        <f t="shared" si="154"/>
        <v>2</v>
      </c>
      <c r="N398" s="63"/>
      <c r="O398" s="64"/>
      <c r="P398" s="64"/>
      <c r="Q398" s="64"/>
      <c r="R398" s="69"/>
      <c r="S398" s="82">
        <f t="shared" si="155"/>
        <v>0</v>
      </c>
      <c r="T398" s="73"/>
      <c r="U398" s="64"/>
      <c r="V398" s="64"/>
      <c r="W398" s="64"/>
      <c r="X398" s="69"/>
      <c r="Y398" s="82">
        <f t="shared" si="156"/>
        <v>0</v>
      </c>
      <c r="Z398" s="82">
        <f t="shared" si="157"/>
        <v>3</v>
      </c>
      <c r="AA398" s="93">
        <v>43871</v>
      </c>
      <c r="AB398" s="10" t="s">
        <v>126</v>
      </c>
      <c r="AC398" s="14"/>
      <c r="AD398" s="15"/>
      <c r="AE398" s="15">
        <v>1</v>
      </c>
      <c r="AF398" s="15"/>
      <c r="AG398" s="15"/>
      <c r="AH398" s="16">
        <f t="shared" si="159"/>
        <v>1</v>
      </c>
      <c r="AI398" s="14">
        <v>1</v>
      </c>
      <c r="AJ398" s="15"/>
      <c r="AK398" s="15">
        <v>1</v>
      </c>
      <c r="AL398" s="15"/>
      <c r="AM398" s="15"/>
      <c r="AN398" s="57">
        <f t="shared" si="160"/>
        <v>2</v>
      </c>
      <c r="AO398" s="63"/>
      <c r="AP398" s="64"/>
      <c r="AQ398" s="64"/>
      <c r="AR398" s="64"/>
      <c r="AS398" s="69"/>
      <c r="AT398" s="82">
        <f t="shared" si="161"/>
        <v>0</v>
      </c>
      <c r="AU398" s="73"/>
      <c r="AV398" s="64"/>
      <c r="AW398" s="64"/>
      <c r="AX398" s="64"/>
      <c r="AY398" s="69"/>
      <c r="AZ398" s="82">
        <f t="shared" si="162"/>
        <v>0</v>
      </c>
      <c r="BA398" s="82">
        <f t="shared" si="158"/>
        <v>3</v>
      </c>
      <c r="BB398" s="83">
        <v>43876</v>
      </c>
    </row>
    <row r="399" spans="1:55" ht="15" thickBot="1" x14ac:dyDescent="0.2">
      <c r="A399" s="4" t="s">
        <v>12</v>
      </c>
      <c r="B399" s="17">
        <f>SUM(B394:B398)</f>
        <v>6</v>
      </c>
      <c r="C399" s="18">
        <f>SUM(C394:C398)</f>
        <v>5</v>
      </c>
      <c r="D399" s="18">
        <f>SUM(D394:D398)</f>
        <v>4</v>
      </c>
      <c r="E399" s="18">
        <f>SUM(E394:E398)</f>
        <v>4</v>
      </c>
      <c r="F399" s="18">
        <f>SUM(F394:F398)</f>
        <v>4</v>
      </c>
      <c r="G399" s="19">
        <f t="shared" si="153"/>
        <v>23</v>
      </c>
      <c r="H399" s="17">
        <f>SUM(H394:H398)</f>
        <v>5</v>
      </c>
      <c r="I399" s="18">
        <f>SUM(I394:I398)</f>
        <v>4</v>
      </c>
      <c r="J399" s="18">
        <f>SUM(J394:J398)</f>
        <v>6</v>
      </c>
      <c r="K399" s="18">
        <f>SUM(K394:K398)</f>
        <v>3</v>
      </c>
      <c r="L399" s="18">
        <f>SUM(L394:L398)</f>
        <v>3</v>
      </c>
      <c r="M399" s="25">
        <f t="shared" si="154"/>
        <v>21</v>
      </c>
      <c r="N399" s="65">
        <f>SUM(N394:N398)</f>
        <v>3</v>
      </c>
      <c r="O399" s="18">
        <f>SUM(O394:O398)</f>
        <v>3</v>
      </c>
      <c r="P399" s="18">
        <f>SUM(P394:P398)</f>
        <v>4</v>
      </c>
      <c r="Q399" s="18">
        <f>SUM(Q394:Q398)</f>
        <v>3</v>
      </c>
      <c r="R399" s="70">
        <f>SUM(R394:R398)</f>
        <v>3</v>
      </c>
      <c r="S399" s="49">
        <f t="shared" si="155"/>
        <v>16</v>
      </c>
      <c r="T399" s="74">
        <f>SUM(T394:T398)</f>
        <v>4</v>
      </c>
      <c r="U399" s="18">
        <f>SUM(U394:U398)</f>
        <v>2</v>
      </c>
      <c r="V399" s="18">
        <f>SUM(V394:V398)</f>
        <v>2</v>
      </c>
      <c r="W399" s="18">
        <f>SUM(W394:W398)</f>
        <v>2</v>
      </c>
      <c r="X399" s="70">
        <f>SUM(X394:X398)</f>
        <v>4</v>
      </c>
      <c r="Y399" s="49">
        <f t="shared" si="156"/>
        <v>14</v>
      </c>
      <c r="Z399" s="33">
        <f t="shared" si="157"/>
        <v>74</v>
      </c>
      <c r="AB399" s="4" t="s">
        <v>12</v>
      </c>
      <c r="AC399" s="17">
        <f>SUM(AC394:AC398)</f>
        <v>161</v>
      </c>
      <c r="AD399" s="18">
        <f>SUM(AD394:AD398)</f>
        <v>159</v>
      </c>
      <c r="AE399" s="18">
        <f>SUM(AE394:AE398)</f>
        <v>190</v>
      </c>
      <c r="AF399" s="18">
        <f>SUM(AF394:AF398)</f>
        <v>191</v>
      </c>
      <c r="AG399" s="18">
        <f>SUM(AG394:AG398)</f>
        <v>216</v>
      </c>
      <c r="AH399" s="148">
        <f t="shared" si="159"/>
        <v>917</v>
      </c>
      <c r="AI399" s="17">
        <f>SUM(AI394:AI398)</f>
        <v>100</v>
      </c>
      <c r="AJ399" s="18">
        <f>SUM(AJ394:AJ398)</f>
        <v>82</v>
      </c>
      <c r="AK399" s="18">
        <f>SUM(AK394:AK398)</f>
        <v>104</v>
      </c>
      <c r="AL399" s="18">
        <f>SUM(AL394:AL398)</f>
        <v>114</v>
      </c>
      <c r="AM399" s="18">
        <f>SUM(AM394:AM398)</f>
        <v>101</v>
      </c>
      <c r="AN399" s="148">
        <f t="shared" si="160"/>
        <v>501</v>
      </c>
      <c r="AO399" s="65">
        <f>SUM(AO394:AO398)</f>
        <v>121</v>
      </c>
      <c r="AP399" s="18">
        <f>SUM(AP394:AP398)</f>
        <v>116</v>
      </c>
      <c r="AQ399" s="18">
        <f>SUM(AQ394:AQ398)</f>
        <v>126</v>
      </c>
      <c r="AR399" s="18">
        <f>SUM(AR394:AR398)</f>
        <v>154</v>
      </c>
      <c r="AS399" s="70">
        <f>SUM(AS394:AS398)</f>
        <v>173</v>
      </c>
      <c r="AT399" s="49">
        <f t="shared" si="161"/>
        <v>690</v>
      </c>
      <c r="AU399" s="74">
        <f>SUM(AU394:AU398)</f>
        <v>135</v>
      </c>
      <c r="AV399" s="18">
        <f>SUM(AV394:AV398)</f>
        <v>145</v>
      </c>
      <c r="AW399" s="18">
        <f>SUM(AW394:AW398)</f>
        <v>127</v>
      </c>
      <c r="AX399" s="18">
        <f>SUM(AX394:AX398)</f>
        <v>142</v>
      </c>
      <c r="AY399" s="70">
        <f>SUM(AY394:AY398)</f>
        <v>171</v>
      </c>
      <c r="AZ399" s="49">
        <f t="shared" si="162"/>
        <v>720</v>
      </c>
      <c r="BA399" s="33">
        <f t="shared" si="158"/>
        <v>2828</v>
      </c>
    </row>
    <row r="400" spans="1:55" ht="14.25" x14ac:dyDescent="0.15">
      <c r="A400" s="23" t="s">
        <v>284</v>
      </c>
      <c r="B400" s="34"/>
      <c r="C400" s="35"/>
      <c r="D400" s="35"/>
      <c r="E400" s="35"/>
      <c r="F400" s="35"/>
      <c r="G400" s="36">
        <f t="shared" si="153"/>
        <v>0</v>
      </c>
      <c r="H400" s="34"/>
      <c r="I400" s="35"/>
      <c r="J400" s="35"/>
      <c r="K400" s="35"/>
      <c r="L400" s="35"/>
      <c r="M400" s="36">
        <f t="shared" si="154"/>
        <v>0</v>
      </c>
      <c r="N400" s="39"/>
      <c r="O400" s="56"/>
      <c r="P400" s="56"/>
      <c r="Q400" s="56"/>
      <c r="R400" s="71"/>
      <c r="S400" s="16">
        <f t="shared" si="155"/>
        <v>0</v>
      </c>
      <c r="T400" s="39"/>
      <c r="U400" s="56"/>
      <c r="V400" s="56"/>
      <c r="W400" s="56"/>
      <c r="X400" s="71">
        <v>2</v>
      </c>
      <c r="Y400" s="16">
        <f t="shared" si="156"/>
        <v>2</v>
      </c>
      <c r="Z400" s="16">
        <f t="shared" si="157"/>
        <v>2</v>
      </c>
      <c r="AA400" s="93">
        <v>43862</v>
      </c>
      <c r="AB400" s="23" t="s">
        <v>290</v>
      </c>
      <c r="AC400" s="14">
        <v>5</v>
      </c>
      <c r="AD400" s="15">
        <v>5</v>
      </c>
      <c r="AE400" s="15">
        <v>5</v>
      </c>
      <c r="AF400" s="15">
        <v>5</v>
      </c>
      <c r="AG400" s="15">
        <v>5</v>
      </c>
      <c r="AH400" s="24">
        <f t="shared" si="159"/>
        <v>25</v>
      </c>
      <c r="AI400" s="14"/>
      <c r="AJ400" s="15"/>
      <c r="AK400" s="15"/>
      <c r="AL400" s="15"/>
      <c r="AM400" s="15"/>
      <c r="AN400" s="24">
        <f t="shared" si="160"/>
        <v>0</v>
      </c>
      <c r="AO400" s="15"/>
      <c r="AP400" s="55"/>
      <c r="AQ400" s="55"/>
      <c r="AR400" s="55"/>
      <c r="AS400" s="67"/>
      <c r="AT400" s="24">
        <f t="shared" si="161"/>
        <v>0</v>
      </c>
      <c r="AU400" s="15"/>
      <c r="AV400" s="55"/>
      <c r="AW400" s="55"/>
      <c r="AX400" s="55"/>
      <c r="AY400" s="67"/>
      <c r="AZ400" s="24">
        <f t="shared" si="162"/>
        <v>0</v>
      </c>
      <c r="BA400" s="24">
        <f t="shared" si="158"/>
        <v>25</v>
      </c>
      <c r="BB400" s="83">
        <v>43865</v>
      </c>
    </row>
    <row r="401" spans="1:55" ht="14.25" x14ac:dyDescent="0.15">
      <c r="A401" s="23" t="s">
        <v>286</v>
      </c>
      <c r="B401" s="41"/>
      <c r="C401" s="42"/>
      <c r="D401" s="42"/>
      <c r="E401" s="42"/>
      <c r="F401" s="42"/>
      <c r="G401" s="43">
        <f t="shared" si="153"/>
        <v>0</v>
      </c>
      <c r="H401" s="41"/>
      <c r="I401" s="42"/>
      <c r="J401" s="42"/>
      <c r="K401" s="42">
        <v>1</v>
      </c>
      <c r="L401" s="42"/>
      <c r="M401" s="43">
        <f t="shared" si="154"/>
        <v>1</v>
      </c>
      <c r="N401" s="42"/>
      <c r="O401" s="53"/>
      <c r="P401" s="53"/>
      <c r="Q401" s="53"/>
      <c r="R401" s="72"/>
      <c r="S401" s="24">
        <f t="shared" si="155"/>
        <v>0</v>
      </c>
      <c r="T401" s="42"/>
      <c r="U401" s="53"/>
      <c r="V401" s="53"/>
      <c r="W401" s="53"/>
      <c r="X401" s="72"/>
      <c r="Y401" s="24">
        <f t="shared" si="156"/>
        <v>0</v>
      </c>
      <c r="Z401" s="24">
        <f t="shared" si="157"/>
        <v>1</v>
      </c>
      <c r="AA401" s="83">
        <v>43865</v>
      </c>
      <c r="AB401" s="21" t="s">
        <v>29</v>
      </c>
      <c r="AC401" s="14">
        <v>5</v>
      </c>
      <c r="AD401" s="15"/>
      <c r="AE401" s="15"/>
      <c r="AF401" s="15"/>
      <c r="AG401" s="15"/>
      <c r="AH401" s="24">
        <f t="shared" si="159"/>
        <v>5</v>
      </c>
      <c r="AI401" s="14"/>
      <c r="AJ401" s="15"/>
      <c r="AK401" s="15"/>
      <c r="AL401" s="15"/>
      <c r="AM401" s="15"/>
      <c r="AN401" s="24">
        <f t="shared" si="160"/>
        <v>0</v>
      </c>
      <c r="AO401" s="15"/>
      <c r="AP401" s="55"/>
      <c r="AQ401" s="55"/>
      <c r="AR401" s="55"/>
      <c r="AS401" s="67"/>
      <c r="AT401" s="24">
        <f t="shared" si="161"/>
        <v>0</v>
      </c>
      <c r="AU401" s="15"/>
      <c r="AV401" s="55"/>
      <c r="AW401" s="55"/>
      <c r="AX401" s="55"/>
      <c r="AY401" s="67"/>
      <c r="AZ401" s="24">
        <f t="shared" si="162"/>
        <v>0</v>
      </c>
      <c r="BA401" s="24">
        <f t="shared" si="158"/>
        <v>5</v>
      </c>
      <c r="BB401" s="83">
        <v>43847</v>
      </c>
      <c r="BC401" s="111"/>
    </row>
    <row r="402" spans="1:55" ht="14.25" x14ac:dyDescent="0.15">
      <c r="A402" s="40" t="s">
        <v>48</v>
      </c>
      <c r="B402" s="41"/>
      <c r="C402" s="42"/>
      <c r="D402" s="42"/>
      <c r="E402" s="42"/>
      <c r="F402" s="42"/>
      <c r="G402" s="43">
        <f t="shared" si="153"/>
        <v>0</v>
      </c>
      <c r="H402" s="41">
        <v>1</v>
      </c>
      <c r="I402" s="42"/>
      <c r="J402" s="42"/>
      <c r="K402" s="42"/>
      <c r="L402" s="42"/>
      <c r="M402" s="43">
        <f t="shared" si="154"/>
        <v>1</v>
      </c>
      <c r="N402" s="42"/>
      <c r="O402" s="53"/>
      <c r="P402" s="53"/>
      <c r="Q402" s="53"/>
      <c r="R402" s="72"/>
      <c r="S402" s="24">
        <f t="shared" si="155"/>
        <v>0</v>
      </c>
      <c r="T402" s="42"/>
      <c r="U402" s="53"/>
      <c r="V402" s="53"/>
      <c r="W402" s="53"/>
      <c r="X402" s="72"/>
      <c r="Y402" s="24">
        <f t="shared" si="156"/>
        <v>0</v>
      </c>
      <c r="Z402" s="24">
        <f t="shared" si="157"/>
        <v>1</v>
      </c>
      <c r="AA402" s="93">
        <v>43867</v>
      </c>
      <c r="AB402" s="23" t="s">
        <v>273</v>
      </c>
      <c r="AC402" s="41"/>
      <c r="AD402" s="42">
        <v>3</v>
      </c>
      <c r="AE402" s="42">
        <v>3</v>
      </c>
      <c r="AF402" s="42">
        <v>3</v>
      </c>
      <c r="AG402" s="42">
        <v>5</v>
      </c>
      <c r="AH402" s="43">
        <f t="shared" si="159"/>
        <v>14</v>
      </c>
      <c r="AI402" s="41"/>
      <c r="AJ402" s="42"/>
      <c r="AK402" s="42"/>
      <c r="AL402" s="42"/>
      <c r="AM402" s="42"/>
      <c r="AN402" s="43">
        <f t="shared" si="160"/>
        <v>0</v>
      </c>
      <c r="AO402" s="42"/>
      <c r="AP402" s="53"/>
      <c r="AQ402" s="53"/>
      <c r="AR402" s="53"/>
      <c r="AS402" s="72"/>
      <c r="AT402" s="24">
        <f t="shared" si="161"/>
        <v>0</v>
      </c>
      <c r="AU402" s="42"/>
      <c r="AV402" s="53">
        <v>3</v>
      </c>
      <c r="AW402" s="53"/>
      <c r="AX402" s="53">
        <v>3</v>
      </c>
      <c r="AY402" s="72"/>
      <c r="AZ402" s="24">
        <f t="shared" si="162"/>
        <v>6</v>
      </c>
      <c r="BA402" s="24">
        <f t="shared" si="158"/>
        <v>20</v>
      </c>
      <c r="BB402" s="83">
        <v>43851</v>
      </c>
    </row>
    <row r="403" spans="1:55" ht="14.25" x14ac:dyDescent="0.15">
      <c r="A403" s="40" t="s">
        <v>48</v>
      </c>
      <c r="B403" s="41"/>
      <c r="C403" s="42"/>
      <c r="D403" s="42"/>
      <c r="E403" s="42"/>
      <c r="F403" s="42">
        <v>1</v>
      </c>
      <c r="G403" s="43">
        <f t="shared" si="153"/>
        <v>1</v>
      </c>
      <c r="H403" s="41"/>
      <c r="I403" s="42"/>
      <c r="J403" s="42"/>
      <c r="K403" s="42"/>
      <c r="L403" s="42"/>
      <c r="M403" s="43">
        <f t="shared" si="154"/>
        <v>0</v>
      </c>
      <c r="N403" s="42"/>
      <c r="O403" s="53"/>
      <c r="P403" s="53"/>
      <c r="Q403" s="53"/>
      <c r="R403" s="72"/>
      <c r="S403" s="24">
        <f t="shared" si="155"/>
        <v>0</v>
      </c>
      <c r="T403" s="42"/>
      <c r="U403" s="53"/>
      <c r="V403" s="53"/>
      <c r="W403" s="53"/>
      <c r="X403" s="72"/>
      <c r="Y403" s="24">
        <f t="shared" si="156"/>
        <v>0</v>
      </c>
      <c r="Z403" s="24">
        <f t="shared" si="157"/>
        <v>1</v>
      </c>
      <c r="AA403" s="93">
        <v>43868</v>
      </c>
      <c r="AB403" s="21" t="s">
        <v>29</v>
      </c>
      <c r="AC403" s="41"/>
      <c r="AD403" s="42"/>
      <c r="AE403" s="42"/>
      <c r="AF403" s="42"/>
      <c r="AG403" s="42"/>
      <c r="AH403" s="43">
        <f t="shared" si="159"/>
        <v>0</v>
      </c>
      <c r="AI403" s="41">
        <v>5</v>
      </c>
      <c r="AJ403" s="42"/>
      <c r="AK403" s="42"/>
      <c r="AL403" s="42"/>
      <c r="AM403" s="42"/>
      <c r="AN403" s="43">
        <f t="shared" si="160"/>
        <v>5</v>
      </c>
      <c r="AO403" s="42"/>
      <c r="AP403" s="53"/>
      <c r="AQ403" s="53"/>
      <c r="AR403" s="53"/>
      <c r="AS403" s="72"/>
      <c r="AT403" s="43">
        <f t="shared" si="161"/>
        <v>0</v>
      </c>
      <c r="AU403" s="42"/>
      <c r="AV403" s="53"/>
      <c r="AW403" s="53"/>
      <c r="AX403" s="53"/>
      <c r="AY403" s="72"/>
      <c r="AZ403" s="43">
        <f t="shared" si="162"/>
        <v>0</v>
      </c>
      <c r="BA403" s="43">
        <f t="shared" si="158"/>
        <v>5</v>
      </c>
      <c r="BB403" s="83">
        <v>43853</v>
      </c>
    </row>
    <row r="404" spans="1:55" ht="14.25" x14ac:dyDescent="0.15">
      <c r="A404" s="40" t="s">
        <v>48</v>
      </c>
      <c r="B404" s="41"/>
      <c r="C404" s="42"/>
      <c r="D404" s="42">
        <v>1</v>
      </c>
      <c r="E404" s="42"/>
      <c r="F404" s="42"/>
      <c r="G404" s="43">
        <f t="shared" si="153"/>
        <v>1</v>
      </c>
      <c r="H404" s="41"/>
      <c r="I404" s="42"/>
      <c r="J404" s="42"/>
      <c r="K404" s="42"/>
      <c r="L404" s="42"/>
      <c r="M404" s="43">
        <f t="shared" si="154"/>
        <v>0</v>
      </c>
      <c r="N404" s="42"/>
      <c r="O404" s="53"/>
      <c r="P404" s="53"/>
      <c r="Q404" s="53"/>
      <c r="R404" s="72"/>
      <c r="S404" s="24">
        <f t="shared" si="155"/>
        <v>0</v>
      </c>
      <c r="T404" s="42"/>
      <c r="U404" s="53"/>
      <c r="V404" s="53"/>
      <c r="W404" s="53"/>
      <c r="X404" s="72"/>
      <c r="Y404" s="24">
        <f t="shared" si="156"/>
        <v>0</v>
      </c>
      <c r="Z404" s="24">
        <f t="shared" si="157"/>
        <v>1</v>
      </c>
      <c r="AA404" s="93">
        <v>43873</v>
      </c>
      <c r="AB404" s="23" t="s">
        <v>274</v>
      </c>
      <c r="AC404" s="41"/>
      <c r="AD404" s="42">
        <v>5</v>
      </c>
      <c r="AE404" s="42"/>
      <c r="AF404" s="42">
        <v>5</v>
      </c>
      <c r="AG404" s="42"/>
      <c r="AH404" s="43">
        <f t="shared" si="159"/>
        <v>10</v>
      </c>
      <c r="AI404" s="41"/>
      <c r="AJ404" s="42"/>
      <c r="AK404" s="42"/>
      <c r="AL404" s="42"/>
      <c r="AM404" s="42"/>
      <c r="AN404" s="43">
        <f t="shared" si="160"/>
        <v>0</v>
      </c>
      <c r="AO404" s="42"/>
      <c r="AP404" s="53"/>
      <c r="AQ404" s="53"/>
      <c r="AR404" s="53"/>
      <c r="AS404" s="72"/>
      <c r="AT404" s="24">
        <f t="shared" si="161"/>
        <v>0</v>
      </c>
      <c r="AU404" s="42"/>
      <c r="AV404" s="53"/>
      <c r="AW404" s="53"/>
      <c r="AX404" s="53"/>
      <c r="AY404" s="72"/>
      <c r="AZ404" s="24">
        <f t="shared" si="162"/>
        <v>0</v>
      </c>
      <c r="BA404" s="24">
        <f t="shared" si="158"/>
        <v>10</v>
      </c>
      <c r="BB404" s="83">
        <v>43854</v>
      </c>
    </row>
    <row r="405" spans="1:55" ht="14.25" x14ac:dyDescent="0.15">
      <c r="A405" s="23" t="s">
        <v>160</v>
      </c>
      <c r="B405" s="41"/>
      <c r="C405" s="42"/>
      <c r="D405" s="42">
        <v>1</v>
      </c>
      <c r="E405" s="42"/>
      <c r="F405" s="42"/>
      <c r="G405" s="43">
        <f t="shared" si="153"/>
        <v>1</v>
      </c>
      <c r="H405" s="41">
        <v>1</v>
      </c>
      <c r="I405" s="42"/>
      <c r="J405" s="42">
        <v>1</v>
      </c>
      <c r="K405" s="42"/>
      <c r="L405" s="42"/>
      <c r="M405" s="43">
        <f t="shared" si="154"/>
        <v>2</v>
      </c>
      <c r="N405" s="42"/>
      <c r="O405" s="53"/>
      <c r="P405" s="53"/>
      <c r="Q405" s="53"/>
      <c r="R405" s="72"/>
      <c r="S405" s="24">
        <f t="shared" si="155"/>
        <v>0</v>
      </c>
      <c r="T405" s="42"/>
      <c r="U405" s="53"/>
      <c r="V405" s="53"/>
      <c r="W405" s="53"/>
      <c r="X405" s="72"/>
      <c r="Y405" s="24">
        <f t="shared" si="156"/>
        <v>0</v>
      </c>
      <c r="Z405" s="24">
        <f t="shared" si="157"/>
        <v>3</v>
      </c>
      <c r="AA405" s="93">
        <v>43876</v>
      </c>
      <c r="AB405" s="21" t="s">
        <v>276</v>
      </c>
      <c r="AC405" s="41"/>
      <c r="AD405" s="42"/>
      <c r="AE405" s="42"/>
      <c r="AF405" s="42"/>
      <c r="AG405" s="42">
        <v>3</v>
      </c>
      <c r="AH405" s="43">
        <f t="shared" si="159"/>
        <v>3</v>
      </c>
      <c r="AI405" s="41"/>
      <c r="AJ405" s="42"/>
      <c r="AK405" s="42"/>
      <c r="AL405" s="42"/>
      <c r="AM405" s="42"/>
      <c r="AN405" s="43">
        <f t="shared" si="160"/>
        <v>0</v>
      </c>
      <c r="AO405" s="42"/>
      <c r="AP405" s="53"/>
      <c r="AQ405" s="53">
        <v>2</v>
      </c>
      <c r="AR405" s="53"/>
      <c r="AS405" s="72"/>
      <c r="AT405" s="24">
        <f t="shared" si="161"/>
        <v>2</v>
      </c>
      <c r="AU405" s="42"/>
      <c r="AV405" s="53"/>
      <c r="AW405" s="53"/>
      <c r="AX405" s="53"/>
      <c r="AY405" s="72"/>
      <c r="AZ405" s="24">
        <f t="shared" si="162"/>
        <v>0</v>
      </c>
      <c r="BA405" s="24">
        <f t="shared" si="158"/>
        <v>5</v>
      </c>
      <c r="BB405" s="83">
        <v>43853</v>
      </c>
    </row>
    <row r="406" spans="1:55" ht="14.25" x14ac:dyDescent="0.15">
      <c r="A406" s="40" t="s">
        <v>48</v>
      </c>
      <c r="B406" s="41"/>
      <c r="C406" s="42"/>
      <c r="D406" s="42"/>
      <c r="E406" s="42"/>
      <c r="F406" s="42"/>
      <c r="G406" s="43">
        <f t="shared" si="153"/>
        <v>0</v>
      </c>
      <c r="H406" s="41"/>
      <c r="I406" s="42"/>
      <c r="J406" s="42"/>
      <c r="K406" s="42">
        <v>1</v>
      </c>
      <c r="L406" s="42"/>
      <c r="M406" s="43">
        <f t="shared" si="154"/>
        <v>1</v>
      </c>
      <c r="N406" s="42"/>
      <c r="O406" s="53"/>
      <c r="P406" s="53"/>
      <c r="Q406" s="53"/>
      <c r="R406" s="72"/>
      <c r="S406" s="24">
        <f t="shared" si="155"/>
        <v>0</v>
      </c>
      <c r="T406" s="42"/>
      <c r="U406" s="53"/>
      <c r="V406" s="53"/>
      <c r="W406" s="53"/>
      <c r="X406" s="72"/>
      <c r="Y406" s="24">
        <f t="shared" si="156"/>
        <v>0</v>
      </c>
      <c r="Z406" s="24">
        <f t="shared" si="157"/>
        <v>1</v>
      </c>
      <c r="AA406" s="93">
        <v>43876</v>
      </c>
      <c r="AB406" s="23" t="s">
        <v>277</v>
      </c>
      <c r="AC406" s="41"/>
      <c r="AD406" s="42"/>
      <c r="AE406" s="42">
        <v>5</v>
      </c>
      <c r="AF406" s="42"/>
      <c r="AG406" s="42"/>
      <c r="AH406" s="43">
        <f t="shared" si="159"/>
        <v>5</v>
      </c>
      <c r="AI406" s="41"/>
      <c r="AJ406" s="42"/>
      <c r="AK406" s="42"/>
      <c r="AL406" s="42"/>
      <c r="AM406" s="42"/>
      <c r="AN406" s="43">
        <f t="shared" si="160"/>
        <v>0</v>
      </c>
      <c r="AO406" s="42"/>
      <c r="AP406" s="53"/>
      <c r="AQ406" s="53"/>
      <c r="AR406" s="53"/>
      <c r="AS406" s="72"/>
      <c r="AT406" s="24">
        <f t="shared" si="161"/>
        <v>0</v>
      </c>
      <c r="AU406" s="42"/>
      <c r="AV406" s="53"/>
      <c r="AW406" s="53"/>
      <c r="AX406" s="53"/>
      <c r="AY406" s="72"/>
      <c r="AZ406" s="24">
        <f t="shared" si="162"/>
        <v>0</v>
      </c>
      <c r="BA406" s="24">
        <f t="shared" si="158"/>
        <v>5</v>
      </c>
      <c r="BB406" s="83">
        <v>43854</v>
      </c>
    </row>
    <row r="407" spans="1:55" ht="14.25" x14ac:dyDescent="0.15">
      <c r="A407" s="40" t="s">
        <v>48</v>
      </c>
      <c r="B407" s="41"/>
      <c r="C407" s="42"/>
      <c r="D407" s="42"/>
      <c r="E407" s="42"/>
      <c r="F407" s="42"/>
      <c r="G407" s="43">
        <f t="shared" si="153"/>
        <v>0</v>
      </c>
      <c r="H407" s="41"/>
      <c r="I407" s="42"/>
      <c r="J407" s="42"/>
      <c r="K407" s="42"/>
      <c r="L407" s="42">
        <v>1</v>
      </c>
      <c r="M407" s="43">
        <f t="shared" si="154"/>
        <v>1</v>
      </c>
      <c r="N407" s="42"/>
      <c r="O407" s="53"/>
      <c r="P407" s="53"/>
      <c r="Q407" s="53"/>
      <c r="R407" s="72"/>
      <c r="S407" s="24">
        <f t="shared" si="155"/>
        <v>0</v>
      </c>
      <c r="T407" s="42"/>
      <c r="U407" s="53"/>
      <c r="V407" s="53"/>
      <c r="W407" s="53"/>
      <c r="X407" s="72"/>
      <c r="Y407" s="24">
        <f t="shared" si="156"/>
        <v>0</v>
      </c>
      <c r="Z407" s="24">
        <f t="shared" si="157"/>
        <v>1</v>
      </c>
      <c r="AA407" s="93">
        <v>43878</v>
      </c>
      <c r="AB407" s="23" t="s">
        <v>278</v>
      </c>
      <c r="AC407" s="41"/>
      <c r="AD407" s="42"/>
      <c r="AE407" s="42"/>
      <c r="AF407" s="42"/>
      <c r="AG407" s="42"/>
      <c r="AH407" s="43">
        <f t="shared" si="159"/>
        <v>0</v>
      </c>
      <c r="AI407" s="41"/>
      <c r="AJ407" s="42"/>
      <c r="AK407" s="42"/>
      <c r="AL407" s="42"/>
      <c r="AM407" s="42"/>
      <c r="AN407" s="43">
        <f t="shared" si="160"/>
        <v>0</v>
      </c>
      <c r="AO407" s="42"/>
      <c r="AP407" s="53"/>
      <c r="AQ407" s="53"/>
      <c r="AR407" s="53"/>
      <c r="AS407" s="72"/>
      <c r="AT407" s="24">
        <f t="shared" si="161"/>
        <v>0</v>
      </c>
      <c r="AU407" s="42"/>
      <c r="AV407" s="53">
        <v>5</v>
      </c>
      <c r="AW407" s="53">
        <v>3</v>
      </c>
      <c r="AX407" s="53"/>
      <c r="AY407" s="72"/>
      <c r="AZ407" s="24">
        <f t="shared" si="162"/>
        <v>8</v>
      </c>
      <c r="BA407" s="24">
        <f t="shared" si="158"/>
        <v>8</v>
      </c>
      <c r="BB407" s="83">
        <v>43858</v>
      </c>
    </row>
    <row r="408" spans="1:55" ht="14.25" x14ac:dyDescent="0.15">
      <c r="A408" s="40" t="s">
        <v>48</v>
      </c>
      <c r="B408" s="41"/>
      <c r="C408" s="42"/>
      <c r="D408" s="42"/>
      <c r="E408" s="42"/>
      <c r="F408" s="42"/>
      <c r="G408" s="43">
        <f t="shared" si="153"/>
        <v>0</v>
      </c>
      <c r="H408" s="41"/>
      <c r="I408" s="42"/>
      <c r="J408" s="42"/>
      <c r="K408" s="42"/>
      <c r="L408" s="42">
        <v>1</v>
      </c>
      <c r="M408" s="43">
        <f t="shared" si="154"/>
        <v>1</v>
      </c>
      <c r="N408" s="42"/>
      <c r="O408" s="53"/>
      <c r="P408" s="53"/>
      <c r="Q408" s="53"/>
      <c r="R408" s="72"/>
      <c r="S408" s="24">
        <f t="shared" si="155"/>
        <v>0</v>
      </c>
      <c r="T408" s="42"/>
      <c r="U408" s="53"/>
      <c r="V408" s="53"/>
      <c r="W408" s="53"/>
      <c r="X408" s="72"/>
      <c r="Y408" s="24">
        <f t="shared" si="156"/>
        <v>0</v>
      </c>
      <c r="Z408" s="24">
        <f t="shared" si="157"/>
        <v>1</v>
      </c>
      <c r="AA408" s="93">
        <v>43879</v>
      </c>
      <c r="AB408" s="23" t="s">
        <v>279</v>
      </c>
      <c r="AC408" s="41"/>
      <c r="AD408" s="42"/>
      <c r="AE408" s="42"/>
      <c r="AF408" s="42"/>
      <c r="AG408" s="42"/>
      <c r="AH408" s="43">
        <f t="shared" si="159"/>
        <v>0</v>
      </c>
      <c r="AI408" s="41"/>
      <c r="AJ408" s="42"/>
      <c r="AK408" s="42"/>
      <c r="AL408" s="42"/>
      <c r="AM408" s="42"/>
      <c r="AN408" s="43">
        <f t="shared" si="160"/>
        <v>0</v>
      </c>
      <c r="AO408" s="42"/>
      <c r="AP408" s="53"/>
      <c r="AQ408" s="53"/>
      <c r="AR408" s="53"/>
      <c r="AS408" s="72">
        <v>2</v>
      </c>
      <c r="AT408" s="24">
        <f t="shared" si="161"/>
        <v>2</v>
      </c>
      <c r="AU408" s="42"/>
      <c r="AV408" s="53"/>
      <c r="AW408" s="53"/>
      <c r="AX408" s="53"/>
      <c r="AY408" s="72"/>
      <c r="AZ408" s="24">
        <f t="shared" si="162"/>
        <v>0</v>
      </c>
      <c r="BA408" s="24">
        <f t="shared" si="158"/>
        <v>2</v>
      </c>
      <c r="BB408" s="83">
        <v>43860</v>
      </c>
    </row>
    <row r="409" spans="1:55" ht="14.25" x14ac:dyDescent="0.15">
      <c r="A409" s="40" t="s">
        <v>42</v>
      </c>
      <c r="B409" s="44"/>
      <c r="C409" s="45"/>
      <c r="D409" s="45"/>
      <c r="E409" s="45"/>
      <c r="F409" s="45"/>
      <c r="G409" s="43">
        <f t="shared" si="153"/>
        <v>0</v>
      </c>
      <c r="H409" s="44"/>
      <c r="I409" s="45"/>
      <c r="J409" s="45"/>
      <c r="K409" s="45">
        <v>-2</v>
      </c>
      <c r="L409" s="45">
        <v>-2</v>
      </c>
      <c r="M409" s="43">
        <f t="shared" si="154"/>
        <v>-4</v>
      </c>
      <c r="N409" s="42"/>
      <c r="O409" s="53"/>
      <c r="P409" s="53"/>
      <c r="Q409" s="53"/>
      <c r="R409" s="72"/>
      <c r="S409" s="24">
        <f t="shared" si="155"/>
        <v>0</v>
      </c>
      <c r="T409" s="42"/>
      <c r="U409" s="53"/>
      <c r="V409" s="53"/>
      <c r="W409" s="53"/>
      <c r="X409" s="72"/>
      <c r="Y409" s="24">
        <f t="shared" si="156"/>
        <v>0</v>
      </c>
      <c r="Z409" s="24">
        <f t="shared" si="157"/>
        <v>-4</v>
      </c>
      <c r="AA409" s="83">
        <v>43880</v>
      </c>
      <c r="AB409" s="23" t="s">
        <v>282</v>
      </c>
      <c r="AC409" s="44"/>
      <c r="AD409" s="45">
        <v>5</v>
      </c>
      <c r="AE409" s="45"/>
      <c r="AF409" s="45"/>
      <c r="AG409" s="45"/>
      <c r="AH409" s="43">
        <f t="shared" si="159"/>
        <v>5</v>
      </c>
      <c r="AI409" s="44"/>
      <c r="AJ409" s="45"/>
      <c r="AK409" s="45"/>
      <c r="AL409" s="45"/>
      <c r="AM409" s="45"/>
      <c r="AN409" s="43">
        <f t="shared" si="160"/>
        <v>0</v>
      </c>
      <c r="AO409" s="42"/>
      <c r="AP409" s="53"/>
      <c r="AQ409" s="53"/>
      <c r="AR409" s="53"/>
      <c r="AS409" s="72"/>
      <c r="AT409" s="24">
        <f t="shared" si="161"/>
        <v>0</v>
      </c>
      <c r="AU409" s="42"/>
      <c r="AV409" s="53"/>
      <c r="AW409" s="53"/>
      <c r="AX409" s="53">
        <v>5</v>
      </c>
      <c r="AY409" s="72"/>
      <c r="AZ409" s="24">
        <f t="shared" si="162"/>
        <v>5</v>
      </c>
      <c r="BA409" s="24">
        <f t="shared" si="158"/>
        <v>10</v>
      </c>
      <c r="BB409" s="83">
        <v>43865</v>
      </c>
    </row>
    <row r="410" spans="1:55" ht="14.25" x14ac:dyDescent="0.15">
      <c r="A410" s="40"/>
      <c r="B410" s="41"/>
      <c r="C410" s="42"/>
      <c r="D410" s="42"/>
      <c r="E410" s="42"/>
      <c r="F410" s="42"/>
      <c r="G410" s="43">
        <f t="shared" si="153"/>
        <v>0</v>
      </c>
      <c r="H410" s="41"/>
      <c r="I410" s="42"/>
      <c r="J410" s="42"/>
      <c r="K410" s="42"/>
      <c r="L410" s="42"/>
      <c r="M410" s="43">
        <f t="shared" si="154"/>
        <v>0</v>
      </c>
      <c r="N410" s="42"/>
      <c r="O410" s="53"/>
      <c r="P410" s="53"/>
      <c r="Q410" s="53"/>
      <c r="R410" s="72"/>
      <c r="S410" s="24">
        <f t="shared" si="155"/>
        <v>0</v>
      </c>
      <c r="T410" s="42"/>
      <c r="U410" s="53"/>
      <c r="V410" s="53"/>
      <c r="W410" s="53"/>
      <c r="X410" s="72"/>
      <c r="Y410" s="24">
        <f t="shared" si="156"/>
        <v>0</v>
      </c>
      <c r="Z410" s="24">
        <f t="shared" si="157"/>
        <v>0</v>
      </c>
      <c r="AB410" s="21" t="s">
        <v>283</v>
      </c>
      <c r="AC410" s="41"/>
      <c r="AD410" s="42"/>
      <c r="AE410" s="42"/>
      <c r="AF410" s="42"/>
      <c r="AG410" s="42">
        <v>2</v>
      </c>
      <c r="AH410" s="43">
        <f t="shared" si="159"/>
        <v>2</v>
      </c>
      <c r="AI410" s="41"/>
      <c r="AJ410" s="42"/>
      <c r="AK410" s="42"/>
      <c r="AL410" s="42"/>
      <c r="AM410" s="42"/>
      <c r="AN410" s="43">
        <f t="shared" si="160"/>
        <v>0</v>
      </c>
      <c r="AO410" s="42"/>
      <c r="AP410" s="53"/>
      <c r="AQ410" s="53"/>
      <c r="AR410" s="53"/>
      <c r="AS410" s="72"/>
      <c r="AT410" s="24">
        <f t="shared" si="161"/>
        <v>0</v>
      </c>
      <c r="AU410" s="42"/>
      <c r="AV410" s="53"/>
      <c r="AW410" s="53"/>
      <c r="AX410" s="53"/>
      <c r="AY410" s="72"/>
      <c r="AZ410" s="24">
        <f t="shared" si="162"/>
        <v>0</v>
      </c>
      <c r="BA410" s="24">
        <f t="shared" si="158"/>
        <v>2</v>
      </c>
      <c r="BB410" s="83">
        <v>43866</v>
      </c>
    </row>
    <row r="411" spans="1:55" ht="14.25" x14ac:dyDescent="0.15">
      <c r="A411" s="21"/>
      <c r="B411" s="41"/>
      <c r="C411" s="42"/>
      <c r="D411" s="42"/>
      <c r="E411" s="42"/>
      <c r="F411" s="42"/>
      <c r="G411" s="43">
        <f t="shared" si="153"/>
        <v>0</v>
      </c>
      <c r="H411" s="41"/>
      <c r="I411" s="42"/>
      <c r="J411" s="42"/>
      <c r="K411" s="42"/>
      <c r="L411" s="42"/>
      <c r="M411" s="43">
        <f t="shared" si="154"/>
        <v>0</v>
      </c>
      <c r="N411" s="42"/>
      <c r="O411" s="53"/>
      <c r="P411" s="53"/>
      <c r="Q411" s="53"/>
      <c r="R411" s="72"/>
      <c r="S411" s="24">
        <f t="shared" si="155"/>
        <v>0</v>
      </c>
      <c r="T411" s="42"/>
      <c r="U411" s="53"/>
      <c r="V411" s="53"/>
      <c r="W411" s="53"/>
      <c r="X411" s="72"/>
      <c r="Y411" s="24">
        <f t="shared" si="156"/>
        <v>0</v>
      </c>
      <c r="Z411" s="24">
        <f t="shared" si="157"/>
        <v>0</v>
      </c>
      <c r="AB411" s="23" t="s">
        <v>285</v>
      </c>
      <c r="AC411" s="41"/>
      <c r="AD411" s="42"/>
      <c r="AE411" s="42"/>
      <c r="AF411" s="42"/>
      <c r="AG411" s="42"/>
      <c r="AH411" s="43">
        <f t="shared" si="159"/>
        <v>0</v>
      </c>
      <c r="AI411" s="41"/>
      <c r="AJ411" s="42"/>
      <c r="AK411" s="42"/>
      <c r="AL411" s="42"/>
      <c r="AM411" s="42"/>
      <c r="AN411" s="43">
        <f t="shared" si="160"/>
        <v>0</v>
      </c>
      <c r="AO411" s="42">
        <v>5</v>
      </c>
      <c r="AP411" s="53">
        <v>5</v>
      </c>
      <c r="AQ411" s="53">
        <v>5</v>
      </c>
      <c r="AR411" s="53">
        <v>5</v>
      </c>
      <c r="AS411" s="72">
        <v>5</v>
      </c>
      <c r="AT411" s="24">
        <f t="shared" si="161"/>
        <v>25</v>
      </c>
      <c r="AU411" s="42">
        <v>5</v>
      </c>
      <c r="AV411" s="53">
        <v>5</v>
      </c>
      <c r="AW411" s="53">
        <v>5</v>
      </c>
      <c r="AX411" s="53">
        <v>5</v>
      </c>
      <c r="AY411" s="72">
        <v>5</v>
      </c>
      <c r="AZ411" s="24">
        <f t="shared" si="162"/>
        <v>25</v>
      </c>
      <c r="BA411" s="24">
        <f t="shared" si="158"/>
        <v>50</v>
      </c>
      <c r="BB411" s="83">
        <v>43873</v>
      </c>
    </row>
    <row r="412" spans="1:55" ht="14.25" x14ac:dyDescent="0.15">
      <c r="A412" s="21"/>
      <c r="B412" s="41"/>
      <c r="C412" s="42"/>
      <c r="D412" s="42"/>
      <c r="E412" s="42"/>
      <c r="F412" s="42"/>
      <c r="G412" s="43">
        <f t="shared" si="153"/>
        <v>0</v>
      </c>
      <c r="H412" s="41"/>
      <c r="I412" s="42"/>
      <c r="J412" s="42"/>
      <c r="K412" s="42"/>
      <c r="L412" s="42"/>
      <c r="M412" s="43">
        <f t="shared" si="154"/>
        <v>0</v>
      </c>
      <c r="N412" s="42"/>
      <c r="O412" s="53"/>
      <c r="P412" s="53"/>
      <c r="Q412" s="53"/>
      <c r="R412" s="72"/>
      <c r="S412" s="24">
        <f t="shared" si="155"/>
        <v>0</v>
      </c>
      <c r="T412" s="42"/>
      <c r="U412" s="53"/>
      <c r="V412" s="53"/>
      <c r="W412" s="53"/>
      <c r="X412" s="72"/>
      <c r="Y412" s="24">
        <f t="shared" si="156"/>
        <v>0</v>
      </c>
      <c r="Z412" s="24">
        <f t="shared" si="157"/>
        <v>0</v>
      </c>
      <c r="AB412" s="23" t="s">
        <v>287</v>
      </c>
      <c r="AC412" s="41"/>
      <c r="AD412" s="42"/>
      <c r="AE412" s="42"/>
      <c r="AF412" s="42"/>
      <c r="AG412" s="42"/>
      <c r="AH412" s="43">
        <f t="shared" si="159"/>
        <v>0</v>
      </c>
      <c r="AI412" s="41"/>
      <c r="AJ412" s="42"/>
      <c r="AK412" s="42"/>
      <c r="AL412" s="42"/>
      <c r="AM412" s="42"/>
      <c r="AN412" s="43">
        <f t="shared" si="160"/>
        <v>0</v>
      </c>
      <c r="AO412" s="42"/>
      <c r="AP412" s="53">
        <v>4</v>
      </c>
      <c r="AQ412" s="53"/>
      <c r="AR412" s="53"/>
      <c r="AS412" s="72"/>
      <c r="AT412" s="24">
        <f t="shared" si="161"/>
        <v>4</v>
      </c>
      <c r="AU412" s="42"/>
      <c r="AV412" s="53"/>
      <c r="AW412" s="53"/>
      <c r="AX412" s="53">
        <v>4</v>
      </c>
      <c r="AY412" s="72"/>
      <c r="AZ412" s="24">
        <f t="shared" si="162"/>
        <v>4</v>
      </c>
      <c r="BA412" s="24">
        <f t="shared" si="158"/>
        <v>8</v>
      </c>
      <c r="BB412" s="83">
        <v>43867</v>
      </c>
    </row>
    <row r="413" spans="1:55" ht="14.25" x14ac:dyDescent="0.15">
      <c r="A413" s="40"/>
      <c r="B413" s="38"/>
      <c r="C413" s="39"/>
      <c r="D413" s="39"/>
      <c r="E413" s="39"/>
      <c r="F413" s="39"/>
      <c r="G413" s="37">
        <f t="shared" si="153"/>
        <v>0</v>
      </c>
      <c r="H413" s="38"/>
      <c r="I413" s="39"/>
      <c r="J413" s="39"/>
      <c r="K413" s="39"/>
      <c r="L413" s="39"/>
      <c r="M413" s="37">
        <f t="shared" si="154"/>
        <v>0</v>
      </c>
      <c r="N413" s="42"/>
      <c r="O413" s="53"/>
      <c r="P413" s="53"/>
      <c r="Q413" s="53"/>
      <c r="R413" s="72"/>
      <c r="S413" s="24">
        <f t="shared" si="155"/>
        <v>0</v>
      </c>
      <c r="T413" s="42"/>
      <c r="U413" s="53"/>
      <c r="V413" s="53"/>
      <c r="W413" s="53"/>
      <c r="X413" s="72"/>
      <c r="Y413" s="24">
        <f t="shared" si="156"/>
        <v>0</v>
      </c>
      <c r="Z413" s="24">
        <f t="shared" si="157"/>
        <v>0</v>
      </c>
      <c r="AB413" s="21" t="s">
        <v>29</v>
      </c>
      <c r="AC413" s="38"/>
      <c r="AD413" s="39">
        <v>5</v>
      </c>
      <c r="AE413" s="39"/>
      <c r="AF413" s="39"/>
      <c r="AG413" s="39">
        <v>5</v>
      </c>
      <c r="AH413" s="37">
        <f t="shared" si="159"/>
        <v>10</v>
      </c>
      <c r="AI413" s="38"/>
      <c r="AJ413" s="39"/>
      <c r="AK413" s="39"/>
      <c r="AL413" s="39"/>
      <c r="AM413" s="39"/>
      <c r="AN413" s="37">
        <f t="shared" si="160"/>
        <v>0</v>
      </c>
      <c r="AO413" s="42"/>
      <c r="AP413" s="53"/>
      <c r="AQ413" s="53"/>
      <c r="AR413" s="53"/>
      <c r="AS413" s="72"/>
      <c r="AT413" s="24">
        <f t="shared" si="161"/>
        <v>0</v>
      </c>
      <c r="AU413" s="42"/>
      <c r="AV413" s="53"/>
      <c r="AW413" s="53"/>
      <c r="AX413" s="53"/>
      <c r="AY413" s="72"/>
      <c r="AZ413" s="24">
        <f t="shared" si="162"/>
        <v>0</v>
      </c>
      <c r="BA413" s="24">
        <f t="shared" si="158"/>
        <v>10</v>
      </c>
      <c r="BB413" s="83">
        <v>43868</v>
      </c>
    </row>
    <row r="414" spans="1:55" ht="14.25" x14ac:dyDescent="0.15">
      <c r="A414" s="21"/>
      <c r="B414" s="41"/>
      <c r="C414" s="42"/>
      <c r="D414" s="42"/>
      <c r="E414" s="42"/>
      <c r="F414" s="42"/>
      <c r="G414" s="43">
        <f t="shared" si="153"/>
        <v>0</v>
      </c>
      <c r="H414" s="41"/>
      <c r="I414" s="42"/>
      <c r="J414" s="42"/>
      <c r="K414" s="42"/>
      <c r="L414" s="42"/>
      <c r="M414" s="43">
        <f t="shared" si="154"/>
        <v>0</v>
      </c>
      <c r="N414" s="42"/>
      <c r="O414" s="53"/>
      <c r="P414" s="53"/>
      <c r="Q414" s="53"/>
      <c r="R414" s="72"/>
      <c r="S414" s="24">
        <f t="shared" si="155"/>
        <v>0</v>
      </c>
      <c r="T414" s="42"/>
      <c r="U414" s="53"/>
      <c r="V414" s="53"/>
      <c r="W414" s="53"/>
      <c r="X414" s="72"/>
      <c r="Y414" s="24">
        <f t="shared" si="156"/>
        <v>0</v>
      </c>
      <c r="Z414" s="24">
        <f t="shared" si="157"/>
        <v>0</v>
      </c>
      <c r="AB414" s="47" t="s">
        <v>288</v>
      </c>
      <c r="AC414" s="41">
        <v>3</v>
      </c>
      <c r="AD414" s="42"/>
      <c r="AE414" s="42"/>
      <c r="AF414" s="42"/>
      <c r="AG414" s="42"/>
      <c r="AH414" s="43">
        <f t="shared" si="159"/>
        <v>3</v>
      </c>
      <c r="AI414" s="41"/>
      <c r="AJ414" s="42"/>
      <c r="AK414" s="42"/>
      <c r="AL414" s="42"/>
      <c r="AM414" s="42"/>
      <c r="AN414" s="43">
        <f t="shared" si="160"/>
        <v>0</v>
      </c>
      <c r="AO414" s="42"/>
      <c r="AP414" s="53"/>
      <c r="AQ414" s="53"/>
      <c r="AR414" s="53"/>
      <c r="AS414" s="72"/>
      <c r="AT414" s="24">
        <f t="shared" si="161"/>
        <v>0</v>
      </c>
      <c r="AU414" s="42"/>
      <c r="AV414" s="53"/>
      <c r="AW414" s="53"/>
      <c r="AX414" s="53"/>
      <c r="AY414" s="72"/>
      <c r="AZ414" s="24">
        <f t="shared" si="162"/>
        <v>0</v>
      </c>
      <c r="BA414" s="24">
        <f t="shared" si="158"/>
        <v>3</v>
      </c>
      <c r="BB414" s="83">
        <v>43874</v>
      </c>
    </row>
    <row r="415" spans="1:55" ht="14.25" x14ac:dyDescent="0.15">
      <c r="A415" s="21"/>
      <c r="B415" s="14"/>
      <c r="C415" s="15"/>
      <c r="D415" s="15"/>
      <c r="E415" s="15"/>
      <c r="F415" s="15"/>
      <c r="G415" s="24">
        <f t="shared" si="153"/>
        <v>0</v>
      </c>
      <c r="H415" s="14"/>
      <c r="I415" s="15"/>
      <c r="J415" s="15"/>
      <c r="K415" s="15"/>
      <c r="L415" s="15"/>
      <c r="M415" s="24">
        <f t="shared" si="154"/>
        <v>0</v>
      </c>
      <c r="N415" s="15"/>
      <c r="O415" s="55"/>
      <c r="P415" s="55"/>
      <c r="Q415" s="55"/>
      <c r="R415" s="67"/>
      <c r="S415" s="24">
        <f t="shared" si="155"/>
        <v>0</v>
      </c>
      <c r="T415" s="15"/>
      <c r="U415" s="55"/>
      <c r="V415" s="55"/>
      <c r="W415" s="55"/>
      <c r="X415" s="67"/>
      <c r="Y415" s="24">
        <f t="shared" si="156"/>
        <v>0</v>
      </c>
      <c r="Z415" s="24">
        <f t="shared" si="157"/>
        <v>0</v>
      </c>
      <c r="AB415" s="23" t="s">
        <v>289</v>
      </c>
      <c r="AC415" s="14"/>
      <c r="AD415" s="15">
        <v>1</v>
      </c>
      <c r="AE415" s="15">
        <v>1</v>
      </c>
      <c r="AF415" s="15">
        <v>1</v>
      </c>
      <c r="AG415" s="15">
        <v>1</v>
      </c>
      <c r="AH415" s="24">
        <f t="shared" si="159"/>
        <v>4</v>
      </c>
      <c r="AI415" s="14"/>
      <c r="AJ415" s="15"/>
      <c r="AK415" s="15"/>
      <c r="AL415" s="15"/>
      <c r="AM415" s="15"/>
      <c r="AN415" s="24">
        <f t="shared" si="160"/>
        <v>0</v>
      </c>
      <c r="AO415" s="15"/>
      <c r="AP415" s="55"/>
      <c r="AQ415" s="55"/>
      <c r="AR415" s="55"/>
      <c r="AS415" s="67"/>
      <c r="AT415" s="24">
        <f t="shared" si="161"/>
        <v>0</v>
      </c>
      <c r="AU415" s="15"/>
      <c r="AV415" s="55"/>
      <c r="AW415" s="55"/>
      <c r="AX415" s="55"/>
      <c r="AY415" s="67"/>
      <c r="AZ415" s="24">
        <f t="shared" si="162"/>
        <v>0</v>
      </c>
      <c r="BA415" s="24">
        <f t="shared" si="158"/>
        <v>4</v>
      </c>
      <c r="BB415" s="83">
        <v>43874</v>
      </c>
    </row>
    <row r="416" spans="1:55" ht="14.25" x14ac:dyDescent="0.15">
      <c r="A416" s="23"/>
      <c r="B416" s="14"/>
      <c r="C416" s="15"/>
      <c r="D416" s="15"/>
      <c r="E416" s="15"/>
      <c r="F416" s="15"/>
      <c r="G416" s="24">
        <f t="shared" si="153"/>
        <v>0</v>
      </c>
      <c r="H416" s="14"/>
      <c r="I416" s="15"/>
      <c r="J416" s="15"/>
      <c r="K416" s="15"/>
      <c r="L416" s="15"/>
      <c r="M416" s="24">
        <f t="shared" si="154"/>
        <v>0</v>
      </c>
      <c r="N416" s="15"/>
      <c r="O416" s="55"/>
      <c r="P416" s="55"/>
      <c r="Q416" s="55"/>
      <c r="R416" s="67"/>
      <c r="S416" s="24">
        <f t="shared" si="155"/>
        <v>0</v>
      </c>
      <c r="T416" s="15"/>
      <c r="U416" s="55"/>
      <c r="V416" s="55"/>
      <c r="W416" s="55"/>
      <c r="X416" s="67"/>
      <c r="Y416" s="24">
        <f t="shared" si="156"/>
        <v>0</v>
      </c>
      <c r="Z416" s="24">
        <f t="shared" si="157"/>
        <v>0</v>
      </c>
      <c r="AB416" s="23" t="s">
        <v>294</v>
      </c>
      <c r="AC416" s="14">
        <v>1</v>
      </c>
      <c r="AD416" s="15">
        <v>1</v>
      </c>
      <c r="AE416" s="15"/>
      <c r="AF416" s="15"/>
      <c r="AG416" s="15"/>
      <c r="AH416" s="24">
        <f t="shared" si="159"/>
        <v>2</v>
      </c>
      <c r="AI416" s="14"/>
      <c r="AJ416" s="15"/>
      <c r="AK416" s="15"/>
      <c r="AL416" s="15"/>
      <c r="AM416" s="15"/>
      <c r="AN416" s="24">
        <f t="shared" si="160"/>
        <v>0</v>
      </c>
      <c r="AO416" s="15"/>
      <c r="AP416" s="55"/>
      <c r="AQ416" s="55"/>
      <c r="AR416" s="55"/>
      <c r="AS416" s="67"/>
      <c r="AT416" s="24">
        <f t="shared" si="161"/>
        <v>0</v>
      </c>
      <c r="AU416" s="15"/>
      <c r="AV416" s="55"/>
      <c r="AW416" s="55"/>
      <c r="AX416" s="55"/>
      <c r="AY416" s="67"/>
      <c r="AZ416" s="24">
        <f t="shared" si="162"/>
        <v>0</v>
      </c>
      <c r="BA416" s="24">
        <f t="shared" si="158"/>
        <v>2</v>
      </c>
      <c r="BB416" s="83">
        <v>43879</v>
      </c>
      <c r="BC416" s="111"/>
    </row>
    <row r="417" spans="1:55" ht="14.25" x14ac:dyDescent="0.15">
      <c r="A417" s="23"/>
      <c r="B417" s="14"/>
      <c r="C417" s="15"/>
      <c r="D417" s="15"/>
      <c r="E417" s="15"/>
      <c r="F417" s="15"/>
      <c r="G417" s="24">
        <f t="shared" si="153"/>
        <v>0</v>
      </c>
      <c r="H417" s="14"/>
      <c r="I417" s="15"/>
      <c r="J417" s="15"/>
      <c r="K417" s="15"/>
      <c r="L417" s="15"/>
      <c r="M417" s="24">
        <f t="shared" si="154"/>
        <v>0</v>
      </c>
      <c r="N417" s="15"/>
      <c r="O417" s="55"/>
      <c r="P417" s="55"/>
      <c r="Q417" s="55"/>
      <c r="R417" s="67"/>
      <c r="S417" s="24">
        <f t="shared" si="155"/>
        <v>0</v>
      </c>
      <c r="T417" s="15"/>
      <c r="U417" s="55"/>
      <c r="V417" s="55"/>
      <c r="W417" s="55"/>
      <c r="X417" s="67"/>
      <c r="Y417" s="24">
        <f t="shared" si="156"/>
        <v>0</v>
      </c>
      <c r="Z417" s="24">
        <f t="shared" si="157"/>
        <v>0</v>
      </c>
      <c r="AB417" s="21" t="s">
        <v>295</v>
      </c>
      <c r="AC417" s="14"/>
      <c r="AD417" s="15"/>
      <c r="AE417" s="15"/>
      <c r="AF417" s="15"/>
      <c r="AG417" s="15">
        <v>1</v>
      </c>
      <c r="AH417" s="24">
        <f t="shared" si="159"/>
        <v>1</v>
      </c>
      <c r="AI417" s="14"/>
      <c r="AJ417" s="15"/>
      <c r="AK417" s="15"/>
      <c r="AL417" s="15"/>
      <c r="AM417" s="15"/>
      <c r="AN417" s="24">
        <f t="shared" si="160"/>
        <v>0</v>
      </c>
      <c r="AO417" s="15"/>
      <c r="AP417" s="55"/>
      <c r="AQ417" s="55"/>
      <c r="AR417" s="55"/>
      <c r="AS417" s="67"/>
      <c r="AT417" s="24">
        <f t="shared" si="161"/>
        <v>0</v>
      </c>
      <c r="AU417" s="15"/>
      <c r="AV417" s="55"/>
      <c r="AW417" s="55"/>
      <c r="AX417" s="55"/>
      <c r="AY417" s="67"/>
      <c r="AZ417" s="24">
        <f t="shared" si="162"/>
        <v>0</v>
      </c>
      <c r="BA417" s="24">
        <f t="shared" si="158"/>
        <v>1</v>
      </c>
      <c r="BB417" s="83">
        <v>43881</v>
      </c>
      <c r="BC417" s="111"/>
    </row>
    <row r="418" spans="1:55" ht="14.25" x14ac:dyDescent="0.15">
      <c r="A418" s="23"/>
      <c r="B418" s="14"/>
      <c r="C418" s="15"/>
      <c r="D418" s="15"/>
      <c r="E418" s="15"/>
      <c r="F418" s="15"/>
      <c r="G418" s="24">
        <f t="shared" si="153"/>
        <v>0</v>
      </c>
      <c r="H418" s="14"/>
      <c r="I418" s="15"/>
      <c r="J418" s="15"/>
      <c r="K418" s="15"/>
      <c r="L418" s="15"/>
      <c r="M418" s="24">
        <f t="shared" si="154"/>
        <v>0</v>
      </c>
      <c r="N418" s="15"/>
      <c r="O418" s="55"/>
      <c r="P418" s="55"/>
      <c r="Q418" s="55"/>
      <c r="R418" s="67"/>
      <c r="S418" s="24">
        <f t="shared" si="155"/>
        <v>0</v>
      </c>
      <c r="T418" s="15"/>
      <c r="U418" s="55"/>
      <c r="V418" s="55"/>
      <c r="W418" s="55"/>
      <c r="X418" s="67"/>
      <c r="Y418" s="24">
        <f t="shared" si="156"/>
        <v>0</v>
      </c>
      <c r="Z418" s="24">
        <f t="shared" si="157"/>
        <v>0</v>
      </c>
      <c r="AB418" s="23" t="s">
        <v>296</v>
      </c>
      <c r="AC418" s="14">
        <v>1</v>
      </c>
      <c r="AD418" s="15">
        <v>6</v>
      </c>
      <c r="AE418" s="15"/>
      <c r="AF418" s="15">
        <v>1</v>
      </c>
      <c r="AG418" s="15"/>
      <c r="AH418" s="24">
        <f t="shared" si="159"/>
        <v>8</v>
      </c>
      <c r="AI418" s="14"/>
      <c r="AJ418" s="15">
        <v>2</v>
      </c>
      <c r="AK418" s="15"/>
      <c r="AL418" s="15">
        <v>1</v>
      </c>
      <c r="AM418" s="15">
        <v>1</v>
      </c>
      <c r="AN418" s="24">
        <f t="shared" si="160"/>
        <v>4</v>
      </c>
      <c r="AO418" s="15"/>
      <c r="AP418" s="55"/>
      <c r="AQ418" s="55">
        <v>1</v>
      </c>
      <c r="AR418" s="55">
        <v>1</v>
      </c>
      <c r="AS418" s="67"/>
      <c r="AT418" s="24">
        <f t="shared" si="161"/>
        <v>2</v>
      </c>
      <c r="AU418" s="15"/>
      <c r="AV418" s="55">
        <v>1</v>
      </c>
      <c r="AW418" s="55"/>
      <c r="AX418" s="55">
        <v>1</v>
      </c>
      <c r="AY418" s="67"/>
      <c r="AZ418" s="24">
        <f t="shared" si="162"/>
        <v>2</v>
      </c>
      <c r="BA418" s="24">
        <f t="shared" si="158"/>
        <v>16</v>
      </c>
      <c r="BB418" s="83">
        <v>43880</v>
      </c>
      <c r="BC418" s="111"/>
    </row>
    <row r="419" spans="1:55" ht="14.25" x14ac:dyDescent="0.15">
      <c r="A419" s="23"/>
      <c r="B419" s="14"/>
      <c r="C419" s="15"/>
      <c r="D419" s="15"/>
      <c r="E419" s="15"/>
      <c r="F419" s="15"/>
      <c r="G419" s="24">
        <f t="shared" si="153"/>
        <v>0</v>
      </c>
      <c r="H419" s="14"/>
      <c r="I419" s="15"/>
      <c r="J419" s="15"/>
      <c r="K419" s="15"/>
      <c r="L419" s="15"/>
      <c r="M419" s="24">
        <f t="shared" si="154"/>
        <v>0</v>
      </c>
      <c r="N419" s="15"/>
      <c r="O419" s="55"/>
      <c r="P419" s="55"/>
      <c r="Q419" s="55"/>
      <c r="R419" s="67"/>
      <c r="S419" s="24">
        <f t="shared" si="155"/>
        <v>0</v>
      </c>
      <c r="T419" s="15"/>
      <c r="U419" s="55"/>
      <c r="V419" s="55"/>
      <c r="W419" s="55"/>
      <c r="X419" s="67"/>
      <c r="Y419" s="24">
        <f t="shared" si="156"/>
        <v>0</v>
      </c>
      <c r="Z419" s="24">
        <f t="shared" si="157"/>
        <v>0</v>
      </c>
      <c r="AB419" s="47" t="s">
        <v>297</v>
      </c>
      <c r="AC419" s="14"/>
      <c r="AD419" s="15"/>
      <c r="AE419" s="15">
        <v>3</v>
      </c>
      <c r="AF419" s="15"/>
      <c r="AG419" s="15"/>
      <c r="AH419" s="24">
        <f t="shared" si="159"/>
        <v>3</v>
      </c>
      <c r="AI419" s="14"/>
      <c r="AJ419" s="15"/>
      <c r="AK419" s="15"/>
      <c r="AL419" s="15"/>
      <c r="AM419" s="15"/>
      <c r="AN419" s="24">
        <f t="shared" si="160"/>
        <v>0</v>
      </c>
      <c r="AO419" s="15"/>
      <c r="AP419" s="55"/>
      <c r="AQ419" s="55"/>
      <c r="AR419" s="55"/>
      <c r="AS419" s="67"/>
      <c r="AT419" s="24">
        <f t="shared" si="161"/>
        <v>0</v>
      </c>
      <c r="AU419" s="15"/>
      <c r="AV419" s="55"/>
      <c r="AW419" s="55"/>
      <c r="AX419" s="55"/>
      <c r="AY419" s="67"/>
      <c r="AZ419" s="24">
        <f t="shared" si="162"/>
        <v>0</v>
      </c>
      <c r="BA419" s="24">
        <f t="shared" si="158"/>
        <v>3</v>
      </c>
      <c r="BB419" s="83">
        <v>43887</v>
      </c>
    </row>
    <row r="420" spans="1:55" ht="14.25" x14ac:dyDescent="0.15">
      <c r="A420" s="23"/>
      <c r="B420" s="14"/>
      <c r="C420" s="15"/>
      <c r="D420" s="15"/>
      <c r="E420" s="15"/>
      <c r="F420" s="15"/>
      <c r="G420" s="24">
        <f t="shared" si="153"/>
        <v>0</v>
      </c>
      <c r="H420" s="14"/>
      <c r="I420" s="15"/>
      <c r="J420" s="15"/>
      <c r="K420" s="15"/>
      <c r="L420" s="15"/>
      <c r="M420" s="24">
        <f t="shared" si="154"/>
        <v>0</v>
      </c>
      <c r="N420" s="15"/>
      <c r="O420" s="55"/>
      <c r="P420" s="55"/>
      <c r="Q420" s="55"/>
      <c r="R420" s="67"/>
      <c r="S420" s="24">
        <f t="shared" si="155"/>
        <v>0</v>
      </c>
      <c r="T420" s="15"/>
      <c r="U420" s="55"/>
      <c r="V420" s="55"/>
      <c r="W420" s="55"/>
      <c r="X420" s="67"/>
      <c r="Y420" s="24">
        <f t="shared" si="156"/>
        <v>0</v>
      </c>
      <c r="Z420" s="24">
        <f t="shared" si="157"/>
        <v>0</v>
      </c>
      <c r="AB420" s="23" t="s">
        <v>30</v>
      </c>
      <c r="AC420" s="14"/>
      <c r="AD420" s="15"/>
      <c r="AE420" s="15"/>
      <c r="AF420" s="15"/>
      <c r="AG420" s="15"/>
      <c r="AH420" s="24">
        <f t="shared" si="159"/>
        <v>0</v>
      </c>
      <c r="AI420" s="14"/>
      <c r="AJ420" s="15"/>
      <c r="AK420" s="15"/>
      <c r="AL420" s="15">
        <v>2</v>
      </c>
      <c r="AM420" s="15">
        <v>2</v>
      </c>
      <c r="AN420" s="24">
        <f t="shared" si="160"/>
        <v>4</v>
      </c>
      <c r="AO420" s="15"/>
      <c r="AP420" s="55"/>
      <c r="AQ420" s="55"/>
      <c r="AR420" s="55"/>
      <c r="AS420" s="67"/>
      <c r="AT420" s="24">
        <f t="shared" si="161"/>
        <v>0</v>
      </c>
      <c r="AU420" s="15"/>
      <c r="AV420" s="55"/>
      <c r="AW420" s="55"/>
      <c r="AX420" s="55"/>
      <c r="AY420" s="67"/>
      <c r="AZ420" s="24">
        <f t="shared" si="162"/>
        <v>0</v>
      </c>
      <c r="BA420" s="24">
        <f t="shared" si="158"/>
        <v>4</v>
      </c>
      <c r="BB420" s="83">
        <v>43880</v>
      </c>
    </row>
    <row r="421" spans="1:55" ht="14.25" x14ac:dyDescent="0.15">
      <c r="A421" s="23"/>
      <c r="B421" s="44"/>
      <c r="C421" s="45"/>
      <c r="D421" s="45"/>
      <c r="E421" s="45"/>
      <c r="F421" s="45"/>
      <c r="G421" s="43">
        <f t="shared" si="153"/>
        <v>0</v>
      </c>
      <c r="H421" s="44"/>
      <c r="I421" s="45"/>
      <c r="J421" s="45"/>
      <c r="K421" s="45"/>
      <c r="L421" s="45"/>
      <c r="M421" s="43">
        <f t="shared" si="154"/>
        <v>0</v>
      </c>
      <c r="N421" s="42"/>
      <c r="O421" s="53"/>
      <c r="P421" s="53"/>
      <c r="Q421" s="53"/>
      <c r="R421" s="72"/>
      <c r="S421" s="24">
        <f t="shared" si="155"/>
        <v>0</v>
      </c>
      <c r="T421" s="42"/>
      <c r="U421" s="53"/>
      <c r="V421" s="53"/>
      <c r="W421" s="53"/>
      <c r="X421" s="72"/>
      <c r="Y421" s="24">
        <f t="shared" si="156"/>
        <v>0</v>
      </c>
      <c r="Z421" s="24">
        <f t="shared" si="157"/>
        <v>0</v>
      </c>
      <c r="AB421" s="23"/>
      <c r="AC421" s="14"/>
      <c r="AD421" s="15"/>
      <c r="AE421" s="15"/>
      <c r="AF421" s="15"/>
      <c r="AG421" s="15"/>
      <c r="AH421" s="24">
        <f t="shared" ref="AH421:AH426" si="163">SUM(AC421:AG421)</f>
        <v>0</v>
      </c>
      <c r="AI421" s="14"/>
      <c r="AJ421" s="15"/>
      <c r="AK421" s="15"/>
      <c r="AL421" s="15"/>
      <c r="AM421" s="15"/>
      <c r="AN421" s="24">
        <f t="shared" ref="AN421:AN426" si="164">SUM(AI421:AM421)</f>
        <v>0</v>
      </c>
      <c r="AO421" s="15"/>
      <c r="AP421" s="55"/>
      <c r="AQ421" s="55"/>
      <c r="AR421" s="55"/>
      <c r="AS421" s="67"/>
      <c r="AT421" s="24">
        <f t="shared" ref="AT421:AT426" si="165">SUM(AO421:AS421)</f>
        <v>0</v>
      </c>
      <c r="AU421" s="15"/>
      <c r="AV421" s="55"/>
      <c r="AW421" s="55"/>
      <c r="AX421" s="55"/>
      <c r="AY421" s="67"/>
      <c r="AZ421" s="24">
        <f t="shared" ref="AZ421:AZ426" si="166">SUM(AU421:AY421)</f>
        <v>0</v>
      </c>
      <c r="BA421" s="24">
        <f>AH421+AN421+AT421+AZ421</f>
        <v>0</v>
      </c>
      <c r="BB421" s="128"/>
    </row>
    <row r="422" spans="1:55" ht="14.25" x14ac:dyDescent="0.15">
      <c r="A422" s="110"/>
      <c r="B422" s="41"/>
      <c r="C422" s="42"/>
      <c r="D422" s="42"/>
      <c r="E422" s="42"/>
      <c r="F422" s="42"/>
      <c r="G422" s="43">
        <f t="shared" si="153"/>
        <v>0</v>
      </c>
      <c r="H422" s="41"/>
      <c r="I422" s="42"/>
      <c r="J422" s="42"/>
      <c r="K422" s="42"/>
      <c r="L422" s="42"/>
      <c r="M422" s="43">
        <f t="shared" si="154"/>
        <v>0</v>
      </c>
      <c r="N422" s="42"/>
      <c r="O422" s="53"/>
      <c r="P422" s="53"/>
      <c r="Q422" s="53"/>
      <c r="R422" s="72"/>
      <c r="S422" s="24">
        <f t="shared" si="155"/>
        <v>0</v>
      </c>
      <c r="T422" s="42"/>
      <c r="U422" s="53"/>
      <c r="V422" s="53"/>
      <c r="W422" s="53"/>
      <c r="X422" s="72"/>
      <c r="Y422" s="24">
        <f t="shared" si="156"/>
        <v>0</v>
      </c>
      <c r="Z422" s="24">
        <f t="shared" si="157"/>
        <v>0</v>
      </c>
      <c r="AB422" s="23"/>
      <c r="AC422" s="14"/>
      <c r="AD422" s="15"/>
      <c r="AE422" s="15"/>
      <c r="AF422" s="15"/>
      <c r="AG422" s="15"/>
      <c r="AH422" s="24">
        <f t="shared" si="163"/>
        <v>0</v>
      </c>
      <c r="AI422" s="14"/>
      <c r="AJ422" s="15"/>
      <c r="AK422" s="15"/>
      <c r="AL422" s="15"/>
      <c r="AM422" s="15"/>
      <c r="AN422" s="24">
        <f t="shared" si="164"/>
        <v>0</v>
      </c>
      <c r="AO422" s="15"/>
      <c r="AP422" s="55"/>
      <c r="AQ422" s="55"/>
      <c r="AR422" s="55"/>
      <c r="AS422" s="67"/>
      <c r="AT422" s="24">
        <f t="shared" si="165"/>
        <v>0</v>
      </c>
      <c r="AU422" s="15"/>
      <c r="AV422" s="55"/>
      <c r="AW422" s="55"/>
      <c r="AX422" s="55"/>
      <c r="AY422" s="67"/>
      <c r="AZ422" s="24">
        <f t="shared" si="166"/>
        <v>0</v>
      </c>
      <c r="BA422" s="24">
        <f t="shared" ref="BA422:BA427" si="167">AH422+AN422+AT422+AZ422</f>
        <v>0</v>
      </c>
      <c r="BB422" s="128"/>
    </row>
    <row r="423" spans="1:55" ht="14.25" x14ac:dyDescent="0.15">
      <c r="A423" s="23"/>
      <c r="B423" s="41"/>
      <c r="C423" s="42"/>
      <c r="D423" s="42"/>
      <c r="E423" s="42"/>
      <c r="F423" s="42"/>
      <c r="G423" s="43">
        <f t="shared" si="153"/>
        <v>0</v>
      </c>
      <c r="H423" s="41"/>
      <c r="I423" s="42"/>
      <c r="J423" s="42"/>
      <c r="K423" s="42"/>
      <c r="L423" s="42"/>
      <c r="M423" s="43">
        <f t="shared" si="154"/>
        <v>0</v>
      </c>
      <c r="N423" s="42"/>
      <c r="O423" s="53"/>
      <c r="P423" s="53"/>
      <c r="Q423" s="53"/>
      <c r="R423" s="72"/>
      <c r="S423" s="24">
        <f t="shared" si="155"/>
        <v>0</v>
      </c>
      <c r="T423" s="42"/>
      <c r="U423" s="53"/>
      <c r="V423" s="53"/>
      <c r="W423" s="53"/>
      <c r="X423" s="72"/>
      <c r="Y423" s="24">
        <f t="shared" si="156"/>
        <v>0</v>
      </c>
      <c r="Z423" s="24">
        <f t="shared" si="157"/>
        <v>0</v>
      </c>
      <c r="AB423" s="23" t="s">
        <v>192</v>
      </c>
      <c r="AC423" s="14"/>
      <c r="AD423" s="15"/>
      <c r="AE423" s="15"/>
      <c r="AF423" s="15"/>
      <c r="AG423" s="15"/>
      <c r="AH423" s="24">
        <f>SUM(AC423:AG423)</f>
        <v>0</v>
      </c>
      <c r="AI423" s="14"/>
      <c r="AJ423" s="15"/>
      <c r="AK423" s="15"/>
      <c r="AL423" s="15"/>
      <c r="AM423" s="15"/>
      <c r="AN423" s="24">
        <f>SUM(AI423:AM423)</f>
        <v>0</v>
      </c>
      <c r="AO423" s="15"/>
      <c r="AP423" s="55"/>
      <c r="AQ423" s="55"/>
      <c r="AR423" s="55"/>
      <c r="AS423" s="67"/>
      <c r="AT423" s="24">
        <f>SUM(AO423:AS423)</f>
        <v>0</v>
      </c>
      <c r="AU423" s="15"/>
      <c r="AV423" s="55"/>
      <c r="AW423" s="55"/>
      <c r="AX423" s="55"/>
      <c r="AY423" s="67"/>
      <c r="AZ423" s="24">
        <f>SUM(AU423:AY423)</f>
        <v>0</v>
      </c>
      <c r="BA423" s="24">
        <f>AH423+AN423+AT423+AZ423</f>
        <v>0</v>
      </c>
      <c r="BB423" s="128" t="s">
        <v>193</v>
      </c>
    </row>
    <row r="424" spans="1:55" ht="14.25" x14ac:dyDescent="0.15">
      <c r="A424" s="23"/>
      <c r="B424" s="41"/>
      <c r="C424" s="42"/>
      <c r="D424" s="42"/>
      <c r="E424" s="42"/>
      <c r="F424" s="42"/>
      <c r="G424" s="43">
        <f t="shared" si="153"/>
        <v>0</v>
      </c>
      <c r="H424" s="41"/>
      <c r="I424" s="42"/>
      <c r="J424" s="42"/>
      <c r="K424" s="42"/>
      <c r="L424" s="42"/>
      <c r="M424" s="43">
        <f t="shared" si="154"/>
        <v>0</v>
      </c>
      <c r="N424" s="42"/>
      <c r="O424" s="53"/>
      <c r="P424" s="53"/>
      <c r="Q424" s="53"/>
      <c r="R424" s="72"/>
      <c r="S424" s="24">
        <f>SUM(N424:R424)</f>
        <v>0</v>
      </c>
      <c r="T424" s="42"/>
      <c r="U424" s="53"/>
      <c r="V424" s="53"/>
      <c r="W424" s="53"/>
      <c r="X424" s="72"/>
      <c r="Y424" s="24">
        <f>SUM(T424:X424)</f>
        <v>0</v>
      </c>
      <c r="Z424" s="24">
        <f>G424+M424+S424+Y424</f>
        <v>0</v>
      </c>
      <c r="AB424" s="47" t="s">
        <v>194</v>
      </c>
      <c r="AC424" s="14"/>
      <c r="AD424" s="15"/>
      <c r="AE424" s="15"/>
      <c r="AF424" s="15"/>
      <c r="AG424" s="15"/>
      <c r="AH424" s="24">
        <f>SUM(AC424:AG424)</f>
        <v>0</v>
      </c>
      <c r="AI424" s="154"/>
      <c r="AJ424" s="155"/>
      <c r="AK424" s="155"/>
      <c r="AL424" s="155"/>
      <c r="AM424" s="155"/>
      <c r="AN424" s="24">
        <f>SUM(AI424:AM424)</f>
        <v>0</v>
      </c>
      <c r="AO424" s="15"/>
      <c r="AP424" s="55"/>
      <c r="AQ424" s="55"/>
      <c r="AR424" s="55"/>
      <c r="AS424" s="67"/>
      <c r="AT424" s="24">
        <f>SUM(AO424:AS424)</f>
        <v>0</v>
      </c>
      <c r="AU424" s="15"/>
      <c r="AV424" s="55"/>
      <c r="AW424" s="55"/>
      <c r="AX424" s="55"/>
      <c r="AY424" s="67"/>
      <c r="AZ424" s="24">
        <f>SUM(AU424:AY424)</f>
        <v>0</v>
      </c>
      <c r="BA424" s="24">
        <f>AH424+AN424+AT424+AZ424</f>
        <v>0</v>
      </c>
      <c r="BB424" s="128" t="s">
        <v>208</v>
      </c>
    </row>
    <row r="425" spans="1:55" ht="15" thickBot="1" x14ac:dyDescent="0.2">
      <c r="A425" s="47"/>
      <c r="B425" s="44"/>
      <c r="C425" s="45"/>
      <c r="D425" s="45"/>
      <c r="E425" s="45"/>
      <c r="F425" s="45"/>
      <c r="G425" s="43">
        <f t="shared" si="153"/>
        <v>0</v>
      </c>
      <c r="H425" s="44"/>
      <c r="I425" s="45"/>
      <c r="J425" s="45"/>
      <c r="K425" s="45"/>
      <c r="L425" s="45"/>
      <c r="M425" s="112">
        <f t="shared" si="154"/>
        <v>0</v>
      </c>
      <c r="N425" s="45"/>
      <c r="O425" s="78"/>
      <c r="P425" s="78"/>
      <c r="Q425" s="78"/>
      <c r="R425" s="79"/>
      <c r="S425" s="113">
        <f>SUM(N425:R425)</f>
        <v>0</v>
      </c>
      <c r="T425" s="45"/>
      <c r="U425" s="78"/>
      <c r="V425" s="78"/>
      <c r="W425" s="78"/>
      <c r="X425" s="79"/>
      <c r="Y425" s="113">
        <f>SUM(T425:X425)</f>
        <v>0</v>
      </c>
      <c r="Z425" s="82">
        <f>G425+M425+S425+Y425</f>
        <v>0</v>
      </c>
      <c r="AA425" s="128"/>
      <c r="AB425" s="23" t="s">
        <v>265</v>
      </c>
      <c r="AC425" s="14"/>
      <c r="AD425" s="15"/>
      <c r="AE425" s="15"/>
      <c r="AF425" s="15"/>
      <c r="AG425" s="15"/>
      <c r="AH425" s="24">
        <f>SUM(AC425:AG425)</f>
        <v>0</v>
      </c>
      <c r="AI425" s="14"/>
      <c r="AJ425" s="15"/>
      <c r="AK425" s="15"/>
      <c r="AL425" s="15"/>
      <c r="AM425" s="15"/>
      <c r="AN425" s="24">
        <f>SUM(AI425:AM425)</f>
        <v>0</v>
      </c>
      <c r="AO425" s="15"/>
      <c r="AP425" s="55"/>
      <c r="AQ425" s="55"/>
      <c r="AR425" s="55"/>
      <c r="AS425" s="67"/>
      <c r="AT425" s="24">
        <f>SUM(AO425:AS425)</f>
        <v>0</v>
      </c>
      <c r="AU425" s="15"/>
      <c r="AV425" s="55"/>
      <c r="AW425" s="55"/>
      <c r="AX425" s="55"/>
      <c r="AY425" s="67"/>
      <c r="AZ425" s="24">
        <f>SUM(AU425:AY425)</f>
        <v>0</v>
      </c>
      <c r="BA425" s="24">
        <f>AH425+AN425+AT425+AZ425</f>
        <v>0</v>
      </c>
      <c r="BB425" s="128" t="s">
        <v>264</v>
      </c>
    </row>
    <row r="426" spans="1:55" ht="15" thickBot="1" x14ac:dyDescent="0.2">
      <c r="A426" s="9" t="s">
        <v>13</v>
      </c>
      <c r="B426" s="25">
        <f>SUM(B400:B425)</f>
        <v>0</v>
      </c>
      <c r="C426" s="26">
        <f>SUM(C400:C425)</f>
        <v>0</v>
      </c>
      <c r="D426" s="26">
        <f>SUM(D400:D425)</f>
        <v>2</v>
      </c>
      <c r="E426" s="26">
        <f>SUM(E400:E425)</f>
        <v>0</v>
      </c>
      <c r="F426" s="27">
        <f>SUM(F400:F425)</f>
        <v>1</v>
      </c>
      <c r="G426" s="19">
        <f>SUM(B426:F426)</f>
        <v>3</v>
      </c>
      <c r="H426" s="25">
        <f>SUM(H400:H425)</f>
        <v>2</v>
      </c>
      <c r="I426" s="26">
        <f>SUM(I400:I425)</f>
        <v>0</v>
      </c>
      <c r="J426" s="26">
        <f>SUM(J400:J425)</f>
        <v>1</v>
      </c>
      <c r="K426" s="26">
        <f>SUM(K400:K425)</f>
        <v>0</v>
      </c>
      <c r="L426" s="27">
        <f>SUM(L400:L425)</f>
        <v>0</v>
      </c>
      <c r="M426" s="25">
        <f>SUM(H426:L426)</f>
        <v>3</v>
      </c>
      <c r="N426" s="65">
        <f>SUM(N400:N425)</f>
        <v>0</v>
      </c>
      <c r="O426" s="18">
        <f>SUM(O400:O425)</f>
        <v>0</v>
      </c>
      <c r="P426" s="18">
        <f>SUM(P400:P425)</f>
        <v>0</v>
      </c>
      <c r="Q426" s="18">
        <f>SUM(Q400:Q425)</f>
        <v>0</v>
      </c>
      <c r="R426" s="70">
        <f>SUM(R400:R425)</f>
        <v>0</v>
      </c>
      <c r="S426" s="49">
        <f>SUM(N426:R426)</f>
        <v>0</v>
      </c>
      <c r="T426" s="74">
        <f>SUM(T400:T425)</f>
        <v>0</v>
      </c>
      <c r="U426" s="18">
        <f>SUM(U400:U425)</f>
        <v>0</v>
      </c>
      <c r="V426" s="18">
        <f>SUM(V400:V425)</f>
        <v>0</v>
      </c>
      <c r="W426" s="18">
        <f>SUM(W400:W425)</f>
        <v>0</v>
      </c>
      <c r="X426" s="70">
        <f>SUM(X400:X425)</f>
        <v>2</v>
      </c>
      <c r="Y426" s="49">
        <f>SUM(T426:X426)</f>
        <v>2</v>
      </c>
      <c r="Z426" s="77">
        <f>G426+M426+S426+Y426</f>
        <v>8</v>
      </c>
      <c r="AB426" s="9" t="s">
        <v>13</v>
      </c>
      <c r="AC426" s="25">
        <f>SUM(AC400:AC425)</f>
        <v>15</v>
      </c>
      <c r="AD426" s="26">
        <f>SUM(AD400:AD425)</f>
        <v>31</v>
      </c>
      <c r="AE426" s="26">
        <f>SUM(AE400:AE425)</f>
        <v>17</v>
      </c>
      <c r="AF426" s="26">
        <f>SUM(AF400:AF425)</f>
        <v>15</v>
      </c>
      <c r="AG426" s="27">
        <f>SUM(AG400:AG425)</f>
        <v>22</v>
      </c>
      <c r="AH426" s="19">
        <f t="shared" si="163"/>
        <v>100</v>
      </c>
      <c r="AI426" s="25">
        <f>SUM(AI400:AI425)</f>
        <v>5</v>
      </c>
      <c r="AJ426" s="26">
        <f>SUM(AJ400:AJ425)</f>
        <v>2</v>
      </c>
      <c r="AK426" s="26">
        <f>SUM(AK400:AK425)</f>
        <v>0</v>
      </c>
      <c r="AL426" s="26">
        <f>SUM(AL400:AL425)</f>
        <v>3</v>
      </c>
      <c r="AM426" s="27">
        <f>SUM(AM400:AM425)</f>
        <v>3</v>
      </c>
      <c r="AN426" s="25">
        <f t="shared" si="164"/>
        <v>13</v>
      </c>
      <c r="AO426" s="65">
        <f>SUM(AO400:AO425)</f>
        <v>5</v>
      </c>
      <c r="AP426" s="18">
        <f>SUM(AP400:AP425)</f>
        <v>9</v>
      </c>
      <c r="AQ426" s="18">
        <f>SUM(AQ400:AQ425)</f>
        <v>8</v>
      </c>
      <c r="AR426" s="18">
        <f>SUM(AR400:AR425)</f>
        <v>6</v>
      </c>
      <c r="AS426" s="70">
        <f>SUM(AS400:AS425)</f>
        <v>7</v>
      </c>
      <c r="AT426" s="49">
        <f t="shared" si="165"/>
        <v>35</v>
      </c>
      <c r="AU426" s="74">
        <f>SUM(AU400:AU425)</f>
        <v>5</v>
      </c>
      <c r="AV426" s="18">
        <f>SUM(AV400:AV425)</f>
        <v>14</v>
      </c>
      <c r="AW426" s="18">
        <f>SUM(AW400:AW425)</f>
        <v>8</v>
      </c>
      <c r="AX426" s="18">
        <f>SUM(AX400:AX425)</f>
        <v>18</v>
      </c>
      <c r="AY426" s="70">
        <f>SUM(AY400:AY425)</f>
        <v>5</v>
      </c>
      <c r="AZ426" s="49">
        <f t="shared" si="166"/>
        <v>50</v>
      </c>
      <c r="BA426" s="77">
        <f t="shared" si="167"/>
        <v>198</v>
      </c>
    </row>
    <row r="427" spans="1:55" ht="15" thickBot="1" x14ac:dyDescent="0.2">
      <c r="A427" s="32" t="s">
        <v>14</v>
      </c>
      <c r="B427" s="29">
        <f t="shared" ref="B427:Y427" si="168">B399-B426</f>
        <v>6</v>
      </c>
      <c r="C427" s="30">
        <f t="shared" si="168"/>
        <v>5</v>
      </c>
      <c r="D427" s="30">
        <f t="shared" si="168"/>
        <v>2</v>
      </c>
      <c r="E427" s="30">
        <f t="shared" si="168"/>
        <v>4</v>
      </c>
      <c r="F427" s="31">
        <f t="shared" si="168"/>
        <v>3</v>
      </c>
      <c r="G427" s="31">
        <f t="shared" si="168"/>
        <v>20</v>
      </c>
      <c r="H427" s="29">
        <f t="shared" si="168"/>
        <v>3</v>
      </c>
      <c r="I427" s="30">
        <f t="shared" si="168"/>
        <v>4</v>
      </c>
      <c r="J427" s="30">
        <f t="shared" si="168"/>
        <v>5</v>
      </c>
      <c r="K427" s="30">
        <f t="shared" si="168"/>
        <v>3</v>
      </c>
      <c r="L427" s="31">
        <f t="shared" si="168"/>
        <v>3</v>
      </c>
      <c r="M427" s="66">
        <f t="shared" si="168"/>
        <v>18</v>
      </c>
      <c r="N427" s="29">
        <f t="shared" si="168"/>
        <v>3</v>
      </c>
      <c r="O427" s="30">
        <f t="shared" si="168"/>
        <v>3</v>
      </c>
      <c r="P427" s="30">
        <f t="shared" si="168"/>
        <v>4</v>
      </c>
      <c r="Q427" s="30">
        <f t="shared" si="168"/>
        <v>3</v>
      </c>
      <c r="R427" s="66">
        <f t="shared" si="168"/>
        <v>3</v>
      </c>
      <c r="S427" s="33">
        <f t="shared" si="168"/>
        <v>16</v>
      </c>
      <c r="T427" s="75">
        <f t="shared" si="168"/>
        <v>4</v>
      </c>
      <c r="U427" s="30">
        <f t="shared" si="168"/>
        <v>2</v>
      </c>
      <c r="V427" s="30">
        <f t="shared" si="168"/>
        <v>2</v>
      </c>
      <c r="W427" s="30">
        <f t="shared" si="168"/>
        <v>2</v>
      </c>
      <c r="X427" s="66">
        <f t="shared" si="168"/>
        <v>2</v>
      </c>
      <c r="Y427" s="33">
        <f t="shared" si="168"/>
        <v>12</v>
      </c>
      <c r="Z427" s="77">
        <f>G427+M427+S427+Y427</f>
        <v>66</v>
      </c>
      <c r="AB427" s="32" t="s">
        <v>14</v>
      </c>
      <c r="AC427" s="29">
        <f t="shared" ref="AC427:AZ427" si="169">AC399-AC426</f>
        <v>146</v>
      </c>
      <c r="AD427" s="30">
        <f t="shared" si="169"/>
        <v>128</v>
      </c>
      <c r="AE427" s="30">
        <f t="shared" si="169"/>
        <v>173</v>
      </c>
      <c r="AF427" s="30">
        <f t="shared" si="169"/>
        <v>176</v>
      </c>
      <c r="AG427" s="31">
        <f t="shared" si="169"/>
        <v>194</v>
      </c>
      <c r="AH427" s="31">
        <f t="shared" si="169"/>
        <v>817</v>
      </c>
      <c r="AI427" s="29">
        <f t="shared" si="169"/>
        <v>95</v>
      </c>
      <c r="AJ427" s="30">
        <f t="shared" si="169"/>
        <v>80</v>
      </c>
      <c r="AK427" s="30">
        <f t="shared" si="169"/>
        <v>104</v>
      </c>
      <c r="AL427" s="30">
        <f t="shared" si="169"/>
        <v>111</v>
      </c>
      <c r="AM427" s="31">
        <f t="shared" si="169"/>
        <v>98</v>
      </c>
      <c r="AN427" s="66">
        <f t="shared" si="169"/>
        <v>488</v>
      </c>
      <c r="AO427" s="29">
        <f t="shared" si="169"/>
        <v>116</v>
      </c>
      <c r="AP427" s="30">
        <f t="shared" si="169"/>
        <v>107</v>
      </c>
      <c r="AQ427" s="30">
        <f t="shared" si="169"/>
        <v>118</v>
      </c>
      <c r="AR427" s="30">
        <f t="shared" si="169"/>
        <v>148</v>
      </c>
      <c r="AS427" s="66">
        <f t="shared" si="169"/>
        <v>166</v>
      </c>
      <c r="AT427" s="33">
        <f t="shared" si="169"/>
        <v>655</v>
      </c>
      <c r="AU427" s="75">
        <f t="shared" si="169"/>
        <v>130</v>
      </c>
      <c r="AV427" s="30">
        <f t="shared" si="169"/>
        <v>131</v>
      </c>
      <c r="AW427" s="30">
        <f t="shared" si="169"/>
        <v>119</v>
      </c>
      <c r="AX427" s="30">
        <f t="shared" si="169"/>
        <v>124</v>
      </c>
      <c r="AY427" s="66">
        <f t="shared" si="169"/>
        <v>166</v>
      </c>
      <c r="AZ427" s="33">
        <f t="shared" si="169"/>
        <v>670</v>
      </c>
      <c r="BA427" s="77">
        <f t="shared" si="167"/>
        <v>2630</v>
      </c>
    </row>
    <row r="430" spans="1:55" ht="19.5" thickBot="1" x14ac:dyDescent="0.25">
      <c r="A430" s="1" t="s">
        <v>15</v>
      </c>
      <c r="AB430" s="1" t="s">
        <v>16</v>
      </c>
    </row>
    <row r="431" spans="1:55" ht="15" thickBot="1" x14ac:dyDescent="0.2">
      <c r="A431" s="4"/>
      <c r="B431" s="245" t="s">
        <v>17</v>
      </c>
      <c r="C431" s="246"/>
      <c r="D431" s="246"/>
      <c r="E431" s="246"/>
      <c r="F431" s="246"/>
      <c r="G431" s="247"/>
      <c r="H431" s="245" t="s">
        <v>18</v>
      </c>
      <c r="I431" s="246"/>
      <c r="J431" s="246"/>
      <c r="K431" s="246"/>
      <c r="L431" s="246"/>
      <c r="M431" s="247"/>
      <c r="N431" s="248" t="s">
        <v>27</v>
      </c>
      <c r="O431" s="249"/>
      <c r="P431" s="249"/>
      <c r="Q431" s="249"/>
      <c r="R431" s="249"/>
      <c r="S431" s="250"/>
      <c r="T431" s="248" t="s">
        <v>28</v>
      </c>
      <c r="U431" s="249"/>
      <c r="V431" s="249"/>
      <c r="W431" s="249"/>
      <c r="X431" s="249"/>
      <c r="Y431" s="250"/>
      <c r="Z431" s="251" t="s">
        <v>1</v>
      </c>
      <c r="AB431" s="4"/>
      <c r="AC431" s="253" t="s">
        <v>17</v>
      </c>
      <c r="AD431" s="249"/>
      <c r="AE431" s="249"/>
      <c r="AF431" s="249"/>
      <c r="AG431" s="249"/>
      <c r="AH431" s="250"/>
      <c r="AI431" s="248" t="s">
        <v>18</v>
      </c>
      <c r="AJ431" s="249"/>
      <c r="AK431" s="249"/>
      <c r="AL431" s="249"/>
      <c r="AM431" s="249"/>
      <c r="AN431" s="250"/>
      <c r="AO431" s="248" t="s">
        <v>27</v>
      </c>
      <c r="AP431" s="249"/>
      <c r="AQ431" s="249"/>
      <c r="AR431" s="249"/>
      <c r="AS431" s="249"/>
      <c r="AT431" s="250"/>
      <c r="AU431" s="248" t="s">
        <v>28</v>
      </c>
      <c r="AV431" s="249"/>
      <c r="AW431" s="249"/>
      <c r="AX431" s="249"/>
      <c r="AY431" s="249"/>
      <c r="AZ431" s="250"/>
      <c r="BA431" s="243" t="s">
        <v>1</v>
      </c>
    </row>
    <row r="432" spans="1:55" ht="15" thickBot="1" x14ac:dyDescent="0.2">
      <c r="A432" s="9" t="s">
        <v>2</v>
      </c>
      <c r="B432" s="6" t="s">
        <v>3</v>
      </c>
      <c r="C432" s="7" t="s">
        <v>4</v>
      </c>
      <c r="D432" s="7" t="s">
        <v>5</v>
      </c>
      <c r="E432" s="48" t="s">
        <v>20</v>
      </c>
      <c r="F432" s="8" t="s">
        <v>21</v>
      </c>
      <c r="G432" s="5" t="s">
        <v>6</v>
      </c>
      <c r="H432" s="6" t="s">
        <v>3</v>
      </c>
      <c r="I432" s="7" t="s">
        <v>4</v>
      </c>
      <c r="J432" s="7" t="s">
        <v>5</v>
      </c>
      <c r="K432" s="48" t="s">
        <v>20</v>
      </c>
      <c r="L432" s="8" t="s">
        <v>21</v>
      </c>
      <c r="M432" s="5" t="s">
        <v>6</v>
      </c>
      <c r="N432" s="6" t="s">
        <v>3</v>
      </c>
      <c r="O432" s="7" t="s">
        <v>4</v>
      </c>
      <c r="P432" s="7" t="s">
        <v>5</v>
      </c>
      <c r="Q432" s="48" t="s">
        <v>20</v>
      </c>
      <c r="R432" s="8" t="s">
        <v>21</v>
      </c>
      <c r="S432" s="5" t="s">
        <v>6</v>
      </c>
      <c r="T432" s="7" t="s">
        <v>3</v>
      </c>
      <c r="U432" s="7" t="s">
        <v>4</v>
      </c>
      <c r="V432" s="7" t="s">
        <v>5</v>
      </c>
      <c r="W432" s="48" t="s">
        <v>20</v>
      </c>
      <c r="X432" s="109" t="s">
        <v>21</v>
      </c>
      <c r="Y432" s="62" t="s">
        <v>6</v>
      </c>
      <c r="Z432" s="252"/>
      <c r="AB432" s="9" t="s">
        <v>2</v>
      </c>
      <c r="AC432" s="6" t="s">
        <v>3</v>
      </c>
      <c r="AD432" s="7" t="s">
        <v>4</v>
      </c>
      <c r="AE432" s="7" t="s">
        <v>5</v>
      </c>
      <c r="AF432" s="48" t="s">
        <v>20</v>
      </c>
      <c r="AG432" s="8" t="s">
        <v>21</v>
      </c>
      <c r="AH432" s="5" t="s">
        <v>6</v>
      </c>
      <c r="AI432" s="6" t="s">
        <v>3</v>
      </c>
      <c r="AJ432" s="7" t="s">
        <v>4</v>
      </c>
      <c r="AK432" s="7" t="s">
        <v>5</v>
      </c>
      <c r="AL432" s="48" t="s">
        <v>20</v>
      </c>
      <c r="AM432" s="8" t="s">
        <v>21</v>
      </c>
      <c r="AN432" s="5" t="s">
        <v>6</v>
      </c>
      <c r="AO432" s="6" t="s">
        <v>3</v>
      </c>
      <c r="AP432" s="7" t="s">
        <v>4</v>
      </c>
      <c r="AQ432" s="7" t="s">
        <v>5</v>
      </c>
      <c r="AR432" s="48" t="s">
        <v>20</v>
      </c>
      <c r="AS432" s="8" t="s">
        <v>21</v>
      </c>
      <c r="AT432" s="5" t="s">
        <v>6</v>
      </c>
      <c r="AU432" s="7" t="s">
        <v>3</v>
      </c>
      <c r="AV432" s="7" t="s">
        <v>4</v>
      </c>
      <c r="AW432" s="7" t="s">
        <v>5</v>
      </c>
      <c r="AX432" s="48" t="s">
        <v>20</v>
      </c>
      <c r="AY432" s="109" t="s">
        <v>21</v>
      </c>
      <c r="AZ432" s="62" t="s">
        <v>6</v>
      </c>
      <c r="BA432" s="244"/>
    </row>
    <row r="433" spans="1:55" ht="14.25" x14ac:dyDescent="0.15">
      <c r="A433" s="103" t="s">
        <v>43</v>
      </c>
      <c r="B433" s="104">
        <f>B427</f>
        <v>6</v>
      </c>
      <c r="C433" s="105">
        <f>C427</f>
        <v>5</v>
      </c>
      <c r="D433" s="105">
        <f>D427</f>
        <v>2</v>
      </c>
      <c r="E433" s="105">
        <f>E427</f>
        <v>4</v>
      </c>
      <c r="F433" s="105">
        <f>F427</f>
        <v>3</v>
      </c>
      <c r="G433" s="106">
        <f t="shared" ref="G433:G464" si="170">SUM(B433:F433)</f>
        <v>20</v>
      </c>
      <c r="H433" s="104">
        <f>H427</f>
        <v>3</v>
      </c>
      <c r="I433" s="105">
        <f>I427</f>
        <v>4</v>
      </c>
      <c r="J433" s="105">
        <f>J427</f>
        <v>5</v>
      </c>
      <c r="K433" s="105">
        <f>K427</f>
        <v>3</v>
      </c>
      <c r="L433" s="105">
        <f>L427</f>
        <v>3</v>
      </c>
      <c r="M433" s="107">
        <f t="shared" ref="M433:M464" si="171">SUM(H433:L433)</f>
        <v>18</v>
      </c>
      <c r="N433" s="104">
        <f>N427</f>
        <v>3</v>
      </c>
      <c r="O433" s="105">
        <f>O427</f>
        <v>3</v>
      </c>
      <c r="P433" s="105">
        <f>P427</f>
        <v>4</v>
      </c>
      <c r="Q433" s="105">
        <f>Q427</f>
        <v>3</v>
      </c>
      <c r="R433" s="105">
        <f>R427</f>
        <v>3</v>
      </c>
      <c r="S433" s="108">
        <f t="shared" ref="S433:S462" si="172">SUM(N433:R433)</f>
        <v>16</v>
      </c>
      <c r="T433" s="104">
        <f>T427</f>
        <v>4</v>
      </c>
      <c r="U433" s="105">
        <f>U427</f>
        <v>2</v>
      </c>
      <c r="V433" s="105">
        <f>V427</f>
        <v>2</v>
      </c>
      <c r="W433" s="105">
        <f>W427</f>
        <v>2</v>
      </c>
      <c r="X433" s="105">
        <f>X427</f>
        <v>2</v>
      </c>
      <c r="Y433" s="106">
        <f t="shared" ref="Y433:Y462" si="173">SUM(T433:X433)</f>
        <v>12</v>
      </c>
      <c r="Z433" s="106">
        <f t="shared" ref="Z433:Z462" si="174">G433+M433+S433+Y433</f>
        <v>66</v>
      </c>
      <c r="AB433" s="103" t="s">
        <v>43</v>
      </c>
      <c r="AC433" s="104">
        <f>AC427</f>
        <v>146</v>
      </c>
      <c r="AD433" s="105">
        <f>AD427</f>
        <v>128</v>
      </c>
      <c r="AE433" s="105">
        <f>AE427</f>
        <v>173</v>
      </c>
      <c r="AF433" s="105">
        <f>AF427</f>
        <v>176</v>
      </c>
      <c r="AG433" s="105">
        <f>AG427</f>
        <v>194</v>
      </c>
      <c r="AH433" s="106">
        <f>SUM(AC433:AG433)</f>
        <v>817</v>
      </c>
      <c r="AI433" s="104">
        <f>AI427</f>
        <v>95</v>
      </c>
      <c r="AJ433" s="105">
        <f>AJ427</f>
        <v>80</v>
      </c>
      <c r="AK433" s="105">
        <f>AK427</f>
        <v>104</v>
      </c>
      <c r="AL433" s="105">
        <f>AL427</f>
        <v>111</v>
      </c>
      <c r="AM433" s="105">
        <f>AM427</f>
        <v>98</v>
      </c>
      <c r="AN433" s="107">
        <f>SUM(AI433:AM433)</f>
        <v>488</v>
      </c>
      <c r="AO433" s="104">
        <f>AO427</f>
        <v>116</v>
      </c>
      <c r="AP433" s="105">
        <f>AP427</f>
        <v>107</v>
      </c>
      <c r="AQ433" s="105">
        <f>AQ427</f>
        <v>118</v>
      </c>
      <c r="AR433" s="105">
        <f>AR427</f>
        <v>148</v>
      </c>
      <c r="AS433" s="105">
        <f>AS427</f>
        <v>166</v>
      </c>
      <c r="AT433" s="108">
        <f>SUM(AO433:AS433)</f>
        <v>655</v>
      </c>
      <c r="AU433" s="104">
        <f>AU427</f>
        <v>130</v>
      </c>
      <c r="AV433" s="105">
        <f>AV427</f>
        <v>131</v>
      </c>
      <c r="AW433" s="105">
        <f>AW427</f>
        <v>119</v>
      </c>
      <c r="AX433" s="105">
        <f>AX427</f>
        <v>124</v>
      </c>
      <c r="AY433" s="105">
        <f>AY427</f>
        <v>166</v>
      </c>
      <c r="AZ433" s="106">
        <f>SUM(AU433:AY433)</f>
        <v>670</v>
      </c>
      <c r="BA433" s="106">
        <f t="shared" ref="BA433:BA466" si="175">AH433+AN433+AT433+AZ433</f>
        <v>2630</v>
      </c>
    </row>
    <row r="434" spans="1:55" ht="14.25" x14ac:dyDescent="0.15">
      <c r="A434" s="10" t="s">
        <v>83</v>
      </c>
      <c r="B434" s="14"/>
      <c r="C434" s="15">
        <v>1</v>
      </c>
      <c r="D434" s="15">
        <v>2</v>
      </c>
      <c r="E434" s="15">
        <v>1</v>
      </c>
      <c r="F434" s="15">
        <v>2</v>
      </c>
      <c r="G434" s="16">
        <f t="shared" si="170"/>
        <v>6</v>
      </c>
      <c r="H434" s="14"/>
      <c r="I434" s="15"/>
      <c r="J434" s="15"/>
      <c r="K434" s="15"/>
      <c r="L434" s="15"/>
      <c r="M434" s="57">
        <f t="shared" si="171"/>
        <v>0</v>
      </c>
      <c r="N434" s="14"/>
      <c r="O434" s="55"/>
      <c r="P434" s="55"/>
      <c r="Q434" s="55"/>
      <c r="R434" s="67"/>
      <c r="S434" s="24">
        <f t="shared" si="172"/>
        <v>0</v>
      </c>
      <c r="T434" s="15"/>
      <c r="U434" s="55"/>
      <c r="V434" s="55"/>
      <c r="W434" s="55">
        <v>2</v>
      </c>
      <c r="X434" s="67"/>
      <c r="Y434" s="24">
        <f t="shared" si="173"/>
        <v>2</v>
      </c>
      <c r="Z434" s="24">
        <f t="shared" si="174"/>
        <v>8</v>
      </c>
      <c r="AA434" s="93">
        <v>43881</v>
      </c>
      <c r="AB434" s="10" t="s">
        <v>126</v>
      </c>
      <c r="AC434" s="14">
        <v>2</v>
      </c>
      <c r="AD434" s="15">
        <v>3</v>
      </c>
      <c r="AE434" s="15">
        <v>2</v>
      </c>
      <c r="AF434" s="15">
        <v>2</v>
      </c>
      <c r="AG434" s="15">
        <v>2</v>
      </c>
      <c r="AH434" s="16">
        <f>SUM(AC434:AG434)</f>
        <v>11</v>
      </c>
      <c r="AI434" s="14"/>
      <c r="AJ434" s="15"/>
      <c r="AK434" s="15"/>
      <c r="AL434" s="15"/>
      <c r="AM434" s="15"/>
      <c r="AN434" s="57">
        <f>SUM(AI434:AM434)</f>
        <v>0</v>
      </c>
      <c r="AO434" s="14"/>
      <c r="AP434" s="55"/>
      <c r="AQ434" s="55"/>
      <c r="AR434" s="55"/>
      <c r="AS434" s="67"/>
      <c r="AT434" s="24">
        <f>SUM(AO434:AS434)</f>
        <v>0</v>
      </c>
      <c r="AU434" s="15">
        <v>2</v>
      </c>
      <c r="AV434" s="55"/>
      <c r="AW434" s="55"/>
      <c r="AX434" s="55">
        <v>2</v>
      </c>
      <c r="AY434" s="67"/>
      <c r="AZ434" s="24">
        <f>SUM(AU434:AY434)</f>
        <v>4</v>
      </c>
      <c r="BA434" s="24">
        <f>AH434+AN434+AT434+AZ434</f>
        <v>15</v>
      </c>
      <c r="BB434" s="83">
        <v>43890</v>
      </c>
    </row>
    <row r="435" spans="1:55" ht="14.25" x14ac:dyDescent="0.15">
      <c r="A435" s="10" t="s">
        <v>309</v>
      </c>
      <c r="B435" s="41"/>
      <c r="C435" s="42"/>
      <c r="D435" s="42"/>
      <c r="E435" s="42"/>
      <c r="F435" s="42"/>
      <c r="G435" s="37">
        <f t="shared" si="170"/>
        <v>0</v>
      </c>
      <c r="H435" s="41"/>
      <c r="I435" s="42"/>
      <c r="J435" s="42"/>
      <c r="K435" s="42"/>
      <c r="L435" s="42">
        <v>1</v>
      </c>
      <c r="M435" s="114">
        <f t="shared" si="171"/>
        <v>1</v>
      </c>
      <c r="N435" s="41"/>
      <c r="O435" s="53"/>
      <c r="P435" s="53"/>
      <c r="Q435" s="53"/>
      <c r="R435" s="72"/>
      <c r="S435" s="24">
        <f t="shared" si="172"/>
        <v>0</v>
      </c>
      <c r="T435" s="42"/>
      <c r="U435" s="53"/>
      <c r="V435" s="53"/>
      <c r="W435" s="53"/>
      <c r="X435" s="72"/>
      <c r="Y435" s="24">
        <f t="shared" si="173"/>
        <v>0</v>
      </c>
      <c r="Z435" s="24">
        <f t="shared" si="174"/>
        <v>1</v>
      </c>
      <c r="AA435" s="93">
        <v>43889</v>
      </c>
      <c r="AB435" s="10" t="s">
        <v>181</v>
      </c>
      <c r="AC435" s="14"/>
      <c r="AD435" s="15"/>
      <c r="AE435" s="15"/>
      <c r="AF435" s="15"/>
      <c r="AG435" s="15"/>
      <c r="AH435" s="16">
        <f>SUM(AC435:AG435)</f>
        <v>0</v>
      </c>
      <c r="AI435" s="14"/>
      <c r="AJ435" s="15"/>
      <c r="AK435" s="15"/>
      <c r="AL435" s="15"/>
      <c r="AM435" s="15"/>
      <c r="AN435" s="57">
        <f>SUM(AI435:AM435)</f>
        <v>0</v>
      </c>
      <c r="AO435" s="14"/>
      <c r="AP435" s="55"/>
      <c r="AQ435" s="55"/>
      <c r="AR435" s="55"/>
      <c r="AS435" s="67"/>
      <c r="AT435" s="24">
        <f>SUM(AO435:AS435)</f>
        <v>0</v>
      </c>
      <c r="AU435" s="15"/>
      <c r="AV435" s="55"/>
      <c r="AW435" s="55"/>
      <c r="AX435" s="55"/>
      <c r="AY435" s="67"/>
      <c r="AZ435" s="24">
        <f>SUM(AU435:AY435)</f>
        <v>0</v>
      </c>
      <c r="BA435" s="24">
        <f>AH435+AN435+AT435+AZ435</f>
        <v>0</v>
      </c>
      <c r="BB435" s="83"/>
    </row>
    <row r="436" spans="1:55" ht="14.25" x14ac:dyDescent="0.15">
      <c r="A436" s="10" t="s">
        <v>207</v>
      </c>
      <c r="B436" s="14"/>
      <c r="C436" s="15"/>
      <c r="D436" s="15"/>
      <c r="E436" s="15"/>
      <c r="F436" s="15"/>
      <c r="G436" s="16">
        <f t="shared" si="170"/>
        <v>0</v>
      </c>
      <c r="H436" s="14"/>
      <c r="I436" s="15"/>
      <c r="J436" s="15"/>
      <c r="K436" s="15"/>
      <c r="L436" s="15"/>
      <c r="M436" s="57">
        <f t="shared" si="171"/>
        <v>0</v>
      </c>
      <c r="N436" s="14"/>
      <c r="O436" s="55">
        <v>1</v>
      </c>
      <c r="P436" s="55"/>
      <c r="Q436" s="55"/>
      <c r="R436" s="67"/>
      <c r="S436" s="24">
        <f t="shared" si="172"/>
        <v>1</v>
      </c>
      <c r="T436" s="15"/>
      <c r="U436" s="55"/>
      <c r="V436" s="55"/>
      <c r="W436" s="55"/>
      <c r="X436" s="67"/>
      <c r="Y436" s="24">
        <f t="shared" si="173"/>
        <v>0</v>
      </c>
      <c r="Z436" s="24">
        <f t="shared" si="174"/>
        <v>1</v>
      </c>
      <c r="AA436" s="93">
        <v>43890</v>
      </c>
      <c r="AB436" s="10" t="s">
        <v>181</v>
      </c>
      <c r="AC436" s="14"/>
      <c r="AD436" s="15"/>
      <c r="AE436" s="15"/>
      <c r="AF436" s="15"/>
      <c r="AG436" s="15"/>
      <c r="AH436" s="16">
        <f t="shared" ref="AH436:AH465" si="176">SUM(AC436:AG436)</f>
        <v>0</v>
      </c>
      <c r="AI436" s="14"/>
      <c r="AJ436" s="15"/>
      <c r="AK436" s="15"/>
      <c r="AL436" s="15"/>
      <c r="AM436" s="15"/>
      <c r="AN436" s="57">
        <f t="shared" ref="AN436:AN465" si="177">SUM(AI436:AM436)</f>
        <v>0</v>
      </c>
      <c r="AO436" s="86"/>
      <c r="AP436" s="156"/>
      <c r="AQ436" s="156"/>
      <c r="AR436" s="156"/>
      <c r="AS436" s="157"/>
      <c r="AT436" s="16">
        <f t="shared" ref="AT436:AT465" si="178">SUM(AO436:AS436)</f>
        <v>0</v>
      </c>
      <c r="AU436" s="87"/>
      <c r="AV436" s="156"/>
      <c r="AW436" s="156"/>
      <c r="AX436" s="156"/>
      <c r="AY436" s="157"/>
      <c r="AZ436" s="16">
        <f t="shared" ref="AZ436:AZ465" si="179">SUM(AU436:AY436)</f>
        <v>0</v>
      </c>
      <c r="BA436" s="16">
        <f t="shared" si="175"/>
        <v>0</v>
      </c>
      <c r="BB436" s="128"/>
    </row>
    <row r="437" spans="1:55" ht="15" thickBot="1" x14ac:dyDescent="0.2">
      <c r="A437" s="40" t="s">
        <v>316</v>
      </c>
      <c r="B437" s="14"/>
      <c r="C437" s="15">
        <v>1</v>
      </c>
      <c r="D437" s="15"/>
      <c r="E437" s="15"/>
      <c r="F437" s="15"/>
      <c r="G437" s="16">
        <f t="shared" si="170"/>
        <v>1</v>
      </c>
      <c r="H437" s="14"/>
      <c r="I437" s="15">
        <v>1</v>
      </c>
      <c r="J437" s="15"/>
      <c r="K437" s="15"/>
      <c r="L437" s="15"/>
      <c r="M437" s="57">
        <f t="shared" si="171"/>
        <v>1</v>
      </c>
      <c r="N437" s="63"/>
      <c r="O437" s="64">
        <v>1</v>
      </c>
      <c r="P437" s="64"/>
      <c r="Q437" s="64"/>
      <c r="R437" s="69"/>
      <c r="S437" s="82">
        <f t="shared" si="172"/>
        <v>1</v>
      </c>
      <c r="T437" s="73"/>
      <c r="U437" s="64"/>
      <c r="V437" s="64"/>
      <c r="W437" s="64"/>
      <c r="X437" s="69"/>
      <c r="Y437" s="82">
        <f t="shared" si="173"/>
        <v>0</v>
      </c>
      <c r="Z437" s="82">
        <f t="shared" si="174"/>
        <v>3</v>
      </c>
      <c r="AB437" s="10" t="s">
        <v>181</v>
      </c>
      <c r="AC437" s="14"/>
      <c r="AD437" s="15"/>
      <c r="AE437" s="15"/>
      <c r="AF437" s="15"/>
      <c r="AG437" s="15"/>
      <c r="AH437" s="16">
        <f t="shared" si="176"/>
        <v>0</v>
      </c>
      <c r="AI437" s="14"/>
      <c r="AJ437" s="15"/>
      <c r="AK437" s="15"/>
      <c r="AL437" s="15"/>
      <c r="AM437" s="15"/>
      <c r="AN437" s="57">
        <f t="shared" si="177"/>
        <v>0</v>
      </c>
      <c r="AO437" s="63"/>
      <c r="AP437" s="64"/>
      <c r="AQ437" s="64"/>
      <c r="AR437" s="64"/>
      <c r="AS437" s="69"/>
      <c r="AT437" s="82">
        <f t="shared" si="178"/>
        <v>0</v>
      </c>
      <c r="AU437" s="73"/>
      <c r="AV437" s="64"/>
      <c r="AW437" s="64"/>
      <c r="AX437" s="64"/>
      <c r="AY437" s="69"/>
      <c r="AZ437" s="82">
        <f t="shared" si="179"/>
        <v>0</v>
      </c>
      <c r="BA437" s="82">
        <f t="shared" si="175"/>
        <v>0</v>
      </c>
      <c r="BB437" s="128"/>
    </row>
    <row r="438" spans="1:55" ht="15" thickBot="1" x14ac:dyDescent="0.2">
      <c r="A438" s="4" t="s">
        <v>12</v>
      </c>
      <c r="B438" s="17">
        <f>SUM(B433:B437)</f>
        <v>6</v>
      </c>
      <c r="C438" s="18">
        <f>SUM(C433:C437)</f>
        <v>7</v>
      </c>
      <c r="D438" s="18">
        <f>SUM(D433:D437)</f>
        <v>4</v>
      </c>
      <c r="E438" s="18">
        <f>SUM(E433:E437)</f>
        <v>5</v>
      </c>
      <c r="F438" s="18">
        <f>SUM(F433:F437)</f>
        <v>5</v>
      </c>
      <c r="G438" s="19">
        <f t="shared" si="170"/>
        <v>27</v>
      </c>
      <c r="H438" s="17">
        <f>SUM(H433:H437)</f>
        <v>3</v>
      </c>
      <c r="I438" s="18">
        <f>SUM(I433:I437)</f>
        <v>5</v>
      </c>
      <c r="J438" s="18">
        <f>SUM(J433:J437)</f>
        <v>5</v>
      </c>
      <c r="K438" s="18">
        <f>SUM(K433:K437)</f>
        <v>3</v>
      </c>
      <c r="L438" s="18">
        <f>SUM(L433:L437)</f>
        <v>4</v>
      </c>
      <c r="M438" s="25">
        <f t="shared" si="171"/>
        <v>20</v>
      </c>
      <c r="N438" s="65">
        <f>SUM(N433:N437)</f>
        <v>3</v>
      </c>
      <c r="O438" s="18">
        <f>SUM(O433:O437)</f>
        <v>5</v>
      </c>
      <c r="P438" s="18">
        <f>SUM(P433:P437)</f>
        <v>4</v>
      </c>
      <c r="Q438" s="18">
        <f>SUM(Q433:Q437)</f>
        <v>3</v>
      </c>
      <c r="R438" s="70">
        <f>SUM(R433:R437)</f>
        <v>3</v>
      </c>
      <c r="S438" s="49">
        <f t="shared" si="172"/>
        <v>18</v>
      </c>
      <c r="T438" s="74">
        <f>SUM(T433:T437)</f>
        <v>4</v>
      </c>
      <c r="U438" s="18">
        <f>SUM(U433:U437)</f>
        <v>2</v>
      </c>
      <c r="V438" s="18">
        <f>SUM(V433:V437)</f>
        <v>2</v>
      </c>
      <c r="W438" s="18">
        <f>SUM(W433:W437)</f>
        <v>4</v>
      </c>
      <c r="X438" s="70">
        <f>SUM(X433:X437)</f>
        <v>2</v>
      </c>
      <c r="Y438" s="49">
        <f t="shared" si="173"/>
        <v>14</v>
      </c>
      <c r="Z438" s="33">
        <f t="shared" si="174"/>
        <v>79</v>
      </c>
      <c r="AB438" s="4" t="s">
        <v>12</v>
      </c>
      <c r="AC438" s="17">
        <f>SUM(AC433:AC437)</f>
        <v>148</v>
      </c>
      <c r="AD438" s="18">
        <f>SUM(AD433:AD437)</f>
        <v>131</v>
      </c>
      <c r="AE438" s="18">
        <f>SUM(AE433:AE437)</f>
        <v>175</v>
      </c>
      <c r="AF438" s="18">
        <f>SUM(AF433:AF437)</f>
        <v>178</v>
      </c>
      <c r="AG438" s="18">
        <f>SUM(AG433:AG437)</f>
        <v>196</v>
      </c>
      <c r="AH438" s="148">
        <f t="shared" si="176"/>
        <v>828</v>
      </c>
      <c r="AI438" s="17">
        <f>SUM(AI433:AI437)</f>
        <v>95</v>
      </c>
      <c r="AJ438" s="18">
        <f>SUM(AJ433:AJ437)</f>
        <v>80</v>
      </c>
      <c r="AK438" s="18">
        <f>SUM(AK433:AK437)</f>
        <v>104</v>
      </c>
      <c r="AL438" s="18">
        <f>SUM(AL433:AL437)</f>
        <v>111</v>
      </c>
      <c r="AM438" s="18">
        <f>SUM(AM433:AM437)</f>
        <v>98</v>
      </c>
      <c r="AN438" s="148">
        <f t="shared" si="177"/>
        <v>488</v>
      </c>
      <c r="AO438" s="65">
        <f>SUM(AO433:AO437)</f>
        <v>116</v>
      </c>
      <c r="AP438" s="18">
        <f>SUM(AP433:AP437)</f>
        <v>107</v>
      </c>
      <c r="AQ438" s="18">
        <f>SUM(AQ433:AQ437)</f>
        <v>118</v>
      </c>
      <c r="AR438" s="18">
        <f>SUM(AR433:AR437)</f>
        <v>148</v>
      </c>
      <c r="AS438" s="70">
        <f>SUM(AS433:AS437)</f>
        <v>166</v>
      </c>
      <c r="AT438" s="49">
        <f t="shared" si="178"/>
        <v>655</v>
      </c>
      <c r="AU438" s="74">
        <f>SUM(AU433:AU437)</f>
        <v>132</v>
      </c>
      <c r="AV438" s="18">
        <f>SUM(AV433:AV437)</f>
        <v>131</v>
      </c>
      <c r="AW438" s="18">
        <f>SUM(AW433:AW437)</f>
        <v>119</v>
      </c>
      <c r="AX438" s="18">
        <f>SUM(AX433:AX437)</f>
        <v>126</v>
      </c>
      <c r="AY438" s="70">
        <f>SUM(AY433:AY437)</f>
        <v>166</v>
      </c>
      <c r="AZ438" s="49">
        <f t="shared" si="179"/>
        <v>674</v>
      </c>
      <c r="BA438" s="33">
        <f t="shared" si="175"/>
        <v>2645</v>
      </c>
    </row>
    <row r="439" spans="1:55" ht="14.25" x14ac:dyDescent="0.15">
      <c r="A439" s="40" t="s">
        <v>48</v>
      </c>
      <c r="B439" s="34"/>
      <c r="C439" s="35"/>
      <c r="D439" s="35"/>
      <c r="E439" s="35">
        <v>1</v>
      </c>
      <c r="F439" s="35"/>
      <c r="G439" s="36">
        <f t="shared" si="170"/>
        <v>1</v>
      </c>
      <c r="H439" s="34"/>
      <c r="I439" s="35"/>
      <c r="J439" s="35"/>
      <c r="K439" s="35"/>
      <c r="L439" s="35"/>
      <c r="M439" s="36">
        <f t="shared" si="171"/>
        <v>0</v>
      </c>
      <c r="N439" s="39"/>
      <c r="O439" s="56"/>
      <c r="P439" s="56"/>
      <c r="Q439" s="56"/>
      <c r="R439" s="71"/>
      <c r="S439" s="16">
        <f t="shared" si="172"/>
        <v>0</v>
      </c>
      <c r="T439" s="39"/>
      <c r="U439" s="56"/>
      <c r="V439" s="56"/>
      <c r="W439" s="56"/>
      <c r="X439" s="71"/>
      <c r="Y439" s="16">
        <f t="shared" si="173"/>
        <v>0</v>
      </c>
      <c r="Z439" s="16">
        <f t="shared" si="174"/>
        <v>1</v>
      </c>
      <c r="AA439" s="93">
        <v>43889</v>
      </c>
      <c r="AB439" s="23" t="s">
        <v>291</v>
      </c>
      <c r="AC439" s="14">
        <v>5</v>
      </c>
      <c r="AD439" s="15">
        <v>10</v>
      </c>
      <c r="AE439" s="15">
        <v>15</v>
      </c>
      <c r="AF439" s="15">
        <v>20</v>
      </c>
      <c r="AG439" s="15">
        <v>20</v>
      </c>
      <c r="AH439" s="24">
        <f t="shared" si="176"/>
        <v>70</v>
      </c>
      <c r="AI439" s="14"/>
      <c r="AJ439" s="15"/>
      <c r="AK439" s="15"/>
      <c r="AL439" s="15"/>
      <c r="AM439" s="15"/>
      <c r="AN439" s="24">
        <f t="shared" si="177"/>
        <v>0</v>
      </c>
      <c r="AO439" s="15"/>
      <c r="AP439" s="55"/>
      <c r="AQ439" s="55"/>
      <c r="AR439" s="55"/>
      <c r="AS439" s="67"/>
      <c r="AT439" s="24">
        <f t="shared" si="178"/>
        <v>0</v>
      </c>
      <c r="AU439" s="15"/>
      <c r="AV439" s="55"/>
      <c r="AW439" s="55"/>
      <c r="AX439" s="55"/>
      <c r="AY439" s="67"/>
      <c r="AZ439" s="24">
        <f t="shared" si="179"/>
        <v>0</v>
      </c>
      <c r="BA439" s="24">
        <f t="shared" si="175"/>
        <v>70</v>
      </c>
      <c r="BB439" s="83">
        <v>43910</v>
      </c>
      <c r="BC439" s="111"/>
    </row>
    <row r="440" spans="1:55" ht="14.25" x14ac:dyDescent="0.15">
      <c r="A440" s="23" t="s">
        <v>310</v>
      </c>
      <c r="B440" s="41">
        <v>2</v>
      </c>
      <c r="C440" s="42">
        <v>3</v>
      </c>
      <c r="D440" s="42">
        <v>2</v>
      </c>
      <c r="E440" s="42">
        <v>2</v>
      </c>
      <c r="F440" s="42">
        <v>3</v>
      </c>
      <c r="G440" s="43">
        <f t="shared" si="170"/>
        <v>12</v>
      </c>
      <c r="H440" s="41"/>
      <c r="I440" s="42"/>
      <c r="J440" s="42"/>
      <c r="K440" s="42"/>
      <c r="L440" s="42"/>
      <c r="M440" s="43">
        <f t="shared" si="171"/>
        <v>0</v>
      </c>
      <c r="N440" s="42"/>
      <c r="O440" s="53"/>
      <c r="P440" s="53"/>
      <c r="Q440" s="53"/>
      <c r="R440" s="72"/>
      <c r="S440" s="24">
        <f t="shared" si="172"/>
        <v>0</v>
      </c>
      <c r="T440" s="42">
        <v>2</v>
      </c>
      <c r="U440" s="53"/>
      <c r="V440" s="53"/>
      <c r="W440" s="53">
        <v>2</v>
      </c>
      <c r="X440" s="72"/>
      <c r="Y440" s="24">
        <f t="shared" si="173"/>
        <v>4</v>
      </c>
      <c r="Z440" s="24">
        <f t="shared" si="174"/>
        <v>16</v>
      </c>
      <c r="AA440" s="93">
        <v>43890</v>
      </c>
      <c r="AB440" s="21" t="s">
        <v>292</v>
      </c>
      <c r="AC440" s="14">
        <v>5</v>
      </c>
      <c r="AD440" s="15">
        <v>5</v>
      </c>
      <c r="AE440" s="15">
        <v>5</v>
      </c>
      <c r="AF440" s="15">
        <v>5</v>
      </c>
      <c r="AG440" s="15">
        <v>10</v>
      </c>
      <c r="AH440" s="24">
        <f t="shared" si="176"/>
        <v>30</v>
      </c>
      <c r="AI440" s="14"/>
      <c r="AJ440" s="15"/>
      <c r="AK440" s="15"/>
      <c r="AL440" s="15"/>
      <c r="AM440" s="15"/>
      <c r="AN440" s="24">
        <f t="shared" si="177"/>
        <v>0</v>
      </c>
      <c r="AO440" s="15"/>
      <c r="AP440" s="55"/>
      <c r="AQ440" s="55"/>
      <c r="AR440" s="55"/>
      <c r="AS440" s="67"/>
      <c r="AT440" s="24">
        <f t="shared" si="178"/>
        <v>0</v>
      </c>
      <c r="AU440" s="15"/>
      <c r="AV440" s="55"/>
      <c r="AW440" s="55"/>
      <c r="AX440" s="55"/>
      <c r="AY440" s="67"/>
      <c r="AZ440" s="24">
        <f t="shared" si="179"/>
        <v>0</v>
      </c>
      <c r="BA440" s="24">
        <f t="shared" si="175"/>
        <v>30</v>
      </c>
      <c r="BB440" s="83">
        <v>43924</v>
      </c>
      <c r="BC440" s="111"/>
    </row>
    <row r="441" spans="1:55" ht="14.25" x14ac:dyDescent="0.15">
      <c r="A441" s="21" t="s">
        <v>313</v>
      </c>
      <c r="B441" s="41"/>
      <c r="C441" s="42"/>
      <c r="D441" s="42"/>
      <c r="E441" s="42"/>
      <c r="F441" s="42"/>
      <c r="G441" s="43">
        <f t="shared" si="170"/>
        <v>0</v>
      </c>
      <c r="H441" s="41"/>
      <c r="I441" s="42"/>
      <c r="J441" s="42"/>
      <c r="K441" s="42"/>
      <c r="L441" s="42"/>
      <c r="M441" s="43">
        <f t="shared" si="171"/>
        <v>0</v>
      </c>
      <c r="N441" s="42"/>
      <c r="O441" s="53"/>
      <c r="P441" s="53"/>
      <c r="Q441" s="53"/>
      <c r="R441" s="72">
        <v>1</v>
      </c>
      <c r="S441" s="24">
        <f t="shared" si="172"/>
        <v>1</v>
      </c>
      <c r="T441" s="42"/>
      <c r="U441" s="53"/>
      <c r="V441" s="53"/>
      <c r="W441" s="53"/>
      <c r="X441" s="72"/>
      <c r="Y441" s="24">
        <f t="shared" si="173"/>
        <v>0</v>
      </c>
      <c r="Z441" s="24">
        <f t="shared" si="174"/>
        <v>1</v>
      </c>
      <c r="AA441" s="83">
        <v>43895</v>
      </c>
      <c r="AB441" s="47" t="s">
        <v>293</v>
      </c>
      <c r="AC441" s="41">
        <v>6</v>
      </c>
      <c r="AD441" s="42">
        <v>5</v>
      </c>
      <c r="AE441" s="42">
        <v>5</v>
      </c>
      <c r="AF441" s="42">
        <v>5</v>
      </c>
      <c r="AG441" s="42">
        <v>6</v>
      </c>
      <c r="AH441" s="43">
        <f t="shared" si="176"/>
        <v>27</v>
      </c>
      <c r="AI441" s="41">
        <v>4</v>
      </c>
      <c r="AJ441" s="42">
        <v>6</v>
      </c>
      <c r="AK441" s="42">
        <v>5</v>
      </c>
      <c r="AL441" s="42">
        <v>3</v>
      </c>
      <c r="AM441" s="42">
        <v>4</v>
      </c>
      <c r="AN441" s="43">
        <f t="shared" si="177"/>
        <v>22</v>
      </c>
      <c r="AO441" s="42">
        <v>3</v>
      </c>
      <c r="AP441" s="53">
        <v>5</v>
      </c>
      <c r="AQ441" s="53">
        <v>4</v>
      </c>
      <c r="AR441" s="53">
        <v>3</v>
      </c>
      <c r="AS441" s="72">
        <v>3</v>
      </c>
      <c r="AT441" s="24">
        <f t="shared" si="178"/>
        <v>18</v>
      </c>
      <c r="AU441" s="42">
        <v>4</v>
      </c>
      <c r="AV441" s="53">
        <v>6</v>
      </c>
      <c r="AW441" s="53">
        <v>5</v>
      </c>
      <c r="AX441" s="53">
        <v>3</v>
      </c>
      <c r="AY441" s="72">
        <v>4</v>
      </c>
      <c r="AZ441" s="24">
        <f t="shared" si="179"/>
        <v>22</v>
      </c>
      <c r="BA441" s="24">
        <f t="shared" si="175"/>
        <v>89</v>
      </c>
      <c r="BB441" s="83">
        <v>43888</v>
      </c>
      <c r="BC441" s="111"/>
    </row>
    <row r="442" spans="1:55" ht="14.25" x14ac:dyDescent="0.15">
      <c r="A442" s="40" t="s">
        <v>48</v>
      </c>
      <c r="B442" s="41"/>
      <c r="C442" s="42"/>
      <c r="D442" s="42"/>
      <c r="E442" s="42"/>
      <c r="F442" s="42"/>
      <c r="G442" s="43">
        <f t="shared" si="170"/>
        <v>0</v>
      </c>
      <c r="H442" s="41"/>
      <c r="I442" s="42"/>
      <c r="J442" s="42"/>
      <c r="K442" s="42"/>
      <c r="L442" s="42"/>
      <c r="M442" s="43">
        <f t="shared" si="171"/>
        <v>0</v>
      </c>
      <c r="N442" s="42"/>
      <c r="O442" s="53"/>
      <c r="P442" s="53">
        <v>1</v>
      </c>
      <c r="Q442" s="53"/>
      <c r="R442" s="72"/>
      <c r="S442" s="24">
        <f t="shared" si="172"/>
        <v>1</v>
      </c>
      <c r="T442" s="42"/>
      <c r="U442" s="53"/>
      <c r="V442" s="53"/>
      <c r="W442" s="53"/>
      <c r="X442" s="72"/>
      <c r="Y442" s="24">
        <f t="shared" si="173"/>
        <v>0</v>
      </c>
      <c r="Z442" s="24">
        <f t="shared" si="174"/>
        <v>1</v>
      </c>
      <c r="AA442" s="93">
        <v>43893</v>
      </c>
      <c r="AB442" s="23" t="s">
        <v>299</v>
      </c>
      <c r="AC442" s="41">
        <v>3</v>
      </c>
      <c r="AD442" s="42">
        <v>4</v>
      </c>
      <c r="AE442" s="42">
        <v>1</v>
      </c>
      <c r="AF442" s="42"/>
      <c r="AG442" s="42"/>
      <c r="AH442" s="43">
        <f t="shared" si="176"/>
        <v>8</v>
      </c>
      <c r="AI442" s="41"/>
      <c r="AJ442" s="42"/>
      <c r="AK442" s="42">
        <v>2</v>
      </c>
      <c r="AL442" s="42"/>
      <c r="AM442" s="42"/>
      <c r="AN442" s="43">
        <f t="shared" si="177"/>
        <v>2</v>
      </c>
      <c r="AO442" s="42"/>
      <c r="AP442" s="53">
        <v>2</v>
      </c>
      <c r="AQ442" s="53"/>
      <c r="AR442" s="53">
        <v>1</v>
      </c>
      <c r="AS442" s="72">
        <v>1</v>
      </c>
      <c r="AT442" s="43">
        <f t="shared" si="178"/>
        <v>4</v>
      </c>
      <c r="AU442" s="42"/>
      <c r="AV442" s="53"/>
      <c r="AW442" s="53"/>
      <c r="AX442" s="53">
        <v>1</v>
      </c>
      <c r="AY442" s="72">
        <v>1</v>
      </c>
      <c r="AZ442" s="43">
        <f t="shared" si="179"/>
        <v>2</v>
      </c>
      <c r="BA442" s="43">
        <f t="shared" si="175"/>
        <v>16</v>
      </c>
      <c r="BB442" s="83">
        <v>43881</v>
      </c>
      <c r="BC442" s="111"/>
    </row>
    <row r="443" spans="1:55" ht="14.25" x14ac:dyDescent="0.15">
      <c r="A443" s="40" t="s">
        <v>48</v>
      </c>
      <c r="B443" s="41"/>
      <c r="C443" s="42"/>
      <c r="D443" s="42">
        <v>1</v>
      </c>
      <c r="E443" s="42"/>
      <c r="F443" s="42"/>
      <c r="G443" s="43">
        <f t="shared" si="170"/>
        <v>1</v>
      </c>
      <c r="H443" s="41"/>
      <c r="I443" s="42"/>
      <c r="J443" s="42"/>
      <c r="K443" s="42"/>
      <c r="L443" s="42"/>
      <c r="M443" s="43">
        <f t="shared" si="171"/>
        <v>0</v>
      </c>
      <c r="N443" s="42"/>
      <c r="O443" s="53"/>
      <c r="P443" s="53"/>
      <c r="Q443" s="53"/>
      <c r="R443" s="72">
        <v>1</v>
      </c>
      <c r="S443" s="24">
        <f t="shared" si="172"/>
        <v>1</v>
      </c>
      <c r="T443" s="42"/>
      <c r="U443" s="53"/>
      <c r="V443" s="53"/>
      <c r="W443" s="53"/>
      <c r="X443" s="72"/>
      <c r="Y443" s="24">
        <f t="shared" si="173"/>
        <v>0</v>
      </c>
      <c r="Z443" s="24">
        <f t="shared" si="174"/>
        <v>2</v>
      </c>
      <c r="AA443" s="93">
        <v>43895</v>
      </c>
      <c r="AB443" s="23" t="s">
        <v>300</v>
      </c>
      <c r="AC443" s="41"/>
      <c r="AD443" s="42">
        <v>1</v>
      </c>
      <c r="AE443" s="42"/>
      <c r="AF443" s="42"/>
      <c r="AG443" s="42"/>
      <c r="AH443" s="43">
        <f t="shared" si="176"/>
        <v>1</v>
      </c>
      <c r="AI443" s="41"/>
      <c r="AJ443" s="42"/>
      <c r="AK443" s="42"/>
      <c r="AL443" s="42"/>
      <c r="AM443" s="42"/>
      <c r="AN443" s="43">
        <f t="shared" si="177"/>
        <v>0</v>
      </c>
      <c r="AO443" s="42">
        <v>1</v>
      </c>
      <c r="AP443" s="53">
        <v>3</v>
      </c>
      <c r="AQ443" s="53"/>
      <c r="AR443" s="53"/>
      <c r="AS443" s="72"/>
      <c r="AT443" s="24">
        <f t="shared" si="178"/>
        <v>4</v>
      </c>
      <c r="AU443" s="42"/>
      <c r="AV443" s="53"/>
      <c r="AW443" s="53"/>
      <c r="AX443" s="53"/>
      <c r="AY443" s="72"/>
      <c r="AZ443" s="24">
        <f t="shared" si="179"/>
        <v>0</v>
      </c>
      <c r="BA443" s="24">
        <f t="shared" si="175"/>
        <v>5</v>
      </c>
      <c r="BB443" s="83">
        <v>43882</v>
      </c>
      <c r="BC443" s="111"/>
    </row>
    <row r="444" spans="1:55" ht="14.25" x14ac:dyDescent="0.15">
      <c r="A444" s="10" t="s">
        <v>83</v>
      </c>
      <c r="B444" s="41"/>
      <c r="C444" s="42">
        <v>-2</v>
      </c>
      <c r="D444" s="42">
        <v>-1</v>
      </c>
      <c r="E444" s="42"/>
      <c r="F444" s="42"/>
      <c r="G444" s="43">
        <f t="shared" si="170"/>
        <v>-3</v>
      </c>
      <c r="H444" s="41"/>
      <c r="I444" s="42"/>
      <c r="J444" s="42"/>
      <c r="K444" s="42"/>
      <c r="L444" s="42"/>
      <c r="M444" s="43">
        <f t="shared" si="171"/>
        <v>0</v>
      </c>
      <c r="N444" s="42"/>
      <c r="O444" s="53"/>
      <c r="P444" s="53"/>
      <c r="Q444" s="53"/>
      <c r="R444" s="72"/>
      <c r="S444" s="24">
        <f t="shared" si="172"/>
        <v>0</v>
      </c>
      <c r="T444" s="42"/>
      <c r="U444" s="53"/>
      <c r="V444" s="53"/>
      <c r="W444" s="53"/>
      <c r="X444" s="72"/>
      <c r="Y444" s="24">
        <f t="shared" si="173"/>
        <v>0</v>
      </c>
      <c r="Z444" s="24">
        <f t="shared" si="174"/>
        <v>-3</v>
      </c>
      <c r="AA444" s="93">
        <v>43901</v>
      </c>
      <c r="AB444" s="47" t="s">
        <v>301</v>
      </c>
      <c r="AC444" s="41"/>
      <c r="AD444" s="42">
        <v>4</v>
      </c>
      <c r="AE444" s="42">
        <v>2</v>
      </c>
      <c r="AF444" s="42"/>
      <c r="AG444" s="42"/>
      <c r="AH444" s="43">
        <f t="shared" si="176"/>
        <v>6</v>
      </c>
      <c r="AI444" s="41"/>
      <c r="AJ444" s="42"/>
      <c r="AK444" s="42"/>
      <c r="AL444" s="42"/>
      <c r="AM444" s="42"/>
      <c r="AN444" s="43">
        <f t="shared" si="177"/>
        <v>0</v>
      </c>
      <c r="AO444" s="42"/>
      <c r="AP444" s="53"/>
      <c r="AQ444" s="53"/>
      <c r="AR444" s="53"/>
      <c r="AS444" s="72"/>
      <c r="AT444" s="24">
        <f t="shared" si="178"/>
        <v>0</v>
      </c>
      <c r="AU444" s="42"/>
      <c r="AV444" s="53"/>
      <c r="AW444" s="53"/>
      <c r="AX444" s="53"/>
      <c r="AY444" s="72"/>
      <c r="AZ444" s="24">
        <f t="shared" si="179"/>
        <v>0</v>
      </c>
      <c r="BA444" s="24">
        <f t="shared" si="175"/>
        <v>6</v>
      </c>
      <c r="BB444" s="83">
        <v>43915</v>
      </c>
      <c r="BC444" s="111"/>
    </row>
    <row r="445" spans="1:55" ht="14.25" x14ac:dyDescent="0.15">
      <c r="A445" s="23" t="s">
        <v>320</v>
      </c>
      <c r="B445" s="41"/>
      <c r="C445" s="42"/>
      <c r="D445" s="42"/>
      <c r="E445" s="42"/>
      <c r="F445" s="42"/>
      <c r="G445" s="43">
        <f t="shared" si="170"/>
        <v>0</v>
      </c>
      <c r="H445" s="41"/>
      <c r="I445" s="42"/>
      <c r="J445" s="42"/>
      <c r="K445" s="42">
        <v>1</v>
      </c>
      <c r="L445" s="42"/>
      <c r="M445" s="43">
        <f t="shared" si="171"/>
        <v>1</v>
      </c>
      <c r="N445" s="42"/>
      <c r="O445" s="53"/>
      <c r="P445" s="53"/>
      <c r="Q445" s="53"/>
      <c r="R445" s="72"/>
      <c r="S445" s="24">
        <f t="shared" si="172"/>
        <v>0</v>
      </c>
      <c r="T445" s="42"/>
      <c r="U445" s="53"/>
      <c r="V445" s="53"/>
      <c r="W445" s="53">
        <v>1</v>
      </c>
      <c r="X445" s="72"/>
      <c r="Y445" s="24">
        <f t="shared" si="173"/>
        <v>1</v>
      </c>
      <c r="Z445" s="24">
        <f t="shared" si="174"/>
        <v>2</v>
      </c>
      <c r="AA445" s="83">
        <v>43903</v>
      </c>
      <c r="AB445" s="23" t="s">
        <v>302</v>
      </c>
      <c r="AC445" s="41"/>
      <c r="AD445" s="42"/>
      <c r="AE445" s="42">
        <v>5</v>
      </c>
      <c r="AF445" s="42"/>
      <c r="AG445" s="42">
        <v>6</v>
      </c>
      <c r="AH445" s="43">
        <f t="shared" si="176"/>
        <v>11</v>
      </c>
      <c r="AI445" s="41"/>
      <c r="AJ445" s="42"/>
      <c r="AK445" s="42"/>
      <c r="AL445" s="42">
        <v>1</v>
      </c>
      <c r="AM445" s="42"/>
      <c r="AN445" s="43">
        <f t="shared" si="177"/>
        <v>1</v>
      </c>
      <c r="AO445" s="42"/>
      <c r="AP445" s="53"/>
      <c r="AQ445" s="53"/>
      <c r="AR445" s="53"/>
      <c r="AS445" s="72"/>
      <c r="AT445" s="24">
        <f t="shared" si="178"/>
        <v>0</v>
      </c>
      <c r="AU445" s="42"/>
      <c r="AV445" s="53">
        <v>4</v>
      </c>
      <c r="AW445" s="53"/>
      <c r="AX445" s="53">
        <v>3</v>
      </c>
      <c r="AY445" s="72"/>
      <c r="AZ445" s="24">
        <f t="shared" si="179"/>
        <v>7</v>
      </c>
      <c r="BA445" s="24">
        <f t="shared" si="175"/>
        <v>19</v>
      </c>
      <c r="BB445" s="83">
        <v>43883</v>
      </c>
      <c r="BC445" s="111"/>
    </row>
    <row r="446" spans="1:55" ht="14.25" x14ac:dyDescent="0.15">
      <c r="A446" s="40" t="s">
        <v>156</v>
      </c>
      <c r="B446" s="41"/>
      <c r="C446" s="42"/>
      <c r="D446" s="42"/>
      <c r="E446" s="42"/>
      <c r="F446" s="42"/>
      <c r="G446" s="43">
        <f t="shared" si="170"/>
        <v>0</v>
      </c>
      <c r="H446" s="41"/>
      <c r="I446" s="42"/>
      <c r="J446" s="42"/>
      <c r="K446" s="42"/>
      <c r="L446" s="42">
        <v>-1</v>
      </c>
      <c r="M446" s="43">
        <f t="shared" si="171"/>
        <v>-1</v>
      </c>
      <c r="N446" s="42"/>
      <c r="O446" s="53"/>
      <c r="P446" s="53"/>
      <c r="Q446" s="53"/>
      <c r="R446" s="72"/>
      <c r="S446" s="24">
        <f t="shared" si="172"/>
        <v>0</v>
      </c>
      <c r="T446" s="42"/>
      <c r="U446" s="53">
        <v>-1</v>
      </c>
      <c r="V446" s="53"/>
      <c r="W446" s="53"/>
      <c r="X446" s="72"/>
      <c r="Y446" s="24">
        <f t="shared" si="173"/>
        <v>-1</v>
      </c>
      <c r="Z446" s="24">
        <f t="shared" si="174"/>
        <v>-2</v>
      </c>
      <c r="AA446" s="93">
        <v>43902</v>
      </c>
      <c r="AB446" s="21" t="s">
        <v>29</v>
      </c>
      <c r="AC446" s="41"/>
      <c r="AD446" s="42"/>
      <c r="AE446" s="42"/>
      <c r="AF446" s="42"/>
      <c r="AG446" s="42"/>
      <c r="AH446" s="43">
        <f t="shared" si="176"/>
        <v>0</v>
      </c>
      <c r="AI446" s="41"/>
      <c r="AJ446" s="42"/>
      <c r="AK446" s="42"/>
      <c r="AL446" s="42">
        <v>5</v>
      </c>
      <c r="AM446" s="42"/>
      <c r="AN446" s="43">
        <f t="shared" si="177"/>
        <v>5</v>
      </c>
      <c r="AO446" s="42"/>
      <c r="AP446" s="53"/>
      <c r="AQ446" s="53"/>
      <c r="AR446" s="53"/>
      <c r="AS446" s="72"/>
      <c r="AT446" s="24">
        <f t="shared" si="178"/>
        <v>0</v>
      </c>
      <c r="AU446" s="42"/>
      <c r="AV446" s="53"/>
      <c r="AW446" s="53"/>
      <c r="AX446" s="53"/>
      <c r="AY446" s="72"/>
      <c r="AZ446" s="24">
        <f t="shared" si="179"/>
        <v>0</v>
      </c>
      <c r="BA446" s="24">
        <f t="shared" si="175"/>
        <v>5</v>
      </c>
      <c r="BB446" s="83">
        <v>43888</v>
      </c>
      <c r="BC446" s="111"/>
    </row>
    <row r="447" spans="1:55" ht="14.25" x14ac:dyDescent="0.15">
      <c r="A447" s="40" t="s">
        <v>214</v>
      </c>
      <c r="B447" s="41"/>
      <c r="C447" s="42"/>
      <c r="D447" s="42"/>
      <c r="E447" s="42"/>
      <c r="F447" s="42"/>
      <c r="G447" s="43">
        <f t="shared" si="170"/>
        <v>0</v>
      </c>
      <c r="H447" s="41"/>
      <c r="I447" s="42"/>
      <c r="J447" s="42"/>
      <c r="K447" s="42"/>
      <c r="L447" s="42"/>
      <c r="M447" s="43">
        <f t="shared" si="171"/>
        <v>0</v>
      </c>
      <c r="N447" s="42"/>
      <c r="O447" s="53"/>
      <c r="P447" s="53"/>
      <c r="Q447" s="53">
        <v>1</v>
      </c>
      <c r="R447" s="72"/>
      <c r="S447" s="24">
        <f t="shared" si="172"/>
        <v>1</v>
      </c>
      <c r="T447" s="42"/>
      <c r="U447" s="53"/>
      <c r="V447" s="53"/>
      <c r="W447" s="53">
        <v>-1</v>
      </c>
      <c r="X447" s="72"/>
      <c r="Y447" s="24">
        <f t="shared" si="173"/>
        <v>-1</v>
      </c>
      <c r="Z447" s="24">
        <f t="shared" si="174"/>
        <v>0</v>
      </c>
      <c r="AA447" s="93">
        <v>43902</v>
      </c>
      <c r="AB447" s="23" t="s">
        <v>303</v>
      </c>
      <c r="AC447" s="41">
        <v>1</v>
      </c>
      <c r="AD447" s="42">
        <v>2</v>
      </c>
      <c r="AE447" s="42">
        <v>2</v>
      </c>
      <c r="AF447" s="42">
        <v>1</v>
      </c>
      <c r="AG447" s="42"/>
      <c r="AH447" s="43">
        <f t="shared" si="176"/>
        <v>6</v>
      </c>
      <c r="AI447" s="41">
        <v>1</v>
      </c>
      <c r="AJ447" s="42">
        <v>2</v>
      </c>
      <c r="AK447" s="42"/>
      <c r="AL447" s="42"/>
      <c r="AM447" s="42">
        <v>3</v>
      </c>
      <c r="AN447" s="43">
        <f t="shared" si="177"/>
        <v>6</v>
      </c>
      <c r="AO447" s="42"/>
      <c r="AP447" s="53">
        <v>1</v>
      </c>
      <c r="AQ447" s="53"/>
      <c r="AR447" s="53">
        <v>3</v>
      </c>
      <c r="AS447" s="72"/>
      <c r="AT447" s="24">
        <f t="shared" si="178"/>
        <v>4</v>
      </c>
      <c r="AU447" s="42"/>
      <c r="AV447" s="53"/>
      <c r="AW447" s="53"/>
      <c r="AX447" s="53"/>
      <c r="AY447" s="72"/>
      <c r="AZ447" s="24">
        <f t="shared" si="179"/>
        <v>0</v>
      </c>
      <c r="BA447" s="24">
        <f t="shared" si="175"/>
        <v>16</v>
      </c>
      <c r="BB447" s="83">
        <v>43887</v>
      </c>
    </row>
    <row r="448" spans="1:55" ht="14.25" x14ac:dyDescent="0.15">
      <c r="A448" s="23" t="s">
        <v>322</v>
      </c>
      <c r="B448" s="44"/>
      <c r="C448" s="45"/>
      <c r="D448" s="45">
        <v>1</v>
      </c>
      <c r="E448" s="45"/>
      <c r="F448" s="45"/>
      <c r="G448" s="43">
        <f t="shared" si="170"/>
        <v>1</v>
      </c>
      <c r="H448" s="44"/>
      <c r="I448" s="45"/>
      <c r="J448" s="45"/>
      <c r="K448" s="45"/>
      <c r="L448" s="45"/>
      <c r="M448" s="43">
        <f t="shared" si="171"/>
        <v>0</v>
      </c>
      <c r="N448" s="42"/>
      <c r="O448" s="53"/>
      <c r="P448" s="53"/>
      <c r="Q448" s="53"/>
      <c r="R448" s="72"/>
      <c r="S448" s="24">
        <f t="shared" si="172"/>
        <v>0</v>
      </c>
      <c r="T448" s="42"/>
      <c r="U448" s="53">
        <v>1</v>
      </c>
      <c r="V448" s="53"/>
      <c r="W448" s="53"/>
      <c r="X448" s="72"/>
      <c r="Y448" s="24">
        <f t="shared" si="173"/>
        <v>1</v>
      </c>
      <c r="Z448" s="24">
        <f t="shared" si="174"/>
        <v>2</v>
      </c>
      <c r="AA448" s="83">
        <v>43907</v>
      </c>
      <c r="AB448" s="21" t="s">
        <v>304</v>
      </c>
      <c r="AC448" s="44"/>
      <c r="AD448" s="45"/>
      <c r="AE448" s="45">
        <v>2</v>
      </c>
      <c r="AF448" s="45"/>
      <c r="AG448" s="45"/>
      <c r="AH448" s="43">
        <f t="shared" si="176"/>
        <v>2</v>
      </c>
      <c r="AI448" s="44"/>
      <c r="AJ448" s="45"/>
      <c r="AK448" s="45"/>
      <c r="AL448" s="45"/>
      <c r="AM448" s="45"/>
      <c r="AN448" s="43">
        <f t="shared" si="177"/>
        <v>0</v>
      </c>
      <c r="AO448" s="42"/>
      <c r="AP448" s="53"/>
      <c r="AQ448" s="53"/>
      <c r="AR448" s="53"/>
      <c r="AS448" s="72"/>
      <c r="AT448" s="24">
        <f t="shared" si="178"/>
        <v>0</v>
      </c>
      <c r="AU448" s="42"/>
      <c r="AV448" s="53"/>
      <c r="AW448" s="53"/>
      <c r="AX448" s="53"/>
      <c r="AY448" s="72"/>
      <c r="AZ448" s="24">
        <f t="shared" si="179"/>
        <v>0</v>
      </c>
      <c r="BA448" s="24">
        <f t="shared" si="175"/>
        <v>2</v>
      </c>
      <c r="BB448" s="83">
        <v>43895</v>
      </c>
    </row>
    <row r="449" spans="1:55" ht="14.25" x14ac:dyDescent="0.15">
      <c r="A449" s="40" t="s">
        <v>199</v>
      </c>
      <c r="B449" s="41"/>
      <c r="C449" s="42"/>
      <c r="D449" s="42"/>
      <c r="E449" s="42"/>
      <c r="F449" s="42"/>
      <c r="G449" s="43">
        <f t="shared" si="170"/>
        <v>0</v>
      </c>
      <c r="H449" s="41"/>
      <c r="I449" s="42"/>
      <c r="J449" s="42"/>
      <c r="K449" s="42"/>
      <c r="L449" s="42"/>
      <c r="M449" s="43">
        <f t="shared" si="171"/>
        <v>0</v>
      </c>
      <c r="N449" s="42">
        <v>-1</v>
      </c>
      <c r="O449" s="53"/>
      <c r="P449" s="53"/>
      <c r="Q449" s="53"/>
      <c r="R449" s="72"/>
      <c r="S449" s="24">
        <f t="shared" si="172"/>
        <v>-1</v>
      </c>
      <c r="T449" s="42">
        <v>-1</v>
      </c>
      <c r="U449" s="53"/>
      <c r="V449" s="53"/>
      <c r="W449" s="53">
        <v>-1</v>
      </c>
      <c r="X449" s="72">
        <v>-1</v>
      </c>
      <c r="Y449" s="24">
        <f t="shared" si="173"/>
        <v>-3</v>
      </c>
      <c r="Z449" s="24">
        <f t="shared" si="174"/>
        <v>-4</v>
      </c>
      <c r="AA449" s="83">
        <v>43907</v>
      </c>
      <c r="AB449" s="23" t="s">
        <v>305</v>
      </c>
      <c r="AC449" s="41"/>
      <c r="AD449" s="42"/>
      <c r="AE449" s="42">
        <v>2</v>
      </c>
      <c r="AF449" s="42"/>
      <c r="AG449" s="42">
        <v>1</v>
      </c>
      <c r="AH449" s="43">
        <f t="shared" si="176"/>
        <v>3</v>
      </c>
      <c r="AI449" s="41"/>
      <c r="AJ449" s="42">
        <v>2</v>
      </c>
      <c r="AK449" s="42"/>
      <c r="AL449" s="42"/>
      <c r="AM449" s="42">
        <v>2</v>
      </c>
      <c r="AN449" s="43">
        <f t="shared" si="177"/>
        <v>4</v>
      </c>
      <c r="AO449" s="42">
        <v>1</v>
      </c>
      <c r="AP449" s="53"/>
      <c r="AQ449" s="53"/>
      <c r="AR449" s="53">
        <v>1</v>
      </c>
      <c r="AS449" s="72"/>
      <c r="AT449" s="24">
        <f t="shared" si="178"/>
        <v>2</v>
      </c>
      <c r="AU449" s="42"/>
      <c r="AV449" s="53">
        <v>2</v>
      </c>
      <c r="AW449" s="53"/>
      <c r="AX449" s="53"/>
      <c r="AY449" s="72"/>
      <c r="AZ449" s="24">
        <f t="shared" si="179"/>
        <v>2</v>
      </c>
      <c r="BA449" s="24">
        <f t="shared" si="175"/>
        <v>11</v>
      </c>
      <c r="BB449" s="83">
        <v>43888</v>
      </c>
    </row>
    <row r="450" spans="1:55" ht="14.25" x14ac:dyDescent="0.15">
      <c r="A450" s="40" t="s">
        <v>199</v>
      </c>
      <c r="B450" s="41"/>
      <c r="C450" s="42"/>
      <c r="D450" s="42"/>
      <c r="E450" s="42"/>
      <c r="F450" s="42"/>
      <c r="G450" s="43">
        <f t="shared" si="170"/>
        <v>0</v>
      </c>
      <c r="H450" s="41"/>
      <c r="I450" s="42"/>
      <c r="J450" s="42"/>
      <c r="K450" s="42"/>
      <c r="L450" s="42"/>
      <c r="M450" s="43">
        <f t="shared" si="171"/>
        <v>0</v>
      </c>
      <c r="N450" s="42"/>
      <c r="O450" s="53">
        <v>-1</v>
      </c>
      <c r="P450" s="53">
        <v>-1</v>
      </c>
      <c r="Q450" s="53"/>
      <c r="R450" s="72"/>
      <c r="S450" s="24">
        <f t="shared" si="172"/>
        <v>-2</v>
      </c>
      <c r="T450" s="42"/>
      <c r="U450" s="53"/>
      <c r="V450" s="53"/>
      <c r="W450" s="53"/>
      <c r="X450" s="72"/>
      <c r="Y450" s="24">
        <f t="shared" si="173"/>
        <v>0</v>
      </c>
      <c r="Z450" s="24">
        <f t="shared" si="174"/>
        <v>-2</v>
      </c>
      <c r="AA450" s="93">
        <v>43908</v>
      </c>
      <c r="AB450" s="23" t="s">
        <v>306</v>
      </c>
      <c r="AC450" s="41"/>
      <c r="AD450" s="42"/>
      <c r="AE450" s="42">
        <v>1</v>
      </c>
      <c r="AF450" s="42"/>
      <c r="AG450" s="42">
        <v>1</v>
      </c>
      <c r="AH450" s="43">
        <f t="shared" si="176"/>
        <v>2</v>
      </c>
      <c r="AI450" s="41"/>
      <c r="AJ450" s="42"/>
      <c r="AK450" s="42"/>
      <c r="AL450" s="42"/>
      <c r="AM450" s="42"/>
      <c r="AN450" s="43">
        <f t="shared" si="177"/>
        <v>0</v>
      </c>
      <c r="AO450" s="42"/>
      <c r="AP450" s="53"/>
      <c r="AQ450" s="53"/>
      <c r="AR450" s="53"/>
      <c r="AS450" s="72"/>
      <c r="AT450" s="24">
        <f t="shared" si="178"/>
        <v>0</v>
      </c>
      <c r="AU450" s="42"/>
      <c r="AV450" s="53"/>
      <c r="AW450" s="53"/>
      <c r="AX450" s="53"/>
      <c r="AY450" s="72"/>
      <c r="AZ450" s="24">
        <f t="shared" si="179"/>
        <v>0</v>
      </c>
      <c r="BA450" s="24">
        <f t="shared" si="175"/>
        <v>2</v>
      </c>
      <c r="BB450" s="83">
        <v>43889</v>
      </c>
    </row>
    <row r="451" spans="1:55" ht="14.25" x14ac:dyDescent="0.15">
      <c r="A451" s="21"/>
      <c r="B451" s="41"/>
      <c r="C451" s="42"/>
      <c r="D451" s="42"/>
      <c r="E451" s="42"/>
      <c r="F451" s="42"/>
      <c r="G451" s="43">
        <f t="shared" si="170"/>
        <v>0</v>
      </c>
      <c r="H451" s="41"/>
      <c r="I451" s="42"/>
      <c r="J451" s="42"/>
      <c r="K451" s="42"/>
      <c r="L451" s="42"/>
      <c r="M451" s="43">
        <f t="shared" si="171"/>
        <v>0</v>
      </c>
      <c r="N451" s="42"/>
      <c r="O451" s="53"/>
      <c r="P451" s="53"/>
      <c r="Q451" s="53"/>
      <c r="R451" s="72"/>
      <c r="S451" s="24">
        <f t="shared" si="172"/>
        <v>0</v>
      </c>
      <c r="T451" s="42"/>
      <c r="U451" s="53"/>
      <c r="V451" s="53"/>
      <c r="W451" s="53"/>
      <c r="X451" s="72"/>
      <c r="Y451" s="24">
        <f t="shared" si="173"/>
        <v>0</v>
      </c>
      <c r="Z451" s="24">
        <f t="shared" si="174"/>
        <v>0</v>
      </c>
      <c r="AB451" s="23" t="s">
        <v>308</v>
      </c>
      <c r="AC451" s="41"/>
      <c r="AD451" s="42"/>
      <c r="AE451" s="42"/>
      <c r="AF451" s="42">
        <v>2</v>
      </c>
      <c r="AG451" s="42">
        <v>2</v>
      </c>
      <c r="AH451" s="43">
        <f t="shared" si="176"/>
        <v>4</v>
      </c>
      <c r="AI451" s="41">
        <v>1</v>
      </c>
      <c r="AJ451" s="42"/>
      <c r="AK451" s="42">
        <v>2</v>
      </c>
      <c r="AL451" s="42"/>
      <c r="AM451" s="42"/>
      <c r="AN451" s="43">
        <f t="shared" si="177"/>
        <v>3</v>
      </c>
      <c r="AO451" s="42"/>
      <c r="AP451" s="53"/>
      <c r="AQ451" s="53"/>
      <c r="AR451" s="53"/>
      <c r="AS451" s="72"/>
      <c r="AT451" s="24">
        <f t="shared" si="178"/>
        <v>0</v>
      </c>
      <c r="AU451" s="42"/>
      <c r="AV451" s="53"/>
      <c r="AW451" s="53"/>
      <c r="AX451" s="53"/>
      <c r="AY451" s="72"/>
      <c r="AZ451" s="24">
        <f t="shared" si="179"/>
        <v>0</v>
      </c>
      <c r="BA451" s="24">
        <f t="shared" si="175"/>
        <v>7</v>
      </c>
      <c r="BB451" s="83">
        <v>43890</v>
      </c>
    </row>
    <row r="452" spans="1:55" ht="14.25" x14ac:dyDescent="0.15">
      <c r="A452" s="40"/>
      <c r="B452" s="38"/>
      <c r="C452" s="39"/>
      <c r="D452" s="39"/>
      <c r="E452" s="39"/>
      <c r="F452" s="39"/>
      <c r="G452" s="37">
        <f t="shared" si="170"/>
        <v>0</v>
      </c>
      <c r="H452" s="38"/>
      <c r="I452" s="39"/>
      <c r="J452" s="39"/>
      <c r="K452" s="39"/>
      <c r="L452" s="39"/>
      <c r="M452" s="37">
        <f t="shared" si="171"/>
        <v>0</v>
      </c>
      <c r="N452" s="42"/>
      <c r="O452" s="53"/>
      <c r="P452" s="53"/>
      <c r="Q452" s="53"/>
      <c r="R452" s="72"/>
      <c r="S452" s="24">
        <f t="shared" si="172"/>
        <v>0</v>
      </c>
      <c r="T452" s="42"/>
      <c r="U452" s="53"/>
      <c r="V452" s="53"/>
      <c r="W452" s="53"/>
      <c r="X452" s="72"/>
      <c r="Y452" s="24">
        <f t="shared" si="173"/>
        <v>0</v>
      </c>
      <c r="Z452" s="24">
        <f t="shared" si="174"/>
        <v>0</v>
      </c>
      <c r="AB452" s="23" t="s">
        <v>311</v>
      </c>
      <c r="AC452" s="38"/>
      <c r="AD452" s="39"/>
      <c r="AE452" s="39">
        <v>1</v>
      </c>
      <c r="AF452" s="39"/>
      <c r="AG452" s="39"/>
      <c r="AH452" s="37">
        <f t="shared" si="176"/>
        <v>1</v>
      </c>
      <c r="AI452" s="38"/>
      <c r="AJ452" s="39">
        <v>1</v>
      </c>
      <c r="AK452" s="39">
        <v>1</v>
      </c>
      <c r="AL452" s="39">
        <v>3</v>
      </c>
      <c r="AM452" s="39"/>
      <c r="AN452" s="37">
        <f t="shared" si="177"/>
        <v>5</v>
      </c>
      <c r="AO452" s="42"/>
      <c r="AP452" s="53"/>
      <c r="AQ452" s="53">
        <v>1</v>
      </c>
      <c r="AR452" s="53"/>
      <c r="AS452" s="72">
        <v>1</v>
      </c>
      <c r="AT452" s="24">
        <f t="shared" si="178"/>
        <v>2</v>
      </c>
      <c r="AU452" s="42">
        <v>1</v>
      </c>
      <c r="AV452" s="53"/>
      <c r="AW452" s="53">
        <v>1</v>
      </c>
      <c r="AX452" s="53"/>
      <c r="AY452" s="72"/>
      <c r="AZ452" s="24">
        <f t="shared" si="179"/>
        <v>2</v>
      </c>
      <c r="BA452" s="24">
        <f t="shared" si="175"/>
        <v>10</v>
      </c>
      <c r="BB452" s="83">
        <v>43893</v>
      </c>
    </row>
    <row r="453" spans="1:55" ht="14.25" x14ac:dyDescent="0.15">
      <c r="A453" s="21"/>
      <c r="B453" s="41"/>
      <c r="C453" s="42"/>
      <c r="D453" s="42"/>
      <c r="E453" s="42"/>
      <c r="F453" s="42"/>
      <c r="G453" s="43">
        <f t="shared" si="170"/>
        <v>0</v>
      </c>
      <c r="H453" s="41"/>
      <c r="I453" s="42"/>
      <c r="J453" s="42"/>
      <c r="K453" s="42"/>
      <c r="L453" s="42"/>
      <c r="M453" s="43">
        <f t="shared" si="171"/>
        <v>0</v>
      </c>
      <c r="N453" s="42"/>
      <c r="O453" s="53"/>
      <c r="P453" s="53"/>
      <c r="Q453" s="53"/>
      <c r="R453" s="72"/>
      <c r="S453" s="24">
        <f t="shared" si="172"/>
        <v>0</v>
      </c>
      <c r="T453" s="42"/>
      <c r="U453" s="53"/>
      <c r="V453" s="53"/>
      <c r="W453" s="53"/>
      <c r="X453" s="72"/>
      <c r="Y453" s="24">
        <f t="shared" si="173"/>
        <v>0</v>
      </c>
      <c r="Z453" s="24">
        <f t="shared" si="174"/>
        <v>0</v>
      </c>
      <c r="AB453" s="23" t="s">
        <v>314</v>
      </c>
      <c r="AC453" s="41"/>
      <c r="AD453" s="42"/>
      <c r="AE453" s="42">
        <v>3</v>
      </c>
      <c r="AF453" s="42">
        <v>1</v>
      </c>
      <c r="AG453" s="42">
        <v>1</v>
      </c>
      <c r="AH453" s="43">
        <f t="shared" si="176"/>
        <v>5</v>
      </c>
      <c r="AI453" s="41"/>
      <c r="AJ453" s="42"/>
      <c r="AK453" s="42"/>
      <c r="AL453" s="42">
        <v>1</v>
      </c>
      <c r="AM453" s="42"/>
      <c r="AN453" s="43">
        <f t="shared" si="177"/>
        <v>1</v>
      </c>
      <c r="AO453" s="42"/>
      <c r="AP453" s="53"/>
      <c r="AQ453" s="53"/>
      <c r="AR453" s="53"/>
      <c r="AS453" s="72"/>
      <c r="AT453" s="24">
        <f t="shared" si="178"/>
        <v>0</v>
      </c>
      <c r="AU453" s="42"/>
      <c r="AV453" s="53"/>
      <c r="AW453" s="53"/>
      <c r="AX453" s="53"/>
      <c r="AY453" s="72"/>
      <c r="AZ453" s="24">
        <f t="shared" si="179"/>
        <v>0</v>
      </c>
      <c r="BA453" s="24">
        <f t="shared" si="175"/>
        <v>6</v>
      </c>
      <c r="BB453" s="83">
        <v>43895</v>
      </c>
    </row>
    <row r="454" spans="1:55" ht="14.25" x14ac:dyDescent="0.15">
      <c r="A454" s="21"/>
      <c r="B454" s="14"/>
      <c r="C454" s="15"/>
      <c r="D454" s="15"/>
      <c r="E454" s="15"/>
      <c r="F454" s="15"/>
      <c r="G454" s="24">
        <f t="shared" si="170"/>
        <v>0</v>
      </c>
      <c r="H454" s="14"/>
      <c r="I454" s="15"/>
      <c r="J454" s="15"/>
      <c r="K454" s="15"/>
      <c r="L454" s="15"/>
      <c r="M454" s="24">
        <f t="shared" si="171"/>
        <v>0</v>
      </c>
      <c r="N454" s="15"/>
      <c r="O454" s="55"/>
      <c r="P454" s="55"/>
      <c r="Q454" s="55"/>
      <c r="R454" s="67"/>
      <c r="S454" s="24">
        <f t="shared" si="172"/>
        <v>0</v>
      </c>
      <c r="T454" s="15"/>
      <c r="U454" s="55"/>
      <c r="V454" s="55"/>
      <c r="W454" s="55"/>
      <c r="X454" s="67"/>
      <c r="Y454" s="24">
        <f t="shared" si="173"/>
        <v>0</v>
      </c>
      <c r="Z454" s="24">
        <f t="shared" si="174"/>
        <v>0</v>
      </c>
      <c r="AB454" s="23" t="s">
        <v>315</v>
      </c>
      <c r="AC454" s="14"/>
      <c r="AD454" s="15"/>
      <c r="AE454" s="15">
        <v>1</v>
      </c>
      <c r="AF454" s="15">
        <v>1</v>
      </c>
      <c r="AG454" s="15"/>
      <c r="AH454" s="24">
        <f t="shared" si="176"/>
        <v>2</v>
      </c>
      <c r="AI454" s="14"/>
      <c r="AJ454" s="15"/>
      <c r="AK454" s="15"/>
      <c r="AL454" s="15"/>
      <c r="AM454" s="15"/>
      <c r="AN454" s="24">
        <f t="shared" si="177"/>
        <v>0</v>
      </c>
      <c r="AO454" s="15">
        <v>1</v>
      </c>
      <c r="AP454" s="55"/>
      <c r="AQ454" s="55"/>
      <c r="AR454" s="55"/>
      <c r="AS454" s="67"/>
      <c r="AT454" s="24">
        <f t="shared" si="178"/>
        <v>1</v>
      </c>
      <c r="AU454" s="15"/>
      <c r="AV454" s="55"/>
      <c r="AW454" s="55"/>
      <c r="AX454" s="55"/>
      <c r="AY454" s="67"/>
      <c r="AZ454" s="24">
        <f t="shared" si="179"/>
        <v>0</v>
      </c>
      <c r="BA454" s="24">
        <f t="shared" si="175"/>
        <v>3</v>
      </c>
      <c r="BB454" s="83">
        <v>43896</v>
      </c>
    </row>
    <row r="455" spans="1:55" ht="14.25" x14ac:dyDescent="0.15">
      <c r="A455" s="23"/>
      <c r="B455" s="14"/>
      <c r="C455" s="15"/>
      <c r="D455" s="15"/>
      <c r="E455" s="15"/>
      <c r="F455" s="15"/>
      <c r="G455" s="24">
        <f t="shared" si="170"/>
        <v>0</v>
      </c>
      <c r="H455" s="14"/>
      <c r="I455" s="15"/>
      <c r="J455" s="15"/>
      <c r="K455" s="15"/>
      <c r="L455" s="15"/>
      <c r="M455" s="24">
        <f t="shared" si="171"/>
        <v>0</v>
      </c>
      <c r="N455" s="15"/>
      <c r="O455" s="55"/>
      <c r="P455" s="55"/>
      <c r="Q455" s="55"/>
      <c r="R455" s="67"/>
      <c r="S455" s="24">
        <f t="shared" si="172"/>
        <v>0</v>
      </c>
      <c r="T455" s="15"/>
      <c r="U455" s="55"/>
      <c r="V455" s="55"/>
      <c r="W455" s="55"/>
      <c r="X455" s="67"/>
      <c r="Y455" s="24">
        <f t="shared" si="173"/>
        <v>0</v>
      </c>
      <c r="Z455" s="24">
        <f t="shared" si="174"/>
        <v>0</v>
      </c>
      <c r="AB455" s="23" t="s">
        <v>317</v>
      </c>
      <c r="AC455" s="14"/>
      <c r="AD455" s="15">
        <v>1</v>
      </c>
      <c r="AE455" s="15"/>
      <c r="AF455" s="15"/>
      <c r="AG455" s="15"/>
      <c r="AH455" s="24">
        <f t="shared" si="176"/>
        <v>1</v>
      </c>
      <c r="AI455" s="14">
        <v>1</v>
      </c>
      <c r="AJ455" s="15"/>
      <c r="AK455" s="15"/>
      <c r="AL455" s="15"/>
      <c r="AM455" s="15"/>
      <c r="AN455" s="24">
        <f t="shared" si="177"/>
        <v>1</v>
      </c>
      <c r="AO455" s="15"/>
      <c r="AP455" s="55"/>
      <c r="AQ455" s="55"/>
      <c r="AR455" s="55"/>
      <c r="AS455" s="67"/>
      <c r="AT455" s="24">
        <f t="shared" si="178"/>
        <v>0</v>
      </c>
      <c r="AU455" s="15"/>
      <c r="AV455" s="55"/>
      <c r="AW455" s="55"/>
      <c r="AX455" s="55"/>
      <c r="AY455" s="67"/>
      <c r="AZ455" s="24">
        <f t="shared" si="179"/>
        <v>0</v>
      </c>
      <c r="BA455" s="24">
        <f t="shared" si="175"/>
        <v>2</v>
      </c>
      <c r="BB455" s="83">
        <v>43897</v>
      </c>
    </row>
    <row r="456" spans="1:55" ht="14.25" x14ac:dyDescent="0.15">
      <c r="A456" s="23"/>
      <c r="B456" s="14"/>
      <c r="C456" s="15"/>
      <c r="D456" s="15"/>
      <c r="E456" s="15"/>
      <c r="F456" s="15"/>
      <c r="G456" s="24">
        <f t="shared" si="170"/>
        <v>0</v>
      </c>
      <c r="H456" s="14"/>
      <c r="I456" s="15"/>
      <c r="J456" s="15"/>
      <c r="K456" s="15"/>
      <c r="L456" s="15"/>
      <c r="M456" s="24">
        <f t="shared" si="171"/>
        <v>0</v>
      </c>
      <c r="N456" s="15"/>
      <c r="O456" s="55"/>
      <c r="P456" s="55"/>
      <c r="Q456" s="55"/>
      <c r="R456" s="67"/>
      <c r="S456" s="24">
        <f t="shared" si="172"/>
        <v>0</v>
      </c>
      <c r="T456" s="15"/>
      <c r="U456" s="55"/>
      <c r="V456" s="55"/>
      <c r="W456" s="55"/>
      <c r="X456" s="67"/>
      <c r="Y456" s="24">
        <f t="shared" si="173"/>
        <v>0</v>
      </c>
      <c r="Z456" s="24">
        <f t="shared" si="174"/>
        <v>0</v>
      </c>
      <c r="AB456" s="23" t="s">
        <v>318</v>
      </c>
      <c r="AC456" s="14"/>
      <c r="AD456" s="15"/>
      <c r="AE456" s="15"/>
      <c r="AF456" s="15"/>
      <c r="AG456" s="15"/>
      <c r="AH456" s="24">
        <f t="shared" si="176"/>
        <v>0</v>
      </c>
      <c r="AI456" s="14"/>
      <c r="AJ456" s="15"/>
      <c r="AK456" s="15"/>
      <c r="AL456" s="15"/>
      <c r="AM456" s="15"/>
      <c r="AN456" s="24">
        <f t="shared" si="177"/>
        <v>0</v>
      </c>
      <c r="AO456" s="15"/>
      <c r="AP456" s="55"/>
      <c r="AQ456" s="55"/>
      <c r="AR456" s="55"/>
      <c r="AS456" s="67"/>
      <c r="AT456" s="24">
        <f t="shared" si="178"/>
        <v>0</v>
      </c>
      <c r="AU456" s="15">
        <v>1</v>
      </c>
      <c r="AV456" s="55"/>
      <c r="AW456" s="55"/>
      <c r="AX456" s="55"/>
      <c r="AY456" s="67">
        <v>1</v>
      </c>
      <c r="AZ456" s="24">
        <f t="shared" si="179"/>
        <v>2</v>
      </c>
      <c r="BA456" s="24">
        <f t="shared" si="175"/>
        <v>2</v>
      </c>
      <c r="BB456" s="83">
        <v>43899</v>
      </c>
    </row>
    <row r="457" spans="1:55" ht="14.25" x14ac:dyDescent="0.15">
      <c r="A457" s="23"/>
      <c r="B457" s="14"/>
      <c r="C457" s="15"/>
      <c r="D457" s="15"/>
      <c r="E457" s="15"/>
      <c r="F457" s="15"/>
      <c r="G457" s="24">
        <f t="shared" si="170"/>
        <v>0</v>
      </c>
      <c r="H457" s="14"/>
      <c r="I457" s="15"/>
      <c r="J457" s="15"/>
      <c r="K457" s="15"/>
      <c r="L457" s="15"/>
      <c r="M457" s="24">
        <f t="shared" si="171"/>
        <v>0</v>
      </c>
      <c r="N457" s="15"/>
      <c r="O457" s="55"/>
      <c r="P457" s="55"/>
      <c r="Q457" s="55"/>
      <c r="R457" s="67"/>
      <c r="S457" s="24">
        <f t="shared" si="172"/>
        <v>0</v>
      </c>
      <c r="T457" s="15"/>
      <c r="U457" s="55"/>
      <c r="V457" s="55"/>
      <c r="W457" s="55"/>
      <c r="X457" s="67"/>
      <c r="Y457" s="24">
        <f t="shared" si="173"/>
        <v>0</v>
      </c>
      <c r="Z457" s="24">
        <f t="shared" si="174"/>
        <v>0</v>
      </c>
      <c r="AB457" s="23" t="s">
        <v>319</v>
      </c>
      <c r="AC457" s="14"/>
      <c r="AD457" s="15"/>
      <c r="AE457" s="15"/>
      <c r="AF457" s="15"/>
      <c r="AG457" s="15">
        <v>1</v>
      </c>
      <c r="AH457" s="24">
        <f t="shared" si="176"/>
        <v>1</v>
      </c>
      <c r="AI457" s="14"/>
      <c r="AJ457" s="15"/>
      <c r="AK457" s="15"/>
      <c r="AL457" s="15"/>
      <c r="AM457" s="15"/>
      <c r="AN457" s="24">
        <f t="shared" si="177"/>
        <v>0</v>
      </c>
      <c r="AO457" s="15"/>
      <c r="AP457" s="55"/>
      <c r="AQ457" s="55"/>
      <c r="AR457" s="55"/>
      <c r="AS457" s="67"/>
      <c r="AT457" s="24">
        <f t="shared" si="178"/>
        <v>0</v>
      </c>
      <c r="AU457" s="15"/>
      <c r="AV457" s="55"/>
      <c r="AW457" s="55"/>
      <c r="AX457" s="55"/>
      <c r="AY457" s="67"/>
      <c r="AZ457" s="24">
        <f t="shared" si="179"/>
        <v>0</v>
      </c>
      <c r="BA457" s="24">
        <f t="shared" si="175"/>
        <v>1</v>
      </c>
      <c r="BB457" s="83">
        <v>43901</v>
      </c>
    </row>
    <row r="458" spans="1:55" ht="14.25" x14ac:dyDescent="0.15">
      <c r="A458" s="23"/>
      <c r="B458" s="14"/>
      <c r="C458" s="15"/>
      <c r="D458" s="15"/>
      <c r="E458" s="15"/>
      <c r="F458" s="15"/>
      <c r="G458" s="24">
        <f t="shared" si="170"/>
        <v>0</v>
      </c>
      <c r="H458" s="14"/>
      <c r="I458" s="15"/>
      <c r="J458" s="15"/>
      <c r="K458" s="15"/>
      <c r="L458" s="15"/>
      <c r="M458" s="24">
        <f t="shared" si="171"/>
        <v>0</v>
      </c>
      <c r="N458" s="15"/>
      <c r="O458" s="55"/>
      <c r="P458" s="55"/>
      <c r="Q458" s="55"/>
      <c r="R458" s="67"/>
      <c r="S458" s="24">
        <f t="shared" si="172"/>
        <v>0</v>
      </c>
      <c r="T458" s="15"/>
      <c r="U458" s="55"/>
      <c r="V458" s="55"/>
      <c r="W458" s="55"/>
      <c r="X458" s="67"/>
      <c r="Y458" s="24">
        <f t="shared" si="173"/>
        <v>0</v>
      </c>
      <c r="Z458" s="24">
        <f t="shared" si="174"/>
        <v>0</v>
      </c>
      <c r="AB458" s="23" t="s">
        <v>321</v>
      </c>
      <c r="AC458" s="14"/>
      <c r="AD458" s="15"/>
      <c r="AE458" s="15"/>
      <c r="AF458" s="15"/>
      <c r="AG458" s="15">
        <v>1</v>
      </c>
      <c r="AH458" s="24">
        <f t="shared" si="176"/>
        <v>1</v>
      </c>
      <c r="AI458" s="14"/>
      <c r="AJ458" s="15"/>
      <c r="AK458" s="15"/>
      <c r="AL458" s="15"/>
      <c r="AM458" s="15"/>
      <c r="AN458" s="24">
        <f t="shared" si="177"/>
        <v>0</v>
      </c>
      <c r="AO458" s="15"/>
      <c r="AP458" s="55"/>
      <c r="AQ458" s="55"/>
      <c r="AR458" s="55"/>
      <c r="AS458" s="67"/>
      <c r="AT458" s="24">
        <f t="shared" si="178"/>
        <v>0</v>
      </c>
      <c r="AU458" s="15"/>
      <c r="AV458" s="55">
        <v>1</v>
      </c>
      <c r="AW458" s="55"/>
      <c r="AX458" s="55">
        <v>1</v>
      </c>
      <c r="AY458" s="67"/>
      <c r="AZ458" s="24">
        <f t="shared" si="179"/>
        <v>2</v>
      </c>
      <c r="BA458" s="24">
        <f t="shared" si="175"/>
        <v>3</v>
      </c>
      <c r="BB458" s="83">
        <v>43902</v>
      </c>
    </row>
    <row r="459" spans="1:55" ht="14.25" x14ac:dyDescent="0.15">
      <c r="A459" s="23"/>
      <c r="B459" s="14"/>
      <c r="C459" s="15"/>
      <c r="D459" s="15"/>
      <c r="E459" s="15"/>
      <c r="F459" s="15"/>
      <c r="G459" s="24">
        <f t="shared" si="170"/>
        <v>0</v>
      </c>
      <c r="H459" s="14"/>
      <c r="I459" s="15"/>
      <c r="J459" s="15"/>
      <c r="K459" s="15"/>
      <c r="L459" s="15"/>
      <c r="M459" s="24">
        <f t="shared" si="171"/>
        <v>0</v>
      </c>
      <c r="N459" s="15"/>
      <c r="O459" s="55"/>
      <c r="P459" s="55"/>
      <c r="Q459" s="55"/>
      <c r="R459" s="67"/>
      <c r="S459" s="24">
        <f t="shared" si="172"/>
        <v>0</v>
      </c>
      <c r="T459" s="15"/>
      <c r="U459" s="55"/>
      <c r="V459" s="55"/>
      <c r="W459" s="55"/>
      <c r="X459" s="67"/>
      <c r="Y459" s="24">
        <f t="shared" si="173"/>
        <v>0</v>
      </c>
      <c r="Z459" s="24">
        <f t="shared" si="174"/>
        <v>0</v>
      </c>
      <c r="AB459" s="21" t="s">
        <v>29</v>
      </c>
      <c r="AC459" s="14"/>
      <c r="AD459" s="15"/>
      <c r="AE459" s="15"/>
      <c r="AF459" s="15"/>
      <c r="AG459" s="15"/>
      <c r="AH459" s="24">
        <f t="shared" si="176"/>
        <v>0</v>
      </c>
      <c r="AI459" s="14">
        <v>5</v>
      </c>
      <c r="AJ459" s="15"/>
      <c r="AK459" s="15"/>
      <c r="AL459" s="15"/>
      <c r="AM459" s="15"/>
      <c r="AN459" s="24">
        <f t="shared" si="177"/>
        <v>5</v>
      </c>
      <c r="AO459" s="15"/>
      <c r="AP459" s="55"/>
      <c r="AQ459" s="55"/>
      <c r="AR459" s="55"/>
      <c r="AS459" s="67"/>
      <c r="AT459" s="24">
        <f t="shared" si="178"/>
        <v>0</v>
      </c>
      <c r="AU459" s="15"/>
      <c r="AV459" s="55"/>
      <c r="AW459" s="55"/>
      <c r="AX459" s="55"/>
      <c r="AY459" s="67"/>
      <c r="AZ459" s="24">
        <f t="shared" si="179"/>
        <v>0</v>
      </c>
      <c r="BA459" s="24">
        <f t="shared" si="175"/>
        <v>5</v>
      </c>
      <c r="BB459" s="83">
        <v>43909</v>
      </c>
    </row>
    <row r="460" spans="1:55" ht="14.25" x14ac:dyDescent="0.15">
      <c r="A460" s="23"/>
      <c r="B460" s="44"/>
      <c r="C460" s="45"/>
      <c r="D460" s="45"/>
      <c r="E460" s="45"/>
      <c r="F460" s="45"/>
      <c r="G460" s="43">
        <f t="shared" si="170"/>
        <v>0</v>
      </c>
      <c r="H460" s="44"/>
      <c r="I460" s="45"/>
      <c r="J460" s="45"/>
      <c r="K460" s="45"/>
      <c r="L460" s="45"/>
      <c r="M460" s="43">
        <f t="shared" si="171"/>
        <v>0</v>
      </c>
      <c r="N460" s="42"/>
      <c r="O460" s="53"/>
      <c r="P460" s="53"/>
      <c r="Q460" s="53"/>
      <c r="R460" s="72"/>
      <c r="S460" s="24">
        <f t="shared" si="172"/>
        <v>0</v>
      </c>
      <c r="T460" s="42"/>
      <c r="U460" s="53"/>
      <c r="V460" s="53"/>
      <c r="W460" s="53"/>
      <c r="X460" s="72"/>
      <c r="Y460" s="24">
        <f t="shared" si="173"/>
        <v>0</v>
      </c>
      <c r="Z460" s="24">
        <f t="shared" si="174"/>
        <v>0</v>
      </c>
      <c r="AB460" s="21" t="s">
        <v>29</v>
      </c>
      <c r="AC460" s="14"/>
      <c r="AD460" s="15"/>
      <c r="AE460" s="15"/>
      <c r="AF460" s="15"/>
      <c r="AG460" s="15">
        <v>5</v>
      </c>
      <c r="AH460" s="24">
        <f t="shared" si="176"/>
        <v>5</v>
      </c>
      <c r="AI460" s="14"/>
      <c r="AJ460" s="15"/>
      <c r="AK460" s="15"/>
      <c r="AL460" s="15"/>
      <c r="AM460" s="15"/>
      <c r="AN460" s="24">
        <f t="shared" si="177"/>
        <v>0</v>
      </c>
      <c r="AO460" s="15"/>
      <c r="AP460" s="55"/>
      <c r="AQ460" s="55"/>
      <c r="AR460" s="55"/>
      <c r="AS460" s="67"/>
      <c r="AT460" s="24">
        <f t="shared" si="178"/>
        <v>0</v>
      </c>
      <c r="AU460" s="15"/>
      <c r="AV460" s="55"/>
      <c r="AW460" s="55"/>
      <c r="AX460" s="55"/>
      <c r="AY460" s="67"/>
      <c r="AZ460" s="24">
        <f t="shared" si="179"/>
        <v>0</v>
      </c>
      <c r="BA460" s="24">
        <f t="shared" si="175"/>
        <v>5</v>
      </c>
      <c r="BB460" s="83">
        <v>43913</v>
      </c>
    </row>
    <row r="461" spans="1:55" ht="14.25" x14ac:dyDescent="0.15">
      <c r="A461" s="110"/>
      <c r="B461" s="41"/>
      <c r="C461" s="42"/>
      <c r="D461" s="42"/>
      <c r="E461" s="42"/>
      <c r="F461" s="42"/>
      <c r="G461" s="43">
        <f t="shared" si="170"/>
        <v>0</v>
      </c>
      <c r="H461" s="41"/>
      <c r="I461" s="42"/>
      <c r="J461" s="42"/>
      <c r="K461" s="42"/>
      <c r="L461" s="42"/>
      <c r="M461" s="43">
        <f t="shared" si="171"/>
        <v>0</v>
      </c>
      <c r="N461" s="42"/>
      <c r="O461" s="53"/>
      <c r="P461" s="53"/>
      <c r="Q461" s="53"/>
      <c r="R461" s="72"/>
      <c r="S461" s="24">
        <f t="shared" si="172"/>
        <v>0</v>
      </c>
      <c r="T461" s="42"/>
      <c r="U461" s="53"/>
      <c r="V461" s="53"/>
      <c r="W461" s="53"/>
      <c r="X461" s="72"/>
      <c r="Y461" s="24">
        <f t="shared" si="173"/>
        <v>0</v>
      </c>
      <c r="Z461" s="24">
        <f t="shared" si="174"/>
        <v>0</v>
      </c>
      <c r="AB461" s="23"/>
      <c r="AC461" s="14"/>
      <c r="AD461" s="15"/>
      <c r="AE461" s="15"/>
      <c r="AF461" s="15"/>
      <c r="AG461" s="15"/>
      <c r="AH461" s="24">
        <f t="shared" si="176"/>
        <v>0</v>
      </c>
      <c r="AI461" s="14"/>
      <c r="AJ461" s="15"/>
      <c r="AK461" s="15"/>
      <c r="AL461" s="15"/>
      <c r="AM461" s="15"/>
      <c r="AN461" s="24">
        <f t="shared" si="177"/>
        <v>0</v>
      </c>
      <c r="AO461" s="15"/>
      <c r="AP461" s="55"/>
      <c r="AQ461" s="55"/>
      <c r="AR461" s="55"/>
      <c r="AS461" s="67"/>
      <c r="AT461" s="24">
        <f t="shared" si="178"/>
        <v>0</v>
      </c>
      <c r="AU461" s="15"/>
      <c r="AV461" s="55"/>
      <c r="AW461" s="55"/>
      <c r="AX461" s="55"/>
      <c r="AY461" s="67"/>
      <c r="AZ461" s="24">
        <f t="shared" si="179"/>
        <v>0</v>
      </c>
      <c r="BA461" s="24">
        <f t="shared" si="175"/>
        <v>0</v>
      </c>
      <c r="BB461" s="128"/>
    </row>
    <row r="462" spans="1:55" ht="14.25" x14ac:dyDescent="0.15">
      <c r="A462" s="23"/>
      <c r="B462" s="41"/>
      <c r="C462" s="42"/>
      <c r="D462" s="42"/>
      <c r="E462" s="42"/>
      <c r="F462" s="42"/>
      <c r="G462" s="43">
        <f t="shared" si="170"/>
        <v>0</v>
      </c>
      <c r="H462" s="41"/>
      <c r="I462" s="42"/>
      <c r="J462" s="42"/>
      <c r="K462" s="42"/>
      <c r="L462" s="42"/>
      <c r="M462" s="43">
        <f t="shared" si="171"/>
        <v>0</v>
      </c>
      <c r="N462" s="42"/>
      <c r="O462" s="53"/>
      <c r="P462" s="53"/>
      <c r="Q462" s="53"/>
      <c r="R462" s="72"/>
      <c r="S462" s="24">
        <f t="shared" si="172"/>
        <v>0</v>
      </c>
      <c r="T462" s="42"/>
      <c r="U462" s="53"/>
      <c r="V462" s="53"/>
      <c r="W462" s="53"/>
      <c r="X462" s="72"/>
      <c r="Y462" s="24">
        <f t="shared" si="173"/>
        <v>0</v>
      </c>
      <c r="Z462" s="24">
        <f t="shared" si="174"/>
        <v>0</v>
      </c>
      <c r="AB462" s="23" t="s">
        <v>258</v>
      </c>
      <c r="AC462" s="154"/>
      <c r="AD462" s="155"/>
      <c r="AE462" s="155"/>
      <c r="AF462" s="155"/>
      <c r="AG462" s="155"/>
      <c r="AH462" s="159">
        <f>SUM(AC462:AG462)</f>
        <v>0</v>
      </c>
      <c r="AI462" s="154"/>
      <c r="AJ462" s="155"/>
      <c r="AK462" s="155"/>
      <c r="AL462" s="155"/>
      <c r="AM462" s="155"/>
      <c r="AN462" s="159">
        <f>SUM(AI462:AM462)</f>
        <v>0</v>
      </c>
      <c r="AO462" s="15"/>
      <c r="AP462" s="55"/>
      <c r="AQ462" s="55"/>
      <c r="AR462" s="55"/>
      <c r="AS462" s="67"/>
      <c r="AT462" s="24">
        <f>SUM(AO462:AS462)</f>
        <v>0</v>
      </c>
      <c r="AU462" s="15"/>
      <c r="AV462" s="55"/>
      <c r="AW462" s="55"/>
      <c r="AX462" s="55"/>
      <c r="AY462" s="67"/>
      <c r="AZ462" s="24">
        <f>SUM(AU462:AY462)</f>
        <v>0</v>
      </c>
      <c r="BA462" s="24">
        <f>AH462+AN462+AT462+AZ462</f>
        <v>0</v>
      </c>
      <c r="BB462" s="128" t="s">
        <v>259</v>
      </c>
      <c r="BC462" s="111"/>
    </row>
    <row r="463" spans="1:55" ht="14.25" x14ac:dyDescent="0.15">
      <c r="A463" s="23"/>
      <c r="B463" s="41"/>
      <c r="C463" s="42"/>
      <c r="D463" s="42"/>
      <c r="E463" s="42"/>
      <c r="F463" s="42"/>
      <c r="G463" s="43">
        <f t="shared" si="170"/>
        <v>0</v>
      </c>
      <c r="H463" s="41"/>
      <c r="I463" s="42"/>
      <c r="J463" s="42"/>
      <c r="K463" s="42"/>
      <c r="L463" s="42"/>
      <c r="M463" s="43">
        <f t="shared" si="171"/>
        <v>0</v>
      </c>
      <c r="N463" s="42"/>
      <c r="O463" s="53"/>
      <c r="P463" s="53"/>
      <c r="Q463" s="53"/>
      <c r="R463" s="72"/>
      <c r="S463" s="24">
        <f>SUM(N463:R463)</f>
        <v>0</v>
      </c>
      <c r="T463" s="42"/>
      <c r="U463" s="53"/>
      <c r="V463" s="53"/>
      <c r="W463" s="53"/>
      <c r="X463" s="72"/>
      <c r="Y463" s="24">
        <f>SUM(T463:X463)</f>
        <v>0</v>
      </c>
      <c r="Z463" s="24">
        <f>G463+M463+S463+Y463</f>
        <v>0</v>
      </c>
      <c r="AB463" s="23" t="s">
        <v>241</v>
      </c>
      <c r="AC463" s="14"/>
      <c r="AD463" s="15"/>
      <c r="AE463" s="15"/>
      <c r="AF463" s="15"/>
      <c r="AG463" s="15"/>
      <c r="AH463" s="24">
        <f>SUM(AC463:AG463)</f>
        <v>0</v>
      </c>
      <c r="AI463" s="154"/>
      <c r="AJ463" s="155"/>
      <c r="AK463" s="155"/>
      <c r="AL463" s="155"/>
      <c r="AM463" s="155"/>
      <c r="AN463" s="159">
        <f>SUM(AI463:AM463)</f>
        <v>0</v>
      </c>
      <c r="AO463" s="155"/>
      <c r="AP463" s="160"/>
      <c r="AQ463" s="160"/>
      <c r="AR463" s="160"/>
      <c r="AS463" s="161"/>
      <c r="AT463" s="159">
        <f>SUM(AO463:AS463)</f>
        <v>0</v>
      </c>
      <c r="AU463" s="155"/>
      <c r="AV463" s="160"/>
      <c r="AW463" s="160"/>
      <c r="AX463" s="55"/>
      <c r="AY463" s="161"/>
      <c r="AZ463" s="159">
        <f>SUM(AU463:AY463)</f>
        <v>0</v>
      </c>
      <c r="BA463" s="24">
        <f>AH463+AN463+AT463+AZ463</f>
        <v>0</v>
      </c>
      <c r="BB463" s="128" t="s">
        <v>245</v>
      </c>
      <c r="BC463" s="111"/>
    </row>
    <row r="464" spans="1:55" ht="14.25" thickBot="1" x14ac:dyDescent="0.2">
      <c r="A464" s="47"/>
      <c r="B464" s="44"/>
      <c r="C464" s="45"/>
      <c r="D464" s="45"/>
      <c r="E464" s="45"/>
      <c r="F464" s="45"/>
      <c r="G464" s="43">
        <f t="shared" si="170"/>
        <v>0</v>
      </c>
      <c r="H464" s="44"/>
      <c r="I464" s="45"/>
      <c r="J464" s="45"/>
      <c r="K464" s="45"/>
      <c r="L464" s="45"/>
      <c r="M464" s="112">
        <f t="shared" si="171"/>
        <v>0</v>
      </c>
      <c r="N464" s="45"/>
      <c r="O464" s="78"/>
      <c r="P464" s="78"/>
      <c r="Q464" s="78"/>
      <c r="R464" s="79"/>
      <c r="S464" s="113">
        <f>SUM(N464:R464)</f>
        <v>0</v>
      </c>
      <c r="T464" s="45"/>
      <c r="U464" s="78"/>
      <c r="V464" s="78"/>
      <c r="W464" s="78"/>
      <c r="X464" s="79"/>
      <c r="Y464" s="113">
        <f>SUM(T464:X464)</f>
        <v>0</v>
      </c>
      <c r="Z464" s="82">
        <f>G464+M464+S464+Y464</f>
        <v>0</v>
      </c>
      <c r="AB464" s="47" t="s">
        <v>242</v>
      </c>
      <c r="AC464" s="14"/>
      <c r="AD464" s="15"/>
      <c r="AE464" s="15"/>
      <c r="AF464" s="15"/>
      <c r="AG464" s="15"/>
      <c r="AH464" s="24">
        <f>SUM(AC464:AG464)</f>
        <v>0</v>
      </c>
      <c r="AI464" s="14"/>
      <c r="AJ464" s="15"/>
      <c r="AK464" s="15"/>
      <c r="AL464" s="15"/>
      <c r="AM464" s="15"/>
      <c r="AN464" s="24">
        <f>SUM(AI464:AM464)</f>
        <v>0</v>
      </c>
      <c r="AO464" s="15"/>
      <c r="AP464" s="55"/>
      <c r="AQ464" s="55"/>
      <c r="AR464" s="55"/>
      <c r="AS464" s="67"/>
      <c r="AT464" s="24">
        <f>SUM(AO464:AS464)</f>
        <v>0</v>
      </c>
      <c r="AU464" s="15"/>
      <c r="AV464" s="55"/>
      <c r="AW464" s="55"/>
      <c r="AX464" s="55"/>
      <c r="AY464" s="67"/>
      <c r="AZ464" s="24">
        <f>SUM(AU464:AY464)</f>
        <v>0</v>
      </c>
      <c r="BA464" s="24">
        <f>AH464+AN464+AT464+AZ464</f>
        <v>0</v>
      </c>
      <c r="BB464" s="128" t="s">
        <v>249</v>
      </c>
      <c r="BC464" s="111"/>
    </row>
    <row r="465" spans="1:55" ht="15" thickBot="1" x14ac:dyDescent="0.2">
      <c r="A465" s="9" t="s">
        <v>13</v>
      </c>
      <c r="B465" s="25">
        <f>SUM(B439:B464)</f>
        <v>2</v>
      </c>
      <c r="C465" s="26">
        <f>SUM(C439:C464)</f>
        <v>1</v>
      </c>
      <c r="D465" s="26">
        <f>SUM(D439:D464)</f>
        <v>3</v>
      </c>
      <c r="E465" s="26">
        <f>SUM(E439:E464)</f>
        <v>3</v>
      </c>
      <c r="F465" s="27">
        <f>SUM(F439:F464)</f>
        <v>3</v>
      </c>
      <c r="G465" s="19">
        <f>SUM(B465:F465)</f>
        <v>12</v>
      </c>
      <c r="H465" s="25">
        <f>SUM(H439:H464)</f>
        <v>0</v>
      </c>
      <c r="I465" s="26">
        <f>SUM(I439:I464)</f>
        <v>0</v>
      </c>
      <c r="J465" s="26">
        <f>SUM(J439:J464)</f>
        <v>0</v>
      </c>
      <c r="K465" s="26">
        <f>SUM(K439:K464)</f>
        <v>1</v>
      </c>
      <c r="L465" s="27">
        <f>SUM(L439:L464)</f>
        <v>-1</v>
      </c>
      <c r="M465" s="25">
        <f>SUM(H465:L465)</f>
        <v>0</v>
      </c>
      <c r="N465" s="65">
        <f>SUM(N439:N464)</f>
        <v>-1</v>
      </c>
      <c r="O465" s="18">
        <f>SUM(O439:O464)</f>
        <v>-1</v>
      </c>
      <c r="P465" s="18">
        <f>SUM(P439:P464)</f>
        <v>0</v>
      </c>
      <c r="Q465" s="18">
        <f>SUM(Q439:Q464)</f>
        <v>1</v>
      </c>
      <c r="R465" s="70">
        <f>SUM(R439:R464)</f>
        <v>2</v>
      </c>
      <c r="S465" s="49">
        <f>SUM(N465:R465)</f>
        <v>1</v>
      </c>
      <c r="T465" s="74">
        <f>SUM(T439:T464)</f>
        <v>1</v>
      </c>
      <c r="U465" s="18">
        <f>SUM(U439:U464)</f>
        <v>0</v>
      </c>
      <c r="V465" s="18">
        <f>SUM(V439:V464)</f>
        <v>0</v>
      </c>
      <c r="W465" s="18">
        <f>SUM(W439:W464)</f>
        <v>1</v>
      </c>
      <c r="X465" s="70">
        <f>SUM(X439:X464)</f>
        <v>-1</v>
      </c>
      <c r="Y465" s="49">
        <f>SUM(T465:X465)</f>
        <v>1</v>
      </c>
      <c r="Z465" s="77">
        <f>G465+M465+S465+Y465</f>
        <v>14</v>
      </c>
      <c r="AB465" s="9" t="s">
        <v>13</v>
      </c>
      <c r="AC465" s="25">
        <f>SUM(AC439:AC464)</f>
        <v>20</v>
      </c>
      <c r="AD465" s="26">
        <f>SUM(AD439:AD464)</f>
        <v>32</v>
      </c>
      <c r="AE465" s="26">
        <f>SUM(AE439:AE464)</f>
        <v>45</v>
      </c>
      <c r="AF465" s="26">
        <f>SUM(AF439:AF464)</f>
        <v>35</v>
      </c>
      <c r="AG465" s="27">
        <f>SUM(AG439:AG464)</f>
        <v>54</v>
      </c>
      <c r="AH465" s="19">
        <f t="shared" si="176"/>
        <v>186</v>
      </c>
      <c r="AI465" s="25">
        <f>SUM(AI439:AI464)</f>
        <v>12</v>
      </c>
      <c r="AJ465" s="26">
        <f>SUM(AJ439:AJ464)</f>
        <v>11</v>
      </c>
      <c r="AK465" s="26">
        <f>SUM(AK439:AK464)</f>
        <v>10</v>
      </c>
      <c r="AL465" s="26">
        <f>SUM(AL439:AL464)</f>
        <v>13</v>
      </c>
      <c r="AM465" s="27">
        <f>SUM(AM439:AM464)</f>
        <v>9</v>
      </c>
      <c r="AN465" s="25">
        <f t="shared" si="177"/>
        <v>55</v>
      </c>
      <c r="AO465" s="65">
        <f>SUM(AO439:AO464)</f>
        <v>6</v>
      </c>
      <c r="AP465" s="18">
        <f>SUM(AP439:AP464)</f>
        <v>11</v>
      </c>
      <c r="AQ465" s="18">
        <f>SUM(AQ439:AQ464)</f>
        <v>5</v>
      </c>
      <c r="AR465" s="18">
        <f>SUM(AR439:AR464)</f>
        <v>8</v>
      </c>
      <c r="AS465" s="70">
        <f>SUM(AS439:AS464)</f>
        <v>5</v>
      </c>
      <c r="AT465" s="49">
        <f t="shared" si="178"/>
        <v>35</v>
      </c>
      <c r="AU465" s="74">
        <f>SUM(AU439:AU464)</f>
        <v>6</v>
      </c>
      <c r="AV465" s="18">
        <f>SUM(AV439:AV464)</f>
        <v>13</v>
      </c>
      <c r="AW465" s="18">
        <f>SUM(AW439:AW464)</f>
        <v>6</v>
      </c>
      <c r="AX465" s="18">
        <f>SUM(AX439:AX464)</f>
        <v>8</v>
      </c>
      <c r="AY465" s="70">
        <f>SUM(AY439:AY464)</f>
        <v>6</v>
      </c>
      <c r="AZ465" s="49">
        <f t="shared" si="179"/>
        <v>39</v>
      </c>
      <c r="BA465" s="77">
        <f t="shared" si="175"/>
        <v>315</v>
      </c>
    </row>
    <row r="466" spans="1:55" ht="15" thickBot="1" x14ac:dyDescent="0.2">
      <c r="A466" s="32" t="s">
        <v>14</v>
      </c>
      <c r="B466" s="29">
        <f t="shared" ref="B466:Y466" si="180">B438-B465</f>
        <v>4</v>
      </c>
      <c r="C466" s="30">
        <f t="shared" si="180"/>
        <v>6</v>
      </c>
      <c r="D466" s="30">
        <f t="shared" si="180"/>
        <v>1</v>
      </c>
      <c r="E466" s="30">
        <f t="shared" si="180"/>
        <v>2</v>
      </c>
      <c r="F466" s="31">
        <f t="shared" si="180"/>
        <v>2</v>
      </c>
      <c r="G466" s="31">
        <f t="shared" si="180"/>
        <v>15</v>
      </c>
      <c r="H466" s="29">
        <f t="shared" si="180"/>
        <v>3</v>
      </c>
      <c r="I466" s="30">
        <f t="shared" si="180"/>
        <v>5</v>
      </c>
      <c r="J466" s="30">
        <f t="shared" si="180"/>
        <v>5</v>
      </c>
      <c r="K466" s="30">
        <f t="shared" si="180"/>
        <v>2</v>
      </c>
      <c r="L466" s="31">
        <f t="shared" si="180"/>
        <v>5</v>
      </c>
      <c r="M466" s="66">
        <f t="shared" si="180"/>
        <v>20</v>
      </c>
      <c r="N466" s="29">
        <f t="shared" si="180"/>
        <v>4</v>
      </c>
      <c r="O466" s="30">
        <f t="shared" si="180"/>
        <v>6</v>
      </c>
      <c r="P466" s="30">
        <f t="shared" si="180"/>
        <v>4</v>
      </c>
      <c r="Q466" s="30">
        <f t="shared" si="180"/>
        <v>2</v>
      </c>
      <c r="R466" s="66">
        <f t="shared" si="180"/>
        <v>1</v>
      </c>
      <c r="S466" s="33">
        <f t="shared" si="180"/>
        <v>17</v>
      </c>
      <c r="T466" s="75">
        <f t="shared" si="180"/>
        <v>3</v>
      </c>
      <c r="U466" s="30">
        <f t="shared" si="180"/>
        <v>2</v>
      </c>
      <c r="V466" s="30">
        <f t="shared" si="180"/>
        <v>2</v>
      </c>
      <c r="W466" s="30">
        <f t="shared" si="180"/>
        <v>3</v>
      </c>
      <c r="X466" s="66">
        <f t="shared" si="180"/>
        <v>3</v>
      </c>
      <c r="Y466" s="33">
        <f t="shared" si="180"/>
        <v>13</v>
      </c>
      <c r="Z466" s="77">
        <f>G466+M466+S466+Y466</f>
        <v>65</v>
      </c>
      <c r="AB466" s="32" t="s">
        <v>14</v>
      </c>
      <c r="AC466" s="29">
        <f t="shared" ref="AC466:AZ466" si="181">AC438-AC465</f>
        <v>128</v>
      </c>
      <c r="AD466" s="30">
        <f t="shared" si="181"/>
        <v>99</v>
      </c>
      <c r="AE466" s="30">
        <f t="shared" si="181"/>
        <v>130</v>
      </c>
      <c r="AF466" s="30">
        <f t="shared" si="181"/>
        <v>143</v>
      </c>
      <c r="AG466" s="31">
        <f t="shared" si="181"/>
        <v>142</v>
      </c>
      <c r="AH466" s="31">
        <f t="shared" si="181"/>
        <v>642</v>
      </c>
      <c r="AI466" s="29">
        <f t="shared" si="181"/>
        <v>83</v>
      </c>
      <c r="AJ466" s="30">
        <f t="shared" si="181"/>
        <v>69</v>
      </c>
      <c r="AK466" s="30">
        <f t="shared" si="181"/>
        <v>94</v>
      </c>
      <c r="AL466" s="30">
        <f t="shared" si="181"/>
        <v>98</v>
      </c>
      <c r="AM466" s="31">
        <f t="shared" si="181"/>
        <v>89</v>
      </c>
      <c r="AN466" s="66">
        <f t="shared" si="181"/>
        <v>433</v>
      </c>
      <c r="AO466" s="29">
        <f t="shared" si="181"/>
        <v>110</v>
      </c>
      <c r="AP466" s="30">
        <f t="shared" si="181"/>
        <v>96</v>
      </c>
      <c r="AQ466" s="30">
        <f t="shared" si="181"/>
        <v>113</v>
      </c>
      <c r="AR466" s="30">
        <f t="shared" si="181"/>
        <v>140</v>
      </c>
      <c r="AS466" s="66">
        <f t="shared" si="181"/>
        <v>161</v>
      </c>
      <c r="AT466" s="33">
        <f t="shared" si="181"/>
        <v>620</v>
      </c>
      <c r="AU466" s="75">
        <f t="shared" si="181"/>
        <v>126</v>
      </c>
      <c r="AV466" s="30">
        <f t="shared" si="181"/>
        <v>118</v>
      </c>
      <c r="AW466" s="30">
        <f t="shared" si="181"/>
        <v>113</v>
      </c>
      <c r="AX466" s="30">
        <f t="shared" si="181"/>
        <v>118</v>
      </c>
      <c r="AY466" s="66">
        <f t="shared" si="181"/>
        <v>160</v>
      </c>
      <c r="AZ466" s="33">
        <f t="shared" si="181"/>
        <v>635</v>
      </c>
      <c r="BA466" s="77">
        <f t="shared" si="175"/>
        <v>2330</v>
      </c>
    </row>
    <row r="469" spans="1:55" ht="19.5" thickBot="1" x14ac:dyDescent="0.25">
      <c r="A469" s="1" t="s">
        <v>15</v>
      </c>
      <c r="AB469" s="1" t="s">
        <v>16</v>
      </c>
    </row>
    <row r="470" spans="1:55" ht="15" thickBot="1" x14ac:dyDescent="0.2">
      <c r="A470" s="4"/>
      <c r="B470" s="245" t="s">
        <v>17</v>
      </c>
      <c r="C470" s="246"/>
      <c r="D470" s="246"/>
      <c r="E470" s="246"/>
      <c r="F470" s="246"/>
      <c r="G470" s="247"/>
      <c r="H470" s="245" t="s">
        <v>18</v>
      </c>
      <c r="I470" s="246"/>
      <c r="J470" s="246"/>
      <c r="K470" s="246"/>
      <c r="L470" s="246"/>
      <c r="M470" s="247"/>
      <c r="N470" s="248" t="s">
        <v>27</v>
      </c>
      <c r="O470" s="249"/>
      <c r="P470" s="249"/>
      <c r="Q470" s="249"/>
      <c r="R470" s="249"/>
      <c r="S470" s="250"/>
      <c r="T470" s="248" t="s">
        <v>28</v>
      </c>
      <c r="U470" s="249"/>
      <c r="V470" s="249"/>
      <c r="W470" s="249"/>
      <c r="X470" s="249"/>
      <c r="Y470" s="250"/>
      <c r="Z470" s="251" t="s">
        <v>1</v>
      </c>
      <c r="AB470" s="4"/>
      <c r="AC470" s="253" t="s">
        <v>17</v>
      </c>
      <c r="AD470" s="249"/>
      <c r="AE470" s="249"/>
      <c r="AF470" s="249"/>
      <c r="AG470" s="249"/>
      <c r="AH470" s="250"/>
      <c r="AI470" s="248" t="s">
        <v>18</v>
      </c>
      <c r="AJ470" s="249"/>
      <c r="AK470" s="249"/>
      <c r="AL470" s="249"/>
      <c r="AM470" s="249"/>
      <c r="AN470" s="250"/>
      <c r="AO470" s="248" t="s">
        <v>27</v>
      </c>
      <c r="AP470" s="249"/>
      <c r="AQ470" s="249"/>
      <c r="AR470" s="249"/>
      <c r="AS470" s="249"/>
      <c r="AT470" s="250"/>
      <c r="AU470" s="248" t="s">
        <v>28</v>
      </c>
      <c r="AV470" s="249"/>
      <c r="AW470" s="249"/>
      <c r="AX470" s="249"/>
      <c r="AY470" s="249"/>
      <c r="AZ470" s="250"/>
      <c r="BA470" s="243" t="s">
        <v>1</v>
      </c>
    </row>
    <row r="471" spans="1:55" ht="15" thickBot="1" x14ac:dyDescent="0.2">
      <c r="A471" s="9" t="s">
        <v>2</v>
      </c>
      <c r="B471" s="6" t="s">
        <v>3</v>
      </c>
      <c r="C471" s="7" t="s">
        <v>4</v>
      </c>
      <c r="D471" s="7" t="s">
        <v>5</v>
      </c>
      <c r="E471" s="48" t="s">
        <v>20</v>
      </c>
      <c r="F471" s="8" t="s">
        <v>21</v>
      </c>
      <c r="G471" s="5" t="s">
        <v>6</v>
      </c>
      <c r="H471" s="6" t="s">
        <v>3</v>
      </c>
      <c r="I471" s="7" t="s">
        <v>4</v>
      </c>
      <c r="J471" s="7" t="s">
        <v>5</v>
      </c>
      <c r="K471" s="48" t="s">
        <v>20</v>
      </c>
      <c r="L471" s="8" t="s">
        <v>21</v>
      </c>
      <c r="M471" s="5" t="s">
        <v>6</v>
      </c>
      <c r="N471" s="6" t="s">
        <v>3</v>
      </c>
      <c r="O471" s="7" t="s">
        <v>4</v>
      </c>
      <c r="P471" s="7" t="s">
        <v>5</v>
      </c>
      <c r="Q471" s="48" t="s">
        <v>20</v>
      </c>
      <c r="R471" s="8" t="s">
        <v>21</v>
      </c>
      <c r="S471" s="5" t="s">
        <v>6</v>
      </c>
      <c r="T471" s="7" t="s">
        <v>3</v>
      </c>
      <c r="U471" s="7" t="s">
        <v>4</v>
      </c>
      <c r="V471" s="7" t="s">
        <v>5</v>
      </c>
      <c r="W471" s="48" t="s">
        <v>20</v>
      </c>
      <c r="X471" s="109" t="s">
        <v>21</v>
      </c>
      <c r="Y471" s="62" t="s">
        <v>6</v>
      </c>
      <c r="Z471" s="252"/>
      <c r="AB471" s="9" t="s">
        <v>2</v>
      </c>
      <c r="AC471" s="6" t="s">
        <v>3</v>
      </c>
      <c r="AD471" s="7" t="s">
        <v>4</v>
      </c>
      <c r="AE471" s="7" t="s">
        <v>5</v>
      </c>
      <c r="AF471" s="48" t="s">
        <v>20</v>
      </c>
      <c r="AG471" s="8" t="s">
        <v>21</v>
      </c>
      <c r="AH471" s="5" t="s">
        <v>6</v>
      </c>
      <c r="AI471" s="6" t="s">
        <v>3</v>
      </c>
      <c r="AJ471" s="7" t="s">
        <v>4</v>
      </c>
      <c r="AK471" s="7" t="s">
        <v>5</v>
      </c>
      <c r="AL471" s="48" t="s">
        <v>20</v>
      </c>
      <c r="AM471" s="8" t="s">
        <v>21</v>
      </c>
      <c r="AN471" s="5" t="s">
        <v>6</v>
      </c>
      <c r="AO471" s="6" t="s">
        <v>3</v>
      </c>
      <c r="AP471" s="7" t="s">
        <v>4</v>
      </c>
      <c r="AQ471" s="7" t="s">
        <v>5</v>
      </c>
      <c r="AR471" s="48" t="s">
        <v>20</v>
      </c>
      <c r="AS471" s="8" t="s">
        <v>21</v>
      </c>
      <c r="AT471" s="5" t="s">
        <v>6</v>
      </c>
      <c r="AU471" s="7" t="s">
        <v>3</v>
      </c>
      <c r="AV471" s="7" t="s">
        <v>4</v>
      </c>
      <c r="AW471" s="7" t="s">
        <v>5</v>
      </c>
      <c r="AX471" s="48" t="s">
        <v>20</v>
      </c>
      <c r="AY471" s="109" t="s">
        <v>21</v>
      </c>
      <c r="AZ471" s="62" t="s">
        <v>6</v>
      </c>
      <c r="BA471" s="244"/>
    </row>
    <row r="472" spans="1:55" ht="14.25" x14ac:dyDescent="0.15">
      <c r="A472" s="103" t="s">
        <v>43</v>
      </c>
      <c r="B472" s="104">
        <f>B466</f>
        <v>4</v>
      </c>
      <c r="C472" s="105">
        <f>C466</f>
        <v>6</v>
      </c>
      <c r="D472" s="105">
        <f>D466</f>
        <v>1</v>
      </c>
      <c r="E472" s="105">
        <f>E466</f>
        <v>2</v>
      </c>
      <c r="F472" s="105">
        <f>F466</f>
        <v>2</v>
      </c>
      <c r="G472" s="106">
        <f t="shared" ref="G472:G503" si="182">SUM(B472:F472)</f>
        <v>15</v>
      </c>
      <c r="H472" s="104">
        <f>H466</f>
        <v>3</v>
      </c>
      <c r="I472" s="105">
        <f>I466</f>
        <v>5</v>
      </c>
      <c r="J472" s="105">
        <f>J466</f>
        <v>5</v>
      </c>
      <c r="K472" s="105">
        <f>K466</f>
        <v>2</v>
      </c>
      <c r="L472" s="105">
        <f>L466</f>
        <v>5</v>
      </c>
      <c r="M472" s="107">
        <f t="shared" ref="M472:M503" si="183">SUM(H472:L472)</f>
        <v>20</v>
      </c>
      <c r="N472" s="104">
        <f>N466</f>
        <v>4</v>
      </c>
      <c r="O472" s="105">
        <f>O466</f>
        <v>6</v>
      </c>
      <c r="P472" s="105">
        <f>P466</f>
        <v>4</v>
      </c>
      <c r="Q472" s="105">
        <f>Q466</f>
        <v>2</v>
      </c>
      <c r="R472" s="105">
        <f>R466</f>
        <v>1</v>
      </c>
      <c r="S472" s="108">
        <f t="shared" ref="S472:S501" si="184">SUM(N472:R472)</f>
        <v>17</v>
      </c>
      <c r="T472" s="104">
        <f>T466</f>
        <v>3</v>
      </c>
      <c r="U472" s="105">
        <f>U466</f>
        <v>2</v>
      </c>
      <c r="V472" s="105">
        <f>V466</f>
        <v>2</v>
      </c>
      <c r="W472" s="105">
        <f>W466</f>
        <v>3</v>
      </c>
      <c r="X472" s="105">
        <f>X466</f>
        <v>3</v>
      </c>
      <c r="Y472" s="106">
        <f t="shared" ref="Y472:Y501" si="185">SUM(T472:X472)</f>
        <v>13</v>
      </c>
      <c r="Z472" s="106">
        <f t="shared" ref="Z472:Z501" si="186">G472+M472+S472+Y472</f>
        <v>65</v>
      </c>
      <c r="AB472" s="103" t="s">
        <v>43</v>
      </c>
      <c r="AC472" s="104">
        <f>AC466</f>
        <v>128</v>
      </c>
      <c r="AD472" s="105">
        <f>AD466</f>
        <v>99</v>
      </c>
      <c r="AE472" s="105">
        <f>AE466</f>
        <v>130</v>
      </c>
      <c r="AF472" s="105">
        <f>AF466</f>
        <v>143</v>
      </c>
      <c r="AG472" s="105">
        <f>AG466</f>
        <v>142</v>
      </c>
      <c r="AH472" s="106">
        <f>SUM(AC472:AG472)</f>
        <v>642</v>
      </c>
      <c r="AI472" s="104">
        <f>AI466</f>
        <v>83</v>
      </c>
      <c r="AJ472" s="105">
        <f>AJ466</f>
        <v>69</v>
      </c>
      <c r="AK472" s="105">
        <f>AK466</f>
        <v>94</v>
      </c>
      <c r="AL472" s="105">
        <f>AL466</f>
        <v>98</v>
      </c>
      <c r="AM472" s="105">
        <f>AM466</f>
        <v>89</v>
      </c>
      <c r="AN472" s="107">
        <f>SUM(AI472:AM472)</f>
        <v>433</v>
      </c>
      <c r="AO472" s="104">
        <f>AO466</f>
        <v>110</v>
      </c>
      <c r="AP472" s="105">
        <f>AP466</f>
        <v>96</v>
      </c>
      <c r="AQ472" s="105">
        <f>AQ466</f>
        <v>113</v>
      </c>
      <c r="AR472" s="105">
        <f>AR466</f>
        <v>140</v>
      </c>
      <c r="AS472" s="105">
        <f>AS466</f>
        <v>161</v>
      </c>
      <c r="AT472" s="108">
        <f>SUM(AO472:AS472)</f>
        <v>620</v>
      </c>
      <c r="AU472" s="104">
        <f>AU466</f>
        <v>126</v>
      </c>
      <c r="AV472" s="105">
        <f>AV466</f>
        <v>118</v>
      </c>
      <c r="AW472" s="105">
        <f>AW466</f>
        <v>113</v>
      </c>
      <c r="AX472" s="105">
        <f>AX466</f>
        <v>118</v>
      </c>
      <c r="AY472" s="105">
        <f>AY466</f>
        <v>160</v>
      </c>
      <c r="AZ472" s="106">
        <f>SUM(AU472:AY472)</f>
        <v>635</v>
      </c>
      <c r="BA472" s="106">
        <f>AH472+AN472+AT472+AZ472</f>
        <v>2330</v>
      </c>
    </row>
    <row r="473" spans="1:55" ht="14.25" x14ac:dyDescent="0.15">
      <c r="A473" s="10" t="s">
        <v>181</v>
      </c>
      <c r="B473" s="14"/>
      <c r="C473" s="15"/>
      <c r="D473" s="15">
        <v>4</v>
      </c>
      <c r="E473" s="15"/>
      <c r="F473" s="15"/>
      <c r="G473" s="16">
        <f t="shared" si="182"/>
        <v>4</v>
      </c>
      <c r="H473" s="14"/>
      <c r="I473" s="15"/>
      <c r="J473" s="15"/>
      <c r="K473" s="15"/>
      <c r="L473" s="15"/>
      <c r="M473" s="57">
        <f t="shared" si="183"/>
        <v>0</v>
      </c>
      <c r="N473" s="14"/>
      <c r="O473" s="55"/>
      <c r="P473" s="55"/>
      <c r="Q473" s="55"/>
      <c r="R473" s="67">
        <v>1</v>
      </c>
      <c r="S473" s="24">
        <f t="shared" si="184"/>
        <v>1</v>
      </c>
      <c r="T473" s="15"/>
      <c r="U473" s="55"/>
      <c r="V473" s="55"/>
      <c r="W473" s="55"/>
      <c r="X473" s="67"/>
      <c r="Y473" s="24">
        <f t="shared" si="185"/>
        <v>0</v>
      </c>
      <c r="Z473" s="24">
        <f t="shared" si="186"/>
        <v>5</v>
      </c>
      <c r="AA473" s="83">
        <v>43917</v>
      </c>
      <c r="AB473" s="10" t="s">
        <v>126</v>
      </c>
      <c r="AC473" s="14">
        <v>3</v>
      </c>
      <c r="AD473" s="15">
        <v>3</v>
      </c>
      <c r="AE473" s="15">
        <v>1</v>
      </c>
      <c r="AF473" s="15"/>
      <c r="AG473" s="15"/>
      <c r="AH473" s="16">
        <f>SUM(AC473:AG473)</f>
        <v>7</v>
      </c>
      <c r="AI473" s="14"/>
      <c r="AJ473" s="15"/>
      <c r="AK473" s="15">
        <v>2</v>
      </c>
      <c r="AL473" s="15"/>
      <c r="AM473" s="15">
        <v>1</v>
      </c>
      <c r="AN473" s="57">
        <f>SUM(AI473:AM473)</f>
        <v>3</v>
      </c>
      <c r="AO473" s="14">
        <v>1</v>
      </c>
      <c r="AP473" s="55">
        <v>4</v>
      </c>
      <c r="AQ473" s="55">
        <v>1</v>
      </c>
      <c r="AR473" s="55"/>
      <c r="AS473" s="67"/>
      <c r="AT473" s="24">
        <f>SUM(AO473:AS473)</f>
        <v>6</v>
      </c>
      <c r="AU473" s="15"/>
      <c r="AV473" s="55"/>
      <c r="AW473" s="55"/>
      <c r="AX473" s="55"/>
      <c r="AY473" s="67"/>
      <c r="AZ473" s="24">
        <f>SUM(AU473:AY473)</f>
        <v>0</v>
      </c>
      <c r="BA473" s="24">
        <f>AH473+AN473+AT473+AZ473</f>
        <v>16</v>
      </c>
      <c r="BB473" s="83">
        <v>43967</v>
      </c>
      <c r="BC473" s="149"/>
    </row>
    <row r="474" spans="1:55" ht="14.25" x14ac:dyDescent="0.15">
      <c r="A474" s="10" t="s">
        <v>77</v>
      </c>
      <c r="B474" s="41"/>
      <c r="C474" s="42"/>
      <c r="D474" s="42"/>
      <c r="E474" s="42"/>
      <c r="F474" s="42"/>
      <c r="G474" s="37">
        <f t="shared" si="182"/>
        <v>0</v>
      </c>
      <c r="H474" s="41"/>
      <c r="I474" s="42"/>
      <c r="J474" s="42"/>
      <c r="K474" s="42">
        <v>1</v>
      </c>
      <c r="L474" s="42"/>
      <c r="M474" s="114">
        <f t="shared" si="183"/>
        <v>1</v>
      </c>
      <c r="N474" s="41"/>
      <c r="O474" s="53"/>
      <c r="P474" s="53"/>
      <c r="Q474" s="53"/>
      <c r="R474" s="72"/>
      <c r="S474" s="24">
        <f t="shared" si="184"/>
        <v>0</v>
      </c>
      <c r="T474" s="42"/>
      <c r="U474" s="53"/>
      <c r="V474" s="53"/>
      <c r="W474" s="53"/>
      <c r="X474" s="72"/>
      <c r="Y474" s="24">
        <f t="shared" si="185"/>
        <v>0</v>
      </c>
      <c r="Z474" s="24">
        <f t="shared" si="186"/>
        <v>1</v>
      </c>
      <c r="AA474" s="93">
        <v>43916</v>
      </c>
      <c r="AB474" s="10" t="s">
        <v>181</v>
      </c>
      <c r="AC474" s="14"/>
      <c r="AD474" s="15"/>
      <c r="AE474" s="15"/>
      <c r="AF474" s="15"/>
      <c r="AG474" s="15"/>
      <c r="AH474" s="16">
        <f>SUM(AC474:AG474)</f>
        <v>0</v>
      </c>
      <c r="AI474" s="14"/>
      <c r="AJ474" s="15"/>
      <c r="AK474" s="15"/>
      <c r="AL474" s="15"/>
      <c r="AM474" s="15"/>
      <c r="AN474" s="57">
        <f>SUM(AI474:AM474)</f>
        <v>0</v>
      </c>
      <c r="AO474" s="14"/>
      <c r="AP474" s="55"/>
      <c r="AQ474" s="55"/>
      <c r="AR474" s="55"/>
      <c r="AS474" s="67"/>
      <c r="AT474" s="24">
        <f>SUM(AO474:AS474)</f>
        <v>0</v>
      </c>
      <c r="AU474" s="15"/>
      <c r="AV474" s="55"/>
      <c r="AW474" s="55"/>
      <c r="AX474" s="55"/>
      <c r="AY474" s="67"/>
      <c r="AZ474" s="24">
        <f>SUM(AU474:AY474)</f>
        <v>0</v>
      </c>
      <c r="BA474" s="24">
        <f>AH474+AN474+AT474+AZ474</f>
        <v>0</v>
      </c>
      <c r="BB474" s="83"/>
      <c r="BC474" s="149"/>
    </row>
    <row r="475" spans="1:55" ht="14.25" x14ac:dyDescent="0.15">
      <c r="A475" s="10" t="s">
        <v>83</v>
      </c>
      <c r="B475" s="14"/>
      <c r="C475" s="15"/>
      <c r="D475" s="15"/>
      <c r="E475" s="15"/>
      <c r="F475" s="15"/>
      <c r="G475" s="16">
        <f t="shared" si="182"/>
        <v>0</v>
      </c>
      <c r="H475" s="14"/>
      <c r="I475" s="15"/>
      <c r="J475" s="15"/>
      <c r="K475" s="15"/>
      <c r="L475" s="15"/>
      <c r="M475" s="57">
        <f t="shared" si="183"/>
        <v>0</v>
      </c>
      <c r="N475" s="14"/>
      <c r="O475" s="55"/>
      <c r="P475" s="55"/>
      <c r="Q475" s="55">
        <v>1</v>
      </c>
      <c r="R475" s="67"/>
      <c r="S475" s="24">
        <f t="shared" si="184"/>
        <v>1</v>
      </c>
      <c r="T475" s="15"/>
      <c r="U475" s="55"/>
      <c r="V475" s="55"/>
      <c r="W475" s="55"/>
      <c r="X475" s="67"/>
      <c r="Y475" s="24">
        <f t="shared" si="185"/>
        <v>0</v>
      </c>
      <c r="Z475" s="24">
        <f t="shared" si="186"/>
        <v>1</v>
      </c>
      <c r="AA475" s="93">
        <v>43917</v>
      </c>
      <c r="AB475" s="10" t="s">
        <v>181</v>
      </c>
      <c r="AC475" s="14"/>
      <c r="AD475" s="15"/>
      <c r="AE475" s="15"/>
      <c r="AF475" s="15"/>
      <c r="AG475" s="15"/>
      <c r="AH475" s="16">
        <f t="shared" ref="AH475:AH504" si="187">SUM(AC475:AG475)</f>
        <v>0</v>
      </c>
      <c r="AI475" s="14"/>
      <c r="AJ475" s="15"/>
      <c r="AK475" s="15"/>
      <c r="AL475" s="15"/>
      <c r="AM475" s="15"/>
      <c r="AN475" s="57">
        <f t="shared" ref="AN475:AN504" si="188">SUM(AI475:AM475)</f>
        <v>0</v>
      </c>
      <c r="AO475" s="86"/>
      <c r="AP475" s="156"/>
      <c r="AQ475" s="156"/>
      <c r="AR475" s="156"/>
      <c r="AS475" s="157"/>
      <c r="AT475" s="16">
        <f t="shared" ref="AT475:AT504" si="189">SUM(AO475:AS475)</f>
        <v>0</v>
      </c>
      <c r="AU475" s="87"/>
      <c r="AV475" s="156"/>
      <c r="AW475" s="156"/>
      <c r="AX475" s="156"/>
      <c r="AY475" s="157"/>
      <c r="AZ475" s="16">
        <f t="shared" ref="AZ475:AZ504" si="190">SUM(AU475:AY475)</f>
        <v>0</v>
      </c>
      <c r="BA475" s="16">
        <f t="shared" ref="BA475:BA505" si="191">AH475+AN475+AT475+AZ475</f>
        <v>0</v>
      </c>
      <c r="BB475" s="128"/>
      <c r="BC475" s="149"/>
    </row>
    <row r="476" spans="1:55" ht="15" thickBot="1" x14ac:dyDescent="0.2">
      <c r="A476" s="10" t="s">
        <v>33</v>
      </c>
      <c r="B476" s="14"/>
      <c r="C476" s="15"/>
      <c r="D476" s="15"/>
      <c r="E476" s="15"/>
      <c r="F476" s="15"/>
      <c r="G476" s="16">
        <f t="shared" si="182"/>
        <v>0</v>
      </c>
      <c r="H476" s="14"/>
      <c r="I476" s="15"/>
      <c r="J476" s="15"/>
      <c r="K476" s="15"/>
      <c r="L476" s="15"/>
      <c r="M476" s="57">
        <f t="shared" si="183"/>
        <v>0</v>
      </c>
      <c r="N476" s="63"/>
      <c r="O476" s="64"/>
      <c r="P476" s="64"/>
      <c r="Q476" s="64"/>
      <c r="R476" s="69"/>
      <c r="S476" s="82">
        <f t="shared" si="184"/>
        <v>0</v>
      </c>
      <c r="T476" s="73"/>
      <c r="U476" s="64"/>
      <c r="V476" s="64"/>
      <c r="W476" s="64"/>
      <c r="X476" s="69">
        <v>1</v>
      </c>
      <c r="Y476" s="82">
        <f t="shared" si="185"/>
        <v>1</v>
      </c>
      <c r="Z476" s="82">
        <f t="shared" si="186"/>
        <v>1</v>
      </c>
      <c r="AA476" s="93">
        <v>43922</v>
      </c>
      <c r="AB476" s="10" t="s">
        <v>181</v>
      </c>
      <c r="AC476" s="14"/>
      <c r="AD476" s="15"/>
      <c r="AE476" s="15"/>
      <c r="AF476" s="15"/>
      <c r="AG476" s="15"/>
      <c r="AH476" s="16">
        <f t="shared" si="187"/>
        <v>0</v>
      </c>
      <c r="AI476" s="14"/>
      <c r="AJ476" s="15"/>
      <c r="AK476" s="15"/>
      <c r="AL476" s="15"/>
      <c r="AM476" s="15"/>
      <c r="AN476" s="57">
        <f t="shared" si="188"/>
        <v>0</v>
      </c>
      <c r="AO476" s="63"/>
      <c r="AP476" s="64"/>
      <c r="AQ476" s="64"/>
      <c r="AR476" s="64"/>
      <c r="AS476" s="69"/>
      <c r="AT476" s="82">
        <f t="shared" si="189"/>
        <v>0</v>
      </c>
      <c r="AU476" s="73"/>
      <c r="AV476" s="64"/>
      <c r="AW476" s="64"/>
      <c r="AX476" s="64"/>
      <c r="AY476" s="69"/>
      <c r="AZ476" s="82">
        <f t="shared" si="190"/>
        <v>0</v>
      </c>
      <c r="BA476" s="82">
        <f t="shared" si="191"/>
        <v>0</v>
      </c>
      <c r="BB476" s="128"/>
    </row>
    <row r="477" spans="1:55" ht="15" thickBot="1" x14ac:dyDescent="0.2">
      <c r="A477" s="4" t="s">
        <v>12</v>
      </c>
      <c r="B477" s="17">
        <f>SUM(B472:B476)</f>
        <v>4</v>
      </c>
      <c r="C477" s="18">
        <f>SUM(C472:C476)</f>
        <v>6</v>
      </c>
      <c r="D477" s="18">
        <f>SUM(D472:D476)</f>
        <v>5</v>
      </c>
      <c r="E477" s="18">
        <f>SUM(E472:E476)</f>
        <v>2</v>
      </c>
      <c r="F477" s="18">
        <f>SUM(F472:F476)</f>
        <v>2</v>
      </c>
      <c r="G477" s="19">
        <f t="shared" si="182"/>
        <v>19</v>
      </c>
      <c r="H477" s="17">
        <f>SUM(H472:H476)</f>
        <v>3</v>
      </c>
      <c r="I477" s="18">
        <f>SUM(I472:I476)</f>
        <v>5</v>
      </c>
      <c r="J477" s="18">
        <f>SUM(J472:J476)</f>
        <v>5</v>
      </c>
      <c r="K477" s="18">
        <f>SUM(K472:K476)</f>
        <v>3</v>
      </c>
      <c r="L477" s="18">
        <f>SUM(L472:L476)</f>
        <v>5</v>
      </c>
      <c r="M477" s="25">
        <f t="shared" si="183"/>
        <v>21</v>
      </c>
      <c r="N477" s="65">
        <f>SUM(N472:N476)</f>
        <v>4</v>
      </c>
      <c r="O477" s="18">
        <f>SUM(O472:O476)</f>
        <v>6</v>
      </c>
      <c r="P477" s="18">
        <f>SUM(P472:P476)</f>
        <v>4</v>
      </c>
      <c r="Q477" s="18">
        <f>SUM(Q472:Q476)</f>
        <v>3</v>
      </c>
      <c r="R477" s="70">
        <f>SUM(R472:R476)</f>
        <v>2</v>
      </c>
      <c r="S477" s="49">
        <f t="shared" si="184"/>
        <v>19</v>
      </c>
      <c r="T477" s="74">
        <f>SUM(T472:T476)</f>
        <v>3</v>
      </c>
      <c r="U477" s="18">
        <f>SUM(U472:U476)</f>
        <v>2</v>
      </c>
      <c r="V477" s="18">
        <f>SUM(V472:V476)</f>
        <v>2</v>
      </c>
      <c r="W477" s="18">
        <f>SUM(W472:W476)</f>
        <v>3</v>
      </c>
      <c r="X477" s="70">
        <f>SUM(X472:X476)</f>
        <v>4</v>
      </c>
      <c r="Y477" s="49">
        <f t="shared" si="185"/>
        <v>14</v>
      </c>
      <c r="Z477" s="33">
        <f t="shared" si="186"/>
        <v>73</v>
      </c>
      <c r="AB477" s="4" t="s">
        <v>12</v>
      </c>
      <c r="AC477" s="17">
        <f>SUM(AC472:AC476)</f>
        <v>131</v>
      </c>
      <c r="AD477" s="18">
        <f>SUM(AD472:AD476)</f>
        <v>102</v>
      </c>
      <c r="AE477" s="18">
        <f>SUM(AE472:AE476)</f>
        <v>131</v>
      </c>
      <c r="AF477" s="18">
        <f>SUM(AF472:AF476)</f>
        <v>143</v>
      </c>
      <c r="AG477" s="18">
        <f>SUM(AG472:AG476)</f>
        <v>142</v>
      </c>
      <c r="AH477" s="148">
        <f t="shared" si="187"/>
        <v>649</v>
      </c>
      <c r="AI477" s="17">
        <f>SUM(AI472:AI476)</f>
        <v>83</v>
      </c>
      <c r="AJ477" s="18">
        <f>SUM(AJ472:AJ476)</f>
        <v>69</v>
      </c>
      <c r="AK477" s="18">
        <f>SUM(AK472:AK476)</f>
        <v>96</v>
      </c>
      <c r="AL477" s="18">
        <f>SUM(AL472:AL476)</f>
        <v>98</v>
      </c>
      <c r="AM477" s="18">
        <f>SUM(AM472:AM476)</f>
        <v>90</v>
      </c>
      <c r="AN477" s="148">
        <f t="shared" si="188"/>
        <v>436</v>
      </c>
      <c r="AO477" s="65">
        <f>SUM(AO472:AO476)</f>
        <v>111</v>
      </c>
      <c r="AP477" s="18">
        <f>SUM(AP472:AP476)</f>
        <v>100</v>
      </c>
      <c r="AQ477" s="18">
        <f>SUM(AQ472:AQ476)</f>
        <v>114</v>
      </c>
      <c r="AR477" s="18">
        <f>SUM(AR472:AR476)</f>
        <v>140</v>
      </c>
      <c r="AS477" s="70">
        <f>SUM(AS472:AS476)</f>
        <v>161</v>
      </c>
      <c r="AT477" s="49">
        <f t="shared" si="189"/>
        <v>626</v>
      </c>
      <c r="AU477" s="74">
        <f>SUM(AU472:AU476)</f>
        <v>126</v>
      </c>
      <c r="AV477" s="18">
        <f>SUM(AV472:AV476)</f>
        <v>118</v>
      </c>
      <c r="AW477" s="18">
        <f>SUM(AW472:AW476)</f>
        <v>113</v>
      </c>
      <c r="AX477" s="18">
        <f>SUM(AX472:AX476)</f>
        <v>118</v>
      </c>
      <c r="AY477" s="70">
        <f>SUM(AY472:AY476)</f>
        <v>160</v>
      </c>
      <c r="AZ477" s="49">
        <f t="shared" si="190"/>
        <v>635</v>
      </c>
      <c r="BA477" s="33">
        <f t="shared" si="191"/>
        <v>2346</v>
      </c>
    </row>
    <row r="478" spans="1:55" ht="14.25" x14ac:dyDescent="0.15">
      <c r="A478" s="23" t="s">
        <v>325</v>
      </c>
      <c r="B478" s="34"/>
      <c r="C478" s="35"/>
      <c r="D478" s="35"/>
      <c r="E478" s="35"/>
      <c r="F478" s="35"/>
      <c r="G478" s="36">
        <f t="shared" si="182"/>
        <v>0</v>
      </c>
      <c r="H478" s="34"/>
      <c r="I478" s="35"/>
      <c r="J478" s="35"/>
      <c r="K478" s="35"/>
      <c r="L478" s="35"/>
      <c r="M478" s="36">
        <f t="shared" si="183"/>
        <v>0</v>
      </c>
      <c r="N478" s="39"/>
      <c r="O478" s="56"/>
      <c r="P478" s="56"/>
      <c r="Q478" s="56"/>
      <c r="R478" s="71"/>
      <c r="S478" s="16">
        <f t="shared" si="184"/>
        <v>0</v>
      </c>
      <c r="T478" s="39"/>
      <c r="U478" s="56">
        <v>1</v>
      </c>
      <c r="V478" s="56"/>
      <c r="W478" s="56"/>
      <c r="X478" s="71"/>
      <c r="Y478" s="16">
        <f t="shared" si="185"/>
        <v>1</v>
      </c>
      <c r="Z478" s="16">
        <f t="shared" si="186"/>
        <v>1</v>
      </c>
      <c r="AA478" s="83">
        <v>43917</v>
      </c>
      <c r="AB478" s="23" t="s">
        <v>322</v>
      </c>
      <c r="AC478" s="14"/>
      <c r="AD478" s="15"/>
      <c r="AE478" s="15"/>
      <c r="AF478" s="15"/>
      <c r="AG478" s="15">
        <v>1</v>
      </c>
      <c r="AH478" s="24">
        <f t="shared" si="187"/>
        <v>1</v>
      </c>
      <c r="AI478" s="14"/>
      <c r="AJ478" s="15"/>
      <c r="AK478" s="15"/>
      <c r="AL478" s="15"/>
      <c r="AM478" s="15"/>
      <c r="AN478" s="24">
        <f t="shared" si="188"/>
        <v>0</v>
      </c>
      <c r="AO478" s="15"/>
      <c r="AP478" s="55"/>
      <c r="AQ478" s="55"/>
      <c r="AR478" s="55"/>
      <c r="AS478" s="67"/>
      <c r="AT478" s="24">
        <f t="shared" si="189"/>
        <v>0</v>
      </c>
      <c r="AU478" s="15"/>
      <c r="AV478" s="55"/>
      <c r="AW478" s="55"/>
      <c r="AX478" s="55"/>
      <c r="AY478" s="67"/>
      <c r="AZ478" s="24">
        <f t="shared" si="190"/>
        <v>0</v>
      </c>
      <c r="BA478" s="24">
        <f t="shared" si="191"/>
        <v>1</v>
      </c>
      <c r="BB478" s="83">
        <v>43910</v>
      </c>
    </row>
    <row r="479" spans="1:55" ht="14.25" x14ac:dyDescent="0.15">
      <c r="A479" s="47" t="s">
        <v>323</v>
      </c>
      <c r="B479" s="14"/>
      <c r="C479" s="15"/>
      <c r="D479" s="15">
        <v>3</v>
      </c>
      <c r="E479" s="15"/>
      <c r="F479" s="15"/>
      <c r="G479" s="24">
        <f t="shared" si="182"/>
        <v>3</v>
      </c>
      <c r="H479" s="14"/>
      <c r="I479" s="15"/>
      <c r="J479" s="15"/>
      <c r="K479" s="15"/>
      <c r="L479" s="15"/>
      <c r="M479" s="24">
        <f t="shared" si="183"/>
        <v>0</v>
      </c>
      <c r="N479" s="15"/>
      <c r="O479" s="55"/>
      <c r="P479" s="55"/>
      <c r="Q479" s="55"/>
      <c r="R479" s="67"/>
      <c r="S479" s="24">
        <f t="shared" si="184"/>
        <v>0</v>
      </c>
      <c r="T479" s="15"/>
      <c r="U479" s="55"/>
      <c r="V479" s="55"/>
      <c r="W479" s="55"/>
      <c r="X479" s="67"/>
      <c r="Y479" s="24">
        <f t="shared" si="185"/>
        <v>0</v>
      </c>
      <c r="Z479" s="24">
        <f t="shared" si="186"/>
        <v>3</v>
      </c>
      <c r="AA479" s="83">
        <v>43923</v>
      </c>
      <c r="AB479" s="23" t="s">
        <v>324</v>
      </c>
      <c r="AC479" s="41"/>
      <c r="AD479" s="42"/>
      <c r="AE479" s="42">
        <v>1</v>
      </c>
      <c r="AF479" s="42"/>
      <c r="AG479" s="42"/>
      <c r="AH479" s="43">
        <f>SUM(AC479:AG479)</f>
        <v>1</v>
      </c>
      <c r="AI479" s="41"/>
      <c r="AJ479" s="42"/>
      <c r="AK479" s="42"/>
      <c r="AL479" s="42"/>
      <c r="AM479" s="42"/>
      <c r="AN479" s="43">
        <f>SUM(AI479:AM479)</f>
        <v>0</v>
      </c>
      <c r="AO479" s="42"/>
      <c r="AP479" s="53"/>
      <c r="AQ479" s="53"/>
      <c r="AR479" s="53"/>
      <c r="AS479" s="72"/>
      <c r="AT479" s="24">
        <f>SUM(AO479:AS479)</f>
        <v>0</v>
      </c>
      <c r="AU479" s="42"/>
      <c r="AV479" s="53"/>
      <c r="AW479" s="53"/>
      <c r="AX479" s="53"/>
      <c r="AY479" s="72"/>
      <c r="AZ479" s="24">
        <f>SUM(AU479:AY479)</f>
        <v>0</v>
      </c>
      <c r="BA479" s="24">
        <f>AH479+AN479+AT479+AZ479</f>
        <v>1</v>
      </c>
      <c r="BB479" s="83">
        <v>43915</v>
      </c>
    </row>
    <row r="480" spans="1:55" ht="14.25" x14ac:dyDescent="0.15">
      <c r="A480" s="40" t="s">
        <v>331</v>
      </c>
      <c r="B480" s="41"/>
      <c r="C480" s="42"/>
      <c r="D480" s="42"/>
      <c r="E480" s="42"/>
      <c r="F480" s="42"/>
      <c r="G480" s="43">
        <f t="shared" si="182"/>
        <v>0</v>
      </c>
      <c r="H480" s="41"/>
      <c r="I480" s="42"/>
      <c r="J480" s="42"/>
      <c r="K480" s="42"/>
      <c r="L480" s="42"/>
      <c r="M480" s="43">
        <f t="shared" si="183"/>
        <v>0</v>
      </c>
      <c r="N480" s="42">
        <v>-1</v>
      </c>
      <c r="O480" s="53"/>
      <c r="P480" s="53"/>
      <c r="Q480" s="53"/>
      <c r="R480" s="72"/>
      <c r="S480" s="24">
        <f t="shared" si="184"/>
        <v>-1</v>
      </c>
      <c r="T480" s="42">
        <v>-1</v>
      </c>
      <c r="U480" s="53"/>
      <c r="V480" s="53"/>
      <c r="W480" s="53"/>
      <c r="X480" s="72"/>
      <c r="Y480" s="24">
        <f t="shared" si="185"/>
        <v>-1</v>
      </c>
      <c r="Z480" s="24">
        <f t="shared" si="186"/>
        <v>-2</v>
      </c>
      <c r="AA480" s="93">
        <v>43922</v>
      </c>
      <c r="AB480" s="21" t="s">
        <v>29</v>
      </c>
      <c r="AC480" s="41"/>
      <c r="AD480" s="42"/>
      <c r="AE480" s="42"/>
      <c r="AF480" s="42">
        <v>5</v>
      </c>
      <c r="AG480" s="42"/>
      <c r="AH480" s="43">
        <f>SUM(AC480:AG480)</f>
        <v>5</v>
      </c>
      <c r="AI480" s="41"/>
      <c r="AJ480" s="42"/>
      <c r="AK480" s="42"/>
      <c r="AL480" s="42"/>
      <c r="AM480" s="42"/>
      <c r="AN480" s="43">
        <f>SUM(AI480:AM480)</f>
        <v>0</v>
      </c>
      <c r="AO480" s="42"/>
      <c r="AP480" s="53"/>
      <c r="AQ480" s="53">
        <v>5</v>
      </c>
      <c r="AR480" s="53"/>
      <c r="AS480" s="72"/>
      <c r="AT480" s="43">
        <f>SUM(AO480:AS480)</f>
        <v>5</v>
      </c>
      <c r="AU480" s="42"/>
      <c r="AV480" s="53"/>
      <c r="AW480" s="53"/>
      <c r="AX480" s="53"/>
      <c r="AY480" s="72"/>
      <c r="AZ480" s="43">
        <f>SUM(AU480:AY480)</f>
        <v>0</v>
      </c>
      <c r="BA480" s="43">
        <f>AH480+AN480+AT480+AZ480</f>
        <v>10</v>
      </c>
      <c r="BB480" s="83">
        <v>43927</v>
      </c>
    </row>
    <row r="481" spans="1:54" ht="14.25" x14ac:dyDescent="0.15">
      <c r="A481" s="47" t="s">
        <v>332</v>
      </c>
      <c r="B481" s="41"/>
      <c r="C481" s="42"/>
      <c r="D481" s="42"/>
      <c r="E481" s="42"/>
      <c r="F481" s="42"/>
      <c r="G481" s="43">
        <f t="shared" si="182"/>
        <v>0</v>
      </c>
      <c r="H481" s="41"/>
      <c r="I481" s="42"/>
      <c r="J481" s="42"/>
      <c r="K481" s="42"/>
      <c r="L481" s="42"/>
      <c r="M481" s="43">
        <f t="shared" si="183"/>
        <v>0</v>
      </c>
      <c r="N481" s="42">
        <v>-1</v>
      </c>
      <c r="O481" s="53"/>
      <c r="P481" s="53"/>
      <c r="Q481" s="53"/>
      <c r="R481" s="72"/>
      <c r="S481" s="24">
        <f t="shared" si="184"/>
        <v>-1</v>
      </c>
      <c r="T481" s="42"/>
      <c r="U481" s="53"/>
      <c r="V481" s="53"/>
      <c r="W481" s="53"/>
      <c r="X481" s="72"/>
      <c r="Y481" s="24">
        <f t="shared" si="185"/>
        <v>0</v>
      </c>
      <c r="Z481" s="24">
        <f t="shared" si="186"/>
        <v>-1</v>
      </c>
      <c r="AA481" s="93">
        <v>43922</v>
      </c>
      <c r="AB481" s="23" t="s">
        <v>30</v>
      </c>
      <c r="AC481" s="41"/>
      <c r="AD481" s="42"/>
      <c r="AE481" s="42">
        <v>4</v>
      </c>
      <c r="AF481" s="42"/>
      <c r="AG481" s="42"/>
      <c r="AH481" s="43">
        <f>SUM(AC481:AG481)</f>
        <v>4</v>
      </c>
      <c r="AI481" s="41"/>
      <c r="AJ481" s="42"/>
      <c r="AK481" s="42"/>
      <c r="AL481" s="42"/>
      <c r="AM481" s="42"/>
      <c r="AN481" s="43">
        <f>SUM(AI481:AM481)</f>
        <v>0</v>
      </c>
      <c r="AO481" s="42"/>
      <c r="AP481" s="53"/>
      <c r="AQ481" s="53"/>
      <c r="AR481" s="53"/>
      <c r="AS481" s="72">
        <v>1</v>
      </c>
      <c r="AT481" s="24">
        <f>SUM(AO481:AS481)</f>
        <v>1</v>
      </c>
      <c r="AU481" s="42"/>
      <c r="AV481" s="53"/>
      <c r="AW481" s="53"/>
      <c r="AX481" s="53"/>
      <c r="AY481" s="72"/>
      <c r="AZ481" s="24">
        <f>SUM(AU481:AY481)</f>
        <v>0</v>
      </c>
      <c r="BA481" s="24">
        <f>AH481+AN481+AT481+AZ481</f>
        <v>5</v>
      </c>
      <c r="BB481" s="83">
        <v>43917</v>
      </c>
    </row>
    <row r="482" spans="1:54" ht="14.25" x14ac:dyDescent="0.15">
      <c r="A482" s="10" t="s">
        <v>77</v>
      </c>
      <c r="B482" s="41">
        <v>-1</v>
      </c>
      <c r="C482" s="42"/>
      <c r="D482" s="42"/>
      <c r="E482" s="42">
        <v>-1</v>
      </c>
      <c r="F482" s="42"/>
      <c r="G482" s="43">
        <f t="shared" si="182"/>
        <v>-2</v>
      </c>
      <c r="H482" s="41"/>
      <c r="I482" s="42"/>
      <c r="J482" s="42"/>
      <c r="K482" s="42"/>
      <c r="L482" s="42">
        <v>-1</v>
      </c>
      <c r="M482" s="43">
        <f t="shared" si="183"/>
        <v>-1</v>
      </c>
      <c r="N482" s="42"/>
      <c r="O482" s="53"/>
      <c r="P482" s="53"/>
      <c r="Q482" s="53">
        <v>-1</v>
      </c>
      <c r="R482" s="72"/>
      <c r="S482" s="24">
        <f t="shared" si="184"/>
        <v>-1</v>
      </c>
      <c r="T482" s="42"/>
      <c r="U482" s="53"/>
      <c r="V482" s="53"/>
      <c r="W482" s="53">
        <v>-1</v>
      </c>
      <c r="X482" s="72"/>
      <c r="Y482" s="24">
        <f t="shared" si="185"/>
        <v>-1</v>
      </c>
      <c r="Z482" s="24">
        <f t="shared" si="186"/>
        <v>-5</v>
      </c>
      <c r="AA482" s="93">
        <v>43929</v>
      </c>
      <c r="AB482" s="21" t="s">
        <v>29</v>
      </c>
      <c r="AC482" s="41"/>
      <c r="AD482" s="42"/>
      <c r="AE482" s="42">
        <v>5</v>
      </c>
      <c r="AF482" s="42"/>
      <c r="AG482" s="42"/>
      <c r="AH482" s="43">
        <f t="shared" si="187"/>
        <v>5</v>
      </c>
      <c r="AI482" s="41"/>
      <c r="AJ482" s="42"/>
      <c r="AK482" s="42"/>
      <c r="AL482" s="42"/>
      <c r="AM482" s="42"/>
      <c r="AN482" s="43">
        <f t="shared" si="188"/>
        <v>0</v>
      </c>
      <c r="AO482" s="42"/>
      <c r="AP482" s="53"/>
      <c r="AQ482" s="53"/>
      <c r="AR482" s="53"/>
      <c r="AS482" s="72"/>
      <c r="AT482" s="24">
        <f t="shared" si="189"/>
        <v>0</v>
      </c>
      <c r="AU482" s="42"/>
      <c r="AV482" s="53"/>
      <c r="AW482" s="53"/>
      <c r="AX482" s="53"/>
      <c r="AY482" s="72"/>
      <c r="AZ482" s="24">
        <f t="shared" si="190"/>
        <v>0</v>
      </c>
      <c r="BA482" s="24">
        <f t="shared" si="191"/>
        <v>5</v>
      </c>
      <c r="BB482" s="83">
        <v>43927</v>
      </c>
    </row>
    <row r="483" spans="1:54" ht="14.25" x14ac:dyDescent="0.15">
      <c r="A483" s="10" t="s">
        <v>77</v>
      </c>
      <c r="B483" s="41"/>
      <c r="C483" s="42"/>
      <c r="D483" s="42"/>
      <c r="E483" s="42"/>
      <c r="F483" s="42"/>
      <c r="G483" s="43">
        <f t="shared" si="182"/>
        <v>0</v>
      </c>
      <c r="H483" s="41"/>
      <c r="I483" s="42"/>
      <c r="J483" s="42"/>
      <c r="K483" s="42"/>
      <c r="L483" s="42"/>
      <c r="M483" s="43">
        <f t="shared" si="183"/>
        <v>0</v>
      </c>
      <c r="N483" s="42"/>
      <c r="O483" s="53">
        <v>-1</v>
      </c>
      <c r="P483" s="53"/>
      <c r="Q483" s="53">
        <v>-1</v>
      </c>
      <c r="R483" s="72"/>
      <c r="S483" s="24">
        <f t="shared" si="184"/>
        <v>-2</v>
      </c>
      <c r="T483" s="42"/>
      <c r="U483" s="53"/>
      <c r="V483" s="53"/>
      <c r="W483" s="53"/>
      <c r="X483" s="72"/>
      <c r="Y483" s="24">
        <f t="shared" si="185"/>
        <v>0</v>
      </c>
      <c r="Z483" s="24">
        <f t="shared" si="186"/>
        <v>-2</v>
      </c>
      <c r="AA483" s="83">
        <v>43930</v>
      </c>
      <c r="AB483" s="23" t="s">
        <v>326</v>
      </c>
      <c r="AC483" s="41"/>
      <c r="AD483" s="42"/>
      <c r="AE483" s="42"/>
      <c r="AF483" s="42"/>
      <c r="AG483" s="42"/>
      <c r="AH483" s="43">
        <f t="shared" si="187"/>
        <v>0</v>
      </c>
      <c r="AI483" s="41"/>
      <c r="AJ483" s="42"/>
      <c r="AK483" s="42"/>
      <c r="AL483" s="42"/>
      <c r="AM483" s="42"/>
      <c r="AN483" s="43">
        <f t="shared" si="188"/>
        <v>0</v>
      </c>
      <c r="AO483" s="42"/>
      <c r="AP483" s="53"/>
      <c r="AQ483" s="53"/>
      <c r="AR483" s="53"/>
      <c r="AS483" s="72"/>
      <c r="AT483" s="24">
        <f t="shared" si="189"/>
        <v>0</v>
      </c>
      <c r="AU483" s="42"/>
      <c r="AV483" s="53">
        <v>1</v>
      </c>
      <c r="AW483" s="53"/>
      <c r="AX483" s="53"/>
      <c r="AY483" s="72"/>
      <c r="AZ483" s="24">
        <f t="shared" si="190"/>
        <v>1</v>
      </c>
      <c r="BA483" s="24">
        <f t="shared" si="191"/>
        <v>1</v>
      </c>
      <c r="BB483" s="83">
        <v>43918</v>
      </c>
    </row>
    <row r="484" spans="1:54" ht="14.25" x14ac:dyDescent="0.15">
      <c r="A484" s="23" t="s">
        <v>339</v>
      </c>
      <c r="B484" s="41"/>
      <c r="C484" s="42"/>
      <c r="D484" s="42"/>
      <c r="E484" s="42"/>
      <c r="F484" s="42"/>
      <c r="G484" s="43">
        <f t="shared" si="182"/>
        <v>0</v>
      </c>
      <c r="H484" s="41"/>
      <c r="I484" s="42">
        <v>1</v>
      </c>
      <c r="J484" s="42"/>
      <c r="K484" s="42"/>
      <c r="L484" s="42"/>
      <c r="M484" s="43">
        <f t="shared" si="183"/>
        <v>1</v>
      </c>
      <c r="N484" s="42"/>
      <c r="O484" s="53"/>
      <c r="P484" s="53"/>
      <c r="Q484" s="53"/>
      <c r="R484" s="72"/>
      <c r="S484" s="24">
        <f t="shared" si="184"/>
        <v>0</v>
      </c>
      <c r="T484" s="42"/>
      <c r="U484" s="53"/>
      <c r="V484" s="53"/>
      <c r="W484" s="53"/>
      <c r="X484" s="72"/>
      <c r="Y484" s="24">
        <f t="shared" si="185"/>
        <v>0</v>
      </c>
      <c r="Z484" s="24">
        <f t="shared" si="186"/>
        <v>1</v>
      </c>
      <c r="AA484" s="83">
        <v>43932</v>
      </c>
      <c r="AB484" s="21" t="s">
        <v>327</v>
      </c>
      <c r="AC484" s="41"/>
      <c r="AD484" s="42"/>
      <c r="AE484" s="42">
        <v>5</v>
      </c>
      <c r="AF484" s="42">
        <v>10</v>
      </c>
      <c r="AG484" s="42">
        <v>10</v>
      </c>
      <c r="AH484" s="43">
        <f t="shared" si="187"/>
        <v>25</v>
      </c>
      <c r="AI484" s="41"/>
      <c r="AJ484" s="42"/>
      <c r="AK484" s="42"/>
      <c r="AL484" s="42"/>
      <c r="AM484" s="42"/>
      <c r="AN484" s="43">
        <f t="shared" si="188"/>
        <v>0</v>
      </c>
      <c r="AO484" s="42"/>
      <c r="AP484" s="53"/>
      <c r="AQ484" s="53"/>
      <c r="AR484" s="53"/>
      <c r="AS484" s="72"/>
      <c r="AT484" s="24">
        <f t="shared" si="189"/>
        <v>0</v>
      </c>
      <c r="AU484" s="42"/>
      <c r="AV484" s="53"/>
      <c r="AW484" s="53"/>
      <c r="AX484" s="53"/>
      <c r="AY484" s="72"/>
      <c r="AZ484" s="24">
        <f t="shared" si="190"/>
        <v>0</v>
      </c>
      <c r="BA484" s="24">
        <f t="shared" si="191"/>
        <v>25</v>
      </c>
      <c r="BB484" s="83">
        <v>43958</v>
      </c>
    </row>
    <row r="485" spans="1:54" x14ac:dyDescent="0.15">
      <c r="A485" s="40" t="s">
        <v>340</v>
      </c>
      <c r="B485" s="41"/>
      <c r="C485" s="42"/>
      <c r="D485" s="42"/>
      <c r="E485" s="42"/>
      <c r="F485" s="42"/>
      <c r="G485" s="43">
        <f t="shared" si="182"/>
        <v>0</v>
      </c>
      <c r="H485" s="41"/>
      <c r="I485" s="42"/>
      <c r="J485" s="42"/>
      <c r="K485" s="42"/>
      <c r="L485" s="42"/>
      <c r="M485" s="43">
        <f t="shared" si="183"/>
        <v>0</v>
      </c>
      <c r="N485" s="42"/>
      <c r="O485" s="53"/>
      <c r="P485" s="53"/>
      <c r="Q485" s="53">
        <v>1</v>
      </c>
      <c r="R485" s="72"/>
      <c r="S485" s="24">
        <f t="shared" si="184"/>
        <v>1</v>
      </c>
      <c r="T485" s="42"/>
      <c r="U485" s="53"/>
      <c r="V485" s="53"/>
      <c r="W485" s="53"/>
      <c r="X485" s="72"/>
      <c r="Y485" s="24">
        <f t="shared" si="185"/>
        <v>0</v>
      </c>
      <c r="Z485" s="24">
        <f t="shared" si="186"/>
        <v>1</v>
      </c>
      <c r="AA485" s="83">
        <v>43935</v>
      </c>
      <c r="AB485" s="47" t="s">
        <v>330</v>
      </c>
      <c r="AC485" s="41"/>
      <c r="AD485" s="42"/>
      <c r="AE485" s="42"/>
      <c r="AF485" s="42">
        <v>3</v>
      </c>
      <c r="AG485" s="42"/>
      <c r="AH485" s="43">
        <f t="shared" si="187"/>
        <v>3</v>
      </c>
      <c r="AI485" s="41"/>
      <c r="AJ485" s="42"/>
      <c r="AK485" s="42"/>
      <c r="AL485" s="42"/>
      <c r="AM485" s="42"/>
      <c r="AN485" s="43">
        <f t="shared" si="188"/>
        <v>0</v>
      </c>
      <c r="AO485" s="42"/>
      <c r="AP485" s="53"/>
      <c r="AQ485" s="53"/>
      <c r="AR485" s="53"/>
      <c r="AS485" s="72"/>
      <c r="AT485" s="24">
        <f t="shared" si="189"/>
        <v>0</v>
      </c>
      <c r="AU485" s="42"/>
      <c r="AV485" s="53"/>
      <c r="AW485" s="53"/>
      <c r="AX485" s="53"/>
      <c r="AY485" s="72"/>
      <c r="AZ485" s="24">
        <f t="shared" si="190"/>
        <v>0</v>
      </c>
      <c r="BA485" s="24">
        <f t="shared" si="191"/>
        <v>3</v>
      </c>
      <c r="BB485" s="83">
        <v>43928</v>
      </c>
    </row>
    <row r="486" spans="1:54" x14ac:dyDescent="0.15">
      <c r="A486" s="158" t="s">
        <v>342</v>
      </c>
      <c r="B486" s="41">
        <v>-1</v>
      </c>
      <c r="C486" s="42"/>
      <c r="D486" s="42"/>
      <c r="E486" s="42"/>
      <c r="F486" s="42"/>
      <c r="G486" s="43">
        <f t="shared" si="182"/>
        <v>-1</v>
      </c>
      <c r="H486" s="41">
        <v>-1</v>
      </c>
      <c r="I486" s="42"/>
      <c r="J486" s="42"/>
      <c r="K486" s="42"/>
      <c r="L486" s="42"/>
      <c r="M486" s="43">
        <f t="shared" si="183"/>
        <v>-1</v>
      </c>
      <c r="N486" s="42"/>
      <c r="O486" s="53"/>
      <c r="P486" s="53"/>
      <c r="Q486" s="53"/>
      <c r="R486" s="72"/>
      <c r="S486" s="24">
        <f t="shared" si="184"/>
        <v>0</v>
      </c>
      <c r="T486" s="42"/>
      <c r="U486" s="53"/>
      <c r="V486" s="53"/>
      <c r="W486" s="53"/>
      <c r="X486" s="72"/>
      <c r="Y486" s="24">
        <f t="shared" si="185"/>
        <v>0</v>
      </c>
      <c r="Z486" s="24">
        <f t="shared" si="186"/>
        <v>-2</v>
      </c>
      <c r="AA486" s="93">
        <v>43935</v>
      </c>
      <c r="AB486" s="47" t="s">
        <v>334</v>
      </c>
      <c r="AC486" s="41">
        <v>4</v>
      </c>
      <c r="AD486" s="42">
        <v>3</v>
      </c>
      <c r="AE486" s="42">
        <v>2</v>
      </c>
      <c r="AF486" s="42">
        <v>4</v>
      </c>
      <c r="AG486" s="42">
        <v>6</v>
      </c>
      <c r="AH486" s="43">
        <f t="shared" si="187"/>
        <v>19</v>
      </c>
      <c r="AI486" s="41"/>
      <c r="AJ486" s="42"/>
      <c r="AK486" s="42">
        <v>1</v>
      </c>
      <c r="AL486" s="42">
        <v>1</v>
      </c>
      <c r="AM486" s="42"/>
      <c r="AN486" s="43">
        <f t="shared" si="188"/>
        <v>2</v>
      </c>
      <c r="AO486" s="42">
        <v>1</v>
      </c>
      <c r="AP486" s="53">
        <v>6</v>
      </c>
      <c r="AQ486" s="53">
        <v>4</v>
      </c>
      <c r="AR486" s="53">
        <v>2</v>
      </c>
      <c r="AS486" s="72">
        <v>10</v>
      </c>
      <c r="AT486" s="24">
        <f t="shared" si="189"/>
        <v>23</v>
      </c>
      <c r="AU486" s="42"/>
      <c r="AV486" s="53">
        <v>2</v>
      </c>
      <c r="AW486" s="53">
        <v>1</v>
      </c>
      <c r="AX486" s="53">
        <v>3</v>
      </c>
      <c r="AY486" s="72">
        <v>1</v>
      </c>
      <c r="AZ486" s="24">
        <f t="shared" si="190"/>
        <v>7</v>
      </c>
      <c r="BA486" s="24">
        <f t="shared" si="191"/>
        <v>51</v>
      </c>
      <c r="BB486" s="83">
        <v>43934</v>
      </c>
    </row>
    <row r="487" spans="1:54" ht="14.25" x14ac:dyDescent="0.15">
      <c r="A487" s="94" t="s">
        <v>343</v>
      </c>
      <c r="B487" s="44"/>
      <c r="C487" s="45"/>
      <c r="D487" s="45"/>
      <c r="E487" s="45"/>
      <c r="F487" s="45"/>
      <c r="G487" s="43">
        <f t="shared" si="182"/>
        <v>0</v>
      </c>
      <c r="H487" s="44"/>
      <c r="I487" s="45"/>
      <c r="J487" s="45"/>
      <c r="K487" s="45"/>
      <c r="L487" s="45"/>
      <c r="M487" s="43">
        <f t="shared" si="183"/>
        <v>0</v>
      </c>
      <c r="N487" s="42"/>
      <c r="O487" s="53">
        <v>-1</v>
      </c>
      <c r="P487" s="53"/>
      <c r="Q487" s="53"/>
      <c r="R487" s="72"/>
      <c r="S487" s="24">
        <f t="shared" si="184"/>
        <v>-1</v>
      </c>
      <c r="T487" s="42"/>
      <c r="U487" s="53">
        <v>-1</v>
      </c>
      <c r="V487" s="53"/>
      <c r="W487" s="53"/>
      <c r="X487" s="72"/>
      <c r="Y487" s="24">
        <f t="shared" si="185"/>
        <v>-1</v>
      </c>
      <c r="Z487" s="24">
        <f t="shared" si="186"/>
        <v>-2</v>
      </c>
      <c r="AA487" s="93">
        <v>43935</v>
      </c>
      <c r="AB487" s="23" t="s">
        <v>337</v>
      </c>
      <c r="AC487" s="44"/>
      <c r="AD487" s="45"/>
      <c r="AE487" s="45"/>
      <c r="AF487" s="45">
        <v>1</v>
      </c>
      <c r="AG487" s="45"/>
      <c r="AH487" s="43">
        <f t="shared" si="187"/>
        <v>1</v>
      </c>
      <c r="AI487" s="44"/>
      <c r="AJ487" s="45"/>
      <c r="AK487" s="45"/>
      <c r="AL487" s="45"/>
      <c r="AM487" s="45"/>
      <c r="AN487" s="43">
        <f t="shared" si="188"/>
        <v>0</v>
      </c>
      <c r="AO487" s="42"/>
      <c r="AP487" s="53"/>
      <c r="AQ487" s="53"/>
      <c r="AR487" s="53"/>
      <c r="AS487" s="72"/>
      <c r="AT487" s="24">
        <f t="shared" si="189"/>
        <v>0</v>
      </c>
      <c r="AU487" s="42"/>
      <c r="AV487" s="53"/>
      <c r="AW487" s="53"/>
      <c r="AX487" s="53"/>
      <c r="AY487" s="72"/>
      <c r="AZ487" s="24">
        <f t="shared" si="190"/>
        <v>0</v>
      </c>
      <c r="BA487" s="24">
        <f t="shared" si="191"/>
        <v>1</v>
      </c>
      <c r="BB487" s="83">
        <v>43930</v>
      </c>
    </row>
    <row r="488" spans="1:54" ht="14.25" x14ac:dyDescent="0.15">
      <c r="A488" s="40" t="s">
        <v>344</v>
      </c>
      <c r="B488" s="41"/>
      <c r="C488" s="42"/>
      <c r="D488" s="42"/>
      <c r="E488" s="42"/>
      <c r="F488" s="42"/>
      <c r="G488" s="43">
        <f t="shared" si="182"/>
        <v>0</v>
      </c>
      <c r="H488" s="41">
        <v>1</v>
      </c>
      <c r="I488" s="42">
        <v>2</v>
      </c>
      <c r="J488" s="42">
        <v>1</v>
      </c>
      <c r="K488" s="42"/>
      <c r="L488" s="42">
        <v>2</v>
      </c>
      <c r="M488" s="43">
        <f t="shared" si="183"/>
        <v>6</v>
      </c>
      <c r="N488" s="42">
        <v>2</v>
      </c>
      <c r="O488" s="53">
        <v>2</v>
      </c>
      <c r="P488" s="53"/>
      <c r="Q488" s="53">
        <v>2</v>
      </c>
      <c r="R488" s="72"/>
      <c r="S488" s="24">
        <f t="shared" si="184"/>
        <v>6</v>
      </c>
      <c r="T488" s="42">
        <v>1</v>
      </c>
      <c r="U488" s="53">
        <v>1</v>
      </c>
      <c r="V488" s="53"/>
      <c r="W488" s="53">
        <v>1</v>
      </c>
      <c r="X488" s="72">
        <v>1</v>
      </c>
      <c r="Y488" s="24">
        <f t="shared" si="185"/>
        <v>4</v>
      </c>
      <c r="Z488" s="24">
        <f t="shared" si="186"/>
        <v>16</v>
      </c>
      <c r="AA488" s="93">
        <v>43939</v>
      </c>
      <c r="AB488" s="21" t="s">
        <v>338</v>
      </c>
      <c r="AC488" s="41"/>
      <c r="AD488" s="42"/>
      <c r="AE488" s="42"/>
      <c r="AF488" s="42"/>
      <c r="AG488" s="42">
        <v>1</v>
      </c>
      <c r="AH488" s="43">
        <f t="shared" si="187"/>
        <v>1</v>
      </c>
      <c r="AI488" s="41"/>
      <c r="AJ488" s="42"/>
      <c r="AK488" s="42"/>
      <c r="AL488" s="42"/>
      <c r="AM488" s="42"/>
      <c r="AN488" s="43">
        <f t="shared" si="188"/>
        <v>0</v>
      </c>
      <c r="AO488" s="42"/>
      <c r="AP488" s="53"/>
      <c r="AQ488" s="53"/>
      <c r="AR488" s="53"/>
      <c r="AS488" s="72"/>
      <c r="AT488" s="24">
        <f t="shared" si="189"/>
        <v>0</v>
      </c>
      <c r="AU488" s="42"/>
      <c r="AV488" s="53"/>
      <c r="AW488" s="53"/>
      <c r="AX488" s="53"/>
      <c r="AY488" s="72"/>
      <c r="AZ488" s="24">
        <f t="shared" si="190"/>
        <v>0</v>
      </c>
      <c r="BA488" s="24">
        <f t="shared" si="191"/>
        <v>1</v>
      </c>
      <c r="BB488" s="83">
        <v>43932</v>
      </c>
    </row>
    <row r="489" spans="1:54" ht="14.25" x14ac:dyDescent="0.15">
      <c r="A489" s="23" t="s">
        <v>347</v>
      </c>
      <c r="B489" s="41"/>
      <c r="C489" s="42">
        <v>1</v>
      </c>
      <c r="D489" s="42"/>
      <c r="E489" s="42"/>
      <c r="F489" s="42"/>
      <c r="G489" s="43">
        <f t="shared" si="182"/>
        <v>1</v>
      </c>
      <c r="H489" s="41"/>
      <c r="I489" s="42"/>
      <c r="J489" s="42"/>
      <c r="K489" s="42"/>
      <c r="L489" s="42"/>
      <c r="M489" s="43">
        <f t="shared" si="183"/>
        <v>0</v>
      </c>
      <c r="N489" s="42"/>
      <c r="O489" s="53"/>
      <c r="P489" s="53"/>
      <c r="Q489" s="53"/>
      <c r="R489" s="72"/>
      <c r="S489" s="24">
        <f t="shared" si="184"/>
        <v>0</v>
      </c>
      <c r="T489" s="42"/>
      <c r="U489" s="53"/>
      <c r="V489" s="53"/>
      <c r="W489" s="53"/>
      <c r="X489" s="72"/>
      <c r="Y489" s="24">
        <f t="shared" si="185"/>
        <v>0</v>
      </c>
      <c r="Z489" s="24">
        <f t="shared" si="186"/>
        <v>1</v>
      </c>
      <c r="AA489" s="83">
        <v>43945</v>
      </c>
      <c r="AB489" s="47" t="s">
        <v>341</v>
      </c>
      <c r="AC489" s="41">
        <v>3</v>
      </c>
      <c r="AD489" s="42">
        <v>4</v>
      </c>
      <c r="AE489" s="42">
        <v>7</v>
      </c>
      <c r="AF489" s="42">
        <v>8</v>
      </c>
      <c r="AG489" s="42">
        <v>10</v>
      </c>
      <c r="AH489" s="43">
        <f t="shared" si="187"/>
        <v>32</v>
      </c>
      <c r="AI489" s="41"/>
      <c r="AJ489" s="42"/>
      <c r="AK489" s="42">
        <v>1</v>
      </c>
      <c r="AL489" s="42"/>
      <c r="AM489" s="42">
        <v>1</v>
      </c>
      <c r="AN489" s="43">
        <f t="shared" si="188"/>
        <v>2</v>
      </c>
      <c r="AO489" s="42">
        <v>7</v>
      </c>
      <c r="AP489" s="53">
        <v>8</v>
      </c>
      <c r="AQ489" s="53">
        <v>3</v>
      </c>
      <c r="AR489" s="53">
        <v>7</v>
      </c>
      <c r="AS489" s="72">
        <v>4</v>
      </c>
      <c r="AT489" s="24">
        <f t="shared" si="189"/>
        <v>29</v>
      </c>
      <c r="AU489" s="42">
        <v>1</v>
      </c>
      <c r="AV489" s="53">
        <v>4</v>
      </c>
      <c r="AW489" s="53">
        <v>3</v>
      </c>
      <c r="AX489" s="53">
        <v>4</v>
      </c>
      <c r="AY489" s="72">
        <v>3</v>
      </c>
      <c r="AZ489" s="24">
        <f t="shared" si="190"/>
        <v>15</v>
      </c>
      <c r="BA489" s="24">
        <f t="shared" si="191"/>
        <v>78</v>
      </c>
      <c r="BB489" s="83">
        <v>43941</v>
      </c>
    </row>
    <row r="490" spans="1:54" ht="14.25" x14ac:dyDescent="0.15">
      <c r="A490" s="23" t="s">
        <v>348</v>
      </c>
      <c r="B490" s="41"/>
      <c r="C490" s="42">
        <v>1</v>
      </c>
      <c r="D490" s="42"/>
      <c r="E490" s="42"/>
      <c r="F490" s="42"/>
      <c r="G490" s="43">
        <f t="shared" si="182"/>
        <v>1</v>
      </c>
      <c r="H490" s="41"/>
      <c r="I490" s="42"/>
      <c r="J490" s="42"/>
      <c r="K490" s="42"/>
      <c r="L490" s="42"/>
      <c r="M490" s="43">
        <f t="shared" si="183"/>
        <v>0</v>
      </c>
      <c r="N490" s="42"/>
      <c r="O490" s="53"/>
      <c r="P490" s="53"/>
      <c r="Q490" s="53"/>
      <c r="R490" s="72"/>
      <c r="S490" s="24">
        <f t="shared" si="184"/>
        <v>0</v>
      </c>
      <c r="T490" s="42"/>
      <c r="U490" s="53"/>
      <c r="V490" s="53"/>
      <c r="W490" s="53"/>
      <c r="X490" s="72"/>
      <c r="Y490" s="24">
        <f t="shared" si="185"/>
        <v>0</v>
      </c>
      <c r="Z490" s="24">
        <f t="shared" si="186"/>
        <v>1</v>
      </c>
      <c r="AA490" s="83">
        <v>43948</v>
      </c>
      <c r="AB490" s="21" t="s">
        <v>30</v>
      </c>
      <c r="AC490" s="41"/>
      <c r="AD490" s="42"/>
      <c r="AE490" s="42"/>
      <c r="AF490" s="42"/>
      <c r="AG490" s="42"/>
      <c r="AH490" s="43">
        <f t="shared" si="187"/>
        <v>0</v>
      </c>
      <c r="AI490" s="41">
        <v>-1</v>
      </c>
      <c r="AJ490" s="42">
        <v>-2</v>
      </c>
      <c r="AK490" s="42">
        <v>-1</v>
      </c>
      <c r="AL490" s="42"/>
      <c r="AM490" s="42">
        <v>-2</v>
      </c>
      <c r="AN490" s="43">
        <f t="shared" si="188"/>
        <v>-6</v>
      </c>
      <c r="AO490" s="42">
        <v>-2</v>
      </c>
      <c r="AP490" s="53">
        <v>-2</v>
      </c>
      <c r="AQ490" s="53"/>
      <c r="AR490" s="53">
        <v>-2</v>
      </c>
      <c r="AS490" s="72"/>
      <c r="AT490" s="24">
        <f t="shared" si="189"/>
        <v>-6</v>
      </c>
      <c r="AU490" s="42">
        <v>-1</v>
      </c>
      <c r="AV490" s="53">
        <v>-1</v>
      </c>
      <c r="AW490" s="53"/>
      <c r="AX490" s="53">
        <v>-1</v>
      </c>
      <c r="AY490" s="72">
        <v>-1</v>
      </c>
      <c r="AZ490" s="24">
        <f t="shared" si="190"/>
        <v>-4</v>
      </c>
      <c r="BA490" s="24">
        <f t="shared" si="191"/>
        <v>-16</v>
      </c>
      <c r="BB490" s="93">
        <v>43939</v>
      </c>
    </row>
    <row r="491" spans="1:54" ht="14.25" x14ac:dyDescent="0.15">
      <c r="A491" s="23" t="s">
        <v>350</v>
      </c>
      <c r="B491" s="38"/>
      <c r="C491" s="39"/>
      <c r="D491" s="39">
        <v>1</v>
      </c>
      <c r="E491" s="39"/>
      <c r="F491" s="39"/>
      <c r="G491" s="37">
        <f t="shared" si="182"/>
        <v>1</v>
      </c>
      <c r="H491" s="38"/>
      <c r="I491" s="39"/>
      <c r="J491" s="39"/>
      <c r="K491" s="39"/>
      <c r="L491" s="39"/>
      <c r="M491" s="37">
        <f t="shared" si="183"/>
        <v>0</v>
      </c>
      <c r="N491" s="42"/>
      <c r="O491" s="53"/>
      <c r="P491" s="53"/>
      <c r="Q491" s="53"/>
      <c r="R491" s="72"/>
      <c r="S491" s="24">
        <f t="shared" si="184"/>
        <v>0</v>
      </c>
      <c r="T491" s="42"/>
      <c r="U491" s="53"/>
      <c r="V491" s="53"/>
      <c r="W491" s="53"/>
      <c r="X491" s="72"/>
      <c r="Y491" s="24">
        <f t="shared" si="185"/>
        <v>0</v>
      </c>
      <c r="Z491" s="24">
        <f t="shared" si="186"/>
        <v>1</v>
      </c>
      <c r="AA491" s="83">
        <v>43950</v>
      </c>
      <c r="AB491" s="47" t="s">
        <v>345</v>
      </c>
      <c r="AC491" s="38"/>
      <c r="AD491" s="39"/>
      <c r="AE491" s="39"/>
      <c r="AF491" s="39"/>
      <c r="AG491" s="39"/>
      <c r="AH491" s="37">
        <f t="shared" si="187"/>
        <v>0</v>
      </c>
      <c r="AI491" s="38"/>
      <c r="AJ491" s="39"/>
      <c r="AK491" s="39"/>
      <c r="AL491" s="39"/>
      <c r="AM491" s="39"/>
      <c r="AN491" s="37">
        <f t="shared" si="188"/>
        <v>0</v>
      </c>
      <c r="AO491" s="42"/>
      <c r="AP491" s="53"/>
      <c r="AQ491" s="53">
        <v>1</v>
      </c>
      <c r="AR491" s="53"/>
      <c r="AS491" s="72"/>
      <c r="AT491" s="24">
        <f t="shared" si="189"/>
        <v>1</v>
      </c>
      <c r="AU491" s="42"/>
      <c r="AV491" s="53"/>
      <c r="AW491" s="53"/>
      <c r="AX491" s="53"/>
      <c r="AY491" s="72"/>
      <c r="AZ491" s="24">
        <f t="shared" si="190"/>
        <v>0</v>
      </c>
      <c r="BA491" s="24">
        <f t="shared" si="191"/>
        <v>1</v>
      </c>
      <c r="BB491" s="83">
        <v>43953</v>
      </c>
    </row>
    <row r="492" spans="1:54" ht="14.25" x14ac:dyDescent="0.15">
      <c r="A492" s="23" t="s">
        <v>351</v>
      </c>
      <c r="B492" s="41">
        <v>1</v>
      </c>
      <c r="C492" s="42"/>
      <c r="D492" s="42">
        <v>1</v>
      </c>
      <c r="E492" s="42">
        <v>1</v>
      </c>
      <c r="F492" s="42"/>
      <c r="G492" s="43">
        <f t="shared" si="182"/>
        <v>3</v>
      </c>
      <c r="H492" s="41"/>
      <c r="I492" s="42"/>
      <c r="J492" s="42"/>
      <c r="K492" s="42"/>
      <c r="L492" s="42"/>
      <c r="M492" s="43">
        <f t="shared" si="183"/>
        <v>0</v>
      </c>
      <c r="N492" s="42"/>
      <c r="O492" s="53"/>
      <c r="P492" s="53"/>
      <c r="Q492" s="53"/>
      <c r="R492" s="72"/>
      <c r="S492" s="24">
        <f t="shared" si="184"/>
        <v>0</v>
      </c>
      <c r="T492" s="42"/>
      <c r="U492" s="53"/>
      <c r="V492" s="53"/>
      <c r="W492" s="53"/>
      <c r="X492" s="72">
        <v>1</v>
      </c>
      <c r="Y492" s="24">
        <f t="shared" si="185"/>
        <v>1</v>
      </c>
      <c r="Z492" s="24">
        <f t="shared" si="186"/>
        <v>4</v>
      </c>
      <c r="AA492" s="83">
        <v>43953</v>
      </c>
      <c r="AB492" s="23" t="s">
        <v>346</v>
      </c>
      <c r="AC492" s="41"/>
      <c r="AD492" s="42"/>
      <c r="AE492" s="42"/>
      <c r="AF492" s="42"/>
      <c r="AG492" s="42"/>
      <c r="AH492" s="43">
        <f t="shared" si="187"/>
        <v>0</v>
      </c>
      <c r="AI492" s="41"/>
      <c r="AJ492" s="42"/>
      <c r="AK492" s="42"/>
      <c r="AL492" s="42"/>
      <c r="AM492" s="42"/>
      <c r="AN492" s="43">
        <f t="shared" si="188"/>
        <v>0</v>
      </c>
      <c r="AO492" s="42"/>
      <c r="AP492" s="53"/>
      <c r="AQ492" s="53"/>
      <c r="AR492" s="53"/>
      <c r="AS492" s="72"/>
      <c r="AT492" s="24">
        <f t="shared" si="189"/>
        <v>0</v>
      </c>
      <c r="AU492" s="42"/>
      <c r="AV492" s="53"/>
      <c r="AW492" s="53"/>
      <c r="AX492" s="53">
        <v>1</v>
      </c>
      <c r="AY492" s="72"/>
      <c r="AZ492" s="24">
        <f t="shared" si="190"/>
        <v>1</v>
      </c>
      <c r="BA492" s="24">
        <f t="shared" si="191"/>
        <v>1</v>
      </c>
      <c r="BB492" s="83">
        <v>43944</v>
      </c>
    </row>
    <row r="493" spans="1:54" ht="14.25" x14ac:dyDescent="0.15">
      <c r="A493" s="21" t="s">
        <v>42</v>
      </c>
      <c r="B493" s="14"/>
      <c r="C493" s="15">
        <v>-3</v>
      </c>
      <c r="D493" s="15"/>
      <c r="E493" s="15"/>
      <c r="F493" s="15"/>
      <c r="G493" s="24">
        <f t="shared" si="182"/>
        <v>-3</v>
      </c>
      <c r="H493" s="14"/>
      <c r="I493" s="15"/>
      <c r="J493" s="15"/>
      <c r="K493" s="15"/>
      <c r="L493" s="15"/>
      <c r="M493" s="24">
        <f t="shared" si="183"/>
        <v>0</v>
      </c>
      <c r="N493" s="15"/>
      <c r="O493" s="55"/>
      <c r="P493" s="55"/>
      <c r="Q493" s="55"/>
      <c r="R493" s="67"/>
      <c r="S493" s="24">
        <f t="shared" si="184"/>
        <v>0</v>
      </c>
      <c r="T493" s="15"/>
      <c r="U493" s="55"/>
      <c r="V493" s="55"/>
      <c r="W493" s="55"/>
      <c r="X493" s="67"/>
      <c r="Y493" s="24">
        <f t="shared" si="185"/>
        <v>0</v>
      </c>
      <c r="Z493" s="24">
        <f t="shared" si="186"/>
        <v>-3</v>
      </c>
      <c r="AA493" s="93">
        <v>43952</v>
      </c>
      <c r="AB493" s="47" t="s">
        <v>349</v>
      </c>
      <c r="AC493" s="14"/>
      <c r="AD493" s="15"/>
      <c r="AE493" s="15"/>
      <c r="AF493" s="15"/>
      <c r="AG493" s="15"/>
      <c r="AH493" s="24">
        <f t="shared" si="187"/>
        <v>0</v>
      </c>
      <c r="AI493" s="14"/>
      <c r="AJ493" s="15"/>
      <c r="AK493" s="15"/>
      <c r="AL493" s="15"/>
      <c r="AM493" s="15"/>
      <c r="AN493" s="24">
        <f t="shared" si="188"/>
        <v>0</v>
      </c>
      <c r="AO493" s="15"/>
      <c r="AP493" s="55"/>
      <c r="AQ493" s="55"/>
      <c r="AR493" s="55"/>
      <c r="AS493" s="67">
        <v>1</v>
      </c>
      <c r="AT493" s="24">
        <f t="shared" si="189"/>
        <v>1</v>
      </c>
      <c r="AU493" s="15"/>
      <c r="AV493" s="55"/>
      <c r="AW493" s="55"/>
      <c r="AX493" s="55">
        <v>1</v>
      </c>
      <c r="AY493" s="67">
        <v>3</v>
      </c>
      <c r="AZ493" s="24">
        <f t="shared" si="190"/>
        <v>4</v>
      </c>
      <c r="BA493" s="24">
        <f t="shared" si="191"/>
        <v>5</v>
      </c>
      <c r="BB493" s="83">
        <v>43953</v>
      </c>
    </row>
    <row r="494" spans="1:54" ht="14.25" x14ac:dyDescent="0.15">
      <c r="A494" s="21" t="s">
        <v>42</v>
      </c>
      <c r="B494" s="14"/>
      <c r="C494" s="15"/>
      <c r="D494" s="15">
        <v>-3</v>
      </c>
      <c r="E494" s="15"/>
      <c r="F494" s="15"/>
      <c r="G494" s="24">
        <f t="shared" si="182"/>
        <v>-3</v>
      </c>
      <c r="H494" s="14"/>
      <c r="I494" s="15"/>
      <c r="J494" s="15"/>
      <c r="K494" s="15"/>
      <c r="L494" s="15"/>
      <c r="M494" s="24">
        <f t="shared" si="183"/>
        <v>0</v>
      </c>
      <c r="N494" s="15"/>
      <c r="O494" s="55"/>
      <c r="P494" s="55"/>
      <c r="Q494" s="55"/>
      <c r="R494" s="67"/>
      <c r="S494" s="24">
        <f t="shared" si="184"/>
        <v>0</v>
      </c>
      <c r="T494" s="15"/>
      <c r="U494" s="55">
        <v>-3</v>
      </c>
      <c r="V494" s="55"/>
      <c r="W494" s="55"/>
      <c r="X494" s="67"/>
      <c r="Y494" s="24">
        <f t="shared" si="185"/>
        <v>-3</v>
      </c>
      <c r="Z494" s="24">
        <f t="shared" si="186"/>
        <v>-6</v>
      </c>
      <c r="AA494" s="83">
        <v>43959</v>
      </c>
      <c r="AB494" s="21" t="s">
        <v>30</v>
      </c>
      <c r="AC494" s="14"/>
      <c r="AD494" s="15">
        <v>3</v>
      </c>
      <c r="AE494" s="15"/>
      <c r="AF494" s="15"/>
      <c r="AG494" s="15"/>
      <c r="AH494" s="24">
        <f t="shared" si="187"/>
        <v>3</v>
      </c>
      <c r="AI494" s="14"/>
      <c r="AJ494" s="15"/>
      <c r="AK494" s="15"/>
      <c r="AL494" s="15"/>
      <c r="AM494" s="15"/>
      <c r="AN494" s="24">
        <f t="shared" si="188"/>
        <v>0</v>
      </c>
      <c r="AO494" s="15"/>
      <c r="AP494" s="55"/>
      <c r="AQ494" s="55"/>
      <c r="AR494" s="55"/>
      <c r="AS494" s="67"/>
      <c r="AT494" s="24">
        <f t="shared" si="189"/>
        <v>0</v>
      </c>
      <c r="AU494" s="15"/>
      <c r="AV494" s="55"/>
      <c r="AW494" s="55"/>
      <c r="AX494" s="55"/>
      <c r="AY494" s="67"/>
      <c r="AZ494" s="24">
        <f t="shared" si="190"/>
        <v>0</v>
      </c>
      <c r="BA494" s="24">
        <f t="shared" si="191"/>
        <v>3</v>
      </c>
      <c r="BB494" s="93">
        <v>43952</v>
      </c>
    </row>
    <row r="495" spans="1:54" ht="14.25" x14ac:dyDescent="0.15">
      <c r="A495" s="23" t="s">
        <v>356</v>
      </c>
      <c r="B495" s="14"/>
      <c r="C495" s="15"/>
      <c r="D495" s="15">
        <v>-1</v>
      </c>
      <c r="E495" s="15"/>
      <c r="F495" s="15"/>
      <c r="G495" s="24">
        <f t="shared" si="182"/>
        <v>-1</v>
      </c>
      <c r="H495" s="14"/>
      <c r="I495" s="15"/>
      <c r="J495" s="15"/>
      <c r="K495" s="15"/>
      <c r="L495" s="15"/>
      <c r="M495" s="24">
        <f t="shared" si="183"/>
        <v>0</v>
      </c>
      <c r="N495" s="15"/>
      <c r="O495" s="55"/>
      <c r="P495" s="55"/>
      <c r="Q495" s="55"/>
      <c r="R495" s="67"/>
      <c r="S495" s="24">
        <f t="shared" si="184"/>
        <v>0</v>
      </c>
      <c r="T495" s="15"/>
      <c r="U495" s="55"/>
      <c r="V495" s="55"/>
      <c r="W495" s="55"/>
      <c r="X495" s="67"/>
      <c r="Y495" s="24">
        <f t="shared" si="185"/>
        <v>0</v>
      </c>
      <c r="Z495" s="24">
        <f t="shared" si="186"/>
        <v>-1</v>
      </c>
      <c r="AA495" s="93">
        <v>43962</v>
      </c>
      <c r="AB495" s="21" t="s">
        <v>29</v>
      </c>
      <c r="AC495" s="14">
        <v>5</v>
      </c>
      <c r="AD495" s="15"/>
      <c r="AE495" s="15"/>
      <c r="AF495" s="15"/>
      <c r="AG495" s="15"/>
      <c r="AH495" s="24">
        <f t="shared" si="187"/>
        <v>5</v>
      </c>
      <c r="AI495" s="14"/>
      <c r="AJ495" s="15"/>
      <c r="AK495" s="15">
        <v>5</v>
      </c>
      <c r="AL495" s="15"/>
      <c r="AM495" s="15"/>
      <c r="AN495" s="24">
        <f t="shared" si="188"/>
        <v>5</v>
      </c>
      <c r="AO495" s="15"/>
      <c r="AP495" s="55"/>
      <c r="AQ495" s="55"/>
      <c r="AR495" s="55"/>
      <c r="AS495" s="67"/>
      <c r="AT495" s="24">
        <f t="shared" si="189"/>
        <v>0</v>
      </c>
      <c r="AU495" s="15"/>
      <c r="AV495" s="55"/>
      <c r="AW495" s="55"/>
      <c r="AX495" s="55"/>
      <c r="AY495" s="67"/>
      <c r="AZ495" s="24">
        <f t="shared" si="190"/>
        <v>0</v>
      </c>
      <c r="BA495" s="24">
        <f t="shared" si="191"/>
        <v>10</v>
      </c>
      <c r="BB495" s="83">
        <v>43962</v>
      </c>
    </row>
    <row r="496" spans="1:54" ht="14.25" x14ac:dyDescent="0.15">
      <c r="A496" s="23" t="s">
        <v>357</v>
      </c>
      <c r="B496" s="14">
        <v>-1</v>
      </c>
      <c r="C496" s="15"/>
      <c r="D496" s="15"/>
      <c r="E496" s="15">
        <v>-1</v>
      </c>
      <c r="F496" s="15"/>
      <c r="G496" s="24">
        <f t="shared" si="182"/>
        <v>-2</v>
      </c>
      <c r="H496" s="14"/>
      <c r="I496" s="15"/>
      <c r="J496" s="15">
        <v>-1</v>
      </c>
      <c r="K496" s="15"/>
      <c r="L496" s="15"/>
      <c r="M496" s="24">
        <f t="shared" si="183"/>
        <v>-1</v>
      </c>
      <c r="N496" s="15"/>
      <c r="O496" s="55">
        <v>-1</v>
      </c>
      <c r="P496" s="55"/>
      <c r="Q496" s="55"/>
      <c r="R496" s="67">
        <v>-1</v>
      </c>
      <c r="S496" s="24">
        <f t="shared" si="184"/>
        <v>-2</v>
      </c>
      <c r="T496" s="15"/>
      <c r="U496" s="55"/>
      <c r="V496" s="55"/>
      <c r="W496" s="55"/>
      <c r="X496" s="67"/>
      <c r="Y496" s="24">
        <f t="shared" si="185"/>
        <v>0</v>
      </c>
      <c r="Z496" s="24">
        <f t="shared" si="186"/>
        <v>-5</v>
      </c>
      <c r="AA496" s="93">
        <v>43966</v>
      </c>
      <c r="AB496" s="47" t="s">
        <v>328</v>
      </c>
      <c r="AC496" s="14"/>
      <c r="AD496" s="15"/>
      <c r="AE496" s="15"/>
      <c r="AF496" s="15"/>
      <c r="AG496" s="15"/>
      <c r="AH496" s="24">
        <f t="shared" si="187"/>
        <v>0</v>
      </c>
      <c r="AI496" s="14"/>
      <c r="AJ496" s="15"/>
      <c r="AK496" s="15">
        <v>1</v>
      </c>
      <c r="AL496" s="15"/>
      <c r="AM496" s="15"/>
      <c r="AN496" s="24">
        <f t="shared" si="188"/>
        <v>1</v>
      </c>
      <c r="AO496" s="15"/>
      <c r="AP496" s="55"/>
      <c r="AQ496" s="55"/>
      <c r="AR496" s="55"/>
      <c r="AS496" s="67"/>
      <c r="AT496" s="24">
        <f t="shared" si="189"/>
        <v>0</v>
      </c>
      <c r="AU496" s="15"/>
      <c r="AV496" s="55"/>
      <c r="AW496" s="55"/>
      <c r="AX496" s="55">
        <v>1</v>
      </c>
      <c r="AY496" s="67"/>
      <c r="AZ496" s="24">
        <f t="shared" si="190"/>
        <v>1</v>
      </c>
      <c r="BA496" s="24">
        <f t="shared" si="191"/>
        <v>2</v>
      </c>
      <c r="BB496" s="83">
        <v>43959</v>
      </c>
    </row>
    <row r="497" spans="1:55" ht="14.25" x14ac:dyDescent="0.15">
      <c r="A497" s="23" t="s">
        <v>50</v>
      </c>
      <c r="B497" s="14"/>
      <c r="C497" s="15"/>
      <c r="D497" s="15"/>
      <c r="E497" s="15"/>
      <c r="F497" s="15"/>
      <c r="G497" s="24">
        <f t="shared" si="182"/>
        <v>0</v>
      </c>
      <c r="H497" s="14"/>
      <c r="I497" s="15"/>
      <c r="J497" s="15"/>
      <c r="K497" s="15"/>
      <c r="L497" s="15"/>
      <c r="M497" s="24">
        <f t="shared" si="183"/>
        <v>0</v>
      </c>
      <c r="N497" s="15">
        <v>-1</v>
      </c>
      <c r="O497" s="55"/>
      <c r="P497" s="55"/>
      <c r="Q497" s="55"/>
      <c r="R497" s="67"/>
      <c r="S497" s="24">
        <f t="shared" si="184"/>
        <v>-1</v>
      </c>
      <c r="T497" s="15"/>
      <c r="U497" s="55"/>
      <c r="V497" s="55"/>
      <c r="W497" s="55"/>
      <c r="X497" s="67"/>
      <c r="Y497" s="24">
        <f t="shared" si="185"/>
        <v>0</v>
      </c>
      <c r="Z497" s="24">
        <f t="shared" si="186"/>
        <v>-1</v>
      </c>
      <c r="AA497" s="93">
        <v>43969</v>
      </c>
      <c r="AB497" s="21" t="s">
        <v>30</v>
      </c>
      <c r="AC497" s="14"/>
      <c r="AD497" s="15"/>
      <c r="AE497" s="15">
        <v>3</v>
      </c>
      <c r="AF497" s="15"/>
      <c r="AG497" s="15"/>
      <c r="AH497" s="24">
        <f t="shared" si="187"/>
        <v>3</v>
      </c>
      <c r="AI497" s="14"/>
      <c r="AJ497" s="15"/>
      <c r="AK497" s="15"/>
      <c r="AL497" s="15"/>
      <c r="AM497" s="15"/>
      <c r="AN497" s="24">
        <f t="shared" si="188"/>
        <v>0</v>
      </c>
      <c r="AO497" s="15"/>
      <c r="AP497" s="55"/>
      <c r="AQ497" s="55"/>
      <c r="AR497" s="55"/>
      <c r="AS497" s="67"/>
      <c r="AT497" s="24">
        <f t="shared" si="189"/>
        <v>0</v>
      </c>
      <c r="AU497" s="15"/>
      <c r="AV497" s="55">
        <v>3</v>
      </c>
      <c r="AW497" s="55"/>
      <c r="AX497" s="55"/>
      <c r="AY497" s="67"/>
      <c r="AZ497" s="24">
        <f t="shared" si="190"/>
        <v>3</v>
      </c>
      <c r="BA497" s="24">
        <f t="shared" si="191"/>
        <v>6</v>
      </c>
      <c r="BB497" s="83">
        <v>43959</v>
      </c>
    </row>
    <row r="498" spans="1:55" ht="14.25" x14ac:dyDescent="0.15">
      <c r="A498" s="23" t="s">
        <v>359</v>
      </c>
      <c r="B498" s="14"/>
      <c r="C498" s="15"/>
      <c r="D498" s="15"/>
      <c r="E498" s="15"/>
      <c r="F498" s="15"/>
      <c r="G498" s="24">
        <f t="shared" si="182"/>
        <v>0</v>
      </c>
      <c r="H498" s="14"/>
      <c r="I498" s="15"/>
      <c r="J498" s="15"/>
      <c r="K498" s="15"/>
      <c r="L498" s="15"/>
      <c r="M498" s="24">
        <f t="shared" si="183"/>
        <v>0</v>
      </c>
      <c r="N498" s="15">
        <v>-3</v>
      </c>
      <c r="O498" s="55">
        <v>-4</v>
      </c>
      <c r="P498" s="55">
        <v>-1</v>
      </c>
      <c r="Q498" s="55">
        <v>-1</v>
      </c>
      <c r="R498" s="67"/>
      <c r="S498" s="24">
        <f t="shared" si="184"/>
        <v>-9</v>
      </c>
      <c r="T498" s="15">
        <v>-1</v>
      </c>
      <c r="U498" s="55">
        <v>-1</v>
      </c>
      <c r="V498" s="55">
        <v>-2</v>
      </c>
      <c r="W498" s="55"/>
      <c r="X498" s="67"/>
      <c r="Y498" s="24">
        <f t="shared" si="185"/>
        <v>-4</v>
      </c>
      <c r="Z498" s="24">
        <f t="shared" si="186"/>
        <v>-13</v>
      </c>
      <c r="AA498" s="93">
        <v>43970</v>
      </c>
      <c r="AB498" s="47" t="s">
        <v>328</v>
      </c>
      <c r="AC498" s="14">
        <v>1</v>
      </c>
      <c r="AD498" s="15"/>
      <c r="AE498" s="15">
        <v>2</v>
      </c>
      <c r="AF498" s="15"/>
      <c r="AG498" s="15"/>
      <c r="AH498" s="24">
        <f t="shared" si="187"/>
        <v>3</v>
      </c>
      <c r="AI498" s="14"/>
      <c r="AJ498" s="15"/>
      <c r="AK498" s="15"/>
      <c r="AL498" s="15"/>
      <c r="AM498" s="15"/>
      <c r="AN498" s="24">
        <f t="shared" si="188"/>
        <v>0</v>
      </c>
      <c r="AO498" s="15"/>
      <c r="AP498" s="55"/>
      <c r="AQ498" s="55"/>
      <c r="AR498" s="55"/>
      <c r="AS498" s="67"/>
      <c r="AT498" s="24">
        <f t="shared" si="189"/>
        <v>0</v>
      </c>
      <c r="AU498" s="15"/>
      <c r="AV498" s="55"/>
      <c r="AW498" s="55"/>
      <c r="AX498" s="55"/>
      <c r="AY498" s="67"/>
      <c r="AZ498" s="24">
        <f t="shared" si="190"/>
        <v>0</v>
      </c>
      <c r="BA498" s="24">
        <f t="shared" si="191"/>
        <v>3</v>
      </c>
      <c r="BB498" s="83">
        <v>43960</v>
      </c>
      <c r="BC498" s="149"/>
    </row>
    <row r="499" spans="1:55" ht="14.25" x14ac:dyDescent="0.15">
      <c r="A499" s="23" t="s">
        <v>199</v>
      </c>
      <c r="B499" s="44"/>
      <c r="C499" s="45"/>
      <c r="D499" s="45"/>
      <c r="E499" s="45"/>
      <c r="F499" s="45"/>
      <c r="G499" s="43">
        <f t="shared" si="182"/>
        <v>0</v>
      </c>
      <c r="H499" s="44"/>
      <c r="I499" s="45"/>
      <c r="J499" s="45"/>
      <c r="K499" s="45"/>
      <c r="L499" s="45"/>
      <c r="M499" s="43">
        <f t="shared" si="183"/>
        <v>0</v>
      </c>
      <c r="N499" s="42"/>
      <c r="O499" s="53">
        <v>-1</v>
      </c>
      <c r="P499" s="53">
        <v>-1</v>
      </c>
      <c r="Q499" s="53"/>
      <c r="R499" s="72"/>
      <c r="S499" s="24">
        <f t="shared" si="184"/>
        <v>-2</v>
      </c>
      <c r="T499" s="42"/>
      <c r="U499" s="53"/>
      <c r="V499" s="53">
        <v>-3</v>
      </c>
      <c r="W499" s="53">
        <v>-1</v>
      </c>
      <c r="X499" s="72"/>
      <c r="Y499" s="24">
        <f t="shared" si="185"/>
        <v>-4</v>
      </c>
      <c r="Z499" s="24">
        <f t="shared" si="186"/>
        <v>-6</v>
      </c>
      <c r="AA499" s="93">
        <v>43970</v>
      </c>
      <c r="AB499" s="47" t="s">
        <v>328</v>
      </c>
      <c r="AC499" s="14"/>
      <c r="AD499" s="15"/>
      <c r="AE499" s="15"/>
      <c r="AF499" s="15"/>
      <c r="AG499" s="15"/>
      <c r="AH499" s="24">
        <f t="shared" si="187"/>
        <v>0</v>
      </c>
      <c r="AI499" s="14">
        <v>1</v>
      </c>
      <c r="AJ499" s="15"/>
      <c r="AK499" s="15"/>
      <c r="AL499" s="15"/>
      <c r="AM499" s="15"/>
      <c r="AN499" s="24">
        <f t="shared" si="188"/>
        <v>1</v>
      </c>
      <c r="AO499" s="15">
        <v>1</v>
      </c>
      <c r="AP499" s="55"/>
      <c r="AQ499" s="55"/>
      <c r="AR499" s="55"/>
      <c r="AS499" s="67"/>
      <c r="AT499" s="24">
        <f t="shared" si="189"/>
        <v>1</v>
      </c>
      <c r="AU499" s="15"/>
      <c r="AV499" s="55"/>
      <c r="AW499" s="55"/>
      <c r="AX499" s="55"/>
      <c r="AY499" s="67"/>
      <c r="AZ499" s="24">
        <f t="shared" si="190"/>
        <v>0</v>
      </c>
      <c r="BA499" s="24">
        <f t="shared" si="191"/>
        <v>2</v>
      </c>
      <c r="BB499" s="83">
        <v>43963</v>
      </c>
      <c r="BC499" s="111"/>
    </row>
    <row r="500" spans="1:55" ht="14.25" x14ac:dyDescent="0.15">
      <c r="A500" s="110" t="s">
        <v>160</v>
      </c>
      <c r="B500" s="41">
        <v>3</v>
      </c>
      <c r="C500" s="42">
        <v>3</v>
      </c>
      <c r="D500" s="42">
        <v>1</v>
      </c>
      <c r="E500" s="42"/>
      <c r="F500" s="42"/>
      <c r="G500" s="43">
        <f t="shared" si="182"/>
        <v>7</v>
      </c>
      <c r="H500" s="41"/>
      <c r="I500" s="42"/>
      <c r="J500" s="42">
        <v>2</v>
      </c>
      <c r="K500" s="42"/>
      <c r="L500" s="42">
        <v>1</v>
      </c>
      <c r="M500" s="43">
        <f t="shared" si="183"/>
        <v>3</v>
      </c>
      <c r="N500" s="42">
        <v>1</v>
      </c>
      <c r="O500" s="53">
        <v>4</v>
      </c>
      <c r="P500" s="53">
        <v>1</v>
      </c>
      <c r="Q500" s="53"/>
      <c r="R500" s="72"/>
      <c r="S500" s="24">
        <f t="shared" si="184"/>
        <v>6</v>
      </c>
      <c r="T500" s="42"/>
      <c r="U500" s="53"/>
      <c r="V500" s="53"/>
      <c r="W500" s="53"/>
      <c r="X500" s="72"/>
      <c r="Y500" s="24">
        <f t="shared" si="185"/>
        <v>0</v>
      </c>
      <c r="Z500" s="24">
        <f t="shared" si="186"/>
        <v>16</v>
      </c>
      <c r="AA500" s="93">
        <v>43967</v>
      </c>
      <c r="AB500" s="47" t="s">
        <v>353</v>
      </c>
      <c r="AC500" s="14"/>
      <c r="AD500" s="15"/>
      <c r="AE500" s="15">
        <v>3</v>
      </c>
      <c r="AF500" s="15">
        <v>5</v>
      </c>
      <c r="AG500" s="15"/>
      <c r="AH500" s="24">
        <f t="shared" si="187"/>
        <v>8</v>
      </c>
      <c r="AI500" s="14"/>
      <c r="AJ500" s="15"/>
      <c r="AK500" s="15"/>
      <c r="AL500" s="15"/>
      <c r="AM500" s="15">
        <v>2</v>
      </c>
      <c r="AN500" s="24">
        <f t="shared" si="188"/>
        <v>2</v>
      </c>
      <c r="AO500" s="15"/>
      <c r="AP500" s="55"/>
      <c r="AQ500" s="55"/>
      <c r="AR500" s="55"/>
      <c r="AS500" s="67"/>
      <c r="AT500" s="24">
        <f t="shared" si="189"/>
        <v>0</v>
      </c>
      <c r="AU500" s="15"/>
      <c r="AV500" s="55">
        <v>4</v>
      </c>
      <c r="AW500" s="55"/>
      <c r="AX500" s="55">
        <v>3</v>
      </c>
      <c r="AY500" s="67">
        <v>2</v>
      </c>
      <c r="AZ500" s="24">
        <f t="shared" si="190"/>
        <v>9</v>
      </c>
      <c r="BA500" s="24">
        <f t="shared" si="191"/>
        <v>19</v>
      </c>
      <c r="BB500" s="83">
        <v>43966</v>
      </c>
      <c r="BC500" s="111"/>
    </row>
    <row r="501" spans="1:55" ht="14.25" x14ac:dyDescent="0.15">
      <c r="A501" s="23"/>
      <c r="B501" s="41"/>
      <c r="C501" s="42"/>
      <c r="D501" s="42"/>
      <c r="E501" s="42"/>
      <c r="F501" s="42"/>
      <c r="G501" s="43">
        <f t="shared" si="182"/>
        <v>0</v>
      </c>
      <c r="H501" s="41"/>
      <c r="I501" s="42"/>
      <c r="J501" s="42"/>
      <c r="K501" s="42"/>
      <c r="L501" s="42"/>
      <c r="M501" s="43">
        <f t="shared" si="183"/>
        <v>0</v>
      </c>
      <c r="N501" s="42"/>
      <c r="O501" s="53"/>
      <c r="P501" s="53"/>
      <c r="Q501" s="53"/>
      <c r="R501" s="72"/>
      <c r="S501" s="24">
        <f t="shared" si="184"/>
        <v>0</v>
      </c>
      <c r="T501" s="42"/>
      <c r="U501" s="53"/>
      <c r="V501" s="53"/>
      <c r="W501" s="53"/>
      <c r="X501" s="72"/>
      <c r="Y501" s="24">
        <f t="shared" si="185"/>
        <v>0</v>
      </c>
      <c r="Z501" s="24">
        <f t="shared" si="186"/>
        <v>0</v>
      </c>
      <c r="AB501" s="47" t="s">
        <v>355</v>
      </c>
      <c r="AC501" s="14"/>
      <c r="AD501" s="15"/>
      <c r="AE501" s="15">
        <v>6</v>
      </c>
      <c r="AF501" s="15">
        <v>2</v>
      </c>
      <c r="AG501" s="15">
        <v>1</v>
      </c>
      <c r="AH501" s="24">
        <f t="shared" si="187"/>
        <v>9</v>
      </c>
      <c r="AI501" s="14"/>
      <c r="AJ501" s="15"/>
      <c r="AK501" s="15"/>
      <c r="AL501" s="15">
        <v>1</v>
      </c>
      <c r="AM501" s="15">
        <v>2</v>
      </c>
      <c r="AN501" s="24">
        <f t="shared" si="188"/>
        <v>3</v>
      </c>
      <c r="AO501" s="15"/>
      <c r="AP501" s="55">
        <v>5</v>
      </c>
      <c r="AQ501" s="55">
        <v>2</v>
      </c>
      <c r="AR501" s="55">
        <v>1</v>
      </c>
      <c r="AS501" s="67">
        <v>2</v>
      </c>
      <c r="AT501" s="24">
        <f t="shared" si="189"/>
        <v>10</v>
      </c>
      <c r="AU501" s="15">
        <v>1</v>
      </c>
      <c r="AV501" s="55">
        <v>1</v>
      </c>
      <c r="AW501" s="55">
        <v>2</v>
      </c>
      <c r="AX501" s="55">
        <v>1</v>
      </c>
      <c r="AY501" s="67"/>
      <c r="AZ501" s="24">
        <f t="shared" si="190"/>
        <v>5</v>
      </c>
      <c r="BA501" s="24">
        <f t="shared" si="191"/>
        <v>27</v>
      </c>
      <c r="BB501" s="83">
        <v>43969</v>
      </c>
      <c r="BC501" s="111"/>
    </row>
    <row r="502" spans="1:55" ht="14.25" x14ac:dyDescent="0.15">
      <c r="A502" s="23"/>
      <c r="B502" s="41"/>
      <c r="C502" s="42"/>
      <c r="D502" s="42"/>
      <c r="E502" s="42"/>
      <c r="F502" s="42"/>
      <c r="G502" s="43">
        <f t="shared" si="182"/>
        <v>0</v>
      </c>
      <c r="H502" s="41"/>
      <c r="I502" s="42"/>
      <c r="J502" s="42"/>
      <c r="K502" s="42"/>
      <c r="L502" s="42"/>
      <c r="M502" s="43">
        <f t="shared" si="183"/>
        <v>0</v>
      </c>
      <c r="N502" s="42"/>
      <c r="O502" s="53"/>
      <c r="P502" s="53"/>
      <c r="Q502" s="53"/>
      <c r="R502" s="72"/>
      <c r="S502" s="24">
        <f>SUM(N502:R502)</f>
        <v>0</v>
      </c>
      <c r="T502" s="42"/>
      <c r="U502" s="53"/>
      <c r="V502" s="53"/>
      <c r="W502" s="53"/>
      <c r="X502" s="72"/>
      <c r="Y502" s="24">
        <f>SUM(T502:X502)</f>
        <v>0</v>
      </c>
      <c r="Z502" s="24">
        <f>G502+M502+S502+Y502</f>
        <v>0</v>
      </c>
      <c r="AB502" s="47" t="s">
        <v>328</v>
      </c>
      <c r="AC502" s="14"/>
      <c r="AD502" s="15">
        <v>1</v>
      </c>
      <c r="AE502" s="15"/>
      <c r="AF502" s="15"/>
      <c r="AG502" s="15"/>
      <c r="AH502" s="24">
        <f>SUM(AC502:AG502)</f>
        <v>1</v>
      </c>
      <c r="AI502" s="14"/>
      <c r="AJ502" s="15"/>
      <c r="AK502" s="15"/>
      <c r="AL502" s="15"/>
      <c r="AM502" s="15"/>
      <c r="AN502" s="24">
        <f>SUM(AI502:AM502)</f>
        <v>0</v>
      </c>
      <c r="AO502" s="15"/>
      <c r="AP502" s="55"/>
      <c r="AQ502" s="55"/>
      <c r="AR502" s="55"/>
      <c r="AS502" s="67"/>
      <c r="AT502" s="24">
        <f>SUM(AO502:AS502)</f>
        <v>0</v>
      </c>
      <c r="AU502" s="15"/>
      <c r="AV502" s="55"/>
      <c r="AW502" s="55"/>
      <c r="AX502" s="55"/>
      <c r="AY502" s="67"/>
      <c r="AZ502" s="24">
        <f>SUM(AU502:AY502)</f>
        <v>0</v>
      </c>
      <c r="BA502" s="24">
        <f>AH502+AN502+AT502+AZ502</f>
        <v>1</v>
      </c>
      <c r="BB502" s="83">
        <v>43967</v>
      </c>
      <c r="BC502" s="111"/>
    </row>
    <row r="503" spans="1:55" ht="14.25" thickBot="1" x14ac:dyDescent="0.2">
      <c r="A503" s="47"/>
      <c r="B503" s="44"/>
      <c r="C503" s="45"/>
      <c r="D503" s="45"/>
      <c r="E503" s="45"/>
      <c r="F503" s="45"/>
      <c r="G503" s="43">
        <f t="shared" si="182"/>
        <v>0</v>
      </c>
      <c r="H503" s="44"/>
      <c r="I503" s="45"/>
      <c r="J503" s="45"/>
      <c r="K503" s="45"/>
      <c r="L503" s="45"/>
      <c r="M503" s="112">
        <f t="shared" si="183"/>
        <v>0</v>
      </c>
      <c r="N503" s="45"/>
      <c r="O503" s="78"/>
      <c r="P503" s="78"/>
      <c r="Q503" s="78"/>
      <c r="R503" s="79"/>
      <c r="S503" s="113">
        <f>SUM(N503:R503)</f>
        <v>0</v>
      </c>
      <c r="T503" s="45"/>
      <c r="U503" s="78"/>
      <c r="V503" s="78"/>
      <c r="W503" s="78"/>
      <c r="X503" s="79"/>
      <c r="Y503" s="113">
        <f>SUM(T503:X503)</f>
        <v>0</v>
      </c>
      <c r="Z503" s="82">
        <f>G503+M503+S503+Y503</f>
        <v>0</v>
      </c>
      <c r="AB503" s="47" t="s">
        <v>358</v>
      </c>
      <c r="AC503" s="14"/>
      <c r="AD503" s="15">
        <v>2</v>
      </c>
      <c r="AE503" s="15"/>
      <c r="AF503" s="15"/>
      <c r="AG503" s="15"/>
      <c r="AH503" s="24">
        <f t="shared" si="187"/>
        <v>2</v>
      </c>
      <c r="AI503" s="14"/>
      <c r="AJ503" s="15">
        <v>4</v>
      </c>
      <c r="AK503" s="15"/>
      <c r="AL503" s="15">
        <v>3</v>
      </c>
      <c r="AM503" s="15"/>
      <c r="AN503" s="24">
        <f t="shared" si="188"/>
        <v>7</v>
      </c>
      <c r="AO503" s="15"/>
      <c r="AP503" s="55"/>
      <c r="AQ503" s="55"/>
      <c r="AR503" s="55"/>
      <c r="AS503" s="67"/>
      <c r="AT503" s="24">
        <f t="shared" si="189"/>
        <v>0</v>
      </c>
      <c r="AU503" s="15"/>
      <c r="AV503" s="55">
        <v>6</v>
      </c>
      <c r="AW503" s="55"/>
      <c r="AX503" s="55"/>
      <c r="AY503" s="67"/>
      <c r="AZ503" s="24">
        <f t="shared" si="190"/>
        <v>6</v>
      </c>
      <c r="BA503" s="24">
        <f t="shared" si="191"/>
        <v>15</v>
      </c>
      <c r="BB503" s="83">
        <v>43980</v>
      </c>
      <c r="BC503" s="111"/>
    </row>
    <row r="504" spans="1:55" ht="15" thickBot="1" x14ac:dyDescent="0.2">
      <c r="A504" s="9" t="s">
        <v>13</v>
      </c>
      <c r="B504" s="25">
        <f>SUM(B478:B503)</f>
        <v>1</v>
      </c>
      <c r="C504" s="26">
        <f>SUM(C478:C503)</f>
        <v>2</v>
      </c>
      <c r="D504" s="26">
        <f>SUM(D478:D503)</f>
        <v>2</v>
      </c>
      <c r="E504" s="26">
        <f>SUM(E478:E503)</f>
        <v>-1</v>
      </c>
      <c r="F504" s="27">
        <f>SUM(F478:F503)</f>
        <v>0</v>
      </c>
      <c r="G504" s="19">
        <f>SUM(B504:F504)</f>
        <v>4</v>
      </c>
      <c r="H504" s="25">
        <f>SUM(H478:H503)</f>
        <v>0</v>
      </c>
      <c r="I504" s="26">
        <f>SUM(I478:I503)</f>
        <v>3</v>
      </c>
      <c r="J504" s="26">
        <f>SUM(J478:J503)</f>
        <v>2</v>
      </c>
      <c r="K504" s="26">
        <f>SUM(K478:K503)</f>
        <v>0</v>
      </c>
      <c r="L504" s="27">
        <f>SUM(L478:L503)</f>
        <v>2</v>
      </c>
      <c r="M504" s="25">
        <f>SUM(H504:L504)</f>
        <v>7</v>
      </c>
      <c r="N504" s="65">
        <f>SUM(N478:N503)</f>
        <v>-3</v>
      </c>
      <c r="O504" s="18">
        <f>SUM(O478:O503)</f>
        <v>-2</v>
      </c>
      <c r="P504" s="18">
        <f>SUM(P478:P503)</f>
        <v>-1</v>
      </c>
      <c r="Q504" s="18">
        <f>SUM(Q478:Q503)</f>
        <v>0</v>
      </c>
      <c r="R504" s="70">
        <f>SUM(R478:R503)</f>
        <v>-1</v>
      </c>
      <c r="S504" s="49">
        <f>SUM(N504:R504)</f>
        <v>-7</v>
      </c>
      <c r="T504" s="74">
        <f>SUM(T478:T503)</f>
        <v>-1</v>
      </c>
      <c r="U504" s="18">
        <f>SUM(U478:U503)</f>
        <v>-3</v>
      </c>
      <c r="V504" s="18">
        <f>SUM(V478:V503)</f>
        <v>-5</v>
      </c>
      <c r="W504" s="18">
        <f>SUM(W478:W503)</f>
        <v>-1</v>
      </c>
      <c r="X504" s="70">
        <f>SUM(X478:X503)</f>
        <v>2</v>
      </c>
      <c r="Y504" s="49">
        <f>SUM(T504:X504)</f>
        <v>-8</v>
      </c>
      <c r="Z504" s="77">
        <f>G504+M504+S504+Y504</f>
        <v>-4</v>
      </c>
      <c r="AB504" s="9" t="s">
        <v>13</v>
      </c>
      <c r="AC504" s="25">
        <f>SUM(AC478:AC503)</f>
        <v>13</v>
      </c>
      <c r="AD504" s="26">
        <f>SUM(AD478:AD503)</f>
        <v>13</v>
      </c>
      <c r="AE504" s="26">
        <f>SUM(AE478:AE503)</f>
        <v>38</v>
      </c>
      <c r="AF504" s="26">
        <f>SUM(AF478:AF503)</f>
        <v>38</v>
      </c>
      <c r="AG504" s="27">
        <f>SUM(AG478:AG503)</f>
        <v>29</v>
      </c>
      <c r="AH504" s="19">
        <f t="shared" si="187"/>
        <v>131</v>
      </c>
      <c r="AI504" s="25">
        <f>SUM(AI478:AI503)</f>
        <v>0</v>
      </c>
      <c r="AJ504" s="26">
        <f>SUM(AJ478:AJ503)</f>
        <v>2</v>
      </c>
      <c r="AK504" s="26">
        <f>SUM(AK478:AK503)</f>
        <v>7</v>
      </c>
      <c r="AL504" s="26">
        <f>SUM(AL478:AL503)</f>
        <v>5</v>
      </c>
      <c r="AM504" s="27">
        <f>SUM(AM478:AM503)</f>
        <v>3</v>
      </c>
      <c r="AN504" s="25">
        <f t="shared" si="188"/>
        <v>17</v>
      </c>
      <c r="AO504" s="65">
        <f>SUM(AO478:AO503)</f>
        <v>7</v>
      </c>
      <c r="AP504" s="18">
        <f>SUM(AP478:AP503)</f>
        <v>17</v>
      </c>
      <c r="AQ504" s="18">
        <f>SUM(AQ478:AQ503)</f>
        <v>15</v>
      </c>
      <c r="AR504" s="18">
        <f>SUM(AR478:AR503)</f>
        <v>8</v>
      </c>
      <c r="AS504" s="70">
        <f>SUM(AS478:AS503)</f>
        <v>18</v>
      </c>
      <c r="AT504" s="49">
        <f t="shared" si="189"/>
        <v>65</v>
      </c>
      <c r="AU504" s="74">
        <f>SUM(AU478:AU503)</f>
        <v>1</v>
      </c>
      <c r="AV504" s="18">
        <f>SUM(AV478:AV503)</f>
        <v>20</v>
      </c>
      <c r="AW504" s="18">
        <f>SUM(AW478:AW503)</f>
        <v>6</v>
      </c>
      <c r="AX504" s="18">
        <f>SUM(AX478:AX503)</f>
        <v>13</v>
      </c>
      <c r="AY504" s="70">
        <f>SUM(AY478:AY503)</f>
        <v>8</v>
      </c>
      <c r="AZ504" s="49">
        <f t="shared" si="190"/>
        <v>48</v>
      </c>
      <c r="BA504" s="77">
        <f t="shared" si="191"/>
        <v>261</v>
      </c>
    </row>
    <row r="505" spans="1:55" ht="15" thickBot="1" x14ac:dyDescent="0.2">
      <c r="A505" s="32" t="s">
        <v>14</v>
      </c>
      <c r="B505" s="29">
        <f t="shared" ref="B505:Y505" si="192">B477-B504</f>
        <v>3</v>
      </c>
      <c r="C505" s="30">
        <f t="shared" si="192"/>
        <v>4</v>
      </c>
      <c r="D505" s="30">
        <f t="shared" si="192"/>
        <v>3</v>
      </c>
      <c r="E505" s="30">
        <f t="shared" si="192"/>
        <v>3</v>
      </c>
      <c r="F505" s="31">
        <f t="shared" si="192"/>
        <v>2</v>
      </c>
      <c r="G505" s="31">
        <f t="shared" si="192"/>
        <v>15</v>
      </c>
      <c r="H505" s="29">
        <f t="shared" si="192"/>
        <v>3</v>
      </c>
      <c r="I505" s="30">
        <f t="shared" si="192"/>
        <v>2</v>
      </c>
      <c r="J505" s="30">
        <f t="shared" si="192"/>
        <v>3</v>
      </c>
      <c r="K505" s="30">
        <f t="shared" si="192"/>
        <v>3</v>
      </c>
      <c r="L505" s="31">
        <f t="shared" si="192"/>
        <v>3</v>
      </c>
      <c r="M505" s="66">
        <f t="shared" si="192"/>
        <v>14</v>
      </c>
      <c r="N505" s="29">
        <f t="shared" si="192"/>
        <v>7</v>
      </c>
      <c r="O505" s="30">
        <f t="shared" si="192"/>
        <v>8</v>
      </c>
      <c r="P505" s="30">
        <f t="shared" si="192"/>
        <v>5</v>
      </c>
      <c r="Q505" s="30">
        <f t="shared" si="192"/>
        <v>3</v>
      </c>
      <c r="R505" s="66">
        <f t="shared" si="192"/>
        <v>3</v>
      </c>
      <c r="S505" s="33">
        <f t="shared" si="192"/>
        <v>26</v>
      </c>
      <c r="T505" s="75">
        <f t="shared" si="192"/>
        <v>4</v>
      </c>
      <c r="U505" s="30">
        <f t="shared" si="192"/>
        <v>5</v>
      </c>
      <c r="V505" s="30">
        <f t="shared" si="192"/>
        <v>7</v>
      </c>
      <c r="W505" s="30">
        <f t="shared" si="192"/>
        <v>4</v>
      </c>
      <c r="X505" s="66">
        <f t="shared" si="192"/>
        <v>2</v>
      </c>
      <c r="Y505" s="33">
        <f t="shared" si="192"/>
        <v>22</v>
      </c>
      <c r="Z505" s="77">
        <f>G505+M505+S505+Y505</f>
        <v>77</v>
      </c>
      <c r="AB505" s="32" t="s">
        <v>14</v>
      </c>
      <c r="AC505" s="29">
        <f t="shared" ref="AC505:AZ505" si="193">AC477-AC504</f>
        <v>118</v>
      </c>
      <c r="AD505" s="30">
        <f t="shared" si="193"/>
        <v>89</v>
      </c>
      <c r="AE505" s="30">
        <f t="shared" si="193"/>
        <v>93</v>
      </c>
      <c r="AF505" s="30">
        <f t="shared" si="193"/>
        <v>105</v>
      </c>
      <c r="AG505" s="31">
        <f t="shared" si="193"/>
        <v>113</v>
      </c>
      <c r="AH505" s="31">
        <f t="shared" si="193"/>
        <v>518</v>
      </c>
      <c r="AI505" s="29">
        <f t="shared" si="193"/>
        <v>83</v>
      </c>
      <c r="AJ505" s="30">
        <f t="shared" si="193"/>
        <v>67</v>
      </c>
      <c r="AK505" s="30">
        <f t="shared" si="193"/>
        <v>89</v>
      </c>
      <c r="AL505" s="30">
        <f t="shared" si="193"/>
        <v>93</v>
      </c>
      <c r="AM505" s="31">
        <f t="shared" si="193"/>
        <v>87</v>
      </c>
      <c r="AN505" s="66">
        <f t="shared" si="193"/>
        <v>419</v>
      </c>
      <c r="AO505" s="29">
        <f t="shared" si="193"/>
        <v>104</v>
      </c>
      <c r="AP505" s="30">
        <f t="shared" si="193"/>
        <v>83</v>
      </c>
      <c r="AQ505" s="30">
        <f t="shared" si="193"/>
        <v>99</v>
      </c>
      <c r="AR505" s="30">
        <f t="shared" si="193"/>
        <v>132</v>
      </c>
      <c r="AS505" s="66">
        <f t="shared" si="193"/>
        <v>143</v>
      </c>
      <c r="AT505" s="33">
        <f t="shared" si="193"/>
        <v>561</v>
      </c>
      <c r="AU505" s="75">
        <f t="shared" si="193"/>
        <v>125</v>
      </c>
      <c r="AV505" s="30">
        <f t="shared" si="193"/>
        <v>98</v>
      </c>
      <c r="AW505" s="30">
        <f t="shared" si="193"/>
        <v>107</v>
      </c>
      <c r="AX505" s="30">
        <f t="shared" si="193"/>
        <v>105</v>
      </c>
      <c r="AY505" s="66">
        <f t="shared" si="193"/>
        <v>152</v>
      </c>
      <c r="AZ505" s="33">
        <f t="shared" si="193"/>
        <v>587</v>
      </c>
      <c r="BA505" s="77">
        <f t="shared" si="191"/>
        <v>2085</v>
      </c>
    </row>
    <row r="508" spans="1:55" ht="19.5" thickBot="1" x14ac:dyDescent="0.25">
      <c r="A508" s="1" t="s">
        <v>15</v>
      </c>
      <c r="AB508" s="1" t="s">
        <v>16</v>
      </c>
    </row>
    <row r="509" spans="1:55" ht="15" thickBot="1" x14ac:dyDescent="0.2">
      <c r="A509" s="4"/>
      <c r="B509" s="245" t="s">
        <v>17</v>
      </c>
      <c r="C509" s="246"/>
      <c r="D509" s="246"/>
      <c r="E509" s="246"/>
      <c r="F509" s="246"/>
      <c r="G509" s="247"/>
      <c r="H509" s="245" t="s">
        <v>18</v>
      </c>
      <c r="I509" s="246"/>
      <c r="J509" s="246"/>
      <c r="K509" s="246"/>
      <c r="L509" s="246"/>
      <c r="M509" s="247"/>
      <c r="N509" s="248" t="s">
        <v>27</v>
      </c>
      <c r="O509" s="249"/>
      <c r="P509" s="249"/>
      <c r="Q509" s="249"/>
      <c r="R509" s="249"/>
      <c r="S509" s="250"/>
      <c r="T509" s="248" t="s">
        <v>28</v>
      </c>
      <c r="U509" s="249"/>
      <c r="V509" s="249"/>
      <c r="W509" s="249"/>
      <c r="X509" s="249"/>
      <c r="Y509" s="250"/>
      <c r="Z509" s="251" t="s">
        <v>1</v>
      </c>
      <c r="AB509" s="4"/>
      <c r="AC509" s="253" t="s">
        <v>17</v>
      </c>
      <c r="AD509" s="249"/>
      <c r="AE509" s="249"/>
      <c r="AF509" s="249"/>
      <c r="AG509" s="249"/>
      <c r="AH509" s="250"/>
      <c r="AI509" s="248" t="s">
        <v>18</v>
      </c>
      <c r="AJ509" s="249"/>
      <c r="AK509" s="249"/>
      <c r="AL509" s="249"/>
      <c r="AM509" s="249"/>
      <c r="AN509" s="250"/>
      <c r="AO509" s="248" t="s">
        <v>27</v>
      </c>
      <c r="AP509" s="249"/>
      <c r="AQ509" s="249"/>
      <c r="AR509" s="249"/>
      <c r="AS509" s="249"/>
      <c r="AT509" s="250"/>
      <c r="AU509" s="248" t="s">
        <v>28</v>
      </c>
      <c r="AV509" s="249"/>
      <c r="AW509" s="249"/>
      <c r="AX509" s="249"/>
      <c r="AY509" s="249"/>
      <c r="AZ509" s="250"/>
      <c r="BA509" s="243" t="s">
        <v>1</v>
      </c>
    </row>
    <row r="510" spans="1:55" ht="15" thickBot="1" x14ac:dyDescent="0.2">
      <c r="A510" s="9" t="s">
        <v>2</v>
      </c>
      <c r="B510" s="6" t="s">
        <v>3</v>
      </c>
      <c r="C510" s="7" t="s">
        <v>4</v>
      </c>
      <c r="D510" s="7" t="s">
        <v>5</v>
      </c>
      <c r="E510" s="48" t="s">
        <v>20</v>
      </c>
      <c r="F510" s="8" t="s">
        <v>21</v>
      </c>
      <c r="G510" s="5" t="s">
        <v>6</v>
      </c>
      <c r="H510" s="6" t="s">
        <v>3</v>
      </c>
      <c r="I510" s="7" t="s">
        <v>4</v>
      </c>
      <c r="J510" s="7" t="s">
        <v>5</v>
      </c>
      <c r="K510" s="48" t="s">
        <v>20</v>
      </c>
      <c r="L510" s="8" t="s">
        <v>21</v>
      </c>
      <c r="M510" s="5" t="s">
        <v>6</v>
      </c>
      <c r="N510" s="6" t="s">
        <v>3</v>
      </c>
      <c r="O510" s="7" t="s">
        <v>4</v>
      </c>
      <c r="P510" s="7" t="s">
        <v>5</v>
      </c>
      <c r="Q510" s="48" t="s">
        <v>20</v>
      </c>
      <c r="R510" s="8" t="s">
        <v>21</v>
      </c>
      <c r="S510" s="5" t="s">
        <v>6</v>
      </c>
      <c r="T510" s="7" t="s">
        <v>3</v>
      </c>
      <c r="U510" s="7" t="s">
        <v>4</v>
      </c>
      <c r="V510" s="7" t="s">
        <v>5</v>
      </c>
      <c r="W510" s="48" t="s">
        <v>20</v>
      </c>
      <c r="X510" s="109" t="s">
        <v>21</v>
      </c>
      <c r="Y510" s="62" t="s">
        <v>6</v>
      </c>
      <c r="Z510" s="252"/>
      <c r="AB510" s="9" t="s">
        <v>2</v>
      </c>
      <c r="AC510" s="6" t="s">
        <v>3</v>
      </c>
      <c r="AD510" s="7" t="s">
        <v>4</v>
      </c>
      <c r="AE510" s="7" t="s">
        <v>5</v>
      </c>
      <c r="AF510" s="48" t="s">
        <v>20</v>
      </c>
      <c r="AG510" s="8" t="s">
        <v>21</v>
      </c>
      <c r="AH510" s="5" t="s">
        <v>6</v>
      </c>
      <c r="AI510" s="6" t="s">
        <v>3</v>
      </c>
      <c r="AJ510" s="7" t="s">
        <v>4</v>
      </c>
      <c r="AK510" s="7" t="s">
        <v>5</v>
      </c>
      <c r="AL510" s="48" t="s">
        <v>20</v>
      </c>
      <c r="AM510" s="8" t="s">
        <v>21</v>
      </c>
      <c r="AN510" s="5" t="s">
        <v>6</v>
      </c>
      <c r="AO510" s="6" t="s">
        <v>3</v>
      </c>
      <c r="AP510" s="7" t="s">
        <v>4</v>
      </c>
      <c r="AQ510" s="7" t="s">
        <v>5</v>
      </c>
      <c r="AR510" s="48" t="s">
        <v>20</v>
      </c>
      <c r="AS510" s="8" t="s">
        <v>21</v>
      </c>
      <c r="AT510" s="5" t="s">
        <v>6</v>
      </c>
      <c r="AU510" s="7" t="s">
        <v>3</v>
      </c>
      <c r="AV510" s="7" t="s">
        <v>4</v>
      </c>
      <c r="AW510" s="7" t="s">
        <v>5</v>
      </c>
      <c r="AX510" s="48" t="s">
        <v>20</v>
      </c>
      <c r="AY510" s="109" t="s">
        <v>21</v>
      </c>
      <c r="AZ510" s="62" t="s">
        <v>6</v>
      </c>
      <c r="BA510" s="244"/>
    </row>
    <row r="511" spans="1:55" ht="14.25" x14ac:dyDescent="0.15">
      <c r="A511" s="103" t="s">
        <v>43</v>
      </c>
      <c r="B511" s="104">
        <f>B505</f>
        <v>3</v>
      </c>
      <c r="C511" s="105">
        <f>C505</f>
        <v>4</v>
      </c>
      <c r="D511" s="105">
        <f>D505</f>
        <v>3</v>
      </c>
      <c r="E511" s="105">
        <f>E505</f>
        <v>3</v>
      </c>
      <c r="F511" s="105">
        <f>F505</f>
        <v>2</v>
      </c>
      <c r="G511" s="106">
        <f t="shared" ref="G511:G542" si="194">SUM(B511:F511)</f>
        <v>15</v>
      </c>
      <c r="H511" s="104">
        <f>H505</f>
        <v>3</v>
      </c>
      <c r="I511" s="105">
        <f>I505</f>
        <v>2</v>
      </c>
      <c r="J511" s="105">
        <f>J505</f>
        <v>3</v>
      </c>
      <c r="K511" s="105">
        <f>K505</f>
        <v>3</v>
      </c>
      <c r="L511" s="105">
        <f>L505</f>
        <v>3</v>
      </c>
      <c r="M511" s="107">
        <f t="shared" ref="M511:M542" si="195">SUM(H511:L511)</f>
        <v>14</v>
      </c>
      <c r="N511" s="104">
        <f>N505</f>
        <v>7</v>
      </c>
      <c r="O511" s="105">
        <f>O505</f>
        <v>8</v>
      </c>
      <c r="P511" s="105">
        <f>P505</f>
        <v>5</v>
      </c>
      <c r="Q511" s="105">
        <f>Q505</f>
        <v>3</v>
      </c>
      <c r="R511" s="105">
        <f>R505</f>
        <v>3</v>
      </c>
      <c r="S511" s="108">
        <f t="shared" ref="S511:S540" si="196">SUM(N511:R511)</f>
        <v>26</v>
      </c>
      <c r="T511" s="104">
        <f>T505</f>
        <v>4</v>
      </c>
      <c r="U511" s="105">
        <f>U505</f>
        <v>5</v>
      </c>
      <c r="V511" s="105">
        <f>V505</f>
        <v>7</v>
      </c>
      <c r="W511" s="105">
        <f>W505</f>
        <v>4</v>
      </c>
      <c r="X511" s="105">
        <f>X505</f>
        <v>2</v>
      </c>
      <c r="Y511" s="106">
        <f t="shared" ref="Y511:Y540" si="197">SUM(T511:X511)</f>
        <v>22</v>
      </c>
      <c r="Z511" s="106">
        <f t="shared" ref="Z511:Z540" si="198">G511+M511+S511+Y511</f>
        <v>77</v>
      </c>
      <c r="AB511" s="103" t="s">
        <v>43</v>
      </c>
      <c r="AC511" s="104">
        <f>AC505</f>
        <v>118</v>
      </c>
      <c r="AD511" s="105">
        <f>AD505</f>
        <v>89</v>
      </c>
      <c r="AE511" s="105">
        <f>AE505</f>
        <v>93</v>
      </c>
      <c r="AF511" s="105">
        <f>AF505</f>
        <v>105</v>
      </c>
      <c r="AG511" s="105">
        <f>AG505</f>
        <v>113</v>
      </c>
      <c r="AH511" s="106">
        <f t="shared" ref="AH511:AH520" si="199">SUM(AC511:AG511)</f>
        <v>518</v>
      </c>
      <c r="AI511" s="104">
        <f>AI505</f>
        <v>83</v>
      </c>
      <c r="AJ511" s="105">
        <f>AJ505</f>
        <v>67</v>
      </c>
      <c r="AK511" s="105">
        <f>AK505</f>
        <v>89</v>
      </c>
      <c r="AL511" s="105">
        <f>AL505</f>
        <v>93</v>
      </c>
      <c r="AM511" s="105">
        <f>AM505</f>
        <v>87</v>
      </c>
      <c r="AN511" s="107">
        <f t="shared" ref="AN511:AN520" si="200">SUM(AI511:AM511)</f>
        <v>419</v>
      </c>
      <c r="AO511" s="104">
        <f>AO505</f>
        <v>104</v>
      </c>
      <c r="AP511" s="105">
        <f>AP505</f>
        <v>83</v>
      </c>
      <c r="AQ511" s="105">
        <f>AQ505</f>
        <v>99</v>
      </c>
      <c r="AR511" s="105">
        <f>AR505</f>
        <v>132</v>
      </c>
      <c r="AS511" s="105">
        <f>AS505</f>
        <v>143</v>
      </c>
      <c r="AT511" s="108">
        <f t="shared" ref="AT511:AT520" si="201">SUM(AO511:AS511)</f>
        <v>561</v>
      </c>
      <c r="AU511" s="104">
        <f>AU505</f>
        <v>125</v>
      </c>
      <c r="AV511" s="105">
        <f>AV505</f>
        <v>98</v>
      </c>
      <c r="AW511" s="105">
        <f>AW505</f>
        <v>107</v>
      </c>
      <c r="AX511" s="105">
        <f>AX505</f>
        <v>105</v>
      </c>
      <c r="AY511" s="105">
        <f>AY505</f>
        <v>152</v>
      </c>
      <c r="AZ511" s="106">
        <f t="shared" ref="AZ511:AZ520" si="202">SUM(AU511:AY511)</f>
        <v>587</v>
      </c>
      <c r="BA511" s="106">
        <f t="shared" ref="BA511:BA520" si="203">AH511+AN511+AT511+AZ511</f>
        <v>2085</v>
      </c>
    </row>
    <row r="512" spans="1:55" ht="14.25" x14ac:dyDescent="0.15">
      <c r="A512" s="10" t="s">
        <v>77</v>
      </c>
      <c r="B512" s="14"/>
      <c r="C512" s="15">
        <v>1</v>
      </c>
      <c r="D512" s="15"/>
      <c r="E512" s="15"/>
      <c r="F512" s="15"/>
      <c r="G512" s="16">
        <f t="shared" si="194"/>
        <v>1</v>
      </c>
      <c r="H512" s="14"/>
      <c r="I512" s="15"/>
      <c r="J512" s="15"/>
      <c r="K512" s="15">
        <v>1</v>
      </c>
      <c r="L512" s="15"/>
      <c r="M512" s="57">
        <f t="shared" si="195"/>
        <v>1</v>
      </c>
      <c r="N512" s="14"/>
      <c r="O512" s="55"/>
      <c r="P512" s="55"/>
      <c r="Q512" s="55"/>
      <c r="R512" s="67"/>
      <c r="S512" s="24">
        <f t="shared" si="196"/>
        <v>0</v>
      </c>
      <c r="T512" s="15"/>
      <c r="U512" s="55"/>
      <c r="V512" s="55"/>
      <c r="W512" s="55"/>
      <c r="X512" s="67"/>
      <c r="Y512" s="24">
        <f t="shared" si="197"/>
        <v>0</v>
      </c>
      <c r="Z512" s="24">
        <f t="shared" si="198"/>
        <v>2</v>
      </c>
      <c r="AA512" s="83">
        <v>43993</v>
      </c>
      <c r="AB512" s="162" t="s">
        <v>271</v>
      </c>
      <c r="AC512" s="163">
        <v>40</v>
      </c>
      <c r="AD512" s="164">
        <v>60</v>
      </c>
      <c r="AE512" s="164">
        <v>55</v>
      </c>
      <c r="AF512" s="164">
        <v>45</v>
      </c>
      <c r="AG512" s="164">
        <v>30</v>
      </c>
      <c r="AH512" s="165">
        <f t="shared" si="199"/>
        <v>230</v>
      </c>
      <c r="AI512" s="163">
        <v>25</v>
      </c>
      <c r="AJ512" s="164">
        <v>40</v>
      </c>
      <c r="AK512" s="164">
        <v>30</v>
      </c>
      <c r="AL512" s="164">
        <v>25</v>
      </c>
      <c r="AM512" s="164">
        <v>30</v>
      </c>
      <c r="AN512" s="166">
        <f t="shared" si="200"/>
        <v>150</v>
      </c>
      <c r="AO512" s="163">
        <v>30</v>
      </c>
      <c r="AP512" s="167">
        <v>40</v>
      </c>
      <c r="AQ512" s="167">
        <v>30</v>
      </c>
      <c r="AR512" s="167">
        <v>25</v>
      </c>
      <c r="AS512" s="168">
        <v>25</v>
      </c>
      <c r="AT512" s="169">
        <f t="shared" si="201"/>
        <v>150</v>
      </c>
      <c r="AU512" s="164"/>
      <c r="AV512" s="167"/>
      <c r="AW512" s="167"/>
      <c r="AX512" s="167"/>
      <c r="AY512" s="168"/>
      <c r="AZ512" s="169">
        <f t="shared" si="202"/>
        <v>0</v>
      </c>
      <c r="BA512" s="169">
        <f t="shared" si="203"/>
        <v>530</v>
      </c>
      <c r="BB512" s="83" t="s">
        <v>352</v>
      </c>
      <c r="BC512" s="2" t="s">
        <v>354</v>
      </c>
    </row>
    <row r="513" spans="1:55" ht="14.25" x14ac:dyDescent="0.15">
      <c r="A513" s="10" t="s">
        <v>366</v>
      </c>
      <c r="B513" s="41">
        <v>1</v>
      </c>
      <c r="C513" s="42">
        <v>1</v>
      </c>
      <c r="D513" s="42">
        <v>3</v>
      </c>
      <c r="E513" s="42"/>
      <c r="F513" s="42">
        <v>1</v>
      </c>
      <c r="G513" s="37">
        <f t="shared" si="194"/>
        <v>6</v>
      </c>
      <c r="H513" s="41"/>
      <c r="I513" s="42"/>
      <c r="J513" s="42"/>
      <c r="K513" s="42"/>
      <c r="L513" s="42">
        <v>1</v>
      </c>
      <c r="M513" s="114">
        <f t="shared" si="195"/>
        <v>1</v>
      </c>
      <c r="N513" s="41">
        <v>1</v>
      </c>
      <c r="O513" s="53">
        <v>2</v>
      </c>
      <c r="P513" s="53"/>
      <c r="Q513" s="53">
        <v>2</v>
      </c>
      <c r="R513" s="72">
        <v>2</v>
      </c>
      <c r="S513" s="24">
        <f t="shared" si="196"/>
        <v>7</v>
      </c>
      <c r="T513" s="42"/>
      <c r="U513" s="53"/>
      <c r="V513" s="53"/>
      <c r="W513" s="53"/>
      <c r="X513" s="72"/>
      <c r="Y513" s="24">
        <f t="shared" si="197"/>
        <v>0</v>
      </c>
      <c r="Z513" s="24">
        <f t="shared" si="198"/>
        <v>14</v>
      </c>
      <c r="AA513" s="93">
        <v>43999</v>
      </c>
      <c r="AB513" s="162" t="s">
        <v>272</v>
      </c>
      <c r="AC513" s="163">
        <v>39</v>
      </c>
      <c r="AD513" s="164">
        <v>59</v>
      </c>
      <c r="AE513" s="164">
        <v>55</v>
      </c>
      <c r="AF513" s="164">
        <v>44</v>
      </c>
      <c r="AG513" s="164">
        <v>30</v>
      </c>
      <c r="AH513" s="165">
        <f t="shared" si="199"/>
        <v>227</v>
      </c>
      <c r="AI513" s="163">
        <v>25</v>
      </c>
      <c r="AJ513" s="164">
        <v>40</v>
      </c>
      <c r="AK513" s="164">
        <v>29</v>
      </c>
      <c r="AL513" s="164">
        <v>25</v>
      </c>
      <c r="AM513" s="164">
        <v>30</v>
      </c>
      <c r="AN513" s="166">
        <f t="shared" si="200"/>
        <v>149</v>
      </c>
      <c r="AO513" s="163">
        <v>30</v>
      </c>
      <c r="AP513" s="167">
        <v>39</v>
      </c>
      <c r="AQ513" s="167">
        <v>30</v>
      </c>
      <c r="AR513" s="167">
        <v>25</v>
      </c>
      <c r="AS513" s="168">
        <v>24</v>
      </c>
      <c r="AT513" s="169">
        <f t="shared" si="201"/>
        <v>148</v>
      </c>
      <c r="AU513" s="164"/>
      <c r="AV513" s="167"/>
      <c r="AW513" s="167"/>
      <c r="AX513" s="167"/>
      <c r="AY513" s="168"/>
      <c r="AZ513" s="169">
        <f t="shared" si="202"/>
        <v>0</v>
      </c>
      <c r="BA513" s="169">
        <f t="shared" si="203"/>
        <v>524</v>
      </c>
      <c r="BB513" s="83" t="s">
        <v>352</v>
      </c>
      <c r="BC513" s="111" t="s">
        <v>383</v>
      </c>
    </row>
    <row r="514" spans="1:55" ht="14.25" x14ac:dyDescent="0.15">
      <c r="A514" s="10" t="s">
        <v>77</v>
      </c>
      <c r="B514" s="14"/>
      <c r="C514" s="15"/>
      <c r="D514" s="15"/>
      <c r="E514" s="15"/>
      <c r="F514" s="15"/>
      <c r="G514" s="16">
        <f t="shared" si="194"/>
        <v>0</v>
      </c>
      <c r="H514" s="14"/>
      <c r="I514" s="15"/>
      <c r="J514" s="15"/>
      <c r="K514" s="15"/>
      <c r="L514" s="15"/>
      <c r="M514" s="57">
        <f t="shared" si="195"/>
        <v>0</v>
      </c>
      <c r="N514" s="14"/>
      <c r="O514" s="55"/>
      <c r="P514" s="55">
        <v>1</v>
      </c>
      <c r="Q514" s="55"/>
      <c r="R514" s="67"/>
      <c r="S514" s="24">
        <f t="shared" si="196"/>
        <v>1</v>
      </c>
      <c r="T514" s="15"/>
      <c r="U514" s="55"/>
      <c r="V514" s="55"/>
      <c r="W514" s="55"/>
      <c r="X514" s="67"/>
      <c r="Y514" s="24">
        <f t="shared" si="197"/>
        <v>0</v>
      </c>
      <c r="Z514" s="24">
        <f t="shared" si="198"/>
        <v>1</v>
      </c>
      <c r="AA514" s="93">
        <v>44008</v>
      </c>
      <c r="AB514" s="10" t="s">
        <v>126</v>
      </c>
      <c r="AC514" s="14">
        <v>1</v>
      </c>
      <c r="AD514" s="15">
        <v>1</v>
      </c>
      <c r="AE514" s="15">
        <v>2</v>
      </c>
      <c r="AF514" s="15"/>
      <c r="AG514" s="15">
        <v>1</v>
      </c>
      <c r="AH514" s="16">
        <f t="shared" si="199"/>
        <v>5</v>
      </c>
      <c r="AI514" s="14"/>
      <c r="AJ514" s="15"/>
      <c r="AK514" s="15"/>
      <c r="AL514" s="15"/>
      <c r="AM514" s="15">
        <v>1</v>
      </c>
      <c r="AN514" s="57">
        <f t="shared" si="200"/>
        <v>1</v>
      </c>
      <c r="AO514" s="86">
        <v>1</v>
      </c>
      <c r="AP514" s="156">
        <v>2</v>
      </c>
      <c r="AQ514" s="156"/>
      <c r="AR514" s="156">
        <v>2</v>
      </c>
      <c r="AS514" s="157">
        <v>2</v>
      </c>
      <c r="AT514" s="24">
        <f t="shared" si="201"/>
        <v>7</v>
      </c>
      <c r="AU514" s="87"/>
      <c r="AV514" s="156"/>
      <c r="AW514" s="156"/>
      <c r="AX514" s="156"/>
      <c r="AY514" s="157"/>
      <c r="AZ514" s="169">
        <f t="shared" si="202"/>
        <v>0</v>
      </c>
      <c r="BA514" s="24">
        <f t="shared" si="203"/>
        <v>13</v>
      </c>
      <c r="BB514" s="83">
        <v>44002</v>
      </c>
    </row>
    <row r="515" spans="1:55" ht="15" thickBot="1" x14ac:dyDescent="0.2">
      <c r="A515" s="10" t="s">
        <v>181</v>
      </c>
      <c r="B515" s="14"/>
      <c r="C515" s="15"/>
      <c r="D515" s="15"/>
      <c r="E515" s="15">
        <v>-1</v>
      </c>
      <c r="F515" s="15"/>
      <c r="G515" s="16">
        <f t="shared" si="194"/>
        <v>-1</v>
      </c>
      <c r="H515" s="14"/>
      <c r="I515" s="15"/>
      <c r="J515" s="15"/>
      <c r="K515" s="15"/>
      <c r="L515" s="15"/>
      <c r="M515" s="57">
        <f t="shared" si="195"/>
        <v>0</v>
      </c>
      <c r="N515" s="63"/>
      <c r="O515" s="64"/>
      <c r="P515" s="64"/>
      <c r="Q515" s="64">
        <v>-1</v>
      </c>
      <c r="R515" s="69"/>
      <c r="S515" s="82">
        <f t="shared" si="196"/>
        <v>-1</v>
      </c>
      <c r="T515" s="73"/>
      <c r="U515" s="64"/>
      <c r="V515" s="64"/>
      <c r="W515" s="64">
        <v>-1</v>
      </c>
      <c r="X515" s="69">
        <v>1</v>
      </c>
      <c r="Y515" s="82">
        <f t="shared" si="197"/>
        <v>0</v>
      </c>
      <c r="Z515" s="82">
        <f t="shared" si="198"/>
        <v>-2</v>
      </c>
      <c r="AA515" s="93"/>
      <c r="AB515" s="10" t="s">
        <v>126</v>
      </c>
      <c r="AC515" s="14"/>
      <c r="AD515" s="15"/>
      <c r="AE515" s="15"/>
      <c r="AF515" s="15"/>
      <c r="AG515" s="15"/>
      <c r="AH515" s="16">
        <f t="shared" si="199"/>
        <v>0</v>
      </c>
      <c r="AI515" s="14"/>
      <c r="AJ515" s="15"/>
      <c r="AK515" s="15"/>
      <c r="AL515" s="15"/>
      <c r="AM515" s="15"/>
      <c r="AN515" s="57">
        <f t="shared" si="200"/>
        <v>0</v>
      </c>
      <c r="AO515" s="63">
        <v>3</v>
      </c>
      <c r="AP515" s="64">
        <v>5</v>
      </c>
      <c r="AQ515" s="64">
        <v>2</v>
      </c>
      <c r="AR515" s="64"/>
      <c r="AS515" s="69"/>
      <c r="AT515" s="178">
        <f t="shared" si="201"/>
        <v>10</v>
      </c>
      <c r="AU515" s="73">
        <v>1</v>
      </c>
      <c r="AV515" s="64">
        <v>2</v>
      </c>
      <c r="AW515" s="64">
        <v>5</v>
      </c>
      <c r="AX515" s="64">
        <v>1</v>
      </c>
      <c r="AY515" s="69"/>
      <c r="AZ515" s="82">
        <f t="shared" si="202"/>
        <v>9</v>
      </c>
      <c r="BA515" s="178">
        <f t="shared" si="203"/>
        <v>19</v>
      </c>
      <c r="BB515" s="83">
        <v>44016</v>
      </c>
    </row>
    <row r="516" spans="1:55" ht="15" thickBot="1" x14ac:dyDescent="0.2">
      <c r="A516" s="4" t="s">
        <v>12</v>
      </c>
      <c r="B516" s="17">
        <f>SUM(B511:B515)</f>
        <v>4</v>
      </c>
      <c r="C516" s="18">
        <f>SUM(C511:C515)</f>
        <v>6</v>
      </c>
      <c r="D516" s="18">
        <f>SUM(D511:D515)</f>
        <v>6</v>
      </c>
      <c r="E516" s="18">
        <f>SUM(E511:E515)</f>
        <v>2</v>
      </c>
      <c r="F516" s="18">
        <f>SUM(F511:F515)</f>
        <v>3</v>
      </c>
      <c r="G516" s="19">
        <f t="shared" si="194"/>
        <v>21</v>
      </c>
      <c r="H516" s="17">
        <f>SUM(H511:H515)</f>
        <v>3</v>
      </c>
      <c r="I516" s="18">
        <f>SUM(I511:I515)</f>
        <v>2</v>
      </c>
      <c r="J516" s="18">
        <f>SUM(J511:J515)</f>
        <v>3</v>
      </c>
      <c r="K516" s="18">
        <f>SUM(K511:K515)</f>
        <v>4</v>
      </c>
      <c r="L516" s="18">
        <f>SUM(L511:L515)</f>
        <v>4</v>
      </c>
      <c r="M516" s="25">
        <f t="shared" si="195"/>
        <v>16</v>
      </c>
      <c r="N516" s="65">
        <f>SUM(N511:N515)</f>
        <v>8</v>
      </c>
      <c r="O516" s="18">
        <f>SUM(O511:O515)</f>
        <v>10</v>
      </c>
      <c r="P516" s="18">
        <f>SUM(P511:P515)</f>
        <v>6</v>
      </c>
      <c r="Q516" s="18">
        <f>SUM(Q511:Q515)</f>
        <v>4</v>
      </c>
      <c r="R516" s="70">
        <f>SUM(R511:R515)</f>
        <v>5</v>
      </c>
      <c r="S516" s="49">
        <f t="shared" si="196"/>
        <v>33</v>
      </c>
      <c r="T516" s="74">
        <f>SUM(T511:T515)</f>
        <v>4</v>
      </c>
      <c r="U516" s="18">
        <f>SUM(U511:U515)</f>
        <v>5</v>
      </c>
      <c r="V516" s="18">
        <f>SUM(V511:V515)</f>
        <v>7</v>
      </c>
      <c r="W516" s="18">
        <f>SUM(W511:W515)</f>
        <v>3</v>
      </c>
      <c r="X516" s="70">
        <f>SUM(X511:X515)</f>
        <v>3</v>
      </c>
      <c r="Y516" s="49">
        <f t="shared" si="197"/>
        <v>22</v>
      </c>
      <c r="Z516" s="33">
        <f t="shared" si="198"/>
        <v>92</v>
      </c>
      <c r="AB516" s="4" t="s">
        <v>12</v>
      </c>
      <c r="AC516" s="17">
        <f>SUM(AC511:AC515)</f>
        <v>198</v>
      </c>
      <c r="AD516" s="18">
        <f>SUM(AD511:AD515)</f>
        <v>209</v>
      </c>
      <c r="AE516" s="18">
        <f>SUM(AE511:AE515)</f>
        <v>205</v>
      </c>
      <c r="AF516" s="18">
        <f>SUM(AF511:AF515)</f>
        <v>194</v>
      </c>
      <c r="AG516" s="18">
        <f>SUM(AG511:AG515)</f>
        <v>174</v>
      </c>
      <c r="AH516" s="148">
        <f t="shared" si="199"/>
        <v>980</v>
      </c>
      <c r="AI516" s="17">
        <f>SUM(AI511:AI515)</f>
        <v>133</v>
      </c>
      <c r="AJ516" s="18">
        <f>SUM(AJ511:AJ515)</f>
        <v>147</v>
      </c>
      <c r="AK516" s="18">
        <f>SUM(AK511:AK515)</f>
        <v>148</v>
      </c>
      <c r="AL516" s="18">
        <f>SUM(AL511:AL515)</f>
        <v>143</v>
      </c>
      <c r="AM516" s="18">
        <f>SUM(AM511:AM515)</f>
        <v>148</v>
      </c>
      <c r="AN516" s="148">
        <f t="shared" si="200"/>
        <v>719</v>
      </c>
      <c r="AO516" s="65">
        <f>SUM(AO511:AO515)</f>
        <v>168</v>
      </c>
      <c r="AP516" s="18">
        <f>SUM(AP511:AP515)</f>
        <v>169</v>
      </c>
      <c r="AQ516" s="18">
        <f>SUM(AQ511:AQ515)</f>
        <v>161</v>
      </c>
      <c r="AR516" s="18">
        <f>SUM(AR511:AR515)</f>
        <v>184</v>
      </c>
      <c r="AS516" s="70">
        <f>SUM(AS511:AS515)</f>
        <v>194</v>
      </c>
      <c r="AT516" s="49">
        <f t="shared" si="201"/>
        <v>876</v>
      </c>
      <c r="AU516" s="74">
        <f>SUM(AU511:AU515)</f>
        <v>126</v>
      </c>
      <c r="AV516" s="18">
        <f>SUM(AV511:AV515)</f>
        <v>100</v>
      </c>
      <c r="AW516" s="18">
        <f>SUM(AW511:AW515)</f>
        <v>112</v>
      </c>
      <c r="AX516" s="18">
        <f>SUM(AX511:AX515)</f>
        <v>106</v>
      </c>
      <c r="AY516" s="70">
        <f>SUM(AY511:AY515)</f>
        <v>152</v>
      </c>
      <c r="AZ516" s="49">
        <f t="shared" si="202"/>
        <v>596</v>
      </c>
      <c r="BA516" s="33">
        <f t="shared" si="203"/>
        <v>3171</v>
      </c>
    </row>
    <row r="517" spans="1:55" ht="14.25" x14ac:dyDescent="0.15">
      <c r="A517" s="47" t="s">
        <v>328</v>
      </c>
      <c r="B517" s="34"/>
      <c r="C517" s="35"/>
      <c r="D517" s="35"/>
      <c r="E517" s="35"/>
      <c r="F517" s="35"/>
      <c r="G517" s="36">
        <f t="shared" si="194"/>
        <v>0</v>
      </c>
      <c r="H517" s="34"/>
      <c r="I517" s="35"/>
      <c r="J517" s="35"/>
      <c r="K517" s="35">
        <v>1</v>
      </c>
      <c r="L517" s="35"/>
      <c r="M517" s="36">
        <f t="shared" si="195"/>
        <v>1</v>
      </c>
      <c r="N517" s="39"/>
      <c r="O517" s="56"/>
      <c r="P517" s="56"/>
      <c r="Q517" s="56"/>
      <c r="R517" s="71"/>
      <c r="S517" s="16">
        <f t="shared" si="196"/>
        <v>0</v>
      </c>
      <c r="T517" s="39"/>
      <c r="U517" s="56"/>
      <c r="V517" s="56"/>
      <c r="W517" s="56"/>
      <c r="X517" s="71"/>
      <c r="Y517" s="16">
        <f t="shared" si="197"/>
        <v>0</v>
      </c>
      <c r="Z517" s="16">
        <f t="shared" si="198"/>
        <v>1</v>
      </c>
      <c r="AA517" s="83">
        <v>43980</v>
      </c>
      <c r="AB517" s="21" t="s">
        <v>29</v>
      </c>
      <c r="AC517" s="14"/>
      <c r="AD517" s="15">
        <v>5</v>
      </c>
      <c r="AE517" s="15"/>
      <c r="AF517" s="15"/>
      <c r="AG517" s="15"/>
      <c r="AH517" s="24">
        <f t="shared" si="199"/>
        <v>5</v>
      </c>
      <c r="AI517" s="14"/>
      <c r="AJ517" s="15"/>
      <c r="AK517" s="15"/>
      <c r="AL517" s="15"/>
      <c r="AM517" s="15"/>
      <c r="AN517" s="24">
        <f t="shared" si="200"/>
        <v>0</v>
      </c>
      <c r="AO517" s="15"/>
      <c r="AP517" s="55"/>
      <c r="AQ517" s="55"/>
      <c r="AR517" s="55"/>
      <c r="AS517" s="67"/>
      <c r="AT517" s="24">
        <f t="shared" si="201"/>
        <v>0</v>
      </c>
      <c r="AU517" s="15"/>
      <c r="AV517" s="55"/>
      <c r="AW517" s="55"/>
      <c r="AX517" s="55"/>
      <c r="AY517" s="67"/>
      <c r="AZ517" s="24">
        <f t="shared" si="202"/>
        <v>0</v>
      </c>
      <c r="BA517" s="24">
        <f t="shared" si="203"/>
        <v>5</v>
      </c>
      <c r="BB517" s="83">
        <v>43973</v>
      </c>
    </row>
    <row r="518" spans="1:55" x14ac:dyDescent="0.15">
      <c r="A518" s="47" t="s">
        <v>362</v>
      </c>
      <c r="B518" s="14"/>
      <c r="C518" s="15"/>
      <c r="D518" s="15"/>
      <c r="E518" s="15"/>
      <c r="F518" s="15"/>
      <c r="G518" s="24">
        <f t="shared" si="194"/>
        <v>0</v>
      </c>
      <c r="H518" s="14"/>
      <c r="I518" s="15"/>
      <c r="J518" s="15"/>
      <c r="K518" s="15"/>
      <c r="L518" s="15">
        <v>1</v>
      </c>
      <c r="M518" s="24">
        <f t="shared" si="195"/>
        <v>1</v>
      </c>
      <c r="N518" s="15"/>
      <c r="O518" s="55"/>
      <c r="P518" s="55"/>
      <c r="Q518" s="55"/>
      <c r="R518" s="67"/>
      <c r="S518" s="24">
        <f t="shared" si="196"/>
        <v>0</v>
      </c>
      <c r="T518" s="15"/>
      <c r="U518" s="55"/>
      <c r="V518" s="55"/>
      <c r="W518" s="55"/>
      <c r="X518" s="67"/>
      <c r="Y518" s="24">
        <f t="shared" si="197"/>
        <v>0</v>
      </c>
      <c r="Z518" s="24">
        <f t="shared" si="198"/>
        <v>1</v>
      </c>
      <c r="AA518" s="83">
        <v>43985</v>
      </c>
      <c r="AB518" s="47" t="s">
        <v>328</v>
      </c>
      <c r="AC518" s="41"/>
      <c r="AD518" s="42">
        <v>1</v>
      </c>
      <c r="AE518" s="42"/>
      <c r="AF518" s="42"/>
      <c r="AG518" s="42"/>
      <c r="AH518" s="43">
        <f t="shared" si="199"/>
        <v>1</v>
      </c>
      <c r="AI518" s="41"/>
      <c r="AJ518" s="42"/>
      <c r="AK518" s="42"/>
      <c r="AL518" s="42"/>
      <c r="AM518" s="42"/>
      <c r="AN518" s="43">
        <f t="shared" si="200"/>
        <v>0</v>
      </c>
      <c r="AO518" s="42"/>
      <c r="AP518" s="53"/>
      <c r="AQ518" s="53"/>
      <c r="AR518" s="53"/>
      <c r="AS518" s="72"/>
      <c r="AT518" s="24">
        <f t="shared" si="201"/>
        <v>0</v>
      </c>
      <c r="AU518" s="42"/>
      <c r="AV518" s="53"/>
      <c r="AW518" s="53"/>
      <c r="AX518" s="53"/>
      <c r="AY518" s="72"/>
      <c r="AZ518" s="24">
        <f t="shared" si="202"/>
        <v>0</v>
      </c>
      <c r="BA518" s="24">
        <f t="shared" si="203"/>
        <v>1</v>
      </c>
      <c r="BB518" s="83">
        <v>43972</v>
      </c>
    </row>
    <row r="519" spans="1:55" x14ac:dyDescent="0.15">
      <c r="A519" s="47" t="s">
        <v>328</v>
      </c>
      <c r="B519" s="41"/>
      <c r="C519" s="42"/>
      <c r="D519" s="42"/>
      <c r="E519" s="42"/>
      <c r="F519" s="42"/>
      <c r="G519" s="43">
        <f t="shared" si="194"/>
        <v>0</v>
      </c>
      <c r="H519" s="41"/>
      <c r="I519" s="42"/>
      <c r="J519" s="42"/>
      <c r="K519" s="42"/>
      <c r="L519" s="42"/>
      <c r="M519" s="43">
        <f t="shared" si="195"/>
        <v>0</v>
      </c>
      <c r="N519" s="42"/>
      <c r="O519" s="53"/>
      <c r="P519" s="53"/>
      <c r="Q519" s="53"/>
      <c r="R519" s="72">
        <v>1</v>
      </c>
      <c r="S519" s="24">
        <f t="shared" si="196"/>
        <v>1</v>
      </c>
      <c r="T519" s="42"/>
      <c r="U519" s="53"/>
      <c r="V519" s="53"/>
      <c r="W519" s="53"/>
      <c r="X519" s="72"/>
      <c r="Y519" s="24">
        <f t="shared" si="197"/>
        <v>0</v>
      </c>
      <c r="Z519" s="24">
        <f t="shared" si="198"/>
        <v>1</v>
      </c>
      <c r="AA519" s="83">
        <v>43987</v>
      </c>
      <c r="AB519" s="47" t="s">
        <v>360</v>
      </c>
      <c r="AC519" s="41"/>
      <c r="AD519" s="42">
        <v>2</v>
      </c>
      <c r="AE519" s="42"/>
      <c r="AF519" s="42"/>
      <c r="AG519" s="42"/>
      <c r="AH519" s="43">
        <f t="shared" si="199"/>
        <v>2</v>
      </c>
      <c r="AI519" s="41"/>
      <c r="AJ519" s="42"/>
      <c r="AK519" s="42">
        <v>2</v>
      </c>
      <c r="AL519" s="42"/>
      <c r="AM519" s="42"/>
      <c r="AN519" s="43">
        <f t="shared" si="200"/>
        <v>2</v>
      </c>
      <c r="AO519" s="42"/>
      <c r="AP519" s="53"/>
      <c r="AQ519" s="53"/>
      <c r="AR519" s="53">
        <v>4</v>
      </c>
      <c r="AS519" s="72"/>
      <c r="AT519" s="43">
        <f t="shared" si="201"/>
        <v>4</v>
      </c>
      <c r="AU519" s="42"/>
      <c r="AV519" s="53">
        <v>3</v>
      </c>
      <c r="AW519" s="53">
        <v>2</v>
      </c>
      <c r="AX519" s="53">
        <v>2</v>
      </c>
      <c r="AY519" s="72"/>
      <c r="AZ519" s="43">
        <f t="shared" si="202"/>
        <v>7</v>
      </c>
      <c r="BA519" s="43">
        <f t="shared" si="203"/>
        <v>15</v>
      </c>
      <c r="BB519" s="83">
        <v>43985</v>
      </c>
    </row>
    <row r="520" spans="1:55" x14ac:dyDescent="0.15">
      <c r="A520" s="47" t="s">
        <v>47</v>
      </c>
      <c r="B520" s="41"/>
      <c r="C520" s="42"/>
      <c r="D520" s="42"/>
      <c r="E520" s="42">
        <v>1</v>
      </c>
      <c r="F520" s="42"/>
      <c r="G520" s="43">
        <f t="shared" si="194"/>
        <v>1</v>
      </c>
      <c r="H520" s="41"/>
      <c r="I520" s="42"/>
      <c r="J520" s="42"/>
      <c r="K520" s="42"/>
      <c r="L520" s="42"/>
      <c r="M520" s="43">
        <f t="shared" si="195"/>
        <v>0</v>
      </c>
      <c r="N520" s="42"/>
      <c r="O520" s="53"/>
      <c r="P520" s="53"/>
      <c r="Q520" s="53"/>
      <c r="R520" s="72"/>
      <c r="S520" s="24">
        <f t="shared" si="196"/>
        <v>0</v>
      </c>
      <c r="T520" s="42"/>
      <c r="U520" s="53"/>
      <c r="V520" s="53"/>
      <c r="W520" s="53"/>
      <c r="X520" s="72"/>
      <c r="Y520" s="24">
        <f t="shared" si="197"/>
        <v>0</v>
      </c>
      <c r="Z520" s="24">
        <f t="shared" si="198"/>
        <v>1</v>
      </c>
      <c r="AA520" s="83">
        <v>43993</v>
      </c>
      <c r="AB520" s="47" t="s">
        <v>328</v>
      </c>
      <c r="AC520" s="41"/>
      <c r="AD520" s="42"/>
      <c r="AE520" s="42">
        <v>1</v>
      </c>
      <c r="AF520" s="42"/>
      <c r="AG520" s="42"/>
      <c r="AH520" s="43">
        <f t="shared" si="199"/>
        <v>1</v>
      </c>
      <c r="AI520" s="41"/>
      <c r="AJ520" s="42"/>
      <c r="AK520" s="42"/>
      <c r="AL520" s="42"/>
      <c r="AM520" s="42"/>
      <c r="AN520" s="43">
        <f t="shared" si="200"/>
        <v>0</v>
      </c>
      <c r="AO520" s="42"/>
      <c r="AP520" s="53"/>
      <c r="AQ520" s="53"/>
      <c r="AR520" s="53"/>
      <c r="AS520" s="72"/>
      <c r="AT520" s="24">
        <f t="shared" si="201"/>
        <v>0</v>
      </c>
      <c r="AU520" s="42"/>
      <c r="AV520" s="53"/>
      <c r="AW520" s="53"/>
      <c r="AX520" s="53"/>
      <c r="AY520" s="72"/>
      <c r="AZ520" s="24">
        <f t="shared" si="202"/>
        <v>0</v>
      </c>
      <c r="BA520" s="24">
        <f t="shared" si="203"/>
        <v>1</v>
      </c>
      <c r="BB520" s="83">
        <v>43984</v>
      </c>
    </row>
    <row r="521" spans="1:55" x14ac:dyDescent="0.15">
      <c r="A521" s="47" t="s">
        <v>328</v>
      </c>
      <c r="B521" s="41"/>
      <c r="C521" s="42">
        <v>1</v>
      </c>
      <c r="D521" s="42"/>
      <c r="E521" s="42"/>
      <c r="F521" s="42"/>
      <c r="G521" s="43">
        <f t="shared" si="194"/>
        <v>1</v>
      </c>
      <c r="H521" s="41"/>
      <c r="I521" s="42"/>
      <c r="J521" s="42"/>
      <c r="K521" s="42"/>
      <c r="L521" s="42"/>
      <c r="M521" s="43">
        <f t="shared" si="195"/>
        <v>0</v>
      </c>
      <c r="N521" s="42"/>
      <c r="O521" s="53"/>
      <c r="P521" s="53">
        <v>1</v>
      </c>
      <c r="Q521" s="53"/>
      <c r="R521" s="72"/>
      <c r="S521" s="24">
        <f t="shared" si="196"/>
        <v>1</v>
      </c>
      <c r="T521" s="42"/>
      <c r="U521" s="53">
        <v>1</v>
      </c>
      <c r="V521" s="53"/>
      <c r="W521" s="53"/>
      <c r="X521" s="72"/>
      <c r="Y521" s="24">
        <f t="shared" si="197"/>
        <v>1</v>
      </c>
      <c r="Z521" s="24">
        <f t="shared" si="198"/>
        <v>3</v>
      </c>
      <c r="AA521" s="83">
        <v>43994</v>
      </c>
      <c r="AB521" s="47" t="s">
        <v>361</v>
      </c>
      <c r="AC521" s="41">
        <v>1</v>
      </c>
      <c r="AD521" s="42"/>
      <c r="AE521" s="42">
        <v>2</v>
      </c>
      <c r="AF521" s="42"/>
      <c r="AG521" s="42">
        <v>3</v>
      </c>
      <c r="AH521" s="43">
        <f t="shared" ref="AH521:AH540" si="204">SUM(AC521:AG521)</f>
        <v>6</v>
      </c>
      <c r="AI521" s="41"/>
      <c r="AJ521" s="42"/>
      <c r="AK521" s="42"/>
      <c r="AL521" s="42">
        <v>1</v>
      </c>
      <c r="AM521" s="42"/>
      <c r="AN521" s="43">
        <f t="shared" ref="AN521:AN540" si="205">SUM(AI521:AM521)</f>
        <v>1</v>
      </c>
      <c r="AO521" s="42"/>
      <c r="AP521" s="53"/>
      <c r="AQ521" s="53"/>
      <c r="AR521" s="53"/>
      <c r="AS521" s="72"/>
      <c r="AT521" s="24">
        <f t="shared" ref="AT521:AT540" si="206">SUM(AO521:AS521)</f>
        <v>0</v>
      </c>
      <c r="AU521" s="42">
        <v>1</v>
      </c>
      <c r="AV521" s="53"/>
      <c r="AW521" s="53"/>
      <c r="AX521" s="53"/>
      <c r="AY521" s="72">
        <v>1</v>
      </c>
      <c r="AZ521" s="24">
        <f t="shared" ref="AZ521:AZ540" si="207">SUM(AU521:AY521)</f>
        <v>2</v>
      </c>
      <c r="BA521" s="24">
        <f t="shared" ref="BA521:BA540" si="208">AH521+AN521+AT521+AZ521</f>
        <v>9</v>
      </c>
      <c r="BB521" s="83">
        <v>43993</v>
      </c>
    </row>
    <row r="522" spans="1:55" x14ac:dyDescent="0.15">
      <c r="A522" s="47" t="s">
        <v>328</v>
      </c>
      <c r="B522" s="41"/>
      <c r="C522" s="42"/>
      <c r="D522" s="42"/>
      <c r="E522" s="42"/>
      <c r="F522" s="42"/>
      <c r="G522" s="43">
        <f t="shared" si="194"/>
        <v>0</v>
      </c>
      <c r="H522" s="41"/>
      <c r="I522" s="42"/>
      <c r="J522" s="42"/>
      <c r="K522" s="42"/>
      <c r="L522" s="42"/>
      <c r="M522" s="43">
        <f t="shared" si="195"/>
        <v>0</v>
      </c>
      <c r="N522" s="42"/>
      <c r="O522" s="53"/>
      <c r="P522" s="53"/>
      <c r="Q522" s="53">
        <v>1</v>
      </c>
      <c r="R522" s="72"/>
      <c r="S522" s="24">
        <f t="shared" si="196"/>
        <v>1</v>
      </c>
      <c r="T522" s="42"/>
      <c r="U522" s="53"/>
      <c r="V522" s="53"/>
      <c r="W522" s="53"/>
      <c r="X522" s="72"/>
      <c r="Y522" s="24">
        <f t="shared" si="197"/>
        <v>0</v>
      </c>
      <c r="Z522" s="24">
        <f t="shared" si="198"/>
        <v>1</v>
      </c>
      <c r="AA522" s="83">
        <v>43998</v>
      </c>
      <c r="AB522" s="47" t="s">
        <v>328</v>
      </c>
      <c r="AC522" s="41"/>
      <c r="AD522" s="42"/>
      <c r="AE522" s="42"/>
      <c r="AF522" s="42">
        <v>1</v>
      </c>
      <c r="AG522" s="42"/>
      <c r="AH522" s="43">
        <f t="shared" si="204"/>
        <v>1</v>
      </c>
      <c r="AI522" s="41"/>
      <c r="AJ522" s="42"/>
      <c r="AK522" s="42"/>
      <c r="AL522" s="42">
        <v>1</v>
      </c>
      <c r="AM522" s="42"/>
      <c r="AN522" s="43">
        <f t="shared" si="205"/>
        <v>1</v>
      </c>
      <c r="AO522" s="42"/>
      <c r="AP522" s="53"/>
      <c r="AQ522" s="53"/>
      <c r="AR522" s="53"/>
      <c r="AS522" s="72"/>
      <c r="AT522" s="24">
        <f t="shared" si="206"/>
        <v>0</v>
      </c>
      <c r="AU522" s="42"/>
      <c r="AV522" s="53"/>
      <c r="AW522" s="53"/>
      <c r="AX522" s="53"/>
      <c r="AY522" s="72"/>
      <c r="AZ522" s="24">
        <f t="shared" si="207"/>
        <v>0</v>
      </c>
      <c r="BA522" s="24">
        <f t="shared" si="208"/>
        <v>2</v>
      </c>
      <c r="BB522" s="83">
        <v>43985</v>
      </c>
    </row>
    <row r="523" spans="1:55" ht="14.25" x14ac:dyDescent="0.15">
      <c r="A523" s="23" t="s">
        <v>368</v>
      </c>
      <c r="B523" s="41">
        <v>1</v>
      </c>
      <c r="C523" s="42">
        <v>1</v>
      </c>
      <c r="D523" s="42">
        <v>2</v>
      </c>
      <c r="E523" s="42"/>
      <c r="F523" s="42">
        <v>1</v>
      </c>
      <c r="G523" s="43">
        <f t="shared" si="194"/>
        <v>5</v>
      </c>
      <c r="H523" s="41"/>
      <c r="I523" s="42"/>
      <c r="J523" s="42"/>
      <c r="K523" s="42"/>
      <c r="L523" s="42">
        <v>1</v>
      </c>
      <c r="M523" s="43">
        <f t="shared" si="195"/>
        <v>1</v>
      </c>
      <c r="N523" s="42">
        <v>1</v>
      </c>
      <c r="O523" s="53">
        <v>2</v>
      </c>
      <c r="P523" s="53"/>
      <c r="Q523" s="53">
        <v>2</v>
      </c>
      <c r="R523" s="72">
        <v>2</v>
      </c>
      <c r="S523" s="24">
        <f t="shared" si="196"/>
        <v>7</v>
      </c>
      <c r="T523" s="42"/>
      <c r="U523" s="53"/>
      <c r="V523" s="53"/>
      <c r="W523" s="53"/>
      <c r="X523" s="72"/>
      <c r="Y523" s="24">
        <f t="shared" si="197"/>
        <v>0</v>
      </c>
      <c r="Z523" s="24">
        <f t="shared" si="198"/>
        <v>13</v>
      </c>
      <c r="AA523" s="83">
        <v>44002</v>
      </c>
      <c r="AB523" s="21" t="s">
        <v>29</v>
      </c>
      <c r="AC523" s="41"/>
      <c r="AD523" s="42"/>
      <c r="AE523" s="42"/>
      <c r="AF523" s="42"/>
      <c r="AG523" s="42"/>
      <c r="AH523" s="43">
        <f t="shared" si="204"/>
        <v>0</v>
      </c>
      <c r="AI523" s="41"/>
      <c r="AJ523" s="42">
        <v>5</v>
      </c>
      <c r="AK523" s="42">
        <v>5</v>
      </c>
      <c r="AL523" s="42"/>
      <c r="AM523" s="42"/>
      <c r="AN523" s="43">
        <f t="shared" si="205"/>
        <v>10</v>
      </c>
      <c r="AO523" s="42"/>
      <c r="AP523" s="53"/>
      <c r="AQ523" s="53"/>
      <c r="AR523" s="53"/>
      <c r="AS523" s="72"/>
      <c r="AT523" s="24">
        <f t="shared" si="206"/>
        <v>0</v>
      </c>
      <c r="AU523" s="42"/>
      <c r="AV523" s="53"/>
      <c r="AW523" s="53"/>
      <c r="AX523" s="53"/>
      <c r="AY523" s="72"/>
      <c r="AZ523" s="24">
        <f t="shared" si="207"/>
        <v>0</v>
      </c>
      <c r="BA523" s="24">
        <f t="shared" si="208"/>
        <v>10</v>
      </c>
      <c r="BB523" s="83">
        <v>43987</v>
      </c>
    </row>
    <row r="524" spans="1:55" x14ac:dyDescent="0.15">
      <c r="A524" s="47" t="s">
        <v>47</v>
      </c>
      <c r="B524" s="41"/>
      <c r="C524" s="42"/>
      <c r="D524" s="42"/>
      <c r="E524" s="42"/>
      <c r="F524" s="42"/>
      <c r="G524" s="43">
        <f t="shared" si="194"/>
        <v>0</v>
      </c>
      <c r="H524" s="41"/>
      <c r="I524" s="42"/>
      <c r="J524" s="42"/>
      <c r="K524" s="42"/>
      <c r="L524" s="42">
        <v>1</v>
      </c>
      <c r="M524" s="43">
        <f t="shared" si="195"/>
        <v>1</v>
      </c>
      <c r="N524" s="42"/>
      <c r="O524" s="53"/>
      <c r="P524" s="53"/>
      <c r="Q524" s="53"/>
      <c r="R524" s="72"/>
      <c r="S524" s="24">
        <f t="shared" si="196"/>
        <v>0</v>
      </c>
      <c r="T524" s="42"/>
      <c r="U524" s="53"/>
      <c r="V524" s="53"/>
      <c r="W524" s="53"/>
      <c r="X524" s="72"/>
      <c r="Y524" s="24">
        <f t="shared" si="197"/>
        <v>0</v>
      </c>
      <c r="Z524" s="24">
        <f t="shared" si="198"/>
        <v>1</v>
      </c>
      <c r="AA524" s="83">
        <v>44005</v>
      </c>
      <c r="AB524" s="47" t="s">
        <v>328</v>
      </c>
      <c r="AC524" s="41"/>
      <c r="AD524" s="42"/>
      <c r="AE524" s="42">
        <v>1</v>
      </c>
      <c r="AF524" s="42"/>
      <c r="AG524" s="42"/>
      <c r="AH524" s="43">
        <f t="shared" si="204"/>
        <v>1</v>
      </c>
      <c r="AI524" s="41"/>
      <c r="AJ524" s="42"/>
      <c r="AK524" s="42"/>
      <c r="AL524" s="42"/>
      <c r="AM524" s="42"/>
      <c r="AN524" s="43">
        <f t="shared" si="205"/>
        <v>0</v>
      </c>
      <c r="AO524" s="42"/>
      <c r="AP524" s="53"/>
      <c r="AQ524" s="53"/>
      <c r="AR524" s="53"/>
      <c r="AS524" s="72"/>
      <c r="AT524" s="24">
        <f t="shared" si="206"/>
        <v>0</v>
      </c>
      <c r="AU524" s="42"/>
      <c r="AV524" s="53"/>
      <c r="AW524" s="53"/>
      <c r="AX524" s="53">
        <v>1</v>
      </c>
      <c r="AY524" s="72"/>
      <c r="AZ524" s="24">
        <f t="shared" si="207"/>
        <v>1</v>
      </c>
      <c r="BA524" s="24">
        <f t="shared" si="208"/>
        <v>2</v>
      </c>
      <c r="BB524" s="83">
        <v>43986</v>
      </c>
    </row>
    <row r="525" spans="1:55" x14ac:dyDescent="0.15">
      <c r="A525" s="47" t="s">
        <v>47</v>
      </c>
      <c r="B525" s="41"/>
      <c r="C525" s="42"/>
      <c r="D525" s="42"/>
      <c r="E525" s="42"/>
      <c r="F525" s="42"/>
      <c r="G525" s="43">
        <f t="shared" si="194"/>
        <v>0</v>
      </c>
      <c r="H525" s="41"/>
      <c r="I525" s="42"/>
      <c r="J525" s="42"/>
      <c r="K525" s="42"/>
      <c r="L525" s="42"/>
      <c r="M525" s="43">
        <f t="shared" si="195"/>
        <v>0</v>
      </c>
      <c r="N525" s="42"/>
      <c r="O525" s="53"/>
      <c r="P525" s="53"/>
      <c r="Q525" s="53"/>
      <c r="R525" s="72">
        <v>1</v>
      </c>
      <c r="S525" s="24">
        <f t="shared" si="196"/>
        <v>1</v>
      </c>
      <c r="T525" s="42"/>
      <c r="U525" s="53"/>
      <c r="V525" s="53"/>
      <c r="W525" s="53"/>
      <c r="X525" s="72"/>
      <c r="Y525" s="24">
        <f t="shared" si="197"/>
        <v>0</v>
      </c>
      <c r="Z525" s="24">
        <f t="shared" si="198"/>
        <v>1</v>
      </c>
      <c r="AA525" s="83">
        <v>44019</v>
      </c>
      <c r="AB525" s="47" t="s">
        <v>363</v>
      </c>
      <c r="AC525" s="41">
        <v>2</v>
      </c>
      <c r="AD525" s="42">
        <v>1</v>
      </c>
      <c r="AE525" s="42">
        <v>7</v>
      </c>
      <c r="AF525" s="42"/>
      <c r="AG525" s="42">
        <v>1</v>
      </c>
      <c r="AH525" s="43">
        <f t="shared" si="204"/>
        <v>11</v>
      </c>
      <c r="AI525" s="41">
        <v>1</v>
      </c>
      <c r="AJ525" s="42">
        <v>1</v>
      </c>
      <c r="AK525" s="42"/>
      <c r="AL525" s="42"/>
      <c r="AM525" s="42"/>
      <c r="AN525" s="43">
        <f t="shared" si="205"/>
        <v>2</v>
      </c>
      <c r="AO525" s="42"/>
      <c r="AP525" s="53">
        <v>3</v>
      </c>
      <c r="AQ525" s="53"/>
      <c r="AR525" s="53"/>
      <c r="AS525" s="72"/>
      <c r="AT525" s="24">
        <f t="shared" si="206"/>
        <v>3</v>
      </c>
      <c r="AU525" s="42"/>
      <c r="AV525" s="53"/>
      <c r="AW525" s="53">
        <v>2</v>
      </c>
      <c r="AX525" s="53">
        <v>2</v>
      </c>
      <c r="AY525" s="72">
        <v>1</v>
      </c>
      <c r="AZ525" s="24">
        <f t="shared" si="207"/>
        <v>5</v>
      </c>
      <c r="BA525" s="24">
        <f t="shared" si="208"/>
        <v>21</v>
      </c>
      <c r="BB525" s="83">
        <v>43997</v>
      </c>
    </row>
    <row r="526" spans="1:55" ht="14.25" x14ac:dyDescent="0.15">
      <c r="A526" s="47" t="s">
        <v>328</v>
      </c>
      <c r="B526" s="44"/>
      <c r="C526" s="45"/>
      <c r="D526" s="45"/>
      <c r="E526" s="45"/>
      <c r="F526" s="45"/>
      <c r="G526" s="43">
        <f t="shared" si="194"/>
        <v>0</v>
      </c>
      <c r="H526" s="44"/>
      <c r="I526" s="45"/>
      <c r="J526" s="45"/>
      <c r="K526" s="45"/>
      <c r="L526" s="45"/>
      <c r="M526" s="43">
        <f t="shared" si="195"/>
        <v>0</v>
      </c>
      <c r="N526" s="42"/>
      <c r="O526" s="53"/>
      <c r="P526" s="53"/>
      <c r="Q526" s="53"/>
      <c r="R526" s="72"/>
      <c r="S526" s="24">
        <f t="shared" si="196"/>
        <v>0</v>
      </c>
      <c r="T526" s="42"/>
      <c r="U526" s="53"/>
      <c r="V526" s="53"/>
      <c r="W526" s="53"/>
      <c r="X526" s="72">
        <v>1</v>
      </c>
      <c r="Y526" s="24">
        <f t="shared" si="197"/>
        <v>1</v>
      </c>
      <c r="Z526" s="24">
        <f t="shared" si="198"/>
        <v>1</v>
      </c>
      <c r="AA526" s="83">
        <v>44020</v>
      </c>
      <c r="AB526" s="21" t="s">
        <v>29</v>
      </c>
      <c r="AC526" s="44"/>
      <c r="AD526" s="45"/>
      <c r="AE526" s="45"/>
      <c r="AF526" s="45"/>
      <c r="AG526" s="45"/>
      <c r="AH526" s="43">
        <f t="shared" si="204"/>
        <v>0</v>
      </c>
      <c r="AI526" s="44"/>
      <c r="AJ526" s="45"/>
      <c r="AK526" s="45"/>
      <c r="AL526" s="45"/>
      <c r="AM526" s="45">
        <v>5</v>
      </c>
      <c r="AN526" s="43">
        <f t="shared" si="205"/>
        <v>5</v>
      </c>
      <c r="AO526" s="42"/>
      <c r="AP526" s="53"/>
      <c r="AQ526" s="53"/>
      <c r="AR526" s="53"/>
      <c r="AS526" s="72"/>
      <c r="AT526" s="24">
        <f t="shared" si="206"/>
        <v>0</v>
      </c>
      <c r="AU526" s="42"/>
      <c r="AV526" s="53"/>
      <c r="AW526" s="53"/>
      <c r="AX526" s="53"/>
      <c r="AY526" s="72"/>
      <c r="AZ526" s="24">
        <f t="shared" si="207"/>
        <v>0</v>
      </c>
      <c r="BA526" s="24">
        <f t="shared" si="208"/>
        <v>5</v>
      </c>
      <c r="BB526" s="83">
        <v>43994</v>
      </c>
    </row>
    <row r="527" spans="1:55" x14ac:dyDescent="0.15">
      <c r="A527" s="40" t="s">
        <v>160</v>
      </c>
      <c r="B527" s="41"/>
      <c r="C527" s="42"/>
      <c r="D527" s="42"/>
      <c r="E527" s="42"/>
      <c r="F527" s="42"/>
      <c r="G527" s="43">
        <f t="shared" si="194"/>
        <v>0</v>
      </c>
      <c r="H527" s="41"/>
      <c r="I527" s="42"/>
      <c r="J527" s="42"/>
      <c r="K527" s="42"/>
      <c r="L527" s="42"/>
      <c r="M527" s="43">
        <f t="shared" si="195"/>
        <v>0</v>
      </c>
      <c r="N527" s="42">
        <v>3</v>
      </c>
      <c r="O527" s="53">
        <v>5</v>
      </c>
      <c r="P527" s="53">
        <v>2</v>
      </c>
      <c r="Q527" s="53"/>
      <c r="R527" s="72"/>
      <c r="S527" s="24">
        <f t="shared" si="196"/>
        <v>10</v>
      </c>
      <c r="T527" s="42">
        <v>1</v>
      </c>
      <c r="U527" s="53">
        <v>2</v>
      </c>
      <c r="V527" s="53">
        <v>5</v>
      </c>
      <c r="W527" s="53">
        <v>1</v>
      </c>
      <c r="X527" s="72"/>
      <c r="Y527" s="24">
        <f t="shared" si="197"/>
        <v>9</v>
      </c>
      <c r="Z527" s="24">
        <f t="shared" si="198"/>
        <v>19</v>
      </c>
      <c r="AA527" s="83">
        <v>44016</v>
      </c>
      <c r="AB527" s="47" t="s">
        <v>364</v>
      </c>
      <c r="AC527" s="41"/>
      <c r="AD527" s="42"/>
      <c r="AE527" s="42"/>
      <c r="AF527" s="42"/>
      <c r="AG527" s="42"/>
      <c r="AH527" s="43">
        <f t="shared" si="204"/>
        <v>0</v>
      </c>
      <c r="AI527" s="41"/>
      <c r="AJ527" s="42"/>
      <c r="AK527" s="42"/>
      <c r="AL527" s="42"/>
      <c r="AM527" s="42"/>
      <c r="AN527" s="43">
        <f t="shared" si="205"/>
        <v>0</v>
      </c>
      <c r="AO527" s="42"/>
      <c r="AP527" s="53"/>
      <c r="AQ527" s="53"/>
      <c r="AR527" s="53"/>
      <c r="AS527" s="72">
        <v>4</v>
      </c>
      <c r="AT527" s="24">
        <f t="shared" si="206"/>
        <v>4</v>
      </c>
      <c r="AU527" s="42"/>
      <c r="AV527" s="53"/>
      <c r="AW527" s="53"/>
      <c r="AX527" s="53"/>
      <c r="AY527" s="72"/>
      <c r="AZ527" s="24">
        <f t="shared" si="207"/>
        <v>0</v>
      </c>
      <c r="BA527" s="24">
        <f t="shared" si="208"/>
        <v>4</v>
      </c>
      <c r="BB527" s="83">
        <v>43999</v>
      </c>
    </row>
    <row r="528" spans="1:55" ht="14.25" x14ac:dyDescent="0.15">
      <c r="A528" s="23"/>
      <c r="B528" s="41"/>
      <c r="C528" s="42"/>
      <c r="D528" s="42"/>
      <c r="E528" s="42"/>
      <c r="F528" s="42"/>
      <c r="G528" s="43">
        <f t="shared" si="194"/>
        <v>0</v>
      </c>
      <c r="H528" s="41"/>
      <c r="I528" s="42"/>
      <c r="J528" s="42"/>
      <c r="K528" s="42"/>
      <c r="L528" s="42"/>
      <c r="M528" s="43">
        <f t="shared" si="195"/>
        <v>0</v>
      </c>
      <c r="N528" s="42"/>
      <c r="O528" s="53"/>
      <c r="P528" s="53"/>
      <c r="Q528" s="53"/>
      <c r="R528" s="72"/>
      <c r="S528" s="24">
        <f t="shared" si="196"/>
        <v>0</v>
      </c>
      <c r="T528" s="42"/>
      <c r="U528" s="53"/>
      <c r="V528" s="53"/>
      <c r="W528" s="53"/>
      <c r="X528" s="72"/>
      <c r="Y528" s="24">
        <f t="shared" si="197"/>
        <v>0</v>
      </c>
      <c r="Z528" s="24">
        <f t="shared" si="198"/>
        <v>0</v>
      </c>
      <c r="AA528" s="83"/>
      <c r="AB528" s="47" t="s">
        <v>365</v>
      </c>
      <c r="AC528" s="41">
        <v>7</v>
      </c>
      <c r="AD528" s="42">
        <v>2</v>
      </c>
      <c r="AE528" s="42">
        <v>10</v>
      </c>
      <c r="AF528" s="42">
        <v>8</v>
      </c>
      <c r="AG528" s="42">
        <v>1</v>
      </c>
      <c r="AH528" s="43">
        <f t="shared" si="204"/>
        <v>28</v>
      </c>
      <c r="AI528" s="41"/>
      <c r="AJ528" s="42">
        <v>1</v>
      </c>
      <c r="AK528" s="42">
        <v>2</v>
      </c>
      <c r="AL528" s="42"/>
      <c r="AM528" s="42"/>
      <c r="AN528" s="43">
        <f t="shared" si="205"/>
        <v>3</v>
      </c>
      <c r="AO528" s="42"/>
      <c r="AP528" s="53">
        <v>5</v>
      </c>
      <c r="AQ528" s="53">
        <v>5</v>
      </c>
      <c r="AR528" s="53"/>
      <c r="AS528" s="72">
        <v>2</v>
      </c>
      <c r="AT528" s="24">
        <f t="shared" si="206"/>
        <v>12</v>
      </c>
      <c r="AU528" s="42"/>
      <c r="AV528" s="53">
        <v>3</v>
      </c>
      <c r="AW528" s="53">
        <v>4</v>
      </c>
      <c r="AX528" s="53">
        <v>3</v>
      </c>
      <c r="AY528" s="72">
        <v>1</v>
      </c>
      <c r="AZ528" s="24">
        <f t="shared" si="207"/>
        <v>11</v>
      </c>
      <c r="BA528" s="24">
        <f t="shared" si="208"/>
        <v>54</v>
      </c>
      <c r="BB528" s="83">
        <v>44002</v>
      </c>
    </row>
    <row r="529" spans="1:55" ht="14.25" x14ac:dyDescent="0.15">
      <c r="A529" s="23"/>
      <c r="B529" s="41"/>
      <c r="C529" s="42"/>
      <c r="D529" s="42"/>
      <c r="E529" s="42"/>
      <c r="F529" s="42"/>
      <c r="G529" s="43">
        <f t="shared" si="194"/>
        <v>0</v>
      </c>
      <c r="H529" s="41"/>
      <c r="I529" s="42"/>
      <c r="J529" s="42"/>
      <c r="K529" s="42"/>
      <c r="L529" s="42"/>
      <c r="M529" s="43">
        <f t="shared" si="195"/>
        <v>0</v>
      </c>
      <c r="N529" s="42"/>
      <c r="O529" s="53"/>
      <c r="P529" s="53"/>
      <c r="Q529" s="53"/>
      <c r="R529" s="72"/>
      <c r="S529" s="24">
        <f t="shared" si="196"/>
        <v>0</v>
      </c>
      <c r="T529" s="42"/>
      <c r="U529" s="53"/>
      <c r="V529" s="53"/>
      <c r="W529" s="53"/>
      <c r="X529" s="72"/>
      <c r="Y529" s="24">
        <f t="shared" si="197"/>
        <v>0</v>
      </c>
      <c r="Z529" s="24">
        <f t="shared" si="198"/>
        <v>0</v>
      </c>
      <c r="AA529" s="83"/>
      <c r="AB529" s="47" t="s">
        <v>328</v>
      </c>
      <c r="AC529" s="41">
        <v>1</v>
      </c>
      <c r="AD529" s="42"/>
      <c r="AE529" s="42"/>
      <c r="AF529" s="42"/>
      <c r="AG529" s="42"/>
      <c r="AH529" s="43">
        <f t="shared" si="204"/>
        <v>1</v>
      </c>
      <c r="AI529" s="41"/>
      <c r="AJ529" s="42"/>
      <c r="AK529" s="42"/>
      <c r="AL529" s="42"/>
      <c r="AM529" s="42"/>
      <c r="AN529" s="43">
        <f t="shared" si="205"/>
        <v>0</v>
      </c>
      <c r="AO529" s="42"/>
      <c r="AP529" s="53"/>
      <c r="AQ529" s="53"/>
      <c r="AR529" s="53"/>
      <c r="AS529" s="72"/>
      <c r="AT529" s="24">
        <f t="shared" si="206"/>
        <v>0</v>
      </c>
      <c r="AU529" s="42"/>
      <c r="AV529" s="53"/>
      <c r="AW529" s="53"/>
      <c r="AX529" s="53"/>
      <c r="AY529" s="72"/>
      <c r="AZ529" s="24">
        <f t="shared" si="207"/>
        <v>0</v>
      </c>
      <c r="BA529" s="24">
        <f t="shared" si="208"/>
        <v>1</v>
      </c>
      <c r="BB529" s="83">
        <v>43999</v>
      </c>
    </row>
    <row r="530" spans="1:55" ht="14.25" x14ac:dyDescent="0.15">
      <c r="A530" s="23"/>
      <c r="B530" s="38"/>
      <c r="C530" s="39"/>
      <c r="D530" s="39"/>
      <c r="E530" s="39"/>
      <c r="F530" s="39"/>
      <c r="G530" s="37">
        <f t="shared" si="194"/>
        <v>0</v>
      </c>
      <c r="H530" s="38"/>
      <c r="I530" s="39"/>
      <c r="J530" s="39"/>
      <c r="K530" s="39"/>
      <c r="L530" s="39"/>
      <c r="M530" s="37">
        <f t="shared" si="195"/>
        <v>0</v>
      </c>
      <c r="N530" s="42"/>
      <c r="O530" s="53"/>
      <c r="P530" s="53"/>
      <c r="Q530" s="53"/>
      <c r="R530" s="72"/>
      <c r="S530" s="24">
        <f t="shared" si="196"/>
        <v>0</v>
      </c>
      <c r="T530" s="42"/>
      <c r="U530" s="53"/>
      <c r="V530" s="53"/>
      <c r="W530" s="53"/>
      <c r="X530" s="72"/>
      <c r="Y530" s="24">
        <f t="shared" si="197"/>
        <v>0</v>
      </c>
      <c r="Z530" s="24">
        <f t="shared" si="198"/>
        <v>0</v>
      </c>
      <c r="AA530" s="83"/>
      <c r="AB530" s="21" t="s">
        <v>29</v>
      </c>
      <c r="AC530" s="38"/>
      <c r="AD530" s="39"/>
      <c r="AE530" s="39"/>
      <c r="AF530" s="39"/>
      <c r="AG530" s="39"/>
      <c r="AH530" s="37">
        <f t="shared" si="204"/>
        <v>0</v>
      </c>
      <c r="AI530" s="38"/>
      <c r="AJ530" s="39"/>
      <c r="AK530" s="39"/>
      <c r="AL530" s="39"/>
      <c r="AM530" s="39"/>
      <c r="AN530" s="37">
        <f t="shared" si="205"/>
        <v>0</v>
      </c>
      <c r="AO530" s="42"/>
      <c r="AP530" s="53"/>
      <c r="AQ530" s="53"/>
      <c r="AR530" s="53"/>
      <c r="AS530" s="72">
        <v>5</v>
      </c>
      <c r="AT530" s="24">
        <f t="shared" si="206"/>
        <v>5</v>
      </c>
      <c r="AU530" s="42"/>
      <c r="AV530" s="53"/>
      <c r="AW530" s="53"/>
      <c r="AX530" s="53"/>
      <c r="AY530" s="72"/>
      <c r="AZ530" s="24">
        <f t="shared" si="207"/>
        <v>0</v>
      </c>
      <c r="BA530" s="24">
        <f t="shared" si="208"/>
        <v>5</v>
      </c>
      <c r="BB530" s="83">
        <v>44001</v>
      </c>
    </row>
    <row r="531" spans="1:55" ht="14.25" x14ac:dyDescent="0.15">
      <c r="A531" s="23"/>
      <c r="B531" s="41"/>
      <c r="C531" s="42"/>
      <c r="D531" s="42"/>
      <c r="E531" s="42"/>
      <c r="F531" s="42"/>
      <c r="G531" s="43">
        <f t="shared" si="194"/>
        <v>0</v>
      </c>
      <c r="H531" s="41"/>
      <c r="I531" s="42"/>
      <c r="J531" s="42"/>
      <c r="K531" s="42"/>
      <c r="L531" s="42"/>
      <c r="M531" s="43">
        <f t="shared" si="195"/>
        <v>0</v>
      </c>
      <c r="N531" s="42"/>
      <c r="O531" s="53"/>
      <c r="P531" s="53"/>
      <c r="Q531" s="53"/>
      <c r="R531" s="72"/>
      <c r="S531" s="24">
        <f t="shared" si="196"/>
        <v>0</v>
      </c>
      <c r="T531" s="42"/>
      <c r="U531" s="53"/>
      <c r="V531" s="53"/>
      <c r="W531" s="53"/>
      <c r="X531" s="72"/>
      <c r="Y531" s="24">
        <f t="shared" si="197"/>
        <v>0</v>
      </c>
      <c r="Z531" s="24">
        <f t="shared" si="198"/>
        <v>0</v>
      </c>
      <c r="AA531" s="83"/>
      <c r="AB531" s="21" t="s">
        <v>367</v>
      </c>
      <c r="AC531" s="41"/>
      <c r="AD531" s="42">
        <v>5</v>
      </c>
      <c r="AE531" s="42"/>
      <c r="AF531" s="42"/>
      <c r="AG531" s="42"/>
      <c r="AH531" s="43">
        <f t="shared" si="204"/>
        <v>5</v>
      </c>
      <c r="AI531" s="41"/>
      <c r="AJ531" s="42"/>
      <c r="AK531" s="42"/>
      <c r="AL531" s="42"/>
      <c r="AM531" s="42"/>
      <c r="AN531" s="43">
        <f t="shared" si="205"/>
        <v>0</v>
      </c>
      <c r="AO531" s="42"/>
      <c r="AP531" s="53"/>
      <c r="AQ531" s="53"/>
      <c r="AR531" s="53"/>
      <c r="AS531" s="72"/>
      <c r="AT531" s="24">
        <f t="shared" si="206"/>
        <v>0</v>
      </c>
      <c r="AU531" s="42"/>
      <c r="AV531" s="53"/>
      <c r="AW531" s="53"/>
      <c r="AX531" s="53"/>
      <c r="AY531" s="72"/>
      <c r="AZ531" s="24">
        <f t="shared" si="207"/>
        <v>0</v>
      </c>
      <c r="BA531" s="24">
        <f t="shared" si="208"/>
        <v>5</v>
      </c>
      <c r="BB531" s="83">
        <v>44006</v>
      </c>
    </row>
    <row r="532" spans="1:55" ht="14.25" x14ac:dyDescent="0.15">
      <c r="A532" s="21"/>
      <c r="B532" s="14"/>
      <c r="C532" s="15"/>
      <c r="D532" s="15"/>
      <c r="E532" s="15"/>
      <c r="F532" s="15"/>
      <c r="G532" s="24">
        <f t="shared" si="194"/>
        <v>0</v>
      </c>
      <c r="H532" s="14"/>
      <c r="I532" s="15"/>
      <c r="J532" s="15"/>
      <c r="K532" s="15"/>
      <c r="L532" s="15"/>
      <c r="M532" s="24">
        <f t="shared" si="195"/>
        <v>0</v>
      </c>
      <c r="N532" s="15"/>
      <c r="O532" s="55"/>
      <c r="P532" s="55"/>
      <c r="Q532" s="55"/>
      <c r="R532" s="67"/>
      <c r="S532" s="24">
        <f t="shared" si="196"/>
        <v>0</v>
      </c>
      <c r="T532" s="15"/>
      <c r="U532" s="55"/>
      <c r="V532" s="55"/>
      <c r="W532" s="55"/>
      <c r="X532" s="67"/>
      <c r="Y532" s="24">
        <f t="shared" si="197"/>
        <v>0</v>
      </c>
      <c r="Z532" s="24">
        <f t="shared" si="198"/>
        <v>0</v>
      </c>
      <c r="AA532" s="93"/>
      <c r="AB532" s="47" t="s">
        <v>369</v>
      </c>
      <c r="AC532" s="14"/>
      <c r="AD532" s="15">
        <v>6</v>
      </c>
      <c r="AE532" s="15"/>
      <c r="AF532" s="15"/>
      <c r="AG532" s="15">
        <v>3</v>
      </c>
      <c r="AH532" s="24">
        <f t="shared" si="204"/>
        <v>9</v>
      </c>
      <c r="AI532" s="14"/>
      <c r="AJ532" s="15">
        <v>1</v>
      </c>
      <c r="AK532" s="15"/>
      <c r="AL532" s="15"/>
      <c r="AM532" s="15"/>
      <c r="AN532" s="24">
        <f t="shared" si="205"/>
        <v>1</v>
      </c>
      <c r="AO532" s="15"/>
      <c r="AP532" s="55"/>
      <c r="AQ532" s="55"/>
      <c r="AR532" s="55">
        <v>4</v>
      </c>
      <c r="AS532" s="67"/>
      <c r="AT532" s="24">
        <f t="shared" si="206"/>
        <v>4</v>
      </c>
      <c r="AU532" s="15">
        <v>3</v>
      </c>
      <c r="AV532" s="55">
        <v>1</v>
      </c>
      <c r="AW532" s="55"/>
      <c r="AX532" s="55">
        <v>2</v>
      </c>
      <c r="AY532" s="67"/>
      <c r="AZ532" s="24">
        <f t="shared" si="207"/>
        <v>6</v>
      </c>
      <c r="BA532" s="24">
        <f t="shared" si="208"/>
        <v>20</v>
      </c>
      <c r="BB532" s="83">
        <v>44011</v>
      </c>
    </row>
    <row r="533" spans="1:55" ht="14.25" x14ac:dyDescent="0.15">
      <c r="A533" s="21"/>
      <c r="B533" s="14"/>
      <c r="C533" s="15"/>
      <c r="D533" s="15"/>
      <c r="E533" s="15"/>
      <c r="F533" s="15"/>
      <c r="G533" s="24">
        <f t="shared" si="194"/>
        <v>0</v>
      </c>
      <c r="H533" s="14"/>
      <c r="I533" s="15"/>
      <c r="J533" s="15"/>
      <c r="K533" s="15"/>
      <c r="L533" s="15"/>
      <c r="M533" s="24">
        <f t="shared" si="195"/>
        <v>0</v>
      </c>
      <c r="N533" s="15"/>
      <c r="O533" s="55"/>
      <c r="P533" s="55"/>
      <c r="Q533" s="55"/>
      <c r="R533" s="67"/>
      <c r="S533" s="24">
        <f t="shared" si="196"/>
        <v>0</v>
      </c>
      <c r="T533" s="15"/>
      <c r="U533" s="55"/>
      <c r="V533" s="55"/>
      <c r="W533" s="55"/>
      <c r="X533" s="67"/>
      <c r="Y533" s="24">
        <f t="shared" si="197"/>
        <v>0</v>
      </c>
      <c r="Z533" s="24">
        <f t="shared" si="198"/>
        <v>0</v>
      </c>
      <c r="AA533" s="83"/>
      <c r="AB533" s="47" t="s">
        <v>328</v>
      </c>
      <c r="AC533" s="14"/>
      <c r="AD533" s="15"/>
      <c r="AE533" s="15"/>
      <c r="AF533" s="15">
        <v>1</v>
      </c>
      <c r="AG533" s="15"/>
      <c r="AH533" s="24">
        <f t="shared" si="204"/>
        <v>1</v>
      </c>
      <c r="AI533" s="14"/>
      <c r="AJ533" s="15"/>
      <c r="AK533" s="15"/>
      <c r="AL533" s="15"/>
      <c r="AM533" s="15"/>
      <c r="AN533" s="24">
        <f t="shared" si="205"/>
        <v>0</v>
      </c>
      <c r="AO533" s="15"/>
      <c r="AP533" s="55"/>
      <c r="AQ533" s="55"/>
      <c r="AR533" s="55"/>
      <c r="AS533" s="67"/>
      <c r="AT533" s="24">
        <f t="shared" si="206"/>
        <v>0</v>
      </c>
      <c r="AU533" s="15"/>
      <c r="AV533" s="55"/>
      <c r="AW533" s="55"/>
      <c r="AX533" s="55"/>
      <c r="AY533" s="67"/>
      <c r="AZ533" s="24">
        <f t="shared" si="207"/>
        <v>0</v>
      </c>
      <c r="BA533" s="24">
        <f t="shared" si="208"/>
        <v>1</v>
      </c>
      <c r="BB533" s="83">
        <v>44006</v>
      </c>
    </row>
    <row r="534" spans="1:55" ht="14.25" x14ac:dyDescent="0.15">
      <c r="A534" s="23"/>
      <c r="B534" s="14"/>
      <c r="C534" s="15"/>
      <c r="D534" s="15"/>
      <c r="E534" s="15"/>
      <c r="F534" s="15"/>
      <c r="G534" s="24">
        <f t="shared" si="194"/>
        <v>0</v>
      </c>
      <c r="H534" s="14"/>
      <c r="I534" s="15"/>
      <c r="J534" s="15"/>
      <c r="K534" s="15"/>
      <c r="L534" s="15"/>
      <c r="M534" s="24">
        <f t="shared" si="195"/>
        <v>0</v>
      </c>
      <c r="N534" s="15"/>
      <c r="O534" s="55"/>
      <c r="P534" s="55"/>
      <c r="Q534" s="55"/>
      <c r="R534" s="67"/>
      <c r="S534" s="24">
        <f t="shared" si="196"/>
        <v>0</v>
      </c>
      <c r="T534" s="15"/>
      <c r="U534" s="55"/>
      <c r="V534" s="55"/>
      <c r="W534" s="55"/>
      <c r="X534" s="67"/>
      <c r="Y534" s="24">
        <f t="shared" si="197"/>
        <v>0</v>
      </c>
      <c r="Z534" s="24">
        <f t="shared" si="198"/>
        <v>0</v>
      </c>
      <c r="AB534" s="21" t="s">
        <v>29</v>
      </c>
      <c r="AC534" s="14"/>
      <c r="AD534" s="15"/>
      <c r="AE534" s="15">
        <v>5</v>
      </c>
      <c r="AF534" s="15"/>
      <c r="AG534" s="15"/>
      <c r="AH534" s="24">
        <f t="shared" si="204"/>
        <v>5</v>
      </c>
      <c r="AI534" s="14"/>
      <c r="AJ534" s="15"/>
      <c r="AK534" s="15"/>
      <c r="AL534" s="15">
        <v>10</v>
      </c>
      <c r="AM534" s="15"/>
      <c r="AN534" s="24">
        <f t="shared" si="205"/>
        <v>10</v>
      </c>
      <c r="AO534" s="15"/>
      <c r="AP534" s="55"/>
      <c r="AQ534" s="55"/>
      <c r="AR534" s="55"/>
      <c r="AS534" s="67"/>
      <c r="AT534" s="24">
        <f t="shared" si="206"/>
        <v>0</v>
      </c>
      <c r="AU534" s="15"/>
      <c r="AV534" s="55"/>
      <c r="AW534" s="55"/>
      <c r="AX534" s="55"/>
      <c r="AY534" s="67"/>
      <c r="AZ534" s="24">
        <f t="shared" si="207"/>
        <v>0</v>
      </c>
      <c r="BA534" s="24">
        <f t="shared" si="208"/>
        <v>15</v>
      </c>
      <c r="BB534" s="83">
        <v>44008</v>
      </c>
    </row>
    <row r="535" spans="1:55" ht="14.25" x14ac:dyDescent="0.15">
      <c r="A535" s="23"/>
      <c r="B535" s="14"/>
      <c r="C535" s="15"/>
      <c r="D535" s="15"/>
      <c r="E535" s="15"/>
      <c r="F535" s="15"/>
      <c r="G535" s="24">
        <f t="shared" si="194"/>
        <v>0</v>
      </c>
      <c r="H535" s="14"/>
      <c r="I535" s="15"/>
      <c r="J535" s="15"/>
      <c r="K535" s="15"/>
      <c r="L535" s="15"/>
      <c r="M535" s="24">
        <f t="shared" si="195"/>
        <v>0</v>
      </c>
      <c r="N535" s="15"/>
      <c r="O535" s="55"/>
      <c r="P535" s="55"/>
      <c r="Q535" s="55"/>
      <c r="R535" s="67"/>
      <c r="S535" s="24">
        <f t="shared" si="196"/>
        <v>0</v>
      </c>
      <c r="T535" s="15"/>
      <c r="U535" s="55"/>
      <c r="V535" s="55"/>
      <c r="W535" s="55"/>
      <c r="X535" s="67"/>
      <c r="Y535" s="24">
        <f t="shared" si="197"/>
        <v>0</v>
      </c>
      <c r="Z535" s="24">
        <f t="shared" si="198"/>
        <v>0</v>
      </c>
      <c r="AB535" s="21" t="s">
        <v>29</v>
      </c>
      <c r="AC535" s="14"/>
      <c r="AD535" s="15"/>
      <c r="AE535" s="15"/>
      <c r="AF535" s="15"/>
      <c r="AG535" s="15">
        <v>5</v>
      </c>
      <c r="AH535" s="24">
        <f t="shared" si="204"/>
        <v>5</v>
      </c>
      <c r="AI535" s="14"/>
      <c r="AJ535" s="15"/>
      <c r="AK535" s="15"/>
      <c r="AL535" s="15"/>
      <c r="AM535" s="15"/>
      <c r="AN535" s="24">
        <f t="shared" si="205"/>
        <v>0</v>
      </c>
      <c r="AO535" s="15"/>
      <c r="AP535" s="55"/>
      <c r="AQ535" s="55"/>
      <c r="AR535" s="55"/>
      <c r="AS535" s="67"/>
      <c r="AT535" s="24">
        <f t="shared" si="206"/>
        <v>0</v>
      </c>
      <c r="AU535" s="15"/>
      <c r="AV535" s="55"/>
      <c r="AW535" s="55"/>
      <c r="AX535" s="55"/>
      <c r="AY535" s="67"/>
      <c r="AZ535" s="24">
        <f t="shared" si="207"/>
        <v>0</v>
      </c>
      <c r="BA535" s="24">
        <f t="shared" si="208"/>
        <v>5</v>
      </c>
      <c r="BB535" s="83">
        <v>44011</v>
      </c>
    </row>
    <row r="536" spans="1:55" ht="14.25" x14ac:dyDescent="0.15">
      <c r="A536" s="23"/>
      <c r="B536" s="14"/>
      <c r="C536" s="15"/>
      <c r="D536" s="15"/>
      <c r="E536" s="15"/>
      <c r="F536" s="15"/>
      <c r="G536" s="24">
        <f t="shared" si="194"/>
        <v>0</v>
      </c>
      <c r="H536" s="14"/>
      <c r="I536" s="15"/>
      <c r="J536" s="15"/>
      <c r="K536" s="15"/>
      <c r="L536" s="15"/>
      <c r="M536" s="24">
        <f t="shared" si="195"/>
        <v>0</v>
      </c>
      <c r="N536" s="15"/>
      <c r="O536" s="55"/>
      <c r="P536" s="55"/>
      <c r="Q536" s="55"/>
      <c r="R536" s="67"/>
      <c r="S536" s="24">
        <f t="shared" si="196"/>
        <v>0</v>
      </c>
      <c r="T536" s="15"/>
      <c r="U536" s="55"/>
      <c r="V536" s="55"/>
      <c r="W536" s="55"/>
      <c r="X536" s="67"/>
      <c r="Y536" s="24">
        <f t="shared" si="197"/>
        <v>0</v>
      </c>
      <c r="Z536" s="24">
        <f t="shared" si="198"/>
        <v>0</v>
      </c>
      <c r="AB536" s="47" t="s">
        <v>328</v>
      </c>
      <c r="AC536" s="14"/>
      <c r="AD536" s="15"/>
      <c r="AE536" s="15"/>
      <c r="AF536" s="15"/>
      <c r="AG536" s="15"/>
      <c r="AH536" s="24">
        <f t="shared" si="204"/>
        <v>0</v>
      </c>
      <c r="AI536" s="14"/>
      <c r="AJ536" s="15"/>
      <c r="AK536" s="15"/>
      <c r="AL536" s="15"/>
      <c r="AM536" s="15"/>
      <c r="AN536" s="24">
        <f t="shared" si="205"/>
        <v>0</v>
      </c>
      <c r="AO536" s="15"/>
      <c r="AP536" s="55"/>
      <c r="AQ536" s="55"/>
      <c r="AR536" s="55">
        <v>1</v>
      </c>
      <c r="AS536" s="67"/>
      <c r="AT536" s="24">
        <f t="shared" si="206"/>
        <v>1</v>
      </c>
      <c r="AU536" s="15"/>
      <c r="AV536" s="55"/>
      <c r="AW536" s="55"/>
      <c r="AX536" s="55"/>
      <c r="AY536" s="67"/>
      <c r="AZ536" s="24">
        <f t="shared" si="207"/>
        <v>0</v>
      </c>
      <c r="BA536" s="24">
        <f t="shared" si="208"/>
        <v>1</v>
      </c>
      <c r="BB536" s="83">
        <v>44008</v>
      </c>
      <c r="BC536" s="111"/>
    </row>
    <row r="537" spans="1:55" ht="14.25" x14ac:dyDescent="0.15">
      <c r="A537" s="23"/>
      <c r="B537" s="14"/>
      <c r="C537" s="15"/>
      <c r="D537" s="15"/>
      <c r="E537" s="15"/>
      <c r="F537" s="15"/>
      <c r="G537" s="24">
        <f t="shared" si="194"/>
        <v>0</v>
      </c>
      <c r="H537" s="14"/>
      <c r="I537" s="15"/>
      <c r="J537" s="15"/>
      <c r="K537" s="15"/>
      <c r="L537" s="15"/>
      <c r="M537" s="24">
        <f t="shared" si="195"/>
        <v>0</v>
      </c>
      <c r="N537" s="15"/>
      <c r="O537" s="55"/>
      <c r="P537" s="55"/>
      <c r="Q537" s="55"/>
      <c r="R537" s="67"/>
      <c r="S537" s="24">
        <f t="shared" si="196"/>
        <v>0</v>
      </c>
      <c r="T537" s="15"/>
      <c r="U537" s="55"/>
      <c r="V537" s="55"/>
      <c r="W537" s="55"/>
      <c r="X537" s="67"/>
      <c r="Y537" s="24">
        <f t="shared" si="197"/>
        <v>0</v>
      </c>
      <c r="Z537" s="24">
        <f t="shared" si="198"/>
        <v>0</v>
      </c>
      <c r="AB537" s="47" t="s">
        <v>370</v>
      </c>
      <c r="AC537" s="14">
        <v>2</v>
      </c>
      <c r="AD537" s="15">
        <v>10</v>
      </c>
      <c r="AE537" s="15">
        <v>1</v>
      </c>
      <c r="AF537" s="15">
        <v>4</v>
      </c>
      <c r="AG537" s="15">
        <v>4</v>
      </c>
      <c r="AH537" s="24">
        <f t="shared" si="204"/>
        <v>21</v>
      </c>
      <c r="AI537" s="14"/>
      <c r="AJ537" s="15">
        <v>2</v>
      </c>
      <c r="AK537" s="15">
        <v>2</v>
      </c>
      <c r="AL537" s="15"/>
      <c r="AM537" s="15"/>
      <c r="AN537" s="24">
        <f t="shared" si="205"/>
        <v>4</v>
      </c>
      <c r="AO537" s="15"/>
      <c r="AP537" s="55">
        <v>2</v>
      </c>
      <c r="AQ537" s="55"/>
      <c r="AR537" s="55"/>
      <c r="AS537" s="67">
        <v>2</v>
      </c>
      <c r="AT537" s="24">
        <f t="shared" si="206"/>
        <v>4</v>
      </c>
      <c r="AU537" s="15"/>
      <c r="AV537" s="55">
        <v>2</v>
      </c>
      <c r="AW537" s="55">
        <v>2</v>
      </c>
      <c r="AX537" s="55"/>
      <c r="AY537" s="67"/>
      <c r="AZ537" s="24">
        <f t="shared" si="207"/>
        <v>4</v>
      </c>
      <c r="BA537" s="24">
        <f t="shared" si="208"/>
        <v>33</v>
      </c>
      <c r="BB537" s="83">
        <v>44016</v>
      </c>
      <c r="BC537" s="111"/>
    </row>
    <row r="538" spans="1:55" ht="14.25" x14ac:dyDescent="0.15">
      <c r="A538" s="23"/>
      <c r="B538" s="44"/>
      <c r="C538" s="45"/>
      <c r="D538" s="45"/>
      <c r="E538" s="45"/>
      <c r="F538" s="45"/>
      <c r="G538" s="43">
        <f t="shared" si="194"/>
        <v>0</v>
      </c>
      <c r="H538" s="44"/>
      <c r="I538" s="45"/>
      <c r="J538" s="45"/>
      <c r="K538" s="45"/>
      <c r="L538" s="45"/>
      <c r="M538" s="43">
        <f t="shared" si="195"/>
        <v>0</v>
      </c>
      <c r="N538" s="42"/>
      <c r="O538" s="53"/>
      <c r="P538" s="53"/>
      <c r="Q538" s="53"/>
      <c r="R538" s="72"/>
      <c r="S538" s="24">
        <f t="shared" si="196"/>
        <v>0</v>
      </c>
      <c r="T538" s="42"/>
      <c r="U538" s="53"/>
      <c r="V538" s="53"/>
      <c r="W538" s="53"/>
      <c r="X538" s="72"/>
      <c r="Y538" s="24">
        <f t="shared" si="197"/>
        <v>0</v>
      </c>
      <c r="Z538" s="24">
        <f t="shared" si="198"/>
        <v>0</v>
      </c>
      <c r="AB538" s="21" t="s">
        <v>29</v>
      </c>
      <c r="AC538" s="14"/>
      <c r="AD538" s="15"/>
      <c r="AE538" s="15">
        <v>5</v>
      </c>
      <c r="AF538" s="15"/>
      <c r="AG538" s="15"/>
      <c r="AH538" s="24">
        <f t="shared" si="204"/>
        <v>5</v>
      </c>
      <c r="AI538" s="14"/>
      <c r="AJ538" s="15"/>
      <c r="AK538" s="15"/>
      <c r="AL538" s="15"/>
      <c r="AM538" s="15"/>
      <c r="AN538" s="24">
        <f t="shared" si="205"/>
        <v>0</v>
      </c>
      <c r="AO538" s="15"/>
      <c r="AP538" s="55"/>
      <c r="AQ538" s="55"/>
      <c r="AR538" s="55"/>
      <c r="AS538" s="67"/>
      <c r="AT538" s="24">
        <f t="shared" si="206"/>
        <v>0</v>
      </c>
      <c r="AU538" s="15"/>
      <c r="AV538" s="55"/>
      <c r="AW538" s="55"/>
      <c r="AX538" s="55"/>
      <c r="AY538" s="67"/>
      <c r="AZ538" s="24">
        <f t="shared" si="207"/>
        <v>0</v>
      </c>
      <c r="BA538" s="24">
        <f t="shared" si="208"/>
        <v>5</v>
      </c>
      <c r="BB538" s="83">
        <v>44015</v>
      </c>
      <c r="BC538" s="111"/>
    </row>
    <row r="539" spans="1:55" ht="14.25" x14ac:dyDescent="0.15">
      <c r="A539" s="110"/>
      <c r="B539" s="41"/>
      <c r="C539" s="42"/>
      <c r="D539" s="42"/>
      <c r="E539" s="42"/>
      <c r="F539" s="42"/>
      <c r="G539" s="43">
        <f t="shared" si="194"/>
        <v>0</v>
      </c>
      <c r="H539" s="41"/>
      <c r="I539" s="42"/>
      <c r="J539" s="42"/>
      <c r="K539" s="42"/>
      <c r="L539" s="42"/>
      <c r="M539" s="43">
        <f t="shared" si="195"/>
        <v>0</v>
      </c>
      <c r="N539" s="42"/>
      <c r="O539" s="53"/>
      <c r="P539" s="53"/>
      <c r="Q539" s="53"/>
      <c r="R539" s="72"/>
      <c r="S539" s="24">
        <f t="shared" si="196"/>
        <v>0</v>
      </c>
      <c r="T539" s="42"/>
      <c r="U539" s="53"/>
      <c r="V539" s="53"/>
      <c r="W539" s="53"/>
      <c r="X539" s="72"/>
      <c r="Y539" s="24">
        <f t="shared" si="197"/>
        <v>0</v>
      </c>
      <c r="Z539" s="24">
        <f t="shared" si="198"/>
        <v>0</v>
      </c>
      <c r="AB539" s="47" t="s">
        <v>371</v>
      </c>
      <c r="AC539" s="14"/>
      <c r="AD539" s="15"/>
      <c r="AE539" s="15"/>
      <c r="AF539" s="15"/>
      <c r="AG539" s="15"/>
      <c r="AH539" s="24">
        <f t="shared" si="204"/>
        <v>0</v>
      </c>
      <c r="AI539" s="14"/>
      <c r="AJ539" s="15"/>
      <c r="AK539" s="15"/>
      <c r="AL539" s="15"/>
      <c r="AM539" s="15"/>
      <c r="AN539" s="24">
        <f t="shared" si="205"/>
        <v>0</v>
      </c>
      <c r="AO539" s="15"/>
      <c r="AP539" s="55"/>
      <c r="AQ539" s="55"/>
      <c r="AR539" s="55"/>
      <c r="AS539" s="67"/>
      <c r="AT539" s="24">
        <f t="shared" si="206"/>
        <v>0</v>
      </c>
      <c r="AU539" s="15"/>
      <c r="AV539" s="55"/>
      <c r="AW539" s="55"/>
      <c r="AX539" s="55"/>
      <c r="AY539" s="67">
        <v>3</v>
      </c>
      <c r="AZ539" s="24">
        <f t="shared" si="207"/>
        <v>3</v>
      </c>
      <c r="BA539" s="24">
        <f t="shared" si="208"/>
        <v>3</v>
      </c>
      <c r="BB539" s="83">
        <v>44022</v>
      </c>
      <c r="BC539" s="111"/>
    </row>
    <row r="540" spans="1:55" ht="14.25" x14ac:dyDescent="0.15">
      <c r="A540" s="23"/>
      <c r="B540" s="41"/>
      <c r="C540" s="42"/>
      <c r="D540" s="42"/>
      <c r="E540" s="42"/>
      <c r="F540" s="42"/>
      <c r="G540" s="43">
        <f t="shared" si="194"/>
        <v>0</v>
      </c>
      <c r="H540" s="41"/>
      <c r="I540" s="42"/>
      <c r="J540" s="42"/>
      <c r="K540" s="42"/>
      <c r="L540" s="42"/>
      <c r="M540" s="43">
        <f t="shared" si="195"/>
        <v>0</v>
      </c>
      <c r="N540" s="42"/>
      <c r="O540" s="53"/>
      <c r="P540" s="53"/>
      <c r="Q540" s="53"/>
      <c r="R540" s="72"/>
      <c r="S540" s="24">
        <f t="shared" si="196"/>
        <v>0</v>
      </c>
      <c r="T540" s="42"/>
      <c r="U540" s="53"/>
      <c r="V540" s="53"/>
      <c r="W540" s="53"/>
      <c r="X540" s="72"/>
      <c r="Y540" s="24">
        <f t="shared" si="197"/>
        <v>0</v>
      </c>
      <c r="Z540" s="24">
        <f t="shared" si="198"/>
        <v>0</v>
      </c>
      <c r="AB540" s="47" t="s">
        <v>372</v>
      </c>
      <c r="AC540" s="14"/>
      <c r="AD540" s="15"/>
      <c r="AE540" s="15"/>
      <c r="AF540" s="15"/>
      <c r="AG540" s="15"/>
      <c r="AH540" s="24">
        <f t="shared" si="204"/>
        <v>0</v>
      </c>
      <c r="AI540" s="14"/>
      <c r="AJ540" s="15"/>
      <c r="AK540" s="15"/>
      <c r="AL540" s="15"/>
      <c r="AM540" s="15">
        <v>5</v>
      </c>
      <c r="AN540" s="24">
        <f t="shared" si="205"/>
        <v>5</v>
      </c>
      <c r="AO540" s="15"/>
      <c r="AP540" s="55"/>
      <c r="AQ540" s="55"/>
      <c r="AR540" s="55"/>
      <c r="AS540" s="67"/>
      <c r="AT540" s="24">
        <f t="shared" si="206"/>
        <v>0</v>
      </c>
      <c r="AU540" s="15"/>
      <c r="AV540" s="55"/>
      <c r="AW540" s="55"/>
      <c r="AX540" s="55"/>
      <c r="AY540" s="67"/>
      <c r="AZ540" s="24">
        <f t="shared" si="207"/>
        <v>0</v>
      </c>
      <c r="BA540" s="24">
        <f t="shared" si="208"/>
        <v>5</v>
      </c>
      <c r="BB540" s="83">
        <v>44021</v>
      </c>
      <c r="BC540" s="111"/>
    </row>
    <row r="541" spans="1:55" ht="14.25" x14ac:dyDescent="0.15">
      <c r="A541" s="23"/>
      <c r="B541" s="41"/>
      <c r="C541" s="42"/>
      <c r="D541" s="42"/>
      <c r="E541" s="42"/>
      <c r="F541" s="42"/>
      <c r="G541" s="43">
        <f t="shared" si="194"/>
        <v>0</v>
      </c>
      <c r="H541" s="41"/>
      <c r="I541" s="42"/>
      <c r="J541" s="42"/>
      <c r="K541" s="42"/>
      <c r="L541" s="42"/>
      <c r="M541" s="43">
        <f t="shared" si="195"/>
        <v>0</v>
      </c>
      <c r="N541" s="42"/>
      <c r="O541" s="53"/>
      <c r="P541" s="53"/>
      <c r="Q541" s="53"/>
      <c r="R541" s="72"/>
      <c r="S541" s="24">
        <f>SUM(N541:R541)</f>
        <v>0</v>
      </c>
      <c r="T541" s="42"/>
      <c r="U541" s="53"/>
      <c r="V541" s="53"/>
      <c r="W541" s="53"/>
      <c r="X541" s="72"/>
      <c r="Y541" s="24">
        <f>SUM(T541:X541)</f>
        <v>0</v>
      </c>
      <c r="Z541" s="24">
        <f>G541+M541+S541+Y541</f>
        <v>0</v>
      </c>
      <c r="AB541" s="47"/>
      <c r="AC541" s="14"/>
      <c r="AD541" s="15"/>
      <c r="AE541" s="15"/>
      <c r="AF541" s="15"/>
      <c r="AG541" s="15"/>
      <c r="AH541" s="24">
        <f>SUM(AC541:AG541)</f>
        <v>0</v>
      </c>
      <c r="AI541" s="14"/>
      <c r="AJ541" s="15"/>
      <c r="AK541" s="15"/>
      <c r="AL541" s="15"/>
      <c r="AM541" s="15"/>
      <c r="AN541" s="24">
        <f>SUM(AI541:AM541)</f>
        <v>0</v>
      </c>
      <c r="AO541" s="15"/>
      <c r="AP541" s="55"/>
      <c r="AQ541" s="55"/>
      <c r="AR541" s="55"/>
      <c r="AS541" s="67"/>
      <c r="AT541" s="24">
        <f>SUM(AO541:AS541)</f>
        <v>0</v>
      </c>
      <c r="AU541" s="15"/>
      <c r="AV541" s="55"/>
      <c r="AW541" s="55"/>
      <c r="AX541" s="55"/>
      <c r="AY541" s="67"/>
      <c r="AZ541" s="24">
        <f>SUM(AU541:AY541)</f>
        <v>0</v>
      </c>
      <c r="BA541" s="24">
        <f>AH541+AN541+AT541+AZ541</f>
        <v>0</v>
      </c>
      <c r="BB541" s="128"/>
      <c r="BC541" s="111"/>
    </row>
    <row r="542" spans="1:55" ht="14.25" thickBot="1" x14ac:dyDescent="0.2">
      <c r="A542" s="47"/>
      <c r="B542" s="44"/>
      <c r="C542" s="45"/>
      <c r="D542" s="45"/>
      <c r="E542" s="45"/>
      <c r="F542" s="45"/>
      <c r="G542" s="43">
        <f t="shared" si="194"/>
        <v>0</v>
      </c>
      <c r="H542" s="44"/>
      <c r="I542" s="45"/>
      <c r="J542" s="45"/>
      <c r="K542" s="45"/>
      <c r="L542" s="45"/>
      <c r="M542" s="112">
        <f t="shared" si="195"/>
        <v>0</v>
      </c>
      <c r="N542" s="45"/>
      <c r="O542" s="78"/>
      <c r="P542" s="78"/>
      <c r="Q542" s="78"/>
      <c r="R542" s="79"/>
      <c r="S542" s="113">
        <f>SUM(N542:R542)</f>
        <v>0</v>
      </c>
      <c r="T542" s="45"/>
      <c r="U542" s="78"/>
      <c r="V542" s="78"/>
      <c r="W542" s="78"/>
      <c r="X542" s="79"/>
      <c r="Y542" s="113">
        <f>SUM(T542:X542)</f>
        <v>0</v>
      </c>
      <c r="Z542" s="82">
        <f>G542+M542+S542+Y542</f>
        <v>0</v>
      </c>
      <c r="AB542" s="47" t="s">
        <v>328</v>
      </c>
      <c r="AC542" s="14"/>
      <c r="AD542" s="15"/>
      <c r="AE542" s="15"/>
      <c r="AF542" s="15"/>
      <c r="AG542" s="15"/>
      <c r="AH542" s="24">
        <f>SUM(AC542:AG542)</f>
        <v>0</v>
      </c>
      <c r="AI542" s="14"/>
      <c r="AJ542" s="15"/>
      <c r="AK542" s="15"/>
      <c r="AL542" s="15"/>
      <c r="AM542" s="15"/>
      <c r="AN542" s="24">
        <f>SUM(AI542:AM542)</f>
        <v>0</v>
      </c>
      <c r="AO542" s="15"/>
      <c r="AP542" s="55"/>
      <c r="AQ542" s="55"/>
      <c r="AR542" s="55"/>
      <c r="AS542" s="67"/>
      <c r="AT542" s="24">
        <f>SUM(AO542:AS542)</f>
        <v>0</v>
      </c>
      <c r="AU542" s="15"/>
      <c r="AV542" s="55"/>
      <c r="AW542" s="55"/>
      <c r="AX542" s="55"/>
      <c r="AY542" s="67"/>
      <c r="AZ542" s="24">
        <f>SUM(AU542:AY542)</f>
        <v>0</v>
      </c>
      <c r="BA542" s="24">
        <f>AH542+AN542+AT542+AZ542</f>
        <v>0</v>
      </c>
      <c r="BB542" s="128" t="s">
        <v>329</v>
      </c>
    </row>
    <row r="543" spans="1:55" ht="15" thickBot="1" x14ac:dyDescent="0.2">
      <c r="A543" s="9" t="s">
        <v>13</v>
      </c>
      <c r="B543" s="25">
        <f>SUM(B517:B542)</f>
        <v>1</v>
      </c>
      <c r="C543" s="26">
        <f>SUM(C517:C542)</f>
        <v>2</v>
      </c>
      <c r="D543" s="26">
        <f>SUM(D517:D542)</f>
        <v>2</v>
      </c>
      <c r="E543" s="26">
        <f>SUM(E517:E542)</f>
        <v>1</v>
      </c>
      <c r="F543" s="27">
        <f>SUM(F517:F542)</f>
        <v>1</v>
      </c>
      <c r="G543" s="19">
        <f>SUM(B543:F543)</f>
        <v>7</v>
      </c>
      <c r="H543" s="25">
        <f>SUM(H517:H542)</f>
        <v>0</v>
      </c>
      <c r="I543" s="26">
        <f>SUM(I517:I542)</f>
        <v>0</v>
      </c>
      <c r="J543" s="26">
        <f>SUM(J517:J542)</f>
        <v>0</v>
      </c>
      <c r="K543" s="26">
        <f>SUM(K517:K542)</f>
        <v>1</v>
      </c>
      <c r="L543" s="27">
        <f>SUM(L517:L542)</f>
        <v>3</v>
      </c>
      <c r="M543" s="25">
        <f>SUM(H543:L543)</f>
        <v>4</v>
      </c>
      <c r="N543" s="65">
        <f>SUM(N517:N542)</f>
        <v>4</v>
      </c>
      <c r="O543" s="18">
        <f>SUM(O517:O542)</f>
        <v>7</v>
      </c>
      <c r="P543" s="18">
        <f>SUM(P517:P542)</f>
        <v>3</v>
      </c>
      <c r="Q543" s="18">
        <f>SUM(Q517:Q542)</f>
        <v>3</v>
      </c>
      <c r="R543" s="70">
        <f>SUM(R517:R542)</f>
        <v>4</v>
      </c>
      <c r="S543" s="49">
        <f>SUM(N543:R543)</f>
        <v>21</v>
      </c>
      <c r="T543" s="74">
        <f>SUM(T517:T542)</f>
        <v>1</v>
      </c>
      <c r="U543" s="18">
        <f>SUM(U517:U542)</f>
        <v>3</v>
      </c>
      <c r="V543" s="18">
        <f>SUM(V517:V542)</f>
        <v>5</v>
      </c>
      <c r="W543" s="18">
        <f>SUM(W517:W542)</f>
        <v>1</v>
      </c>
      <c r="X543" s="70">
        <f>SUM(X517:X542)</f>
        <v>1</v>
      </c>
      <c r="Y543" s="49">
        <f>SUM(T543:X543)</f>
        <v>11</v>
      </c>
      <c r="Z543" s="77">
        <f>G543+M543+S543+Y543</f>
        <v>43</v>
      </c>
      <c r="AB543" s="9" t="s">
        <v>13</v>
      </c>
      <c r="AC543" s="25">
        <f>SUM(AC517:AC542)</f>
        <v>13</v>
      </c>
      <c r="AD543" s="26">
        <f>SUM(AD517:AD542)</f>
        <v>32</v>
      </c>
      <c r="AE543" s="26">
        <f>SUM(AE517:AE542)</f>
        <v>32</v>
      </c>
      <c r="AF543" s="26">
        <f>SUM(AF517:AF542)</f>
        <v>14</v>
      </c>
      <c r="AG543" s="27">
        <f>SUM(AG517:AG542)</f>
        <v>17</v>
      </c>
      <c r="AH543" s="19">
        <f>SUM(AC543:AG543)</f>
        <v>108</v>
      </c>
      <c r="AI543" s="25">
        <f>SUM(AI517:AI542)</f>
        <v>1</v>
      </c>
      <c r="AJ543" s="26">
        <f>SUM(AJ517:AJ542)</f>
        <v>10</v>
      </c>
      <c r="AK543" s="26">
        <f>SUM(AK517:AK542)</f>
        <v>11</v>
      </c>
      <c r="AL543" s="26">
        <f>SUM(AL517:AL542)</f>
        <v>12</v>
      </c>
      <c r="AM543" s="27">
        <f>SUM(AM517:AM542)</f>
        <v>10</v>
      </c>
      <c r="AN543" s="25">
        <f>SUM(AI543:AM543)</f>
        <v>44</v>
      </c>
      <c r="AO543" s="65">
        <f>SUM(AO517:AO542)</f>
        <v>0</v>
      </c>
      <c r="AP543" s="18">
        <f>SUM(AP517:AP542)</f>
        <v>10</v>
      </c>
      <c r="AQ543" s="18">
        <f>SUM(AQ517:AQ542)</f>
        <v>5</v>
      </c>
      <c r="AR543" s="18">
        <f>SUM(AR517:AR542)</f>
        <v>9</v>
      </c>
      <c r="AS543" s="70">
        <f>SUM(AS517:AS542)</f>
        <v>13</v>
      </c>
      <c r="AT543" s="49">
        <f>SUM(AO543:AS543)</f>
        <v>37</v>
      </c>
      <c r="AU543" s="74">
        <f>SUM(AU517:AU542)</f>
        <v>4</v>
      </c>
      <c r="AV543" s="18">
        <f>SUM(AV517:AV542)</f>
        <v>9</v>
      </c>
      <c r="AW543" s="18">
        <f>SUM(AW517:AW542)</f>
        <v>10</v>
      </c>
      <c r="AX543" s="18">
        <f>SUM(AX517:AX542)</f>
        <v>10</v>
      </c>
      <c r="AY543" s="70">
        <f>SUM(AY517:AY542)</f>
        <v>6</v>
      </c>
      <c r="AZ543" s="49">
        <f>SUM(AU543:AY543)</f>
        <v>39</v>
      </c>
      <c r="BA543" s="77">
        <f>AH543+AN543+AT543+AZ543</f>
        <v>228</v>
      </c>
    </row>
    <row r="544" spans="1:55" ht="15" thickBot="1" x14ac:dyDescent="0.2">
      <c r="A544" s="32" t="s">
        <v>14</v>
      </c>
      <c r="B544" s="29">
        <f t="shared" ref="B544:Y544" si="209">B516-B543</f>
        <v>3</v>
      </c>
      <c r="C544" s="30">
        <f t="shared" si="209"/>
        <v>4</v>
      </c>
      <c r="D544" s="30">
        <f t="shared" si="209"/>
        <v>4</v>
      </c>
      <c r="E544" s="30">
        <f t="shared" si="209"/>
        <v>1</v>
      </c>
      <c r="F544" s="31">
        <f t="shared" si="209"/>
        <v>2</v>
      </c>
      <c r="G544" s="31">
        <f t="shared" si="209"/>
        <v>14</v>
      </c>
      <c r="H544" s="29">
        <f t="shared" si="209"/>
        <v>3</v>
      </c>
      <c r="I544" s="30">
        <f t="shared" si="209"/>
        <v>2</v>
      </c>
      <c r="J544" s="30">
        <f t="shared" si="209"/>
        <v>3</v>
      </c>
      <c r="K544" s="30">
        <f t="shared" si="209"/>
        <v>3</v>
      </c>
      <c r="L544" s="31">
        <f t="shared" si="209"/>
        <v>1</v>
      </c>
      <c r="M544" s="66">
        <f t="shared" si="209"/>
        <v>12</v>
      </c>
      <c r="N544" s="29">
        <f t="shared" si="209"/>
        <v>4</v>
      </c>
      <c r="O544" s="30">
        <f t="shared" si="209"/>
        <v>3</v>
      </c>
      <c r="P544" s="30">
        <f t="shared" si="209"/>
        <v>3</v>
      </c>
      <c r="Q544" s="30">
        <f t="shared" si="209"/>
        <v>1</v>
      </c>
      <c r="R544" s="66">
        <f t="shared" si="209"/>
        <v>1</v>
      </c>
      <c r="S544" s="33">
        <f t="shared" si="209"/>
        <v>12</v>
      </c>
      <c r="T544" s="75">
        <f t="shared" si="209"/>
        <v>3</v>
      </c>
      <c r="U544" s="30">
        <f t="shared" si="209"/>
        <v>2</v>
      </c>
      <c r="V544" s="30">
        <f t="shared" si="209"/>
        <v>2</v>
      </c>
      <c r="W544" s="30">
        <f t="shared" si="209"/>
        <v>2</v>
      </c>
      <c r="X544" s="66">
        <f t="shared" si="209"/>
        <v>2</v>
      </c>
      <c r="Y544" s="33">
        <f t="shared" si="209"/>
        <v>11</v>
      </c>
      <c r="Z544" s="77">
        <f>G544+M544+S544+Y544</f>
        <v>49</v>
      </c>
      <c r="AB544" s="32" t="s">
        <v>14</v>
      </c>
      <c r="AC544" s="29">
        <f t="shared" ref="AC544:AZ544" si="210">AC516-AC543</f>
        <v>185</v>
      </c>
      <c r="AD544" s="30">
        <f t="shared" si="210"/>
        <v>177</v>
      </c>
      <c r="AE544" s="30">
        <f t="shared" si="210"/>
        <v>173</v>
      </c>
      <c r="AF544" s="30">
        <f t="shared" si="210"/>
        <v>180</v>
      </c>
      <c r="AG544" s="31">
        <f t="shared" si="210"/>
        <v>157</v>
      </c>
      <c r="AH544" s="31">
        <f t="shared" si="210"/>
        <v>872</v>
      </c>
      <c r="AI544" s="29">
        <f t="shared" si="210"/>
        <v>132</v>
      </c>
      <c r="AJ544" s="30">
        <f t="shared" si="210"/>
        <v>137</v>
      </c>
      <c r="AK544" s="30">
        <f t="shared" si="210"/>
        <v>137</v>
      </c>
      <c r="AL544" s="30">
        <f t="shared" si="210"/>
        <v>131</v>
      </c>
      <c r="AM544" s="31">
        <f t="shared" si="210"/>
        <v>138</v>
      </c>
      <c r="AN544" s="66">
        <f t="shared" si="210"/>
        <v>675</v>
      </c>
      <c r="AO544" s="29">
        <f t="shared" si="210"/>
        <v>168</v>
      </c>
      <c r="AP544" s="30">
        <f t="shared" si="210"/>
        <v>159</v>
      </c>
      <c r="AQ544" s="30">
        <f t="shared" si="210"/>
        <v>156</v>
      </c>
      <c r="AR544" s="30">
        <f t="shared" si="210"/>
        <v>175</v>
      </c>
      <c r="AS544" s="66">
        <f t="shared" si="210"/>
        <v>181</v>
      </c>
      <c r="AT544" s="33">
        <f t="shared" si="210"/>
        <v>839</v>
      </c>
      <c r="AU544" s="75">
        <f t="shared" si="210"/>
        <v>122</v>
      </c>
      <c r="AV544" s="30">
        <f t="shared" si="210"/>
        <v>91</v>
      </c>
      <c r="AW544" s="30">
        <f t="shared" si="210"/>
        <v>102</v>
      </c>
      <c r="AX544" s="30">
        <f t="shared" si="210"/>
        <v>96</v>
      </c>
      <c r="AY544" s="66">
        <f t="shared" si="210"/>
        <v>146</v>
      </c>
      <c r="AZ544" s="33">
        <f t="shared" si="210"/>
        <v>557</v>
      </c>
      <c r="BA544" s="77">
        <f>AH544+AN544+AT544+AZ544</f>
        <v>2943</v>
      </c>
    </row>
    <row r="547" spans="1:54" ht="19.5" thickBot="1" x14ac:dyDescent="0.25">
      <c r="A547" s="1" t="s">
        <v>15</v>
      </c>
      <c r="AB547" s="1" t="s">
        <v>16</v>
      </c>
    </row>
    <row r="548" spans="1:54" ht="15" thickBot="1" x14ac:dyDescent="0.2">
      <c r="A548" s="4"/>
      <c r="B548" s="245" t="s">
        <v>17</v>
      </c>
      <c r="C548" s="246"/>
      <c r="D548" s="246"/>
      <c r="E548" s="246"/>
      <c r="F548" s="246"/>
      <c r="G548" s="247"/>
      <c r="H548" s="245" t="s">
        <v>18</v>
      </c>
      <c r="I548" s="246"/>
      <c r="J548" s="246"/>
      <c r="K548" s="246"/>
      <c r="L548" s="246"/>
      <c r="M548" s="247"/>
      <c r="N548" s="248" t="s">
        <v>27</v>
      </c>
      <c r="O548" s="249"/>
      <c r="P548" s="249"/>
      <c r="Q548" s="249"/>
      <c r="R548" s="249"/>
      <c r="S548" s="250"/>
      <c r="T548" s="248" t="s">
        <v>28</v>
      </c>
      <c r="U548" s="249"/>
      <c r="V548" s="249"/>
      <c r="W548" s="249"/>
      <c r="X548" s="249"/>
      <c r="Y548" s="250"/>
      <c r="Z548" s="251" t="s">
        <v>1</v>
      </c>
      <c r="AB548" s="4"/>
      <c r="AC548" s="253" t="s">
        <v>17</v>
      </c>
      <c r="AD548" s="249"/>
      <c r="AE548" s="249"/>
      <c r="AF548" s="249"/>
      <c r="AG548" s="249"/>
      <c r="AH548" s="250"/>
      <c r="AI548" s="248" t="s">
        <v>18</v>
      </c>
      <c r="AJ548" s="249"/>
      <c r="AK548" s="249"/>
      <c r="AL548" s="249"/>
      <c r="AM548" s="249"/>
      <c r="AN548" s="250"/>
      <c r="AO548" s="248" t="s">
        <v>27</v>
      </c>
      <c r="AP548" s="249"/>
      <c r="AQ548" s="249"/>
      <c r="AR548" s="249"/>
      <c r="AS548" s="249"/>
      <c r="AT548" s="250"/>
      <c r="AU548" s="248" t="s">
        <v>28</v>
      </c>
      <c r="AV548" s="249"/>
      <c r="AW548" s="249"/>
      <c r="AX548" s="249"/>
      <c r="AY548" s="249"/>
      <c r="AZ548" s="250"/>
      <c r="BA548" s="243" t="s">
        <v>1</v>
      </c>
    </row>
    <row r="549" spans="1:54" ht="15" thickBot="1" x14ac:dyDescent="0.2">
      <c r="A549" s="9" t="s">
        <v>2</v>
      </c>
      <c r="B549" s="6" t="s">
        <v>3</v>
      </c>
      <c r="C549" s="7" t="s">
        <v>4</v>
      </c>
      <c r="D549" s="7" t="s">
        <v>5</v>
      </c>
      <c r="E549" s="48" t="s">
        <v>20</v>
      </c>
      <c r="F549" s="8" t="s">
        <v>21</v>
      </c>
      <c r="G549" s="5" t="s">
        <v>6</v>
      </c>
      <c r="H549" s="6" t="s">
        <v>3</v>
      </c>
      <c r="I549" s="7" t="s">
        <v>4</v>
      </c>
      <c r="J549" s="7" t="s">
        <v>5</v>
      </c>
      <c r="K549" s="48" t="s">
        <v>20</v>
      </c>
      <c r="L549" s="8" t="s">
        <v>21</v>
      </c>
      <c r="M549" s="5" t="s">
        <v>6</v>
      </c>
      <c r="N549" s="6" t="s">
        <v>3</v>
      </c>
      <c r="O549" s="7" t="s">
        <v>4</v>
      </c>
      <c r="P549" s="7" t="s">
        <v>5</v>
      </c>
      <c r="Q549" s="48" t="s">
        <v>20</v>
      </c>
      <c r="R549" s="8" t="s">
        <v>21</v>
      </c>
      <c r="S549" s="5" t="s">
        <v>6</v>
      </c>
      <c r="T549" s="7" t="s">
        <v>3</v>
      </c>
      <c r="U549" s="7" t="s">
        <v>4</v>
      </c>
      <c r="V549" s="7" t="s">
        <v>5</v>
      </c>
      <c r="W549" s="48" t="s">
        <v>20</v>
      </c>
      <c r="X549" s="109" t="s">
        <v>21</v>
      </c>
      <c r="Y549" s="62" t="s">
        <v>6</v>
      </c>
      <c r="Z549" s="252"/>
      <c r="AB549" s="9" t="s">
        <v>2</v>
      </c>
      <c r="AC549" s="6" t="s">
        <v>3</v>
      </c>
      <c r="AD549" s="7" t="s">
        <v>4</v>
      </c>
      <c r="AE549" s="7" t="s">
        <v>5</v>
      </c>
      <c r="AF549" s="48" t="s">
        <v>20</v>
      </c>
      <c r="AG549" s="8" t="s">
        <v>21</v>
      </c>
      <c r="AH549" s="5" t="s">
        <v>6</v>
      </c>
      <c r="AI549" s="6" t="s">
        <v>3</v>
      </c>
      <c r="AJ549" s="7" t="s">
        <v>4</v>
      </c>
      <c r="AK549" s="7" t="s">
        <v>5</v>
      </c>
      <c r="AL549" s="48" t="s">
        <v>20</v>
      </c>
      <c r="AM549" s="8" t="s">
        <v>21</v>
      </c>
      <c r="AN549" s="5" t="s">
        <v>6</v>
      </c>
      <c r="AO549" s="6" t="s">
        <v>3</v>
      </c>
      <c r="AP549" s="7" t="s">
        <v>4</v>
      </c>
      <c r="AQ549" s="7" t="s">
        <v>5</v>
      </c>
      <c r="AR549" s="48" t="s">
        <v>20</v>
      </c>
      <c r="AS549" s="8" t="s">
        <v>21</v>
      </c>
      <c r="AT549" s="5" t="s">
        <v>6</v>
      </c>
      <c r="AU549" s="7" t="s">
        <v>3</v>
      </c>
      <c r="AV549" s="7" t="s">
        <v>4</v>
      </c>
      <c r="AW549" s="7" t="s">
        <v>5</v>
      </c>
      <c r="AX549" s="48" t="s">
        <v>20</v>
      </c>
      <c r="AY549" s="109" t="s">
        <v>21</v>
      </c>
      <c r="AZ549" s="62" t="s">
        <v>6</v>
      </c>
      <c r="BA549" s="244"/>
    </row>
    <row r="550" spans="1:54" ht="14.25" x14ac:dyDescent="0.15">
      <c r="A550" s="103" t="s">
        <v>43</v>
      </c>
      <c r="B550" s="104">
        <f>B544</f>
        <v>3</v>
      </c>
      <c r="C550" s="105">
        <f>C544</f>
        <v>4</v>
      </c>
      <c r="D550" s="105">
        <f>D544</f>
        <v>4</v>
      </c>
      <c r="E550" s="105">
        <f>E544</f>
        <v>1</v>
      </c>
      <c r="F550" s="105">
        <f>F544</f>
        <v>2</v>
      </c>
      <c r="G550" s="106">
        <f t="shared" ref="G550:G581" si="211">SUM(B550:F550)</f>
        <v>14</v>
      </c>
      <c r="H550" s="104">
        <f>H544</f>
        <v>3</v>
      </c>
      <c r="I550" s="105">
        <f>I544</f>
        <v>2</v>
      </c>
      <c r="J550" s="105">
        <f>J544</f>
        <v>3</v>
      </c>
      <c r="K550" s="105">
        <f>K544</f>
        <v>3</v>
      </c>
      <c r="L550" s="105">
        <f>L544</f>
        <v>1</v>
      </c>
      <c r="M550" s="107">
        <f t="shared" ref="M550:M581" si="212">SUM(H550:L550)</f>
        <v>12</v>
      </c>
      <c r="N550" s="104">
        <f>N544</f>
        <v>4</v>
      </c>
      <c r="O550" s="105">
        <f>O544</f>
        <v>3</v>
      </c>
      <c r="P550" s="105">
        <f>P544</f>
        <v>3</v>
      </c>
      <c r="Q550" s="105">
        <f>Q544</f>
        <v>1</v>
      </c>
      <c r="R550" s="105">
        <f>R544</f>
        <v>1</v>
      </c>
      <c r="S550" s="108">
        <f t="shared" ref="S550:S579" si="213">SUM(N550:R550)</f>
        <v>12</v>
      </c>
      <c r="T550" s="104">
        <f>T544</f>
        <v>3</v>
      </c>
      <c r="U550" s="105">
        <f>U544</f>
        <v>2</v>
      </c>
      <c r="V550" s="105">
        <f>V544</f>
        <v>2</v>
      </c>
      <c r="W550" s="105">
        <f>W544</f>
        <v>2</v>
      </c>
      <c r="X550" s="105">
        <f>X544</f>
        <v>2</v>
      </c>
      <c r="Y550" s="106">
        <f t="shared" ref="Y550:Y579" si="214">SUM(T550:X550)</f>
        <v>11</v>
      </c>
      <c r="Z550" s="106">
        <f t="shared" ref="Z550:Z579" si="215">G550+M550+S550+Y550</f>
        <v>49</v>
      </c>
      <c r="AB550" s="103" t="s">
        <v>43</v>
      </c>
      <c r="AC550" s="104">
        <f>AC544</f>
        <v>185</v>
      </c>
      <c r="AD550" s="105">
        <f>AD544</f>
        <v>177</v>
      </c>
      <c r="AE550" s="105">
        <f>AE544</f>
        <v>173</v>
      </c>
      <c r="AF550" s="105">
        <f>AF544</f>
        <v>180</v>
      </c>
      <c r="AG550" s="105">
        <f>AG544</f>
        <v>157</v>
      </c>
      <c r="AH550" s="106">
        <f>SUM(AC550:AG550)</f>
        <v>872</v>
      </c>
      <c r="AI550" s="104">
        <f>AI544</f>
        <v>132</v>
      </c>
      <c r="AJ550" s="105">
        <f>AJ544</f>
        <v>137</v>
      </c>
      <c r="AK550" s="105">
        <f>AK544</f>
        <v>137</v>
      </c>
      <c r="AL550" s="105">
        <f>AL544</f>
        <v>131</v>
      </c>
      <c r="AM550" s="105">
        <f>AM544</f>
        <v>138</v>
      </c>
      <c r="AN550" s="107">
        <f>SUM(AI550:AM550)</f>
        <v>675</v>
      </c>
      <c r="AO550" s="104">
        <f>AO544</f>
        <v>168</v>
      </c>
      <c r="AP550" s="105">
        <f>AP544</f>
        <v>159</v>
      </c>
      <c r="AQ550" s="105">
        <f>AQ544</f>
        <v>156</v>
      </c>
      <c r="AR550" s="105">
        <f>AR544</f>
        <v>175</v>
      </c>
      <c r="AS550" s="105">
        <f>AS544</f>
        <v>181</v>
      </c>
      <c r="AT550" s="108">
        <f>SUM(AO550:AS550)</f>
        <v>839</v>
      </c>
      <c r="AU550" s="104">
        <f>AU544</f>
        <v>122</v>
      </c>
      <c r="AV550" s="105">
        <f>AV544</f>
        <v>91</v>
      </c>
      <c r="AW550" s="105">
        <f>AW544</f>
        <v>102</v>
      </c>
      <c r="AX550" s="105">
        <f>AX544</f>
        <v>96</v>
      </c>
      <c r="AY550" s="105">
        <f>AY544</f>
        <v>146</v>
      </c>
      <c r="AZ550" s="106">
        <f>SUM(AU550:AY550)</f>
        <v>557</v>
      </c>
      <c r="BA550" s="106">
        <f>AH550+AN550+AT550+AZ550</f>
        <v>2943</v>
      </c>
    </row>
    <row r="551" spans="1:54" ht="14.25" x14ac:dyDescent="0.15">
      <c r="A551" s="10" t="s">
        <v>181</v>
      </c>
      <c r="B551" s="14"/>
      <c r="C551" s="15"/>
      <c r="D551" s="15"/>
      <c r="E551" s="15"/>
      <c r="F551" s="15"/>
      <c r="G551" s="16">
        <f t="shared" si="211"/>
        <v>0</v>
      </c>
      <c r="H551" s="14"/>
      <c r="I551" s="15"/>
      <c r="J551" s="15"/>
      <c r="K551" s="15"/>
      <c r="L551" s="15"/>
      <c r="M551" s="57">
        <f t="shared" si="212"/>
        <v>0</v>
      </c>
      <c r="N551" s="14"/>
      <c r="O551" s="55"/>
      <c r="P551" s="55"/>
      <c r="Q551" s="55"/>
      <c r="R551" s="67">
        <v>2</v>
      </c>
      <c r="S551" s="24">
        <f t="shared" si="213"/>
        <v>2</v>
      </c>
      <c r="T551" s="15"/>
      <c r="U551" s="55"/>
      <c r="V551" s="55"/>
      <c r="W551" s="55"/>
      <c r="X551" s="67">
        <v>2</v>
      </c>
      <c r="Y551" s="24">
        <f t="shared" si="214"/>
        <v>2</v>
      </c>
      <c r="Z551" s="24">
        <f t="shared" si="215"/>
        <v>4</v>
      </c>
      <c r="AA551" s="83">
        <v>44025</v>
      </c>
      <c r="AB551" s="10" t="s">
        <v>126</v>
      </c>
      <c r="AC551" s="14">
        <v>1</v>
      </c>
      <c r="AD551" s="15">
        <v>1</v>
      </c>
      <c r="AE551" s="15">
        <v>2</v>
      </c>
      <c r="AF551" s="15">
        <v>1</v>
      </c>
      <c r="AG551" s="15">
        <v>2</v>
      </c>
      <c r="AH551" s="16">
        <f>SUM(AC551:AG551)</f>
        <v>7</v>
      </c>
      <c r="AI551" s="14"/>
      <c r="AJ551" s="15">
        <v>2</v>
      </c>
      <c r="AK551" s="15">
        <v>1</v>
      </c>
      <c r="AL551" s="15"/>
      <c r="AM551" s="15"/>
      <c r="AN551" s="57">
        <f>SUM(AI551:AM551)</f>
        <v>3</v>
      </c>
      <c r="AO551" s="14"/>
      <c r="AP551" s="55"/>
      <c r="AQ551" s="55">
        <v>1</v>
      </c>
      <c r="AR551" s="55">
        <v>1</v>
      </c>
      <c r="AS551" s="67"/>
      <c r="AT551" s="24">
        <v>2</v>
      </c>
      <c r="AU551" s="15">
        <v>1</v>
      </c>
      <c r="AV551" s="55"/>
      <c r="AW551" s="55">
        <v>2</v>
      </c>
      <c r="AX551" s="55"/>
      <c r="AY551" s="67"/>
      <c r="AZ551" s="24">
        <v>3</v>
      </c>
      <c r="BA551" s="24">
        <v>8</v>
      </c>
      <c r="BB551" s="83">
        <v>44029</v>
      </c>
    </row>
    <row r="552" spans="1:54" ht="14.25" x14ac:dyDescent="0.15">
      <c r="A552" s="10" t="s">
        <v>366</v>
      </c>
      <c r="B552" s="41">
        <v>1</v>
      </c>
      <c r="C552" s="42">
        <v>1</v>
      </c>
      <c r="D552" s="42">
        <v>2</v>
      </c>
      <c r="E552" s="42">
        <v>1</v>
      </c>
      <c r="F552" s="42">
        <v>2</v>
      </c>
      <c r="G552" s="37">
        <f t="shared" si="211"/>
        <v>7</v>
      </c>
      <c r="H552" s="41"/>
      <c r="I552" s="42">
        <v>3</v>
      </c>
      <c r="J552" s="42">
        <v>1</v>
      </c>
      <c r="K552" s="42"/>
      <c r="L552" s="42"/>
      <c r="M552" s="114">
        <f t="shared" si="212"/>
        <v>4</v>
      </c>
      <c r="N552" s="41"/>
      <c r="O552" s="53"/>
      <c r="P552" s="53">
        <v>1</v>
      </c>
      <c r="Q552" s="53">
        <v>1</v>
      </c>
      <c r="R552" s="72"/>
      <c r="S552" s="24">
        <f t="shared" si="213"/>
        <v>2</v>
      </c>
      <c r="T552" s="42">
        <v>1</v>
      </c>
      <c r="U552" s="53"/>
      <c r="V552" s="53">
        <v>2</v>
      </c>
      <c r="W552" s="53">
        <v>1</v>
      </c>
      <c r="X552" s="72"/>
      <c r="Y552" s="24">
        <f t="shared" si="214"/>
        <v>4</v>
      </c>
      <c r="Z552" s="24">
        <f t="shared" si="215"/>
        <v>17</v>
      </c>
      <c r="AA552" s="83">
        <v>44027</v>
      </c>
      <c r="AB552" s="10" t="s">
        <v>126</v>
      </c>
      <c r="AC552" s="14">
        <v>2</v>
      </c>
      <c r="AD552" s="15">
        <v>3</v>
      </c>
      <c r="AE552" s="15">
        <v>2</v>
      </c>
      <c r="AF552" s="15">
        <v>2</v>
      </c>
      <c r="AG552" s="15">
        <v>1</v>
      </c>
      <c r="AH552" s="16">
        <f>SUM(AC552:AG552)</f>
        <v>10</v>
      </c>
      <c r="AI552" s="14">
        <v>1</v>
      </c>
      <c r="AJ552" s="15">
        <v>1</v>
      </c>
      <c r="AK552" s="15"/>
      <c r="AL552" s="15"/>
      <c r="AM552" s="15"/>
      <c r="AN552" s="57">
        <f>SUM(AI552:AM552)</f>
        <v>2</v>
      </c>
      <c r="AO552" s="14">
        <v>1</v>
      </c>
      <c r="AP552" s="55">
        <v>5</v>
      </c>
      <c r="AQ552" s="55">
        <v>1</v>
      </c>
      <c r="AR552" s="55">
        <v>1</v>
      </c>
      <c r="AS552" s="67">
        <v>1</v>
      </c>
      <c r="AT552" s="24">
        <v>9</v>
      </c>
      <c r="AU552" s="15"/>
      <c r="AV552" s="55">
        <v>4</v>
      </c>
      <c r="AW552" s="55"/>
      <c r="AX552" s="55"/>
      <c r="AY552" s="67"/>
      <c r="AZ552" s="24">
        <v>4</v>
      </c>
      <c r="BA552" s="24">
        <v>25</v>
      </c>
      <c r="BB552" s="83">
        <v>44065</v>
      </c>
    </row>
    <row r="553" spans="1:54" ht="14.25" x14ac:dyDescent="0.15">
      <c r="A553" s="10" t="s">
        <v>181</v>
      </c>
      <c r="B553" s="14"/>
      <c r="C553" s="15"/>
      <c r="D553" s="15"/>
      <c r="E553" s="15"/>
      <c r="F553" s="15">
        <v>2</v>
      </c>
      <c r="G553" s="16">
        <f t="shared" si="211"/>
        <v>2</v>
      </c>
      <c r="H553" s="14"/>
      <c r="I553" s="15"/>
      <c r="J553" s="15"/>
      <c r="K553" s="15"/>
      <c r="L553" s="15"/>
      <c r="M553" s="57">
        <f t="shared" si="212"/>
        <v>0</v>
      </c>
      <c r="N553" s="14"/>
      <c r="O553" s="55"/>
      <c r="P553" s="55"/>
      <c r="Q553" s="55"/>
      <c r="R553" s="67"/>
      <c r="S553" s="24">
        <f t="shared" si="213"/>
        <v>0</v>
      </c>
      <c r="T553" s="15"/>
      <c r="U553" s="55"/>
      <c r="V553" s="55"/>
      <c r="W553" s="55"/>
      <c r="X553" s="67"/>
      <c r="Y553" s="24">
        <f t="shared" si="214"/>
        <v>0</v>
      </c>
      <c r="Z553" s="24">
        <f t="shared" si="215"/>
        <v>2</v>
      </c>
      <c r="AA553" s="83">
        <v>44055</v>
      </c>
      <c r="AB553" s="10" t="s">
        <v>181</v>
      </c>
      <c r="AC553" s="14"/>
      <c r="AD553" s="15"/>
      <c r="AE553" s="15"/>
      <c r="AF553" s="15"/>
      <c r="AG553" s="15"/>
      <c r="AH553" s="16">
        <f>SUM(AC553:AG553)</f>
        <v>0</v>
      </c>
      <c r="AI553" s="14"/>
      <c r="AJ553" s="15"/>
      <c r="AK553" s="15"/>
      <c r="AL553" s="15"/>
      <c r="AM553" s="15"/>
      <c r="AN553" s="57">
        <f>SUM(AI553:AM553)</f>
        <v>0</v>
      </c>
      <c r="AO553" s="86"/>
      <c r="AP553" s="156"/>
      <c r="AQ553" s="156"/>
      <c r="AR553" s="156"/>
      <c r="AS553" s="157"/>
      <c r="AT553" s="24">
        <f t="shared" ref="AT553:AT578" si="216">SUM(AO553:AS553)</f>
        <v>0</v>
      </c>
      <c r="AU553" s="87"/>
      <c r="AV553" s="156"/>
      <c r="AW553" s="156"/>
      <c r="AX553" s="156"/>
      <c r="AY553" s="157"/>
      <c r="AZ553" s="24">
        <f t="shared" ref="AZ553:AZ578" si="217">SUM(AU553:AY553)</f>
        <v>0</v>
      </c>
      <c r="BA553" s="24">
        <f t="shared" ref="BA553:BA578" si="218">AH553+AN553+AT553+AZ553</f>
        <v>0</v>
      </c>
      <c r="BB553" s="83"/>
    </row>
    <row r="554" spans="1:54" ht="15" thickBot="1" x14ac:dyDescent="0.2">
      <c r="A554" s="10" t="s">
        <v>181</v>
      </c>
      <c r="B554" s="14"/>
      <c r="C554" s="15"/>
      <c r="D554" s="15"/>
      <c r="E554" s="15"/>
      <c r="F554" s="15"/>
      <c r="G554" s="16">
        <f t="shared" si="211"/>
        <v>0</v>
      </c>
      <c r="H554" s="14"/>
      <c r="I554" s="15"/>
      <c r="J554" s="15"/>
      <c r="K554" s="15"/>
      <c r="L554" s="15"/>
      <c r="M554" s="57">
        <f t="shared" si="212"/>
        <v>0</v>
      </c>
      <c r="N554" s="63"/>
      <c r="O554" s="64"/>
      <c r="P554" s="64"/>
      <c r="Q554" s="64">
        <v>3</v>
      </c>
      <c r="R554" s="69">
        <v>2</v>
      </c>
      <c r="S554" s="82">
        <f t="shared" si="213"/>
        <v>5</v>
      </c>
      <c r="T554" s="73"/>
      <c r="U554" s="64"/>
      <c r="V554" s="64"/>
      <c r="W554" s="64"/>
      <c r="X554" s="69"/>
      <c r="Y554" s="82">
        <f t="shared" si="214"/>
        <v>0</v>
      </c>
      <c r="Z554" s="82">
        <f t="shared" si="215"/>
        <v>5</v>
      </c>
      <c r="AA554" s="83">
        <v>44063</v>
      </c>
      <c r="AB554" s="10" t="s">
        <v>181</v>
      </c>
      <c r="AC554" s="14"/>
      <c r="AD554" s="15"/>
      <c r="AE554" s="15"/>
      <c r="AF554" s="15"/>
      <c r="AG554" s="15"/>
      <c r="AH554" s="16">
        <f t="shared" ref="AH554:AH578" si="219">SUM(AC554:AG554)</f>
        <v>0</v>
      </c>
      <c r="AI554" s="14"/>
      <c r="AJ554" s="15"/>
      <c r="AK554" s="15"/>
      <c r="AL554" s="15"/>
      <c r="AM554" s="15"/>
      <c r="AN554" s="57">
        <f t="shared" ref="AN554:AN578" si="220">SUM(AI554:AM554)</f>
        <v>0</v>
      </c>
      <c r="AO554" s="63"/>
      <c r="AP554" s="64"/>
      <c r="AQ554" s="64"/>
      <c r="AR554" s="64"/>
      <c r="AS554" s="69"/>
      <c r="AT554" s="178">
        <f t="shared" si="216"/>
        <v>0</v>
      </c>
      <c r="AU554" s="73"/>
      <c r="AV554" s="64"/>
      <c r="AW554" s="64"/>
      <c r="AX554" s="64"/>
      <c r="AY554" s="69"/>
      <c r="AZ554" s="178">
        <f t="shared" si="217"/>
        <v>0</v>
      </c>
      <c r="BA554" s="178">
        <f t="shared" si="218"/>
        <v>0</v>
      </c>
      <c r="BB554" s="128"/>
    </row>
    <row r="555" spans="1:54" ht="15" thickBot="1" x14ac:dyDescent="0.2">
      <c r="A555" s="4" t="s">
        <v>12</v>
      </c>
      <c r="B555" s="17">
        <f>SUM(B550:B554)</f>
        <v>4</v>
      </c>
      <c r="C555" s="18">
        <f>SUM(C550:C554)</f>
        <v>5</v>
      </c>
      <c r="D555" s="18">
        <f>SUM(D550:D554)</f>
        <v>6</v>
      </c>
      <c r="E555" s="18">
        <f>SUM(E550:E554)</f>
        <v>2</v>
      </c>
      <c r="F555" s="18">
        <f>SUM(F550:F554)</f>
        <v>6</v>
      </c>
      <c r="G555" s="19">
        <f t="shared" si="211"/>
        <v>23</v>
      </c>
      <c r="H555" s="17">
        <f>SUM(H550:H554)</f>
        <v>3</v>
      </c>
      <c r="I555" s="18">
        <f>SUM(I550:I554)</f>
        <v>5</v>
      </c>
      <c r="J555" s="18">
        <f>SUM(J550:J554)</f>
        <v>4</v>
      </c>
      <c r="K555" s="18">
        <f>SUM(K550:K554)</f>
        <v>3</v>
      </c>
      <c r="L555" s="18">
        <f>SUM(L550:L554)</f>
        <v>1</v>
      </c>
      <c r="M555" s="25">
        <f t="shared" si="212"/>
        <v>16</v>
      </c>
      <c r="N555" s="65">
        <f>SUM(N550:N554)</f>
        <v>4</v>
      </c>
      <c r="O555" s="18">
        <f>SUM(O550:O554)</f>
        <v>3</v>
      </c>
      <c r="P555" s="18">
        <f>SUM(P550:P554)</f>
        <v>4</v>
      </c>
      <c r="Q555" s="18">
        <f>SUM(Q550:Q554)</f>
        <v>5</v>
      </c>
      <c r="R555" s="70">
        <f>SUM(R550:R554)</f>
        <v>5</v>
      </c>
      <c r="S555" s="49">
        <f t="shared" si="213"/>
        <v>21</v>
      </c>
      <c r="T555" s="74">
        <f>SUM(T550:T554)</f>
        <v>4</v>
      </c>
      <c r="U555" s="18">
        <f>SUM(U550:U554)</f>
        <v>2</v>
      </c>
      <c r="V555" s="18">
        <f>SUM(V550:V554)</f>
        <v>4</v>
      </c>
      <c r="W555" s="18">
        <f>SUM(W550:W554)</f>
        <v>3</v>
      </c>
      <c r="X555" s="70">
        <f>SUM(X550:X554)</f>
        <v>4</v>
      </c>
      <c r="Y555" s="49">
        <f t="shared" si="214"/>
        <v>17</v>
      </c>
      <c r="Z555" s="33">
        <f t="shared" si="215"/>
        <v>77</v>
      </c>
      <c r="AB555" s="4" t="s">
        <v>12</v>
      </c>
      <c r="AC555" s="17">
        <f>SUM(AC550:AC554)</f>
        <v>188</v>
      </c>
      <c r="AD555" s="18">
        <f>SUM(AD550:AD554)</f>
        <v>181</v>
      </c>
      <c r="AE555" s="18">
        <f>SUM(AE550:AE554)</f>
        <v>177</v>
      </c>
      <c r="AF555" s="18">
        <f>SUM(AF550:AF554)</f>
        <v>183</v>
      </c>
      <c r="AG555" s="18">
        <f>SUM(AG550:AG554)</f>
        <v>160</v>
      </c>
      <c r="AH555" s="148">
        <f t="shared" si="219"/>
        <v>889</v>
      </c>
      <c r="AI555" s="17">
        <f>SUM(AI550:AI554)</f>
        <v>133</v>
      </c>
      <c r="AJ555" s="18">
        <f>SUM(AJ550:AJ554)</f>
        <v>140</v>
      </c>
      <c r="AK555" s="18">
        <f>SUM(AK550:AK554)</f>
        <v>138</v>
      </c>
      <c r="AL555" s="18">
        <f>SUM(AL550:AL554)</f>
        <v>131</v>
      </c>
      <c r="AM555" s="18">
        <f>SUM(AM550:AM554)</f>
        <v>138</v>
      </c>
      <c r="AN555" s="148">
        <f t="shared" si="220"/>
        <v>680</v>
      </c>
      <c r="AO555" s="65">
        <f>SUM(AO550:AO554)</f>
        <v>169</v>
      </c>
      <c r="AP555" s="18">
        <f>SUM(AP550:AP554)</f>
        <v>164</v>
      </c>
      <c r="AQ555" s="18">
        <f>SUM(AQ550:AQ554)</f>
        <v>158</v>
      </c>
      <c r="AR555" s="18">
        <f>SUM(AR550:AR554)</f>
        <v>177</v>
      </c>
      <c r="AS555" s="70">
        <f>SUM(AS550:AS554)</f>
        <v>182</v>
      </c>
      <c r="AT555" s="49">
        <f t="shared" si="216"/>
        <v>850</v>
      </c>
      <c r="AU555" s="74">
        <f>SUM(AU550:AU554)</f>
        <v>123</v>
      </c>
      <c r="AV555" s="18">
        <f>SUM(AV550:AV554)</f>
        <v>95</v>
      </c>
      <c r="AW555" s="18">
        <f>SUM(AW550:AW554)</f>
        <v>104</v>
      </c>
      <c r="AX555" s="18">
        <f>SUM(AX550:AX554)</f>
        <v>96</v>
      </c>
      <c r="AY555" s="70">
        <f>SUM(AY550:AY554)</f>
        <v>146</v>
      </c>
      <c r="AZ555" s="49">
        <f t="shared" si="217"/>
        <v>564</v>
      </c>
      <c r="BA555" s="33">
        <f t="shared" si="218"/>
        <v>2983</v>
      </c>
    </row>
    <row r="556" spans="1:54" x14ac:dyDescent="0.15">
      <c r="A556" s="47" t="s">
        <v>377</v>
      </c>
      <c r="B556" s="34">
        <v>1</v>
      </c>
      <c r="C556" s="35">
        <v>1</v>
      </c>
      <c r="D556" s="35">
        <v>2</v>
      </c>
      <c r="E556" s="35">
        <v>1</v>
      </c>
      <c r="F556" s="35">
        <v>2</v>
      </c>
      <c r="G556" s="36">
        <f t="shared" si="211"/>
        <v>7</v>
      </c>
      <c r="H556" s="34"/>
      <c r="I556" s="35">
        <v>2</v>
      </c>
      <c r="J556" s="35">
        <v>1</v>
      </c>
      <c r="K556" s="35"/>
      <c r="L556" s="35"/>
      <c r="M556" s="36">
        <f t="shared" si="212"/>
        <v>3</v>
      </c>
      <c r="N556" s="39"/>
      <c r="O556" s="56"/>
      <c r="P556" s="56">
        <v>1</v>
      </c>
      <c r="Q556" s="56">
        <v>1</v>
      </c>
      <c r="R556" s="71"/>
      <c r="S556" s="16">
        <f t="shared" si="213"/>
        <v>2</v>
      </c>
      <c r="T556" s="39">
        <v>1</v>
      </c>
      <c r="U556" s="56"/>
      <c r="V556" s="56">
        <v>2</v>
      </c>
      <c r="W556" s="56"/>
      <c r="X556" s="71"/>
      <c r="Y556" s="16">
        <f t="shared" si="214"/>
        <v>3</v>
      </c>
      <c r="Z556" s="16">
        <f t="shared" si="215"/>
        <v>15</v>
      </c>
      <c r="AA556" s="83">
        <v>44029</v>
      </c>
      <c r="AB556" s="47" t="s">
        <v>373</v>
      </c>
      <c r="AC556" s="14"/>
      <c r="AD556" s="15"/>
      <c r="AE556" s="15">
        <v>1</v>
      </c>
      <c r="AF556" s="15">
        <v>2</v>
      </c>
      <c r="AG556" s="15"/>
      <c r="AH556" s="24">
        <f t="shared" si="219"/>
        <v>3</v>
      </c>
      <c r="AI556" s="14"/>
      <c r="AJ556" s="15"/>
      <c r="AK556" s="15"/>
      <c r="AL556" s="15"/>
      <c r="AM556" s="15">
        <v>2</v>
      </c>
      <c r="AN556" s="24">
        <f t="shared" si="220"/>
        <v>2</v>
      </c>
      <c r="AO556" s="15"/>
      <c r="AP556" s="55"/>
      <c r="AQ556" s="55"/>
      <c r="AR556" s="55">
        <v>2</v>
      </c>
      <c r="AS556" s="67"/>
      <c r="AT556" s="24">
        <f t="shared" si="216"/>
        <v>2</v>
      </c>
      <c r="AU556" s="15">
        <v>3</v>
      </c>
      <c r="AV556" s="55">
        <v>4</v>
      </c>
      <c r="AW556" s="55"/>
      <c r="AX556" s="55"/>
      <c r="AY556" s="67">
        <v>5</v>
      </c>
      <c r="AZ556" s="24">
        <f t="shared" si="217"/>
        <v>12</v>
      </c>
      <c r="BA556" s="24">
        <f t="shared" si="218"/>
        <v>19</v>
      </c>
      <c r="BB556" s="83">
        <v>44023</v>
      </c>
    </row>
    <row r="557" spans="1:54" x14ac:dyDescent="0.15">
      <c r="A557" s="47" t="s">
        <v>379</v>
      </c>
      <c r="B557" s="14"/>
      <c r="C557" s="15"/>
      <c r="D557" s="15"/>
      <c r="E557" s="15"/>
      <c r="F557" s="15">
        <v>1</v>
      </c>
      <c r="G557" s="24">
        <f t="shared" si="211"/>
        <v>1</v>
      </c>
      <c r="H557" s="14"/>
      <c r="I557" s="15"/>
      <c r="J557" s="15"/>
      <c r="K557" s="15"/>
      <c r="L557" s="15"/>
      <c r="M557" s="24">
        <f t="shared" si="212"/>
        <v>0</v>
      </c>
      <c r="N557" s="15"/>
      <c r="O557" s="55"/>
      <c r="P557" s="55"/>
      <c r="Q557" s="55"/>
      <c r="R557" s="67">
        <v>1</v>
      </c>
      <c r="S557" s="24">
        <f t="shared" si="213"/>
        <v>1</v>
      </c>
      <c r="T557" s="15"/>
      <c r="U557" s="55"/>
      <c r="V557" s="55"/>
      <c r="W557" s="55"/>
      <c r="X557" s="67"/>
      <c r="Y557" s="24">
        <f t="shared" si="214"/>
        <v>0</v>
      </c>
      <c r="Z557" s="24">
        <f t="shared" si="215"/>
        <v>2</v>
      </c>
      <c r="AA557" s="83">
        <v>44034</v>
      </c>
      <c r="AB557" s="47" t="s">
        <v>374</v>
      </c>
      <c r="AC557" s="41"/>
      <c r="AD557" s="42"/>
      <c r="AE557" s="42"/>
      <c r="AF557" s="42"/>
      <c r="AG557" s="42"/>
      <c r="AH557" s="43">
        <f t="shared" si="219"/>
        <v>0</v>
      </c>
      <c r="AI557" s="41"/>
      <c r="AJ557" s="42"/>
      <c r="AK557" s="42"/>
      <c r="AL557" s="42">
        <v>2</v>
      </c>
      <c r="AM557" s="42"/>
      <c r="AN557" s="43">
        <f t="shared" si="220"/>
        <v>2</v>
      </c>
      <c r="AO557" s="42"/>
      <c r="AP557" s="53"/>
      <c r="AQ557" s="53"/>
      <c r="AR557" s="53"/>
      <c r="AS557" s="72"/>
      <c r="AT557" s="24">
        <f t="shared" si="216"/>
        <v>0</v>
      </c>
      <c r="AU557" s="42"/>
      <c r="AV557" s="53"/>
      <c r="AW557" s="53"/>
      <c r="AX557" s="53"/>
      <c r="AY557" s="72"/>
      <c r="AZ557" s="24">
        <f t="shared" si="217"/>
        <v>0</v>
      </c>
      <c r="BA557" s="24">
        <f t="shared" si="218"/>
        <v>2</v>
      </c>
      <c r="BB557" s="83">
        <v>44023</v>
      </c>
    </row>
    <row r="558" spans="1:54" x14ac:dyDescent="0.15">
      <c r="A558" s="47" t="s">
        <v>48</v>
      </c>
      <c r="B558" s="41"/>
      <c r="C558" s="42"/>
      <c r="D558" s="42"/>
      <c r="E558" s="42"/>
      <c r="F558" s="42"/>
      <c r="G558" s="43">
        <f t="shared" si="211"/>
        <v>0</v>
      </c>
      <c r="H558" s="41">
        <v>1</v>
      </c>
      <c r="I558" s="42"/>
      <c r="J558" s="42"/>
      <c r="K558" s="42"/>
      <c r="L558" s="42"/>
      <c r="M558" s="43">
        <f t="shared" si="212"/>
        <v>1</v>
      </c>
      <c r="N558" s="42"/>
      <c r="O558" s="53"/>
      <c r="P558" s="53"/>
      <c r="Q558" s="53"/>
      <c r="R558" s="72"/>
      <c r="S558" s="24">
        <f t="shared" si="213"/>
        <v>0</v>
      </c>
      <c r="T558" s="42"/>
      <c r="U558" s="53"/>
      <c r="V558" s="53"/>
      <c r="W558" s="53"/>
      <c r="X558" s="72"/>
      <c r="Y558" s="24">
        <f t="shared" si="214"/>
        <v>0</v>
      </c>
      <c r="Z558" s="24">
        <f t="shared" si="215"/>
        <v>1</v>
      </c>
      <c r="AA558" s="83">
        <v>44042</v>
      </c>
      <c r="AB558" s="47" t="s">
        <v>30</v>
      </c>
      <c r="AC558" s="41"/>
      <c r="AD558" s="42"/>
      <c r="AE558" s="42"/>
      <c r="AF558" s="42"/>
      <c r="AG558" s="42"/>
      <c r="AH558" s="43">
        <f t="shared" si="219"/>
        <v>0</v>
      </c>
      <c r="AI558" s="41"/>
      <c r="AJ558" s="42"/>
      <c r="AK558" s="42"/>
      <c r="AL558" s="42"/>
      <c r="AM558" s="42"/>
      <c r="AN558" s="43">
        <f t="shared" si="220"/>
        <v>0</v>
      </c>
      <c r="AO558" s="42"/>
      <c r="AP558" s="53"/>
      <c r="AQ558" s="53"/>
      <c r="AR558" s="53"/>
      <c r="AS558" s="72">
        <v>2</v>
      </c>
      <c r="AT558" s="43">
        <f t="shared" si="216"/>
        <v>2</v>
      </c>
      <c r="AU558" s="42"/>
      <c r="AV558" s="53"/>
      <c r="AW558" s="53"/>
      <c r="AX558" s="53"/>
      <c r="AY558" s="72">
        <v>2</v>
      </c>
      <c r="AZ558" s="43">
        <f t="shared" si="217"/>
        <v>2</v>
      </c>
      <c r="BA558" s="43">
        <f t="shared" si="218"/>
        <v>4</v>
      </c>
      <c r="BB558" s="83">
        <v>44025</v>
      </c>
    </row>
    <row r="559" spans="1:54" x14ac:dyDescent="0.15">
      <c r="A559" s="47" t="s">
        <v>381</v>
      </c>
      <c r="B559" s="41"/>
      <c r="C559" s="42"/>
      <c r="D559" s="42"/>
      <c r="E559" s="42"/>
      <c r="F559" s="42"/>
      <c r="G559" s="43">
        <f t="shared" si="211"/>
        <v>0</v>
      </c>
      <c r="H559" s="41"/>
      <c r="I559" s="42"/>
      <c r="J559" s="42"/>
      <c r="K559" s="42"/>
      <c r="L559" s="42"/>
      <c r="M559" s="43">
        <f t="shared" si="212"/>
        <v>0</v>
      </c>
      <c r="N559" s="42">
        <v>1</v>
      </c>
      <c r="O559" s="53"/>
      <c r="P559" s="53"/>
      <c r="Q559" s="53"/>
      <c r="R559" s="72"/>
      <c r="S559" s="24">
        <f t="shared" si="213"/>
        <v>1</v>
      </c>
      <c r="T559" s="42"/>
      <c r="U559" s="53"/>
      <c r="V559" s="53"/>
      <c r="W559" s="53"/>
      <c r="X559" s="72"/>
      <c r="Y559" s="24">
        <f t="shared" si="214"/>
        <v>0</v>
      </c>
      <c r="Z559" s="24">
        <f t="shared" si="215"/>
        <v>1</v>
      </c>
      <c r="AA559" s="83">
        <v>44047</v>
      </c>
      <c r="AB559" s="47" t="s">
        <v>375</v>
      </c>
      <c r="AC559" s="41"/>
      <c r="AD559" s="42"/>
      <c r="AE559" s="42"/>
      <c r="AF559" s="42"/>
      <c r="AG559" s="42">
        <v>7</v>
      </c>
      <c r="AH559" s="43">
        <f t="shared" si="219"/>
        <v>7</v>
      </c>
      <c r="AI559" s="41"/>
      <c r="AJ559" s="42"/>
      <c r="AK559" s="42"/>
      <c r="AL559" s="42"/>
      <c r="AM559" s="42"/>
      <c r="AN559" s="43">
        <f t="shared" si="220"/>
        <v>0</v>
      </c>
      <c r="AO559" s="42"/>
      <c r="AP559" s="53"/>
      <c r="AQ559" s="53"/>
      <c r="AR559" s="53"/>
      <c r="AS559" s="72"/>
      <c r="AT559" s="24">
        <f t="shared" si="216"/>
        <v>0</v>
      </c>
      <c r="AU559" s="42"/>
      <c r="AV559" s="53"/>
      <c r="AW559" s="53"/>
      <c r="AX559" s="53"/>
      <c r="AY559" s="72"/>
      <c r="AZ559" s="24">
        <f t="shared" si="217"/>
        <v>0</v>
      </c>
      <c r="BA559" s="24">
        <f t="shared" si="218"/>
        <v>7</v>
      </c>
      <c r="BB559" s="83">
        <v>44032</v>
      </c>
    </row>
    <row r="560" spans="1:54" ht="14.25" x14ac:dyDescent="0.15">
      <c r="A560" s="170" t="s">
        <v>382</v>
      </c>
      <c r="B560" s="171"/>
      <c r="C560" s="42"/>
      <c r="D560" s="42"/>
      <c r="E560" s="42">
        <v>1</v>
      </c>
      <c r="F560" s="42"/>
      <c r="G560" s="43">
        <f>SUM(B560:F560)</f>
        <v>1</v>
      </c>
      <c r="H560" s="41"/>
      <c r="I560" s="42"/>
      <c r="J560" s="42"/>
      <c r="K560" s="42"/>
      <c r="L560" s="42"/>
      <c r="M560" s="43">
        <f t="shared" si="212"/>
        <v>0</v>
      </c>
      <c r="N560" s="42"/>
      <c r="O560" s="53"/>
      <c r="P560" s="53"/>
      <c r="Q560" s="53"/>
      <c r="R560" s="72"/>
      <c r="S560" s="24">
        <f t="shared" si="213"/>
        <v>0</v>
      </c>
      <c r="T560" s="42"/>
      <c r="U560" s="53"/>
      <c r="V560" s="53"/>
      <c r="W560" s="53"/>
      <c r="X560" s="72"/>
      <c r="Y560" s="24">
        <f t="shared" si="214"/>
        <v>0</v>
      </c>
      <c r="Z560" s="24">
        <f t="shared" si="215"/>
        <v>1</v>
      </c>
      <c r="AA560" s="83">
        <v>44048</v>
      </c>
      <c r="AB560" s="21" t="s">
        <v>29</v>
      </c>
      <c r="AC560" s="41"/>
      <c r="AD560" s="42"/>
      <c r="AE560" s="42"/>
      <c r="AF560" s="42"/>
      <c r="AG560" s="42"/>
      <c r="AH560" s="43">
        <f t="shared" si="219"/>
        <v>0</v>
      </c>
      <c r="AI560" s="41">
        <v>5</v>
      </c>
      <c r="AJ560" s="42"/>
      <c r="AK560" s="42">
        <v>5</v>
      </c>
      <c r="AL560" s="42"/>
      <c r="AM560" s="42"/>
      <c r="AN560" s="43">
        <f t="shared" si="220"/>
        <v>10</v>
      </c>
      <c r="AO560" s="42"/>
      <c r="AP560" s="53"/>
      <c r="AQ560" s="53"/>
      <c r="AR560" s="53"/>
      <c r="AS560" s="72"/>
      <c r="AT560" s="24">
        <f t="shared" si="216"/>
        <v>0</v>
      </c>
      <c r="AU560" s="42"/>
      <c r="AV560" s="53"/>
      <c r="AW560" s="53"/>
      <c r="AX560" s="53"/>
      <c r="AY560" s="72"/>
      <c r="AZ560" s="24">
        <f t="shared" si="217"/>
        <v>0</v>
      </c>
      <c r="BA560" s="24">
        <f t="shared" si="218"/>
        <v>10</v>
      </c>
      <c r="BB560" s="83">
        <v>44032</v>
      </c>
    </row>
    <row r="561" spans="1:55" x14ac:dyDescent="0.15">
      <c r="A561" s="47" t="s">
        <v>48</v>
      </c>
      <c r="B561" s="41"/>
      <c r="C561" s="42"/>
      <c r="D561" s="42">
        <v>1</v>
      </c>
      <c r="E561" s="42"/>
      <c r="F561" s="42"/>
      <c r="G561" s="43">
        <f t="shared" si="211"/>
        <v>1</v>
      </c>
      <c r="H561" s="41"/>
      <c r="I561" s="42"/>
      <c r="J561" s="42"/>
      <c r="K561" s="42"/>
      <c r="L561" s="42"/>
      <c r="M561" s="43">
        <f t="shared" si="212"/>
        <v>0</v>
      </c>
      <c r="N561" s="42"/>
      <c r="O561" s="53"/>
      <c r="P561" s="53"/>
      <c r="Q561" s="53"/>
      <c r="R561" s="72"/>
      <c r="S561" s="24">
        <f t="shared" si="213"/>
        <v>0</v>
      </c>
      <c r="T561" s="42"/>
      <c r="U561" s="53"/>
      <c r="V561" s="53"/>
      <c r="W561" s="53"/>
      <c r="X561" s="72"/>
      <c r="Y561" s="24">
        <f t="shared" si="214"/>
        <v>0</v>
      </c>
      <c r="Z561" s="24">
        <f t="shared" si="215"/>
        <v>1</v>
      </c>
      <c r="AA561" s="83">
        <v>44047</v>
      </c>
      <c r="AB561" s="47" t="s">
        <v>376</v>
      </c>
      <c r="AC561" s="41"/>
      <c r="AD561" s="42"/>
      <c r="AE561" s="42"/>
      <c r="AF561" s="42"/>
      <c r="AG561" s="42"/>
      <c r="AH561" s="43">
        <f t="shared" si="219"/>
        <v>0</v>
      </c>
      <c r="AI561" s="41"/>
      <c r="AJ561" s="42"/>
      <c r="AK561" s="42"/>
      <c r="AL561" s="42"/>
      <c r="AM561" s="42"/>
      <c r="AN561" s="43">
        <f t="shared" si="220"/>
        <v>0</v>
      </c>
      <c r="AO561" s="42"/>
      <c r="AP561" s="53"/>
      <c r="AQ561" s="53"/>
      <c r="AR561" s="53"/>
      <c r="AS561" s="72"/>
      <c r="AT561" s="24">
        <f t="shared" si="216"/>
        <v>0</v>
      </c>
      <c r="AU561" s="42"/>
      <c r="AV561" s="53"/>
      <c r="AW561" s="53"/>
      <c r="AX561" s="53">
        <v>4</v>
      </c>
      <c r="AY561" s="72"/>
      <c r="AZ561" s="24">
        <f t="shared" si="217"/>
        <v>4</v>
      </c>
      <c r="BA561" s="24">
        <f t="shared" si="218"/>
        <v>4</v>
      </c>
      <c r="BB561" s="83">
        <v>44035</v>
      </c>
    </row>
    <row r="562" spans="1:55" x14ac:dyDescent="0.15">
      <c r="A562" s="47" t="s">
        <v>48</v>
      </c>
      <c r="B562" s="41"/>
      <c r="C562" s="42"/>
      <c r="D562" s="42"/>
      <c r="E562" s="42"/>
      <c r="F562" s="42">
        <v>1</v>
      </c>
      <c r="G562" s="43">
        <f t="shared" si="211"/>
        <v>1</v>
      </c>
      <c r="H562" s="41"/>
      <c r="I562" s="42"/>
      <c r="J562" s="42"/>
      <c r="K562" s="42"/>
      <c r="L562" s="42"/>
      <c r="M562" s="43">
        <f t="shared" si="212"/>
        <v>0</v>
      </c>
      <c r="N562" s="42"/>
      <c r="O562" s="53"/>
      <c r="P562" s="53"/>
      <c r="Q562" s="53"/>
      <c r="R562" s="72"/>
      <c r="S562" s="24">
        <f t="shared" si="213"/>
        <v>0</v>
      </c>
      <c r="T562" s="42"/>
      <c r="U562" s="53"/>
      <c r="V562" s="53"/>
      <c r="W562" s="53"/>
      <c r="X562" s="72"/>
      <c r="Y562" s="24">
        <f t="shared" si="214"/>
        <v>0</v>
      </c>
      <c r="Z562" s="24">
        <f t="shared" si="215"/>
        <v>1</v>
      </c>
      <c r="AA562" s="83">
        <v>44054</v>
      </c>
      <c r="AB562" s="47" t="s">
        <v>378</v>
      </c>
      <c r="AC562" s="41"/>
      <c r="AD562" s="42"/>
      <c r="AE562" s="42"/>
      <c r="AF562" s="42"/>
      <c r="AG562" s="42"/>
      <c r="AH562" s="43">
        <f t="shared" si="219"/>
        <v>0</v>
      </c>
      <c r="AI562" s="41"/>
      <c r="AJ562" s="42"/>
      <c r="AK562" s="42"/>
      <c r="AL562" s="42"/>
      <c r="AM562" s="42"/>
      <c r="AN562" s="43">
        <f t="shared" si="220"/>
        <v>0</v>
      </c>
      <c r="AO562" s="42"/>
      <c r="AP562" s="53"/>
      <c r="AQ562" s="53"/>
      <c r="AR562" s="53">
        <v>4</v>
      </c>
      <c r="AS562" s="72"/>
      <c r="AT562" s="24">
        <f t="shared" si="216"/>
        <v>4</v>
      </c>
      <c r="AU562" s="42"/>
      <c r="AV562" s="53"/>
      <c r="AW562" s="53">
        <v>4</v>
      </c>
      <c r="AX562" s="53"/>
      <c r="AY562" s="72">
        <v>3</v>
      </c>
      <c r="AZ562" s="24">
        <f t="shared" si="217"/>
        <v>7</v>
      </c>
      <c r="BA562" s="24">
        <f t="shared" si="218"/>
        <v>11</v>
      </c>
      <c r="BB562" s="83">
        <v>44035</v>
      </c>
    </row>
    <row r="563" spans="1:55" ht="14.25" x14ac:dyDescent="0.15">
      <c r="A563" s="47" t="s">
        <v>48</v>
      </c>
      <c r="B563" s="41"/>
      <c r="C563" s="42"/>
      <c r="D563" s="42"/>
      <c r="E563" s="42"/>
      <c r="F563" s="42"/>
      <c r="G563" s="43">
        <f t="shared" si="211"/>
        <v>0</v>
      </c>
      <c r="H563" s="41"/>
      <c r="I563" s="42"/>
      <c r="J563" s="42"/>
      <c r="K563" s="42"/>
      <c r="L563" s="42"/>
      <c r="M563" s="43">
        <f t="shared" si="212"/>
        <v>0</v>
      </c>
      <c r="N563" s="42"/>
      <c r="O563" s="53"/>
      <c r="P563" s="53"/>
      <c r="Q563" s="53"/>
      <c r="R563" s="72">
        <v>1</v>
      </c>
      <c r="S563" s="24">
        <f t="shared" si="213"/>
        <v>1</v>
      </c>
      <c r="T563" s="42"/>
      <c r="U563" s="53"/>
      <c r="V563" s="53"/>
      <c r="W563" s="53"/>
      <c r="X563" s="72"/>
      <c r="Y563" s="24">
        <f t="shared" si="214"/>
        <v>0</v>
      </c>
      <c r="Z563" s="24">
        <f t="shared" si="215"/>
        <v>1</v>
      </c>
      <c r="AA563" s="83">
        <v>44055</v>
      </c>
      <c r="AB563" s="21" t="s">
        <v>29</v>
      </c>
      <c r="AC563" s="41"/>
      <c r="AD563" s="42"/>
      <c r="AE563" s="42"/>
      <c r="AF563" s="42"/>
      <c r="AG563" s="42">
        <v>10</v>
      </c>
      <c r="AH563" s="43">
        <f t="shared" si="219"/>
        <v>10</v>
      </c>
      <c r="AI563" s="41"/>
      <c r="AJ563" s="42"/>
      <c r="AK563" s="42"/>
      <c r="AL563" s="42"/>
      <c r="AM563" s="42"/>
      <c r="AN563" s="43">
        <f t="shared" si="220"/>
        <v>0</v>
      </c>
      <c r="AO563" s="42"/>
      <c r="AP563" s="53"/>
      <c r="AQ563" s="53"/>
      <c r="AR563" s="53"/>
      <c r="AS563" s="72"/>
      <c r="AT563" s="24">
        <f t="shared" si="216"/>
        <v>0</v>
      </c>
      <c r="AU563" s="42"/>
      <c r="AV563" s="53"/>
      <c r="AW563" s="53"/>
      <c r="AX563" s="53"/>
      <c r="AY563" s="72"/>
      <c r="AZ563" s="24">
        <f t="shared" si="217"/>
        <v>0</v>
      </c>
      <c r="BA563" s="24">
        <f t="shared" si="218"/>
        <v>10</v>
      </c>
      <c r="BB563" s="83">
        <v>44041</v>
      </c>
    </row>
    <row r="564" spans="1:55" x14ac:dyDescent="0.15">
      <c r="A564" s="158" t="s">
        <v>385</v>
      </c>
      <c r="B564" s="41"/>
      <c r="C564" s="42"/>
      <c r="D564" s="42"/>
      <c r="E564" s="42"/>
      <c r="F564" s="42"/>
      <c r="G564" s="43">
        <f t="shared" si="211"/>
        <v>0</v>
      </c>
      <c r="H564" s="41"/>
      <c r="I564" s="42"/>
      <c r="J564" s="42"/>
      <c r="K564" s="42"/>
      <c r="L564" s="42"/>
      <c r="M564" s="43">
        <f t="shared" si="212"/>
        <v>0</v>
      </c>
      <c r="N564" s="42"/>
      <c r="O564" s="53"/>
      <c r="P564" s="53"/>
      <c r="Q564" s="53">
        <v>1</v>
      </c>
      <c r="R564" s="72"/>
      <c r="S564" s="24">
        <f t="shared" si="213"/>
        <v>1</v>
      </c>
      <c r="T564" s="42"/>
      <c r="U564" s="53"/>
      <c r="V564" s="53"/>
      <c r="W564" s="53"/>
      <c r="X564" s="72"/>
      <c r="Y564" s="24">
        <f t="shared" si="214"/>
        <v>0</v>
      </c>
      <c r="Z564" s="24">
        <f t="shared" si="215"/>
        <v>1</v>
      </c>
      <c r="AA564" s="83">
        <v>44061</v>
      </c>
      <c r="AB564" s="47" t="s">
        <v>380</v>
      </c>
      <c r="AC564" s="41"/>
      <c r="AD564" s="42"/>
      <c r="AE564" s="42">
        <v>2</v>
      </c>
      <c r="AF564" s="42"/>
      <c r="AG564" s="42"/>
      <c r="AH564" s="43">
        <f t="shared" si="219"/>
        <v>2</v>
      </c>
      <c r="AI564" s="41"/>
      <c r="AJ564" s="42"/>
      <c r="AK564" s="42"/>
      <c r="AL564" s="42"/>
      <c r="AM564" s="42"/>
      <c r="AN564" s="43">
        <f t="shared" si="220"/>
        <v>0</v>
      </c>
      <c r="AO564" s="42"/>
      <c r="AP564" s="53"/>
      <c r="AQ564" s="53"/>
      <c r="AR564" s="53"/>
      <c r="AS564" s="72"/>
      <c r="AT564" s="24">
        <f t="shared" si="216"/>
        <v>0</v>
      </c>
      <c r="AU564" s="42"/>
      <c r="AV564" s="53"/>
      <c r="AW564" s="53"/>
      <c r="AX564" s="53"/>
      <c r="AY564" s="72"/>
      <c r="AZ564" s="24">
        <f t="shared" si="217"/>
        <v>0</v>
      </c>
      <c r="BA564" s="24">
        <f t="shared" si="218"/>
        <v>2</v>
      </c>
      <c r="BB564" s="83">
        <v>44048</v>
      </c>
    </row>
    <row r="565" spans="1:55" ht="14.25" x14ac:dyDescent="0.15">
      <c r="A565" s="158" t="s">
        <v>385</v>
      </c>
      <c r="B565" s="44"/>
      <c r="C565" s="45"/>
      <c r="D565" s="45"/>
      <c r="E565" s="45"/>
      <c r="F565" s="45"/>
      <c r="G565" s="43">
        <f t="shared" si="211"/>
        <v>0</v>
      </c>
      <c r="H565" s="44"/>
      <c r="I565" s="45"/>
      <c r="J565" s="45"/>
      <c r="K565" s="45"/>
      <c r="L565" s="45"/>
      <c r="M565" s="43">
        <f t="shared" si="212"/>
        <v>0</v>
      </c>
      <c r="N565" s="42"/>
      <c r="O565" s="53"/>
      <c r="P565" s="53"/>
      <c r="Q565" s="53">
        <v>1</v>
      </c>
      <c r="R565" s="72"/>
      <c r="S565" s="24">
        <f t="shared" si="213"/>
        <v>1</v>
      </c>
      <c r="T565" s="42"/>
      <c r="U565" s="53"/>
      <c r="V565" s="53"/>
      <c r="W565" s="53"/>
      <c r="X565" s="72"/>
      <c r="Y565" s="24">
        <f t="shared" si="214"/>
        <v>0</v>
      </c>
      <c r="Z565" s="24">
        <f t="shared" si="215"/>
        <v>1</v>
      </c>
      <c r="AA565" s="83">
        <v>44063</v>
      </c>
      <c r="AB565" s="21" t="s">
        <v>372</v>
      </c>
      <c r="AC565" s="44"/>
      <c r="AD565" s="45"/>
      <c r="AE565" s="45"/>
      <c r="AF565" s="45">
        <v>5</v>
      </c>
      <c r="AG565" s="45"/>
      <c r="AH565" s="43">
        <f t="shared" si="219"/>
        <v>5</v>
      </c>
      <c r="AI565" s="44"/>
      <c r="AJ565" s="45"/>
      <c r="AK565" s="45"/>
      <c r="AL565" s="45"/>
      <c r="AM565" s="45"/>
      <c r="AN565" s="43">
        <f t="shared" si="220"/>
        <v>0</v>
      </c>
      <c r="AO565" s="42"/>
      <c r="AP565" s="53"/>
      <c r="AQ565" s="53"/>
      <c r="AR565" s="53"/>
      <c r="AS565" s="72"/>
      <c r="AT565" s="24">
        <f t="shared" si="216"/>
        <v>0</v>
      </c>
      <c r="AU565" s="42"/>
      <c r="AV565" s="53"/>
      <c r="AW565" s="53"/>
      <c r="AX565" s="53"/>
      <c r="AY565" s="72"/>
      <c r="AZ565" s="24">
        <f t="shared" si="217"/>
        <v>0</v>
      </c>
      <c r="BA565" s="24">
        <f t="shared" si="218"/>
        <v>5</v>
      </c>
      <c r="BB565" s="83">
        <v>44049</v>
      </c>
    </row>
    <row r="566" spans="1:55" ht="14.25" x14ac:dyDescent="0.15">
      <c r="A566" s="10" t="s">
        <v>366</v>
      </c>
      <c r="B566" s="41">
        <v>-2</v>
      </c>
      <c r="C566" s="42">
        <v>-3</v>
      </c>
      <c r="D566" s="42">
        <v>-2</v>
      </c>
      <c r="E566" s="42">
        <v>-3</v>
      </c>
      <c r="F566" s="42">
        <v>-1</v>
      </c>
      <c r="G566" s="43">
        <f t="shared" si="211"/>
        <v>-11</v>
      </c>
      <c r="H566" s="41">
        <v>-1</v>
      </c>
      <c r="I566" s="42">
        <v>-1</v>
      </c>
      <c r="J566" s="42"/>
      <c r="K566" s="42"/>
      <c r="L566" s="42"/>
      <c r="M566" s="43">
        <f t="shared" si="212"/>
        <v>-2</v>
      </c>
      <c r="N566" s="42">
        <v>-1</v>
      </c>
      <c r="O566" s="53">
        <v>-5</v>
      </c>
      <c r="P566" s="53">
        <v>-1</v>
      </c>
      <c r="Q566" s="53">
        <v>-1</v>
      </c>
      <c r="R566" s="72">
        <v>-1</v>
      </c>
      <c r="S566" s="24">
        <f t="shared" si="213"/>
        <v>-9</v>
      </c>
      <c r="T566" s="42"/>
      <c r="U566" s="53">
        <v>-4</v>
      </c>
      <c r="V566" s="53"/>
      <c r="W566" s="53"/>
      <c r="X566" s="72"/>
      <c r="Y566" s="24">
        <f t="shared" si="214"/>
        <v>-4</v>
      </c>
      <c r="Z566" s="24">
        <f t="shared" si="215"/>
        <v>-26</v>
      </c>
      <c r="AA566" s="93">
        <v>44061</v>
      </c>
      <c r="AB566" s="47" t="s">
        <v>384</v>
      </c>
      <c r="AC566" s="41"/>
      <c r="AD566" s="42"/>
      <c r="AE566" s="42"/>
      <c r="AF566" s="42"/>
      <c r="AG566" s="42"/>
      <c r="AH566" s="43">
        <f t="shared" si="219"/>
        <v>0</v>
      </c>
      <c r="AI566" s="41"/>
      <c r="AJ566" s="42"/>
      <c r="AK566" s="42"/>
      <c r="AL566" s="42"/>
      <c r="AM566" s="42"/>
      <c r="AN566" s="43">
        <f t="shared" si="220"/>
        <v>0</v>
      </c>
      <c r="AO566" s="42"/>
      <c r="AP566" s="53">
        <v>3</v>
      </c>
      <c r="AQ566" s="53">
        <v>5</v>
      </c>
      <c r="AR566" s="53"/>
      <c r="AS566" s="72"/>
      <c r="AT566" s="24">
        <f t="shared" si="216"/>
        <v>8</v>
      </c>
      <c r="AU566" s="42"/>
      <c r="AV566" s="53"/>
      <c r="AW566" s="53"/>
      <c r="AX566" s="53"/>
      <c r="AY566" s="72"/>
      <c r="AZ566" s="24">
        <f t="shared" si="217"/>
        <v>0</v>
      </c>
      <c r="BA566" s="24">
        <f t="shared" si="218"/>
        <v>8</v>
      </c>
      <c r="BB566" s="83">
        <v>44057</v>
      </c>
    </row>
    <row r="567" spans="1:55" ht="14.25" x14ac:dyDescent="0.15">
      <c r="A567" s="177" t="s">
        <v>387</v>
      </c>
      <c r="B567" s="172"/>
      <c r="C567" s="173"/>
      <c r="D567" s="173">
        <v>1</v>
      </c>
      <c r="E567" s="173"/>
      <c r="F567" s="173">
        <v>-1</v>
      </c>
      <c r="G567" s="174">
        <f t="shared" si="211"/>
        <v>0</v>
      </c>
      <c r="H567" s="172"/>
      <c r="I567" s="173"/>
      <c r="J567" s="173"/>
      <c r="K567" s="173"/>
      <c r="L567" s="173"/>
      <c r="M567" s="174">
        <f t="shared" si="212"/>
        <v>0</v>
      </c>
      <c r="N567" s="173"/>
      <c r="O567" s="175"/>
      <c r="P567" s="175"/>
      <c r="Q567" s="175"/>
      <c r="R567" s="176"/>
      <c r="S567" s="76">
        <f t="shared" si="213"/>
        <v>0</v>
      </c>
      <c r="T567" s="173"/>
      <c r="U567" s="175"/>
      <c r="V567" s="175"/>
      <c r="W567" s="175"/>
      <c r="X567" s="176"/>
      <c r="Y567" s="76">
        <f t="shared" si="214"/>
        <v>0</v>
      </c>
      <c r="Z567" s="76">
        <f t="shared" si="215"/>
        <v>0</v>
      </c>
      <c r="AA567" s="195">
        <v>44062</v>
      </c>
      <c r="AB567" s="47" t="s">
        <v>30</v>
      </c>
      <c r="AC567" s="41"/>
      <c r="AD567" s="42"/>
      <c r="AE567" s="42"/>
      <c r="AF567" s="42"/>
      <c r="AG567" s="42">
        <v>2</v>
      </c>
      <c r="AH567" s="43">
        <f t="shared" si="219"/>
        <v>2</v>
      </c>
      <c r="AI567" s="41"/>
      <c r="AJ567" s="42"/>
      <c r="AK567" s="42"/>
      <c r="AL567" s="42"/>
      <c r="AM567" s="42"/>
      <c r="AN567" s="43">
        <f t="shared" si="220"/>
        <v>0</v>
      </c>
      <c r="AO567" s="42"/>
      <c r="AP567" s="53"/>
      <c r="AQ567" s="53"/>
      <c r="AR567" s="53"/>
      <c r="AS567" s="72"/>
      <c r="AT567" s="24">
        <f t="shared" si="216"/>
        <v>0</v>
      </c>
      <c r="AU567" s="42"/>
      <c r="AV567" s="53"/>
      <c r="AW567" s="53"/>
      <c r="AX567" s="53"/>
      <c r="AY567" s="72"/>
      <c r="AZ567" s="24">
        <f t="shared" si="217"/>
        <v>0</v>
      </c>
      <c r="BA567" s="24">
        <f t="shared" si="218"/>
        <v>2</v>
      </c>
      <c r="BB567" s="83">
        <v>44055</v>
      </c>
    </row>
    <row r="568" spans="1:55" ht="14.25" x14ac:dyDescent="0.15">
      <c r="A568" s="23" t="s">
        <v>160</v>
      </c>
      <c r="B568" s="41">
        <v>2</v>
      </c>
      <c r="C568" s="42">
        <v>3</v>
      </c>
      <c r="D568" s="42">
        <v>2</v>
      </c>
      <c r="E568" s="42">
        <v>2</v>
      </c>
      <c r="F568" s="42">
        <v>1</v>
      </c>
      <c r="G568" s="43">
        <f t="shared" si="211"/>
        <v>10</v>
      </c>
      <c r="H568" s="41">
        <v>1</v>
      </c>
      <c r="I568" s="42">
        <v>1</v>
      </c>
      <c r="J568" s="42"/>
      <c r="K568" s="42"/>
      <c r="L568" s="42"/>
      <c r="M568" s="43">
        <f t="shared" si="212"/>
        <v>2</v>
      </c>
      <c r="N568" s="42">
        <v>1</v>
      </c>
      <c r="O568" s="53">
        <v>5</v>
      </c>
      <c r="P568" s="53">
        <v>1</v>
      </c>
      <c r="Q568" s="53">
        <v>1</v>
      </c>
      <c r="R568" s="72">
        <v>1</v>
      </c>
      <c r="S568" s="24">
        <f t="shared" si="213"/>
        <v>9</v>
      </c>
      <c r="T568" s="42"/>
      <c r="U568" s="53">
        <v>4</v>
      </c>
      <c r="V568" s="53"/>
      <c r="W568" s="53"/>
      <c r="X568" s="72"/>
      <c r="Y568" s="24">
        <f t="shared" si="214"/>
        <v>4</v>
      </c>
      <c r="Z568" s="24">
        <f t="shared" si="215"/>
        <v>25</v>
      </c>
      <c r="AA568" s="83">
        <v>44065</v>
      </c>
      <c r="AB568" s="47" t="s">
        <v>386</v>
      </c>
      <c r="AC568" s="41"/>
      <c r="AD568" s="42"/>
      <c r="AE568" s="42"/>
      <c r="AF568" s="42"/>
      <c r="AG568" s="42"/>
      <c r="AH568" s="43">
        <f t="shared" si="219"/>
        <v>0</v>
      </c>
      <c r="AI568" s="41"/>
      <c r="AJ568" s="42"/>
      <c r="AK568" s="42"/>
      <c r="AL568" s="42"/>
      <c r="AM568" s="42"/>
      <c r="AN568" s="43">
        <f t="shared" si="220"/>
        <v>0</v>
      </c>
      <c r="AO568" s="42"/>
      <c r="AP568" s="53"/>
      <c r="AQ568" s="53"/>
      <c r="AR568" s="53"/>
      <c r="AS568" s="72"/>
      <c r="AT568" s="24">
        <f t="shared" si="216"/>
        <v>0</v>
      </c>
      <c r="AU568" s="42"/>
      <c r="AV568" s="53"/>
      <c r="AW568" s="53"/>
      <c r="AX568" s="53">
        <v>2</v>
      </c>
      <c r="AY568" s="72"/>
      <c r="AZ568" s="24">
        <f t="shared" si="217"/>
        <v>2</v>
      </c>
      <c r="BA568" s="24">
        <f t="shared" si="218"/>
        <v>2</v>
      </c>
      <c r="BB568" s="83">
        <v>44067</v>
      </c>
    </row>
    <row r="569" spans="1:55" ht="14.25" x14ac:dyDescent="0.15">
      <c r="A569" s="158" t="s">
        <v>385</v>
      </c>
      <c r="B569" s="38"/>
      <c r="C569" s="39"/>
      <c r="D569" s="39"/>
      <c r="E569" s="39"/>
      <c r="F569" s="39"/>
      <c r="G569" s="37">
        <f t="shared" si="211"/>
        <v>0</v>
      </c>
      <c r="H569" s="38"/>
      <c r="I569" s="39"/>
      <c r="J569" s="39"/>
      <c r="K569" s="39"/>
      <c r="L569" s="39">
        <v>1</v>
      </c>
      <c r="M569" s="37">
        <f t="shared" si="212"/>
        <v>1</v>
      </c>
      <c r="N569" s="42"/>
      <c r="O569" s="53"/>
      <c r="P569" s="53"/>
      <c r="Q569" s="53"/>
      <c r="R569" s="72"/>
      <c r="S569" s="24">
        <f t="shared" si="213"/>
        <v>0</v>
      </c>
      <c r="T569" s="42"/>
      <c r="U569" s="53"/>
      <c r="V569" s="53"/>
      <c r="W569" s="53"/>
      <c r="X569" s="72"/>
      <c r="Y569" s="24">
        <f t="shared" si="214"/>
        <v>0</v>
      </c>
      <c r="Z569" s="24">
        <f t="shared" si="215"/>
        <v>1</v>
      </c>
      <c r="AA569" s="83">
        <v>44068</v>
      </c>
      <c r="AB569" s="21" t="s">
        <v>372</v>
      </c>
      <c r="AC569" s="38"/>
      <c r="AD569" s="39"/>
      <c r="AE569" s="39">
        <v>5</v>
      </c>
      <c r="AF569" s="39"/>
      <c r="AG569" s="39"/>
      <c r="AH569" s="37">
        <f t="shared" si="219"/>
        <v>5</v>
      </c>
      <c r="AI569" s="38"/>
      <c r="AJ569" s="39">
        <v>5</v>
      </c>
      <c r="AK569" s="39"/>
      <c r="AL569" s="39"/>
      <c r="AM569" s="39"/>
      <c r="AN569" s="37">
        <f t="shared" si="220"/>
        <v>5</v>
      </c>
      <c r="AO569" s="42"/>
      <c r="AP569" s="53"/>
      <c r="AQ569" s="53"/>
      <c r="AR569" s="53"/>
      <c r="AS569" s="72"/>
      <c r="AT569" s="24">
        <f t="shared" si="216"/>
        <v>0</v>
      </c>
      <c r="AU569" s="42"/>
      <c r="AV569" s="53"/>
      <c r="AW569" s="53"/>
      <c r="AX569" s="53"/>
      <c r="AY569" s="72"/>
      <c r="AZ569" s="24">
        <f t="shared" si="217"/>
        <v>0</v>
      </c>
      <c r="BA569" s="24">
        <f t="shared" si="218"/>
        <v>10</v>
      </c>
      <c r="BB569" s="83">
        <v>44067</v>
      </c>
      <c r="BC569" s="111"/>
    </row>
    <row r="570" spans="1:55" ht="14.25" x14ac:dyDescent="0.15">
      <c r="A570" s="47" t="s">
        <v>48</v>
      </c>
      <c r="B570" s="41"/>
      <c r="C570" s="42"/>
      <c r="D570" s="42"/>
      <c r="E570" s="42"/>
      <c r="F570" s="42"/>
      <c r="G570" s="43">
        <f t="shared" si="211"/>
        <v>0</v>
      </c>
      <c r="H570" s="41"/>
      <c r="I570" s="42">
        <v>1</v>
      </c>
      <c r="J570" s="42"/>
      <c r="K570" s="42"/>
      <c r="L570" s="42"/>
      <c r="M570" s="43">
        <f t="shared" si="212"/>
        <v>1</v>
      </c>
      <c r="N570" s="42"/>
      <c r="O570" s="53"/>
      <c r="P570" s="53"/>
      <c r="Q570" s="53"/>
      <c r="R570" s="72"/>
      <c r="S570" s="24">
        <f t="shared" si="213"/>
        <v>0</v>
      </c>
      <c r="T570" s="42"/>
      <c r="U570" s="53"/>
      <c r="V570" s="53"/>
      <c r="W570" s="53"/>
      <c r="X570" s="72"/>
      <c r="Y570" s="24">
        <f t="shared" si="214"/>
        <v>0</v>
      </c>
      <c r="Z570" s="24">
        <f t="shared" si="215"/>
        <v>1</v>
      </c>
      <c r="AA570" s="83">
        <v>44068</v>
      </c>
      <c r="AB570" s="21" t="s">
        <v>30</v>
      </c>
      <c r="AC570" s="41"/>
      <c r="AD570" s="42"/>
      <c r="AE570" s="42"/>
      <c r="AF570" s="42"/>
      <c r="AG570" s="42"/>
      <c r="AH570" s="43">
        <f t="shared" si="219"/>
        <v>0</v>
      </c>
      <c r="AI570" s="41"/>
      <c r="AJ570" s="42"/>
      <c r="AK570" s="42"/>
      <c r="AL570" s="42"/>
      <c r="AM570" s="42"/>
      <c r="AN570" s="43">
        <f t="shared" si="220"/>
        <v>0</v>
      </c>
      <c r="AO570" s="42"/>
      <c r="AP570" s="53"/>
      <c r="AQ570" s="53"/>
      <c r="AR570" s="53">
        <v>3</v>
      </c>
      <c r="AS570" s="72">
        <v>2</v>
      </c>
      <c r="AT570" s="24">
        <f t="shared" si="216"/>
        <v>5</v>
      </c>
      <c r="AU570" s="42"/>
      <c r="AV570" s="53"/>
      <c r="AW570" s="53"/>
      <c r="AX570" s="53"/>
      <c r="AY570" s="72"/>
      <c r="AZ570" s="24">
        <f t="shared" si="217"/>
        <v>0</v>
      </c>
      <c r="BA570" s="24">
        <f t="shared" si="218"/>
        <v>5</v>
      </c>
      <c r="BB570" s="83">
        <v>44063</v>
      </c>
      <c r="BC570" s="111"/>
    </row>
    <row r="571" spans="1:55" ht="14.25" x14ac:dyDescent="0.15">
      <c r="A571" s="21" t="s">
        <v>42</v>
      </c>
      <c r="B571" s="14"/>
      <c r="C571" s="15"/>
      <c r="D571" s="15"/>
      <c r="E571" s="15"/>
      <c r="F571" s="15"/>
      <c r="G571" s="24">
        <f t="shared" si="211"/>
        <v>0</v>
      </c>
      <c r="H571" s="14"/>
      <c r="I571" s="15"/>
      <c r="J571" s="15"/>
      <c r="K571" s="15"/>
      <c r="L571" s="15">
        <v>-2</v>
      </c>
      <c r="M571" s="24">
        <f t="shared" si="212"/>
        <v>-2</v>
      </c>
      <c r="N571" s="15"/>
      <c r="O571" s="55"/>
      <c r="P571" s="55"/>
      <c r="Q571" s="55"/>
      <c r="R571" s="67"/>
      <c r="S571" s="24">
        <f t="shared" si="213"/>
        <v>0</v>
      </c>
      <c r="T571" s="15"/>
      <c r="U571" s="55"/>
      <c r="V571" s="55"/>
      <c r="W571" s="55"/>
      <c r="X571" s="67"/>
      <c r="Y571" s="24">
        <f t="shared" si="214"/>
        <v>0</v>
      </c>
      <c r="Z571" s="24">
        <f t="shared" si="215"/>
        <v>-2</v>
      </c>
      <c r="AA571" s="83">
        <v>44069</v>
      </c>
      <c r="AB571" s="47" t="s">
        <v>388</v>
      </c>
      <c r="AC571" s="14"/>
      <c r="AD571" s="15"/>
      <c r="AE571" s="15"/>
      <c r="AF571" s="15"/>
      <c r="AG571" s="15"/>
      <c r="AH571" s="24">
        <f t="shared" si="219"/>
        <v>0</v>
      </c>
      <c r="AI571" s="14"/>
      <c r="AJ571" s="15">
        <v>1</v>
      </c>
      <c r="AK571" s="15"/>
      <c r="AL571" s="15"/>
      <c r="AM571" s="15"/>
      <c r="AN571" s="24">
        <f t="shared" si="220"/>
        <v>1</v>
      </c>
      <c r="AO571" s="15"/>
      <c r="AP571" s="55"/>
      <c r="AQ571" s="55"/>
      <c r="AR571" s="55"/>
      <c r="AS571" s="67"/>
      <c r="AT571" s="24">
        <f t="shared" si="216"/>
        <v>0</v>
      </c>
      <c r="AU571" s="15"/>
      <c r="AV571" s="55"/>
      <c r="AW571" s="55"/>
      <c r="AX571" s="55"/>
      <c r="AY571" s="67"/>
      <c r="AZ571" s="24">
        <f t="shared" si="217"/>
        <v>0</v>
      </c>
      <c r="BA571" s="24">
        <f t="shared" si="218"/>
        <v>1</v>
      </c>
      <c r="BB571" s="83">
        <v>44072</v>
      </c>
      <c r="BC571" s="111"/>
    </row>
    <row r="572" spans="1:55" x14ac:dyDescent="0.15">
      <c r="A572" s="158" t="s">
        <v>385</v>
      </c>
      <c r="B572" s="14"/>
      <c r="C572" s="15"/>
      <c r="D572" s="15"/>
      <c r="E572" s="15"/>
      <c r="F572" s="15"/>
      <c r="G572" s="24">
        <f t="shared" si="211"/>
        <v>0</v>
      </c>
      <c r="H572" s="14"/>
      <c r="I572" s="15"/>
      <c r="J572" s="15"/>
      <c r="K572" s="15"/>
      <c r="L572" s="15">
        <v>1</v>
      </c>
      <c r="M572" s="24">
        <f t="shared" si="212"/>
        <v>1</v>
      </c>
      <c r="N572" s="15"/>
      <c r="O572" s="55"/>
      <c r="P572" s="55"/>
      <c r="Q572" s="55"/>
      <c r="R572" s="67"/>
      <c r="S572" s="24">
        <f t="shared" si="213"/>
        <v>0</v>
      </c>
      <c r="T572" s="15"/>
      <c r="U572" s="55"/>
      <c r="V572" s="55"/>
      <c r="W572" s="55"/>
      <c r="X572" s="67"/>
      <c r="Y572" s="24">
        <f t="shared" si="214"/>
        <v>0</v>
      </c>
      <c r="Z572" s="24">
        <f t="shared" si="215"/>
        <v>1</v>
      </c>
      <c r="AA572" s="83">
        <v>44071</v>
      </c>
      <c r="AB572" s="47" t="s">
        <v>389</v>
      </c>
      <c r="AC572" s="14"/>
      <c r="AD572" s="15"/>
      <c r="AE572" s="15"/>
      <c r="AF572" s="15"/>
      <c r="AG572" s="15"/>
      <c r="AH572" s="24">
        <f t="shared" si="219"/>
        <v>0</v>
      </c>
      <c r="AI572" s="14"/>
      <c r="AJ572" s="15">
        <v>1</v>
      </c>
      <c r="AK572" s="15"/>
      <c r="AL572" s="15"/>
      <c r="AM572" s="15"/>
      <c r="AN572" s="24">
        <f t="shared" si="220"/>
        <v>1</v>
      </c>
      <c r="AO572" s="15"/>
      <c r="AP572" s="55"/>
      <c r="AQ572" s="55"/>
      <c r="AR572" s="55"/>
      <c r="AS572" s="67"/>
      <c r="AT572" s="24">
        <f t="shared" si="216"/>
        <v>0</v>
      </c>
      <c r="AU572" s="15"/>
      <c r="AV572" s="55"/>
      <c r="AW572" s="55"/>
      <c r="AX572" s="55"/>
      <c r="AY572" s="67"/>
      <c r="AZ572" s="24">
        <f t="shared" si="217"/>
        <v>0</v>
      </c>
      <c r="BA572" s="24">
        <f t="shared" si="218"/>
        <v>1</v>
      </c>
      <c r="BB572" s="83">
        <v>44072</v>
      </c>
      <c r="BC572" s="111"/>
    </row>
    <row r="573" spans="1:55" ht="14.25" x14ac:dyDescent="0.15">
      <c r="A573" s="158" t="s">
        <v>385</v>
      </c>
      <c r="B573" s="14"/>
      <c r="C573" s="15"/>
      <c r="D573" s="15"/>
      <c r="E573" s="15"/>
      <c r="F573" s="15"/>
      <c r="G573" s="24">
        <f t="shared" si="211"/>
        <v>0</v>
      </c>
      <c r="H573" s="14">
        <v>1</v>
      </c>
      <c r="I573" s="15"/>
      <c r="J573" s="15"/>
      <c r="K573" s="15"/>
      <c r="L573" s="15"/>
      <c r="M573" s="24">
        <f t="shared" si="212"/>
        <v>1</v>
      </c>
      <c r="N573" s="15"/>
      <c r="O573" s="55"/>
      <c r="P573" s="55"/>
      <c r="Q573" s="55"/>
      <c r="R573" s="67"/>
      <c r="S573" s="24">
        <f t="shared" si="213"/>
        <v>0</v>
      </c>
      <c r="T573" s="15"/>
      <c r="U573" s="55"/>
      <c r="V573" s="55"/>
      <c r="W573" s="55"/>
      <c r="X573" s="67"/>
      <c r="Y573" s="24">
        <f t="shared" si="214"/>
        <v>0</v>
      </c>
      <c r="Z573" s="24">
        <f t="shared" si="215"/>
        <v>1</v>
      </c>
      <c r="AA573" s="83">
        <v>44075</v>
      </c>
      <c r="AB573" s="21" t="s">
        <v>372</v>
      </c>
      <c r="AC573" s="14"/>
      <c r="AD573" s="15">
        <v>5</v>
      </c>
      <c r="AE573" s="15"/>
      <c r="AF573" s="15"/>
      <c r="AG573" s="15"/>
      <c r="AH573" s="24">
        <f t="shared" si="219"/>
        <v>5</v>
      </c>
      <c r="AI573" s="14"/>
      <c r="AJ573" s="15"/>
      <c r="AK573" s="15"/>
      <c r="AL573" s="15"/>
      <c r="AM573" s="15"/>
      <c r="AN573" s="24">
        <f t="shared" si="220"/>
        <v>0</v>
      </c>
      <c r="AO573" s="15"/>
      <c r="AP573" s="55"/>
      <c r="AQ573" s="55"/>
      <c r="AR573" s="55"/>
      <c r="AS573" s="67"/>
      <c r="AT573" s="24">
        <f t="shared" si="216"/>
        <v>0</v>
      </c>
      <c r="AU573" s="15"/>
      <c r="AV573" s="55"/>
      <c r="AW573" s="55"/>
      <c r="AX573" s="55"/>
      <c r="AY573" s="67"/>
      <c r="AZ573" s="24">
        <f t="shared" si="217"/>
        <v>0</v>
      </c>
      <c r="BA573" s="24">
        <f t="shared" si="218"/>
        <v>5</v>
      </c>
      <c r="BB573" s="83">
        <v>44071</v>
      </c>
      <c r="BC573" s="111"/>
    </row>
    <row r="574" spans="1:55" ht="14.25" x14ac:dyDescent="0.15">
      <c r="A574" s="170" t="s">
        <v>85</v>
      </c>
      <c r="B574" s="14"/>
      <c r="C574" s="15"/>
      <c r="D574" s="15"/>
      <c r="E574" s="15"/>
      <c r="F574" s="15"/>
      <c r="G574" s="24">
        <f t="shared" si="211"/>
        <v>0</v>
      </c>
      <c r="H574" s="14"/>
      <c r="I574" s="15"/>
      <c r="J574" s="15"/>
      <c r="K574" s="15"/>
      <c r="L574" s="15"/>
      <c r="M574" s="24">
        <f t="shared" si="212"/>
        <v>0</v>
      </c>
      <c r="N574" s="15"/>
      <c r="O574" s="55"/>
      <c r="P574" s="55"/>
      <c r="Q574" s="55"/>
      <c r="R574" s="67"/>
      <c r="S574" s="24">
        <f t="shared" si="213"/>
        <v>0</v>
      </c>
      <c r="T574" s="15"/>
      <c r="U574" s="55"/>
      <c r="V574" s="55"/>
      <c r="W574" s="55">
        <v>1</v>
      </c>
      <c r="X574" s="67"/>
      <c r="Y574" s="24">
        <f t="shared" si="214"/>
        <v>1</v>
      </c>
      <c r="Z574" s="24">
        <f t="shared" si="215"/>
        <v>1</v>
      </c>
      <c r="AA574" s="83">
        <v>44077</v>
      </c>
      <c r="AB574" s="21" t="s">
        <v>390</v>
      </c>
      <c r="AC574" s="14"/>
      <c r="AD574" s="15"/>
      <c r="AE574" s="15"/>
      <c r="AF574" s="15"/>
      <c r="AG574" s="15"/>
      <c r="AH574" s="24">
        <f t="shared" si="219"/>
        <v>0</v>
      </c>
      <c r="AI574" s="14"/>
      <c r="AJ574" s="15"/>
      <c r="AK574" s="15"/>
      <c r="AL574" s="15"/>
      <c r="AM574" s="15"/>
      <c r="AN574" s="24">
        <f t="shared" si="220"/>
        <v>0</v>
      </c>
      <c r="AO574" s="15"/>
      <c r="AP574" s="55"/>
      <c r="AQ574" s="55"/>
      <c r="AR574" s="55"/>
      <c r="AS574" s="67"/>
      <c r="AT574" s="24">
        <f t="shared" si="216"/>
        <v>0</v>
      </c>
      <c r="AU574" s="15"/>
      <c r="AV574" s="55">
        <v>2</v>
      </c>
      <c r="AW574" s="55"/>
      <c r="AX574" s="55"/>
      <c r="AY574" s="67"/>
      <c r="AZ574" s="24">
        <f t="shared" si="217"/>
        <v>2</v>
      </c>
      <c r="BA574" s="24">
        <f t="shared" si="218"/>
        <v>2</v>
      </c>
      <c r="BB574" s="83">
        <v>44072</v>
      </c>
      <c r="BC574" s="111"/>
    </row>
    <row r="575" spans="1:55" x14ac:dyDescent="0.15">
      <c r="A575" s="158" t="s">
        <v>385</v>
      </c>
      <c r="B575" s="14"/>
      <c r="C575" s="15"/>
      <c r="D575" s="15"/>
      <c r="E575" s="15"/>
      <c r="F575" s="15"/>
      <c r="G575" s="24">
        <f t="shared" si="211"/>
        <v>0</v>
      </c>
      <c r="H575" s="14"/>
      <c r="I575" s="15"/>
      <c r="J575" s="15"/>
      <c r="K575" s="15"/>
      <c r="L575" s="15"/>
      <c r="M575" s="24">
        <f t="shared" si="212"/>
        <v>0</v>
      </c>
      <c r="N575" s="15"/>
      <c r="O575" s="55">
        <v>1</v>
      </c>
      <c r="P575" s="55"/>
      <c r="Q575" s="55"/>
      <c r="R575" s="67"/>
      <c r="S575" s="24">
        <f t="shared" si="213"/>
        <v>1</v>
      </c>
      <c r="T575" s="15"/>
      <c r="U575" s="55"/>
      <c r="V575" s="55"/>
      <c r="W575" s="55"/>
      <c r="X575" s="67"/>
      <c r="Y575" s="24">
        <f t="shared" si="214"/>
        <v>0</v>
      </c>
      <c r="Z575" s="24">
        <f t="shared" si="215"/>
        <v>1</v>
      </c>
      <c r="AA575" s="83">
        <v>44077</v>
      </c>
      <c r="AB575" s="47" t="s">
        <v>30</v>
      </c>
      <c r="AC575" s="14"/>
      <c r="AD575" s="15"/>
      <c r="AE575" s="15"/>
      <c r="AF575" s="15"/>
      <c r="AG575" s="15"/>
      <c r="AH575" s="24">
        <f t="shared" si="219"/>
        <v>0</v>
      </c>
      <c r="AI575" s="14"/>
      <c r="AJ575" s="15"/>
      <c r="AK575" s="15"/>
      <c r="AL575" s="15"/>
      <c r="AM575" s="15">
        <v>2</v>
      </c>
      <c r="AN575" s="24">
        <f t="shared" si="220"/>
        <v>2</v>
      </c>
      <c r="AO575" s="15"/>
      <c r="AP575" s="55"/>
      <c r="AQ575" s="55"/>
      <c r="AR575" s="55"/>
      <c r="AS575" s="67"/>
      <c r="AT575" s="24">
        <f t="shared" si="216"/>
        <v>0</v>
      </c>
      <c r="AU575" s="15"/>
      <c r="AV575" s="55"/>
      <c r="AW575" s="55"/>
      <c r="AX575" s="55"/>
      <c r="AY575" s="67"/>
      <c r="AZ575" s="24">
        <f t="shared" si="217"/>
        <v>0</v>
      </c>
      <c r="BA575" s="24">
        <f t="shared" si="218"/>
        <v>2</v>
      </c>
      <c r="BB575" s="83">
        <v>44069</v>
      </c>
      <c r="BC575" s="111"/>
    </row>
    <row r="576" spans="1:55" ht="14.25" x14ac:dyDescent="0.15">
      <c r="A576" s="23" t="s">
        <v>42</v>
      </c>
      <c r="B576" s="14"/>
      <c r="C576" s="15"/>
      <c r="D576" s="15"/>
      <c r="E576" s="15"/>
      <c r="F576" s="15"/>
      <c r="G576" s="24">
        <f t="shared" si="211"/>
        <v>0</v>
      </c>
      <c r="H576" s="14">
        <v>-2</v>
      </c>
      <c r="I576" s="15"/>
      <c r="J576" s="15"/>
      <c r="K576" s="15"/>
      <c r="L576" s="15">
        <v>-2</v>
      </c>
      <c r="M576" s="24">
        <f t="shared" si="212"/>
        <v>-4</v>
      </c>
      <c r="N576" s="15"/>
      <c r="O576" s="55"/>
      <c r="P576" s="55"/>
      <c r="Q576" s="55"/>
      <c r="R576" s="67"/>
      <c r="S576" s="24">
        <f t="shared" si="213"/>
        <v>0</v>
      </c>
      <c r="T576" s="15"/>
      <c r="U576" s="55"/>
      <c r="V576" s="55"/>
      <c r="W576" s="55"/>
      <c r="X576" s="67"/>
      <c r="Y576" s="24">
        <f t="shared" si="214"/>
        <v>0</v>
      </c>
      <c r="Z576" s="24">
        <f t="shared" si="215"/>
        <v>-4</v>
      </c>
      <c r="AA576" s="83">
        <v>44079</v>
      </c>
      <c r="AB576" s="21" t="s">
        <v>391</v>
      </c>
      <c r="AC576" s="14"/>
      <c r="AD576" s="15"/>
      <c r="AE576" s="15"/>
      <c r="AF576" s="15"/>
      <c r="AG576" s="15">
        <v>3</v>
      </c>
      <c r="AH576" s="24">
        <f t="shared" si="219"/>
        <v>3</v>
      </c>
      <c r="AI576" s="14"/>
      <c r="AJ576" s="15"/>
      <c r="AK576" s="15"/>
      <c r="AL576" s="15"/>
      <c r="AM576" s="15"/>
      <c r="AN576" s="24">
        <f t="shared" si="220"/>
        <v>0</v>
      </c>
      <c r="AO576" s="15"/>
      <c r="AP576" s="55"/>
      <c r="AQ576" s="55"/>
      <c r="AR576" s="55"/>
      <c r="AS576" s="67"/>
      <c r="AT576" s="24">
        <f t="shared" si="216"/>
        <v>0</v>
      </c>
      <c r="AU576" s="15"/>
      <c r="AV576" s="55"/>
      <c r="AW576" s="55"/>
      <c r="AX576" s="55"/>
      <c r="AY576" s="67"/>
      <c r="AZ576" s="24">
        <f t="shared" si="217"/>
        <v>0</v>
      </c>
      <c r="BA576" s="24">
        <f t="shared" si="218"/>
        <v>3</v>
      </c>
      <c r="BB576" s="83">
        <v>44077</v>
      </c>
    </row>
    <row r="577" spans="1:54" ht="14.25" x14ac:dyDescent="0.15">
      <c r="A577" s="23" t="s">
        <v>401</v>
      </c>
      <c r="B577" s="44">
        <v>-1</v>
      </c>
      <c r="C577" s="45">
        <v>-1</v>
      </c>
      <c r="D577" s="45">
        <v>-1</v>
      </c>
      <c r="E577" s="45"/>
      <c r="F577" s="45">
        <v>-3</v>
      </c>
      <c r="G577" s="43">
        <f t="shared" si="211"/>
        <v>-6</v>
      </c>
      <c r="H577" s="44"/>
      <c r="I577" s="45"/>
      <c r="J577" s="45"/>
      <c r="K577" s="45"/>
      <c r="L577" s="45"/>
      <c r="M577" s="43">
        <f t="shared" si="212"/>
        <v>0</v>
      </c>
      <c r="N577" s="42"/>
      <c r="O577" s="53"/>
      <c r="P577" s="53"/>
      <c r="Q577" s="53"/>
      <c r="R577" s="72"/>
      <c r="S577" s="24">
        <f t="shared" si="213"/>
        <v>0</v>
      </c>
      <c r="T577" s="42">
        <v>-1</v>
      </c>
      <c r="U577" s="53">
        <v>-1</v>
      </c>
      <c r="V577" s="53"/>
      <c r="W577" s="53"/>
      <c r="X577" s="72">
        <v>-3</v>
      </c>
      <c r="Y577" s="24">
        <f t="shared" si="214"/>
        <v>-5</v>
      </c>
      <c r="Z577" s="24">
        <f t="shared" si="215"/>
        <v>-11</v>
      </c>
      <c r="AA577" s="83">
        <v>44091</v>
      </c>
      <c r="AB577" s="21" t="s">
        <v>392</v>
      </c>
      <c r="AC577" s="14"/>
      <c r="AD577" s="15"/>
      <c r="AE577" s="15"/>
      <c r="AF577" s="15">
        <v>3</v>
      </c>
      <c r="AG577" s="15">
        <v>2</v>
      </c>
      <c r="AH577" s="24">
        <f t="shared" si="219"/>
        <v>5</v>
      </c>
      <c r="AI577" s="14"/>
      <c r="AJ577" s="15"/>
      <c r="AK577" s="15"/>
      <c r="AL577" s="15"/>
      <c r="AM577" s="15"/>
      <c r="AN577" s="24">
        <f t="shared" si="220"/>
        <v>0</v>
      </c>
      <c r="AO577" s="15"/>
      <c r="AP577" s="55"/>
      <c r="AQ577" s="55"/>
      <c r="AR577" s="55"/>
      <c r="AS577" s="67"/>
      <c r="AT577" s="24">
        <f t="shared" si="216"/>
        <v>0</v>
      </c>
      <c r="AU577" s="15"/>
      <c r="AV577" s="55"/>
      <c r="AW577" s="55"/>
      <c r="AX577" s="55"/>
      <c r="AY577" s="67"/>
      <c r="AZ577" s="24">
        <f t="shared" si="217"/>
        <v>0</v>
      </c>
      <c r="BA577" s="24">
        <f t="shared" si="218"/>
        <v>5</v>
      </c>
      <c r="BB577" s="83">
        <v>44082</v>
      </c>
    </row>
    <row r="578" spans="1:54" ht="14.25" x14ac:dyDescent="0.15">
      <c r="A578" s="110" t="s">
        <v>394</v>
      </c>
      <c r="B578" s="41"/>
      <c r="C578" s="42"/>
      <c r="D578" s="42"/>
      <c r="E578" s="42"/>
      <c r="F578" s="42"/>
      <c r="G578" s="43">
        <f t="shared" si="211"/>
        <v>0</v>
      </c>
      <c r="H578" s="41"/>
      <c r="I578" s="42"/>
      <c r="J578" s="42"/>
      <c r="K578" s="42"/>
      <c r="L578" s="42">
        <v>-1</v>
      </c>
      <c r="M578" s="43">
        <f t="shared" si="212"/>
        <v>-1</v>
      </c>
      <c r="N578" s="42"/>
      <c r="O578" s="53"/>
      <c r="P578" s="53"/>
      <c r="Q578" s="53"/>
      <c r="R578" s="72"/>
      <c r="S578" s="24">
        <f t="shared" si="213"/>
        <v>0</v>
      </c>
      <c r="T578" s="42"/>
      <c r="U578" s="53"/>
      <c r="V578" s="53"/>
      <c r="W578" s="53"/>
      <c r="X578" s="72"/>
      <c r="Y578" s="24">
        <f t="shared" si="214"/>
        <v>0</v>
      </c>
      <c r="Z578" s="24">
        <f t="shared" si="215"/>
        <v>-1</v>
      </c>
      <c r="AA578" s="93">
        <v>44079</v>
      </c>
      <c r="AB578" s="21" t="s">
        <v>393</v>
      </c>
      <c r="AC578" s="14"/>
      <c r="AD578" s="15"/>
      <c r="AE578" s="15"/>
      <c r="AF578" s="15"/>
      <c r="AG578" s="15"/>
      <c r="AH578" s="24">
        <f t="shared" si="219"/>
        <v>0</v>
      </c>
      <c r="AI578" s="14">
        <v>1</v>
      </c>
      <c r="AJ578" s="15"/>
      <c r="AK578" s="15"/>
      <c r="AL578" s="15"/>
      <c r="AM578" s="15"/>
      <c r="AN578" s="24">
        <f t="shared" si="220"/>
        <v>1</v>
      </c>
      <c r="AO578" s="15"/>
      <c r="AP578" s="55"/>
      <c r="AQ578" s="55"/>
      <c r="AR578" s="55"/>
      <c r="AS578" s="67"/>
      <c r="AT578" s="24">
        <f t="shared" si="216"/>
        <v>0</v>
      </c>
      <c r="AU578" s="15"/>
      <c r="AV578" s="55"/>
      <c r="AW578" s="55"/>
      <c r="AX578" s="55"/>
      <c r="AY578" s="67"/>
      <c r="AZ578" s="24">
        <f t="shared" si="217"/>
        <v>0</v>
      </c>
      <c r="BA578" s="24">
        <f t="shared" si="218"/>
        <v>1</v>
      </c>
      <c r="BB578" s="83">
        <v>44082</v>
      </c>
    </row>
    <row r="579" spans="1:54" ht="14.25" x14ac:dyDescent="0.15">
      <c r="A579" s="23" t="s">
        <v>395</v>
      </c>
      <c r="B579" s="41"/>
      <c r="C579" s="42"/>
      <c r="D579" s="42"/>
      <c r="E579" s="42">
        <v>1</v>
      </c>
      <c r="F579" s="42"/>
      <c r="G579" s="43">
        <f t="shared" si="211"/>
        <v>1</v>
      </c>
      <c r="H579" s="41"/>
      <c r="I579" s="42"/>
      <c r="J579" s="42"/>
      <c r="K579" s="42"/>
      <c r="L579" s="42"/>
      <c r="M579" s="43">
        <f t="shared" si="212"/>
        <v>0</v>
      </c>
      <c r="N579" s="42"/>
      <c r="O579" s="53"/>
      <c r="P579" s="53"/>
      <c r="Q579" s="53"/>
      <c r="R579" s="72"/>
      <c r="S579" s="24">
        <f t="shared" si="213"/>
        <v>0</v>
      </c>
      <c r="T579" s="42"/>
      <c r="U579" s="53"/>
      <c r="V579" s="53"/>
      <c r="W579" s="53"/>
      <c r="X579" s="72"/>
      <c r="Y579" s="24">
        <f t="shared" si="214"/>
        <v>0</v>
      </c>
      <c r="Z579" s="24">
        <f t="shared" si="215"/>
        <v>1</v>
      </c>
      <c r="AA579" s="93">
        <v>44079</v>
      </c>
      <c r="AB579" s="47" t="s">
        <v>30</v>
      </c>
      <c r="AC579" s="14"/>
      <c r="AD579" s="15"/>
      <c r="AE579" s="15"/>
      <c r="AF579" s="15"/>
      <c r="AG579" s="15"/>
      <c r="AH579" s="24">
        <f>SUM(AC579:AG579)</f>
        <v>0</v>
      </c>
      <c r="AI579" s="14">
        <v>2</v>
      </c>
      <c r="AJ579" s="15"/>
      <c r="AK579" s="15"/>
      <c r="AL579" s="15"/>
      <c r="AM579" s="15">
        <v>2</v>
      </c>
      <c r="AN579" s="24">
        <f>SUM(AI579:AM579)</f>
        <v>4</v>
      </c>
      <c r="AO579" s="15"/>
      <c r="AP579" s="55"/>
      <c r="AQ579" s="55"/>
      <c r="AR579" s="55"/>
      <c r="AS579" s="67"/>
      <c r="AT579" s="24">
        <f>SUM(AO579:AS579)</f>
        <v>0</v>
      </c>
      <c r="AU579" s="15"/>
      <c r="AV579" s="55"/>
      <c r="AW579" s="55"/>
      <c r="AX579" s="55"/>
      <c r="AY579" s="67"/>
      <c r="AZ579" s="24">
        <f>SUM(AU579:AY579)</f>
        <v>0</v>
      </c>
      <c r="BA579" s="24">
        <f>AH579+AN579+AT579+AZ579</f>
        <v>4</v>
      </c>
      <c r="BB579" s="83">
        <v>44079</v>
      </c>
    </row>
    <row r="580" spans="1:54" ht="14.25" x14ac:dyDescent="0.15">
      <c r="A580" s="23"/>
      <c r="B580" s="41"/>
      <c r="C580" s="42"/>
      <c r="D580" s="42"/>
      <c r="E580" s="42"/>
      <c r="F580" s="42"/>
      <c r="G580" s="43">
        <f t="shared" si="211"/>
        <v>0</v>
      </c>
      <c r="H580" s="41"/>
      <c r="I580" s="42"/>
      <c r="J580" s="42"/>
      <c r="K580" s="42"/>
      <c r="L580" s="42"/>
      <c r="M580" s="43">
        <f t="shared" si="212"/>
        <v>0</v>
      </c>
      <c r="N580" s="42"/>
      <c r="O580" s="53"/>
      <c r="P580" s="53"/>
      <c r="Q580" s="53"/>
      <c r="R580" s="72"/>
      <c r="S580" s="24">
        <f>SUM(N580:R580)</f>
        <v>0</v>
      </c>
      <c r="T580" s="42"/>
      <c r="U580" s="53"/>
      <c r="V580" s="53"/>
      <c r="W580" s="53"/>
      <c r="X580" s="72"/>
      <c r="Y580" s="24">
        <f>SUM(T580:X580)</f>
        <v>0</v>
      </c>
      <c r="Z580" s="24">
        <f>G580+M580+S580+Y580</f>
        <v>0</v>
      </c>
      <c r="AB580" s="47"/>
      <c r="AC580" s="14"/>
      <c r="AD580" s="15"/>
      <c r="AE580" s="15"/>
      <c r="AF580" s="15"/>
      <c r="AG580" s="15"/>
      <c r="AH580" s="24">
        <f>SUM(AC580:AG580)</f>
        <v>0</v>
      </c>
      <c r="AI580" s="14"/>
      <c r="AJ580" s="15"/>
      <c r="AK580" s="15"/>
      <c r="AL580" s="15"/>
      <c r="AM580" s="15"/>
      <c r="AN580" s="24">
        <f>SUM(AI580:AM580)</f>
        <v>0</v>
      </c>
      <c r="AO580" s="15"/>
      <c r="AP580" s="55"/>
      <c r="AQ580" s="55"/>
      <c r="AR580" s="55"/>
      <c r="AS580" s="67"/>
      <c r="AT580" s="24">
        <f>SUM(AO580:AS580)</f>
        <v>0</v>
      </c>
      <c r="AU580" s="15"/>
      <c r="AV580" s="55"/>
      <c r="AW580" s="55"/>
      <c r="AX580" s="55"/>
      <c r="AY580" s="67"/>
      <c r="AZ580" s="24">
        <f>SUM(AU580:AY580)</f>
        <v>0</v>
      </c>
      <c r="BA580" s="24">
        <f>AH580+AN580+AT580+AZ580</f>
        <v>0</v>
      </c>
      <c r="BB580" s="128"/>
    </row>
    <row r="581" spans="1:54" ht="14.25" thickBot="1" x14ac:dyDescent="0.2">
      <c r="A581" s="47"/>
      <c r="B581" s="44"/>
      <c r="C581" s="45"/>
      <c r="D581" s="45"/>
      <c r="E581" s="45"/>
      <c r="F581" s="45"/>
      <c r="G581" s="43">
        <f t="shared" si="211"/>
        <v>0</v>
      </c>
      <c r="H581" s="44"/>
      <c r="I581" s="45"/>
      <c r="J581" s="45"/>
      <c r="K581" s="45"/>
      <c r="L581" s="45"/>
      <c r="M581" s="112">
        <f t="shared" si="212"/>
        <v>0</v>
      </c>
      <c r="N581" s="45"/>
      <c r="O581" s="78"/>
      <c r="P581" s="78"/>
      <c r="Q581" s="78"/>
      <c r="R581" s="79"/>
      <c r="S581" s="113">
        <f>SUM(N581:R581)</f>
        <v>0</v>
      </c>
      <c r="T581" s="45"/>
      <c r="U581" s="78"/>
      <c r="V581" s="78"/>
      <c r="W581" s="78"/>
      <c r="X581" s="79"/>
      <c r="Y581" s="113">
        <f>SUM(T581:X581)</f>
        <v>0</v>
      </c>
      <c r="Z581" s="82">
        <f>G581+M581+S581+Y581</f>
        <v>0</v>
      </c>
      <c r="AB581" s="47"/>
      <c r="AC581" s="14"/>
      <c r="AD581" s="15"/>
      <c r="AE581" s="15"/>
      <c r="AF581" s="15"/>
      <c r="AG581" s="15"/>
      <c r="AH581" s="24">
        <f>SUM(AC581:AG581)</f>
        <v>0</v>
      </c>
      <c r="AI581" s="14"/>
      <c r="AJ581" s="15"/>
      <c r="AK581" s="15"/>
      <c r="AL581" s="15"/>
      <c r="AM581" s="15"/>
      <c r="AN581" s="24">
        <f>SUM(AI581:AM581)</f>
        <v>0</v>
      </c>
      <c r="AO581" s="15"/>
      <c r="AP581" s="55"/>
      <c r="AQ581" s="55"/>
      <c r="AR581" s="55"/>
      <c r="AS581" s="67"/>
      <c r="AT581" s="24">
        <f>SUM(AO581:AS581)</f>
        <v>0</v>
      </c>
      <c r="AU581" s="15"/>
      <c r="AV581" s="55"/>
      <c r="AW581" s="55"/>
      <c r="AX581" s="55"/>
      <c r="AY581" s="67"/>
      <c r="AZ581" s="24">
        <f>SUM(AU581:AY581)</f>
        <v>0</v>
      </c>
      <c r="BA581" s="24">
        <f>AH581+AN581+AT581+AZ581</f>
        <v>0</v>
      </c>
      <c r="BB581" s="128"/>
    </row>
    <row r="582" spans="1:54" ht="15" thickBot="1" x14ac:dyDescent="0.2">
      <c r="A582" s="9" t="s">
        <v>13</v>
      </c>
      <c r="B582" s="25">
        <f>SUM(B556:B581)</f>
        <v>0</v>
      </c>
      <c r="C582" s="26">
        <f>SUM(C556:C581)</f>
        <v>0</v>
      </c>
      <c r="D582" s="26">
        <f>SUM(D556:D581)</f>
        <v>3</v>
      </c>
      <c r="E582" s="26">
        <f>SUM(E556:E581)</f>
        <v>2</v>
      </c>
      <c r="F582" s="27">
        <f>SUM(F556:F581)</f>
        <v>0</v>
      </c>
      <c r="G582" s="19">
        <f>SUM(B582:F582)</f>
        <v>5</v>
      </c>
      <c r="H582" s="25">
        <f>SUM(H556:H581)</f>
        <v>0</v>
      </c>
      <c r="I582" s="26">
        <f>SUM(I556:I581)</f>
        <v>3</v>
      </c>
      <c r="J582" s="26">
        <f>SUM(J556:J581)</f>
        <v>1</v>
      </c>
      <c r="K582" s="26">
        <f>SUM(K556:K581)</f>
        <v>0</v>
      </c>
      <c r="L582" s="27">
        <f>SUM(L556:L581)</f>
        <v>-3</v>
      </c>
      <c r="M582" s="25">
        <f>SUM(H582:L582)</f>
        <v>1</v>
      </c>
      <c r="N582" s="65">
        <f>SUM(N556:N581)</f>
        <v>1</v>
      </c>
      <c r="O582" s="18">
        <f>SUM(O556:O581)</f>
        <v>1</v>
      </c>
      <c r="P582" s="18">
        <f>SUM(P556:P581)</f>
        <v>1</v>
      </c>
      <c r="Q582" s="18">
        <f>SUM(Q556:Q581)</f>
        <v>3</v>
      </c>
      <c r="R582" s="70">
        <f>SUM(R556:R581)</f>
        <v>2</v>
      </c>
      <c r="S582" s="49">
        <f>SUM(N582:R582)</f>
        <v>8</v>
      </c>
      <c r="T582" s="74">
        <f>SUM(T556:T581)</f>
        <v>0</v>
      </c>
      <c r="U582" s="18">
        <f>SUM(U556:U581)</f>
        <v>-1</v>
      </c>
      <c r="V582" s="18">
        <f>SUM(V556:V581)</f>
        <v>2</v>
      </c>
      <c r="W582" s="18">
        <f>SUM(W556:W581)</f>
        <v>1</v>
      </c>
      <c r="X582" s="70">
        <f>SUM(X556:X581)</f>
        <v>-3</v>
      </c>
      <c r="Y582" s="49">
        <f>SUM(T582:X582)</f>
        <v>-1</v>
      </c>
      <c r="Z582" s="77">
        <f>G582+M582+S582+Y582</f>
        <v>13</v>
      </c>
      <c r="AB582" s="9" t="s">
        <v>13</v>
      </c>
      <c r="AC582" s="25">
        <f>SUM(AC556:AC581)</f>
        <v>0</v>
      </c>
      <c r="AD582" s="26">
        <f>SUM(AD556:AD581)</f>
        <v>5</v>
      </c>
      <c r="AE582" s="26">
        <f>SUM(AE556:AE581)</f>
        <v>8</v>
      </c>
      <c r="AF582" s="26">
        <f>SUM(AF556:AF581)</f>
        <v>10</v>
      </c>
      <c r="AG582" s="27">
        <f>SUM(AG556:AG581)</f>
        <v>24</v>
      </c>
      <c r="AH582" s="19">
        <f>SUM(AC582:AG582)</f>
        <v>47</v>
      </c>
      <c r="AI582" s="25">
        <f>SUM(AI556:AI581)</f>
        <v>8</v>
      </c>
      <c r="AJ582" s="26">
        <f>SUM(AJ556:AJ581)</f>
        <v>7</v>
      </c>
      <c r="AK582" s="26">
        <f>SUM(AK556:AK581)</f>
        <v>5</v>
      </c>
      <c r="AL582" s="26">
        <f>SUM(AL556:AL581)</f>
        <v>2</v>
      </c>
      <c r="AM582" s="27">
        <f>SUM(AM556:AM581)</f>
        <v>6</v>
      </c>
      <c r="AN582" s="25">
        <f>SUM(AI582:AM582)</f>
        <v>28</v>
      </c>
      <c r="AO582" s="65">
        <f>SUM(AO556:AO581)</f>
        <v>0</v>
      </c>
      <c r="AP582" s="18">
        <f>SUM(AP556:AP581)</f>
        <v>3</v>
      </c>
      <c r="AQ582" s="18">
        <f>SUM(AQ556:AQ581)</f>
        <v>5</v>
      </c>
      <c r="AR582" s="18">
        <f>SUM(AR556:AR581)</f>
        <v>9</v>
      </c>
      <c r="AS582" s="70">
        <f>SUM(AS556:AS581)</f>
        <v>4</v>
      </c>
      <c r="AT582" s="49">
        <f>SUM(AO582:AS582)</f>
        <v>21</v>
      </c>
      <c r="AU582" s="74">
        <f>SUM(AU556:AU581)</f>
        <v>3</v>
      </c>
      <c r="AV582" s="18">
        <f>SUM(AV556:AV581)</f>
        <v>6</v>
      </c>
      <c r="AW582" s="18">
        <f>SUM(AW556:AW581)</f>
        <v>4</v>
      </c>
      <c r="AX582" s="18">
        <f>SUM(AX556:AX581)</f>
        <v>6</v>
      </c>
      <c r="AY582" s="70">
        <f>SUM(AY556:AY581)</f>
        <v>10</v>
      </c>
      <c r="AZ582" s="49">
        <f>SUM(AU582:AY582)</f>
        <v>29</v>
      </c>
      <c r="BA582" s="77">
        <f>AH582+AN582+AT582+AZ582</f>
        <v>125</v>
      </c>
    </row>
    <row r="583" spans="1:54" ht="15" thickBot="1" x14ac:dyDescent="0.2">
      <c r="A583" s="32" t="s">
        <v>14</v>
      </c>
      <c r="B583" s="29">
        <f t="shared" ref="B583:Y583" si="221">B555-B582</f>
        <v>4</v>
      </c>
      <c r="C583" s="30">
        <f t="shared" si="221"/>
        <v>5</v>
      </c>
      <c r="D583" s="30">
        <f t="shared" si="221"/>
        <v>3</v>
      </c>
      <c r="E583" s="30">
        <f t="shared" si="221"/>
        <v>0</v>
      </c>
      <c r="F583" s="31">
        <f t="shared" si="221"/>
        <v>6</v>
      </c>
      <c r="G583" s="31">
        <f t="shared" si="221"/>
        <v>18</v>
      </c>
      <c r="H583" s="29">
        <f t="shared" si="221"/>
        <v>3</v>
      </c>
      <c r="I583" s="30">
        <f t="shared" si="221"/>
        <v>2</v>
      </c>
      <c r="J583" s="30">
        <f t="shared" si="221"/>
        <v>3</v>
      </c>
      <c r="K583" s="30">
        <f t="shared" si="221"/>
        <v>3</v>
      </c>
      <c r="L583" s="31">
        <f t="shared" si="221"/>
        <v>4</v>
      </c>
      <c r="M583" s="66">
        <f t="shared" si="221"/>
        <v>15</v>
      </c>
      <c r="N583" s="29">
        <f t="shared" si="221"/>
        <v>3</v>
      </c>
      <c r="O583" s="30">
        <f t="shared" si="221"/>
        <v>2</v>
      </c>
      <c r="P583" s="30">
        <f t="shared" si="221"/>
        <v>3</v>
      </c>
      <c r="Q583" s="30">
        <f t="shared" si="221"/>
        <v>2</v>
      </c>
      <c r="R583" s="66">
        <f t="shared" si="221"/>
        <v>3</v>
      </c>
      <c r="S583" s="33">
        <f t="shared" si="221"/>
        <v>13</v>
      </c>
      <c r="T583" s="75">
        <f t="shared" si="221"/>
        <v>4</v>
      </c>
      <c r="U583" s="30">
        <f t="shared" si="221"/>
        <v>3</v>
      </c>
      <c r="V583" s="30">
        <f t="shared" si="221"/>
        <v>2</v>
      </c>
      <c r="W583" s="30">
        <f t="shared" si="221"/>
        <v>2</v>
      </c>
      <c r="X583" s="66">
        <f t="shared" si="221"/>
        <v>7</v>
      </c>
      <c r="Y583" s="33">
        <f t="shared" si="221"/>
        <v>18</v>
      </c>
      <c r="Z583" s="77">
        <f>G583+M583+S583+Y583</f>
        <v>64</v>
      </c>
      <c r="AB583" s="32" t="s">
        <v>14</v>
      </c>
      <c r="AC583" s="29">
        <f t="shared" ref="AC583:AZ583" si="222">AC555-AC582</f>
        <v>188</v>
      </c>
      <c r="AD583" s="30">
        <f t="shared" si="222"/>
        <v>176</v>
      </c>
      <c r="AE583" s="30">
        <f t="shared" si="222"/>
        <v>169</v>
      </c>
      <c r="AF583" s="30">
        <f t="shared" si="222"/>
        <v>173</v>
      </c>
      <c r="AG583" s="31">
        <f t="shared" si="222"/>
        <v>136</v>
      </c>
      <c r="AH583" s="31">
        <f t="shared" si="222"/>
        <v>842</v>
      </c>
      <c r="AI583" s="29">
        <f t="shared" si="222"/>
        <v>125</v>
      </c>
      <c r="AJ583" s="30">
        <f t="shared" si="222"/>
        <v>133</v>
      </c>
      <c r="AK583" s="30">
        <f t="shared" si="222"/>
        <v>133</v>
      </c>
      <c r="AL583" s="30">
        <f t="shared" si="222"/>
        <v>129</v>
      </c>
      <c r="AM583" s="31">
        <f t="shared" si="222"/>
        <v>132</v>
      </c>
      <c r="AN583" s="66">
        <f t="shared" si="222"/>
        <v>652</v>
      </c>
      <c r="AO583" s="29">
        <f t="shared" si="222"/>
        <v>169</v>
      </c>
      <c r="AP583" s="30">
        <f t="shared" si="222"/>
        <v>161</v>
      </c>
      <c r="AQ583" s="30">
        <f t="shared" si="222"/>
        <v>153</v>
      </c>
      <c r="AR583" s="30">
        <f t="shared" si="222"/>
        <v>168</v>
      </c>
      <c r="AS583" s="66">
        <f t="shared" si="222"/>
        <v>178</v>
      </c>
      <c r="AT583" s="33">
        <f t="shared" si="222"/>
        <v>829</v>
      </c>
      <c r="AU583" s="75">
        <f t="shared" si="222"/>
        <v>120</v>
      </c>
      <c r="AV583" s="30">
        <f t="shared" si="222"/>
        <v>89</v>
      </c>
      <c r="AW583" s="30">
        <f t="shared" si="222"/>
        <v>100</v>
      </c>
      <c r="AX583" s="30">
        <f t="shared" si="222"/>
        <v>90</v>
      </c>
      <c r="AY583" s="66">
        <f t="shared" si="222"/>
        <v>136</v>
      </c>
      <c r="AZ583" s="33">
        <f t="shared" si="222"/>
        <v>535</v>
      </c>
      <c r="BA583" s="77">
        <f>AH583+AN583+AT583+AZ583</f>
        <v>2858</v>
      </c>
    </row>
    <row r="586" spans="1:54" ht="19.5" thickBot="1" x14ac:dyDescent="0.25">
      <c r="A586" s="1" t="s">
        <v>15</v>
      </c>
      <c r="AB586" s="1" t="s">
        <v>16</v>
      </c>
    </row>
    <row r="587" spans="1:54" ht="15" thickBot="1" x14ac:dyDescent="0.2">
      <c r="A587" s="4"/>
      <c r="B587" s="245" t="s">
        <v>17</v>
      </c>
      <c r="C587" s="246"/>
      <c r="D587" s="246"/>
      <c r="E587" s="246"/>
      <c r="F587" s="246"/>
      <c r="G587" s="247"/>
      <c r="H587" s="245" t="s">
        <v>18</v>
      </c>
      <c r="I587" s="246"/>
      <c r="J587" s="246"/>
      <c r="K587" s="246"/>
      <c r="L587" s="246"/>
      <c r="M587" s="247"/>
      <c r="N587" s="248" t="s">
        <v>27</v>
      </c>
      <c r="O587" s="249"/>
      <c r="P587" s="249"/>
      <c r="Q587" s="249"/>
      <c r="R587" s="249"/>
      <c r="S587" s="250"/>
      <c r="T587" s="248" t="s">
        <v>28</v>
      </c>
      <c r="U587" s="249"/>
      <c r="V587" s="249"/>
      <c r="W587" s="249"/>
      <c r="X587" s="249"/>
      <c r="Y587" s="250"/>
      <c r="Z587" s="251" t="s">
        <v>1</v>
      </c>
      <c r="AB587" s="4"/>
      <c r="AC587" s="253" t="s">
        <v>17</v>
      </c>
      <c r="AD587" s="249"/>
      <c r="AE587" s="249"/>
      <c r="AF587" s="249"/>
      <c r="AG587" s="249"/>
      <c r="AH587" s="250"/>
      <c r="AI587" s="248" t="s">
        <v>18</v>
      </c>
      <c r="AJ587" s="249"/>
      <c r="AK587" s="249"/>
      <c r="AL587" s="249"/>
      <c r="AM587" s="249"/>
      <c r="AN587" s="250"/>
      <c r="AO587" s="248" t="s">
        <v>27</v>
      </c>
      <c r="AP587" s="249"/>
      <c r="AQ587" s="249"/>
      <c r="AR587" s="249"/>
      <c r="AS587" s="249"/>
      <c r="AT587" s="250"/>
      <c r="AU587" s="248" t="s">
        <v>28</v>
      </c>
      <c r="AV587" s="249"/>
      <c r="AW587" s="249"/>
      <c r="AX587" s="249"/>
      <c r="AY587" s="249"/>
      <c r="AZ587" s="250"/>
      <c r="BA587" s="243" t="s">
        <v>1</v>
      </c>
    </row>
    <row r="588" spans="1:54" ht="15" thickBot="1" x14ac:dyDescent="0.2">
      <c r="A588" s="9" t="s">
        <v>2</v>
      </c>
      <c r="B588" s="6" t="s">
        <v>3</v>
      </c>
      <c r="C588" s="7" t="s">
        <v>4</v>
      </c>
      <c r="D588" s="7" t="s">
        <v>5</v>
      </c>
      <c r="E588" s="48" t="s">
        <v>20</v>
      </c>
      <c r="F588" s="8" t="s">
        <v>21</v>
      </c>
      <c r="G588" s="5" t="s">
        <v>6</v>
      </c>
      <c r="H588" s="6" t="s">
        <v>3</v>
      </c>
      <c r="I588" s="7" t="s">
        <v>4</v>
      </c>
      <c r="J588" s="7" t="s">
        <v>5</v>
      </c>
      <c r="K588" s="48" t="s">
        <v>20</v>
      </c>
      <c r="L588" s="8" t="s">
        <v>21</v>
      </c>
      <c r="M588" s="5" t="s">
        <v>6</v>
      </c>
      <c r="N588" s="6" t="s">
        <v>3</v>
      </c>
      <c r="O588" s="7" t="s">
        <v>4</v>
      </c>
      <c r="P588" s="7" t="s">
        <v>5</v>
      </c>
      <c r="Q588" s="48" t="s">
        <v>20</v>
      </c>
      <c r="R588" s="8" t="s">
        <v>21</v>
      </c>
      <c r="S588" s="5" t="s">
        <v>6</v>
      </c>
      <c r="T588" s="7" t="s">
        <v>3</v>
      </c>
      <c r="U588" s="7" t="s">
        <v>4</v>
      </c>
      <c r="V588" s="7" t="s">
        <v>5</v>
      </c>
      <c r="W588" s="48" t="s">
        <v>20</v>
      </c>
      <c r="X588" s="109" t="s">
        <v>21</v>
      </c>
      <c r="Y588" s="62" t="s">
        <v>6</v>
      </c>
      <c r="Z588" s="252"/>
      <c r="AB588" s="9" t="s">
        <v>2</v>
      </c>
      <c r="AC588" s="6" t="s">
        <v>3</v>
      </c>
      <c r="AD588" s="7" t="s">
        <v>4</v>
      </c>
      <c r="AE588" s="7" t="s">
        <v>5</v>
      </c>
      <c r="AF588" s="48" t="s">
        <v>20</v>
      </c>
      <c r="AG588" s="8" t="s">
        <v>21</v>
      </c>
      <c r="AH588" s="5" t="s">
        <v>6</v>
      </c>
      <c r="AI588" s="6" t="s">
        <v>3</v>
      </c>
      <c r="AJ588" s="7" t="s">
        <v>4</v>
      </c>
      <c r="AK588" s="7" t="s">
        <v>5</v>
      </c>
      <c r="AL588" s="48" t="s">
        <v>20</v>
      </c>
      <c r="AM588" s="8" t="s">
        <v>21</v>
      </c>
      <c r="AN588" s="5" t="s">
        <v>6</v>
      </c>
      <c r="AO588" s="6" t="s">
        <v>3</v>
      </c>
      <c r="AP588" s="7" t="s">
        <v>4</v>
      </c>
      <c r="AQ588" s="7" t="s">
        <v>5</v>
      </c>
      <c r="AR588" s="48" t="s">
        <v>20</v>
      </c>
      <c r="AS588" s="8" t="s">
        <v>21</v>
      </c>
      <c r="AT588" s="5" t="s">
        <v>6</v>
      </c>
      <c r="AU588" s="7" t="s">
        <v>3</v>
      </c>
      <c r="AV588" s="7" t="s">
        <v>4</v>
      </c>
      <c r="AW588" s="7" t="s">
        <v>5</v>
      </c>
      <c r="AX588" s="48" t="s">
        <v>20</v>
      </c>
      <c r="AY588" s="109" t="s">
        <v>21</v>
      </c>
      <c r="AZ588" s="62" t="s">
        <v>6</v>
      </c>
      <c r="BA588" s="244"/>
    </row>
    <row r="589" spans="1:54" ht="14.25" x14ac:dyDescent="0.15">
      <c r="A589" s="103" t="s">
        <v>43</v>
      </c>
      <c r="B589" s="104">
        <f>B583</f>
        <v>4</v>
      </c>
      <c r="C589" s="105">
        <f>C583</f>
        <v>5</v>
      </c>
      <c r="D589" s="105">
        <f>D583</f>
        <v>3</v>
      </c>
      <c r="E589" s="105">
        <f>E583</f>
        <v>0</v>
      </c>
      <c r="F589" s="105">
        <f>F583</f>
        <v>6</v>
      </c>
      <c r="G589" s="106">
        <f t="shared" ref="G589:G599" si="223">SUM(B589:F589)</f>
        <v>18</v>
      </c>
      <c r="H589" s="104">
        <f>H583</f>
        <v>3</v>
      </c>
      <c r="I589" s="105">
        <f>I583</f>
        <v>2</v>
      </c>
      <c r="J589" s="105">
        <f>J583</f>
        <v>3</v>
      </c>
      <c r="K589" s="105">
        <f>K583</f>
        <v>3</v>
      </c>
      <c r="L589" s="105">
        <f>L583</f>
        <v>4</v>
      </c>
      <c r="M589" s="107">
        <f t="shared" ref="M589:M620" si="224">SUM(H589:L589)</f>
        <v>15</v>
      </c>
      <c r="N589" s="104">
        <f>N583</f>
        <v>3</v>
      </c>
      <c r="O589" s="105">
        <f>O583</f>
        <v>2</v>
      </c>
      <c r="P589" s="105">
        <f>P583</f>
        <v>3</v>
      </c>
      <c r="Q589" s="105">
        <f>Q583</f>
        <v>2</v>
      </c>
      <c r="R589" s="105">
        <f>R583</f>
        <v>3</v>
      </c>
      <c r="S589" s="108">
        <f t="shared" ref="S589:S618" si="225">SUM(N589:R589)</f>
        <v>13</v>
      </c>
      <c r="T589" s="104">
        <f>T583</f>
        <v>4</v>
      </c>
      <c r="U589" s="105">
        <f>U583</f>
        <v>3</v>
      </c>
      <c r="V589" s="105">
        <f>V583</f>
        <v>2</v>
      </c>
      <c r="W589" s="105">
        <f>W583</f>
        <v>2</v>
      </c>
      <c r="X589" s="105">
        <f>X583</f>
        <v>7</v>
      </c>
      <c r="Y589" s="106">
        <f t="shared" ref="Y589:Y618" si="226">SUM(T589:X589)</f>
        <v>18</v>
      </c>
      <c r="Z589" s="106">
        <f t="shared" ref="Z589:Z618" si="227">G589+M589+S589+Y589</f>
        <v>64</v>
      </c>
      <c r="AB589" s="103" t="s">
        <v>43</v>
      </c>
      <c r="AC589" s="104">
        <f>AC583</f>
        <v>188</v>
      </c>
      <c r="AD589" s="105">
        <f>AD583</f>
        <v>176</v>
      </c>
      <c r="AE589" s="105">
        <f>AE583</f>
        <v>169</v>
      </c>
      <c r="AF589" s="105">
        <f>AF583</f>
        <v>173</v>
      </c>
      <c r="AG589" s="105">
        <f>AG583</f>
        <v>136</v>
      </c>
      <c r="AH589" s="106">
        <f>SUM(AC589:AG589)</f>
        <v>842</v>
      </c>
      <c r="AI589" s="104">
        <f>AI583</f>
        <v>125</v>
      </c>
      <c r="AJ589" s="105">
        <f>AJ583</f>
        <v>133</v>
      </c>
      <c r="AK589" s="105">
        <f>AK583</f>
        <v>133</v>
      </c>
      <c r="AL589" s="105">
        <f>AL583</f>
        <v>129</v>
      </c>
      <c r="AM589" s="105">
        <f>AM583</f>
        <v>132</v>
      </c>
      <c r="AN589" s="107">
        <f>SUM(AI589:AM589)</f>
        <v>652</v>
      </c>
      <c r="AO589" s="104">
        <f>AO583</f>
        <v>169</v>
      </c>
      <c r="AP589" s="105">
        <f>AP583</f>
        <v>161</v>
      </c>
      <c r="AQ589" s="105">
        <f>AQ583</f>
        <v>153</v>
      </c>
      <c r="AR589" s="105">
        <f>AR583</f>
        <v>168</v>
      </c>
      <c r="AS589" s="105">
        <f>AS583</f>
        <v>178</v>
      </c>
      <c r="AT589" s="108">
        <f>SUM(AO589:AS589)</f>
        <v>829</v>
      </c>
      <c r="AU589" s="104">
        <f>AU583</f>
        <v>120</v>
      </c>
      <c r="AV589" s="105">
        <f>AV583</f>
        <v>89</v>
      </c>
      <c r="AW589" s="105">
        <f>AW583</f>
        <v>100</v>
      </c>
      <c r="AX589" s="105">
        <f>AX583</f>
        <v>90</v>
      </c>
      <c r="AY589" s="105">
        <f>AY583</f>
        <v>136</v>
      </c>
      <c r="AZ589" s="106">
        <f>SUM(AU589:AY589)</f>
        <v>535</v>
      </c>
      <c r="BA589" s="106">
        <f>AH589+AN589+AT589+AZ589</f>
        <v>2858</v>
      </c>
    </row>
    <row r="590" spans="1:54" ht="14.25" x14ac:dyDescent="0.15">
      <c r="A590" s="10" t="s">
        <v>181</v>
      </c>
      <c r="B590" s="14"/>
      <c r="C590" s="15"/>
      <c r="D590" s="15"/>
      <c r="E590" s="15"/>
      <c r="F590" s="15"/>
      <c r="G590" s="16">
        <f t="shared" si="223"/>
        <v>0</v>
      </c>
      <c r="H590" s="14"/>
      <c r="I590" s="15"/>
      <c r="J590" s="15"/>
      <c r="K590" s="15">
        <v>2</v>
      </c>
      <c r="L590" s="15"/>
      <c r="M590" s="57">
        <f t="shared" si="224"/>
        <v>2</v>
      </c>
      <c r="N590" s="14"/>
      <c r="O590" s="55"/>
      <c r="P590" s="55"/>
      <c r="Q590" s="55"/>
      <c r="R590" s="67"/>
      <c r="S590" s="24">
        <f t="shared" si="225"/>
        <v>0</v>
      </c>
      <c r="T590" s="15"/>
      <c r="U590" s="55"/>
      <c r="V590" s="55"/>
      <c r="W590" s="55"/>
      <c r="X590" s="67"/>
      <c r="Y590" s="24">
        <f t="shared" si="226"/>
        <v>0</v>
      </c>
      <c r="Z590" s="24">
        <f t="shared" si="227"/>
        <v>2</v>
      </c>
      <c r="AA590" s="83">
        <v>44083</v>
      </c>
      <c r="AB590" s="10" t="s">
        <v>126</v>
      </c>
      <c r="AC590" s="14"/>
      <c r="AD590" s="15"/>
      <c r="AE590" s="15"/>
      <c r="AF590" s="15"/>
      <c r="AG590" s="15"/>
      <c r="AH590" s="16">
        <v>0</v>
      </c>
      <c r="AI590" s="14"/>
      <c r="AJ590" s="15"/>
      <c r="AK590" s="15"/>
      <c r="AL590" s="15"/>
      <c r="AM590" s="15"/>
      <c r="AN590" s="57">
        <v>0</v>
      </c>
      <c r="AO590" s="14">
        <v>3</v>
      </c>
      <c r="AP590" s="55">
        <v>3</v>
      </c>
      <c r="AQ590" s="55">
        <v>5</v>
      </c>
      <c r="AR590" s="55">
        <v>1</v>
      </c>
      <c r="AS590" s="67">
        <v>5</v>
      </c>
      <c r="AT590" s="24">
        <v>17</v>
      </c>
      <c r="AU590" s="15">
        <v>5</v>
      </c>
      <c r="AV590" s="55">
        <v>1</v>
      </c>
      <c r="AW590" s="55">
        <v>1</v>
      </c>
      <c r="AX590" s="55">
        <v>2</v>
      </c>
      <c r="AY590" s="67"/>
      <c r="AZ590" s="24">
        <v>9</v>
      </c>
      <c r="BA590" s="24">
        <v>26</v>
      </c>
      <c r="BB590" s="83">
        <v>44100</v>
      </c>
    </row>
    <row r="591" spans="1:54" ht="14.25" x14ac:dyDescent="0.15">
      <c r="A591" s="10" t="s">
        <v>33</v>
      </c>
      <c r="B591" s="41">
        <v>1</v>
      </c>
      <c r="C591" s="42">
        <v>1</v>
      </c>
      <c r="D591" s="42">
        <v>2</v>
      </c>
      <c r="E591" s="42">
        <v>1</v>
      </c>
      <c r="F591" s="42">
        <v>3</v>
      </c>
      <c r="G591" s="37">
        <f t="shared" si="223"/>
        <v>8</v>
      </c>
      <c r="H591" s="41"/>
      <c r="I591" s="42">
        <v>1</v>
      </c>
      <c r="J591" s="42"/>
      <c r="K591" s="42">
        <v>3</v>
      </c>
      <c r="L591" s="42"/>
      <c r="M591" s="114">
        <f t="shared" si="224"/>
        <v>4</v>
      </c>
      <c r="N591" s="41"/>
      <c r="O591" s="53"/>
      <c r="P591" s="53"/>
      <c r="Q591" s="53"/>
      <c r="R591" s="72"/>
      <c r="S591" s="24">
        <f t="shared" si="225"/>
        <v>0</v>
      </c>
      <c r="T591" s="42"/>
      <c r="U591" s="53">
        <v>1</v>
      </c>
      <c r="V591" s="53"/>
      <c r="W591" s="53"/>
      <c r="X591" s="72"/>
      <c r="Y591" s="24">
        <f t="shared" si="226"/>
        <v>1</v>
      </c>
      <c r="Z591" s="24">
        <f t="shared" si="227"/>
        <v>13</v>
      </c>
      <c r="AA591" s="83">
        <v>44084</v>
      </c>
      <c r="AB591" s="10" t="s">
        <v>126</v>
      </c>
      <c r="AC591" s="14">
        <v>2</v>
      </c>
      <c r="AD591" s="15">
        <v>2</v>
      </c>
      <c r="AE591" s="15">
        <v>3</v>
      </c>
      <c r="AF591" s="15"/>
      <c r="AG591" s="15">
        <v>6</v>
      </c>
      <c r="AH591" s="16">
        <v>6</v>
      </c>
      <c r="AI591" s="14"/>
      <c r="AJ591" s="15">
        <v>1</v>
      </c>
      <c r="AK591" s="15"/>
      <c r="AL591" s="15">
        <v>3</v>
      </c>
      <c r="AM591" s="15"/>
      <c r="AN591" s="57">
        <v>0</v>
      </c>
      <c r="AO591" s="14"/>
      <c r="AP591" s="55"/>
      <c r="AQ591" s="55"/>
      <c r="AR591" s="55"/>
      <c r="AS591" s="67"/>
      <c r="AT591" s="24">
        <v>0</v>
      </c>
      <c r="AU591" s="15">
        <v>1</v>
      </c>
      <c r="AV591" s="55">
        <v>1</v>
      </c>
      <c r="AW591" s="55"/>
      <c r="AX591" s="55"/>
      <c r="AY591" s="67">
        <v>3</v>
      </c>
      <c r="AZ591" s="24">
        <v>5</v>
      </c>
      <c r="BA591" s="24">
        <v>11</v>
      </c>
      <c r="BB591" s="83">
        <v>44100</v>
      </c>
    </row>
    <row r="592" spans="1:54" ht="14.25" x14ac:dyDescent="0.15">
      <c r="A592" s="10" t="s">
        <v>33</v>
      </c>
      <c r="B592" s="14"/>
      <c r="C592" s="15"/>
      <c r="D592" s="15"/>
      <c r="E592" s="15"/>
      <c r="F592" s="15"/>
      <c r="G592" s="16">
        <f t="shared" si="223"/>
        <v>0</v>
      </c>
      <c r="H592" s="14"/>
      <c r="I592" s="15"/>
      <c r="J592" s="15"/>
      <c r="K592" s="15"/>
      <c r="L592" s="15"/>
      <c r="M592" s="57">
        <f t="shared" si="224"/>
        <v>0</v>
      </c>
      <c r="N592" s="14">
        <v>3</v>
      </c>
      <c r="O592" s="55">
        <v>3</v>
      </c>
      <c r="P592" s="55">
        <v>4</v>
      </c>
      <c r="Q592" s="55">
        <v>1</v>
      </c>
      <c r="R592" s="67">
        <v>5</v>
      </c>
      <c r="S592" s="24">
        <f t="shared" si="225"/>
        <v>16</v>
      </c>
      <c r="T592" s="15">
        <v>5</v>
      </c>
      <c r="U592" s="55">
        <v>1</v>
      </c>
      <c r="V592" s="55">
        <v>1</v>
      </c>
      <c r="W592" s="55">
        <v>2</v>
      </c>
      <c r="X592" s="67"/>
      <c r="Y592" s="24">
        <f t="shared" si="226"/>
        <v>9</v>
      </c>
      <c r="Z592" s="24">
        <f t="shared" si="227"/>
        <v>25</v>
      </c>
      <c r="AA592" s="83">
        <v>44098</v>
      </c>
      <c r="AB592" s="10" t="s">
        <v>126</v>
      </c>
      <c r="AC592" s="14"/>
      <c r="AD592" s="15"/>
      <c r="AE592" s="15"/>
      <c r="AF592" s="15"/>
      <c r="AG592" s="15"/>
      <c r="AH592" s="16">
        <f>SUM(AC592:AG592)</f>
        <v>0</v>
      </c>
      <c r="AI592" s="14"/>
      <c r="AJ592" s="15"/>
      <c r="AK592" s="15"/>
      <c r="AL592" s="15"/>
      <c r="AM592" s="15"/>
      <c r="AN592" s="57">
        <f>SUM(AI592:AM592)</f>
        <v>0</v>
      </c>
      <c r="AO592" s="86"/>
      <c r="AP592" s="156"/>
      <c r="AQ592" s="156">
        <v>1</v>
      </c>
      <c r="AR592" s="156"/>
      <c r="AS592" s="157"/>
      <c r="AT592" s="24">
        <f>SUM(AO592:AS592)</f>
        <v>1</v>
      </c>
      <c r="AU592" s="87"/>
      <c r="AV592" s="156"/>
      <c r="AW592" s="156"/>
      <c r="AX592" s="156"/>
      <c r="AY592" s="157"/>
      <c r="AZ592" s="24">
        <f>SUM(AU592:AY592)</f>
        <v>0</v>
      </c>
      <c r="BA592" s="24">
        <f>AH592+AN592+AT592+AZ592</f>
        <v>1</v>
      </c>
      <c r="BB592" s="83">
        <v>44121</v>
      </c>
    </row>
    <row r="593" spans="1:54" ht="15" thickBot="1" x14ac:dyDescent="0.2">
      <c r="A593" s="10" t="s">
        <v>181</v>
      </c>
      <c r="B593" s="14"/>
      <c r="C593" s="15"/>
      <c r="D593" s="15">
        <v>2</v>
      </c>
      <c r="E593" s="15"/>
      <c r="F593" s="15">
        <v>2</v>
      </c>
      <c r="G593" s="16">
        <f t="shared" si="223"/>
        <v>4</v>
      </c>
      <c r="H593" s="14"/>
      <c r="I593" s="15"/>
      <c r="J593" s="15"/>
      <c r="K593" s="15"/>
      <c r="L593" s="15"/>
      <c r="M593" s="57">
        <f t="shared" si="224"/>
        <v>0</v>
      </c>
      <c r="N593" s="63"/>
      <c r="O593" s="64"/>
      <c r="P593" s="64"/>
      <c r="Q593" s="64"/>
      <c r="R593" s="69"/>
      <c r="S593" s="82">
        <f t="shared" si="225"/>
        <v>0</v>
      </c>
      <c r="T593" s="73"/>
      <c r="U593" s="64"/>
      <c r="V593" s="64"/>
      <c r="W593" s="64"/>
      <c r="X593" s="69"/>
      <c r="Y593" s="82">
        <f t="shared" si="226"/>
        <v>0</v>
      </c>
      <c r="Z593" s="82">
        <f t="shared" si="227"/>
        <v>4</v>
      </c>
      <c r="AA593" s="83">
        <v>44107</v>
      </c>
      <c r="AB593" s="138" t="s">
        <v>412</v>
      </c>
      <c r="AC593" s="139"/>
      <c r="AD593" s="140">
        <v>-1</v>
      </c>
      <c r="AE593" s="140">
        <v>2</v>
      </c>
      <c r="AF593" s="140">
        <v>-2</v>
      </c>
      <c r="AG593" s="140">
        <v>3</v>
      </c>
      <c r="AH593" s="141">
        <f t="shared" ref="AH593:AH617" si="228">SUM(AC593:AG593)</f>
        <v>2</v>
      </c>
      <c r="AI593" s="139"/>
      <c r="AJ593" s="140">
        <v>-4</v>
      </c>
      <c r="AK593" s="140"/>
      <c r="AL593" s="140">
        <v>-2</v>
      </c>
      <c r="AM593" s="140">
        <v>-12</v>
      </c>
      <c r="AN593" s="142">
        <f t="shared" ref="AN593:AN617" si="229">SUM(AI593:AM593)</f>
        <v>-18</v>
      </c>
      <c r="AO593" s="143"/>
      <c r="AP593" s="144">
        <v>3</v>
      </c>
      <c r="AQ593" s="144">
        <v>-2</v>
      </c>
      <c r="AR593" s="144"/>
      <c r="AS593" s="145">
        <v>-1</v>
      </c>
      <c r="AT593" s="179">
        <f t="shared" ref="AT593:AT617" si="230">SUM(AO593:AS593)</f>
        <v>0</v>
      </c>
      <c r="AU593" s="147">
        <v>-1</v>
      </c>
      <c r="AV593" s="144">
        <v>2</v>
      </c>
      <c r="AW593" s="144">
        <v>-2</v>
      </c>
      <c r="AX593" s="144">
        <v>3</v>
      </c>
      <c r="AY593" s="145">
        <v>11</v>
      </c>
      <c r="AZ593" s="179">
        <f t="shared" ref="AZ593:AZ617" si="231">SUM(AU593:AY593)</f>
        <v>13</v>
      </c>
      <c r="BA593" s="179">
        <f t="shared" ref="BA593:BA617" si="232">AH593+AN593+AT593+AZ593</f>
        <v>-3</v>
      </c>
      <c r="BB593" s="197">
        <v>44142</v>
      </c>
    </row>
    <row r="594" spans="1:54" ht="15" thickBot="1" x14ac:dyDescent="0.2">
      <c r="A594" s="4" t="s">
        <v>12</v>
      </c>
      <c r="B594" s="17">
        <f>SUM(B589:B593)</f>
        <v>5</v>
      </c>
      <c r="C594" s="18">
        <f>SUM(C589:C593)</f>
        <v>6</v>
      </c>
      <c r="D594" s="18">
        <f>SUM(D589:D593)</f>
        <v>7</v>
      </c>
      <c r="E594" s="18">
        <f>SUM(E589:E593)</f>
        <v>1</v>
      </c>
      <c r="F594" s="18">
        <f>SUM(F589:F593)</f>
        <v>11</v>
      </c>
      <c r="G594" s="19">
        <f t="shared" si="223"/>
        <v>30</v>
      </c>
      <c r="H594" s="17">
        <f>SUM(H589:H593)</f>
        <v>3</v>
      </c>
      <c r="I594" s="18">
        <f>SUM(I589:I593)</f>
        <v>3</v>
      </c>
      <c r="J594" s="18">
        <f>SUM(J589:J593)</f>
        <v>3</v>
      </c>
      <c r="K594" s="18">
        <f>SUM(K589:K593)</f>
        <v>8</v>
      </c>
      <c r="L594" s="18">
        <f>SUM(L589:L593)</f>
        <v>4</v>
      </c>
      <c r="M594" s="25">
        <f t="shared" si="224"/>
        <v>21</v>
      </c>
      <c r="N594" s="65">
        <f>SUM(N589:N593)</f>
        <v>6</v>
      </c>
      <c r="O594" s="18">
        <f>SUM(O589:O593)</f>
        <v>5</v>
      </c>
      <c r="P594" s="18">
        <f>SUM(P589:P593)</f>
        <v>7</v>
      </c>
      <c r="Q594" s="18">
        <f>SUM(Q589:Q593)</f>
        <v>3</v>
      </c>
      <c r="R594" s="70">
        <f>SUM(R589:R593)</f>
        <v>8</v>
      </c>
      <c r="S594" s="49">
        <f t="shared" si="225"/>
        <v>29</v>
      </c>
      <c r="T594" s="74">
        <f>SUM(T589:T593)</f>
        <v>9</v>
      </c>
      <c r="U594" s="18">
        <f>SUM(U589:U593)</f>
        <v>5</v>
      </c>
      <c r="V594" s="18">
        <f>SUM(V589:V593)</f>
        <v>3</v>
      </c>
      <c r="W594" s="18">
        <f>SUM(W589:W593)</f>
        <v>4</v>
      </c>
      <c r="X594" s="70">
        <f>SUM(X589:X593)</f>
        <v>7</v>
      </c>
      <c r="Y594" s="49">
        <f t="shared" si="226"/>
        <v>28</v>
      </c>
      <c r="Z594" s="33">
        <f t="shared" si="227"/>
        <v>108</v>
      </c>
      <c r="AB594" s="4" t="s">
        <v>12</v>
      </c>
      <c r="AC594" s="17">
        <f>SUM(AC589:AC593)</f>
        <v>190</v>
      </c>
      <c r="AD594" s="18">
        <f>SUM(AD589:AD593)</f>
        <v>177</v>
      </c>
      <c r="AE594" s="18">
        <f>SUM(AE589:AE593)</f>
        <v>174</v>
      </c>
      <c r="AF594" s="18">
        <f>SUM(AF589:AF593)</f>
        <v>171</v>
      </c>
      <c r="AG594" s="18">
        <f>SUM(AG589:AG593)</f>
        <v>145</v>
      </c>
      <c r="AH594" s="148">
        <f t="shared" si="228"/>
        <v>857</v>
      </c>
      <c r="AI594" s="17">
        <f>SUM(AI589:AI593)</f>
        <v>125</v>
      </c>
      <c r="AJ594" s="18">
        <f>SUM(AJ589:AJ593)</f>
        <v>130</v>
      </c>
      <c r="AK594" s="18">
        <f>SUM(AK589:AK593)</f>
        <v>133</v>
      </c>
      <c r="AL594" s="18">
        <f>SUM(AL589:AL593)</f>
        <v>130</v>
      </c>
      <c r="AM594" s="18">
        <f>SUM(AM589:AM593)</f>
        <v>120</v>
      </c>
      <c r="AN594" s="148">
        <f t="shared" si="229"/>
        <v>638</v>
      </c>
      <c r="AO594" s="65">
        <f>SUM(AO589:AO593)</f>
        <v>172</v>
      </c>
      <c r="AP594" s="18">
        <f>SUM(AP589:AP593)</f>
        <v>167</v>
      </c>
      <c r="AQ594" s="18">
        <f>SUM(AQ589:AQ593)</f>
        <v>157</v>
      </c>
      <c r="AR594" s="18">
        <f>SUM(AR589:AR593)</f>
        <v>169</v>
      </c>
      <c r="AS594" s="70">
        <f>SUM(AS589:AS593)</f>
        <v>182</v>
      </c>
      <c r="AT594" s="49">
        <f t="shared" si="230"/>
        <v>847</v>
      </c>
      <c r="AU594" s="74">
        <f>SUM(AU589:AU593)</f>
        <v>125</v>
      </c>
      <c r="AV594" s="18">
        <f>SUM(AV589:AV593)</f>
        <v>93</v>
      </c>
      <c r="AW594" s="18">
        <f>SUM(AW589:AW593)</f>
        <v>99</v>
      </c>
      <c r="AX594" s="18">
        <f>SUM(AX589:AX593)</f>
        <v>95</v>
      </c>
      <c r="AY594" s="70">
        <f>SUM(AY589:AY593)</f>
        <v>150</v>
      </c>
      <c r="AZ594" s="49">
        <f t="shared" si="231"/>
        <v>562</v>
      </c>
      <c r="BA594" s="33">
        <f t="shared" si="232"/>
        <v>2904</v>
      </c>
    </row>
    <row r="595" spans="1:54" x14ac:dyDescent="0.15">
      <c r="A595" s="47" t="s">
        <v>400</v>
      </c>
      <c r="B595" s="34"/>
      <c r="C595" s="35"/>
      <c r="D595" s="35"/>
      <c r="E595" s="35"/>
      <c r="F595" s="35">
        <v>1</v>
      </c>
      <c r="G595" s="36">
        <f t="shared" si="223"/>
        <v>1</v>
      </c>
      <c r="H595" s="34"/>
      <c r="I595" s="35"/>
      <c r="J595" s="35"/>
      <c r="K595" s="35"/>
      <c r="L595" s="35"/>
      <c r="M595" s="36">
        <f t="shared" si="224"/>
        <v>0</v>
      </c>
      <c r="N595" s="39"/>
      <c r="O595" s="56"/>
      <c r="P595" s="56"/>
      <c r="Q595" s="56"/>
      <c r="R595" s="71"/>
      <c r="S595" s="16">
        <f t="shared" si="225"/>
        <v>0</v>
      </c>
      <c r="T595" s="39"/>
      <c r="U595" s="56"/>
      <c r="V595" s="56"/>
      <c r="W595" s="56"/>
      <c r="X595" s="71"/>
      <c r="Y595" s="16">
        <f t="shared" si="226"/>
        <v>0</v>
      </c>
      <c r="Z595" s="16">
        <f t="shared" si="227"/>
        <v>1</v>
      </c>
      <c r="AA595" s="83">
        <v>44091</v>
      </c>
      <c r="AB595" s="47" t="s">
        <v>396</v>
      </c>
      <c r="AC595" s="14"/>
      <c r="AD595" s="15"/>
      <c r="AE595" s="15"/>
      <c r="AF595" s="15"/>
      <c r="AG595" s="15"/>
      <c r="AH595" s="24">
        <f t="shared" si="228"/>
        <v>0</v>
      </c>
      <c r="AI595" s="14"/>
      <c r="AJ595" s="15">
        <v>2</v>
      </c>
      <c r="AK595" s="15"/>
      <c r="AL595" s="15"/>
      <c r="AM595" s="15"/>
      <c r="AN595" s="24">
        <f t="shared" si="229"/>
        <v>2</v>
      </c>
      <c r="AO595" s="15"/>
      <c r="AP595" s="55"/>
      <c r="AQ595" s="55"/>
      <c r="AR595" s="55"/>
      <c r="AS595" s="67"/>
      <c r="AT595" s="24">
        <f t="shared" si="230"/>
        <v>0</v>
      </c>
      <c r="AU595" s="15"/>
      <c r="AV595" s="55"/>
      <c r="AW595" s="55"/>
      <c r="AX595" s="55"/>
      <c r="AY595" s="67"/>
      <c r="AZ595" s="24">
        <f t="shared" si="231"/>
        <v>0</v>
      </c>
      <c r="BA595" s="24">
        <f t="shared" si="232"/>
        <v>2</v>
      </c>
      <c r="BB595" s="83">
        <v>44086</v>
      </c>
    </row>
    <row r="596" spans="1:54" ht="14.25" x14ac:dyDescent="0.15">
      <c r="A596" s="23" t="s">
        <v>395</v>
      </c>
      <c r="B596" s="14"/>
      <c r="C596" s="15"/>
      <c r="D596" s="15">
        <v>1</v>
      </c>
      <c r="E596" s="15"/>
      <c r="F596" s="15"/>
      <c r="G596" s="24">
        <f t="shared" si="223"/>
        <v>1</v>
      </c>
      <c r="H596" s="14"/>
      <c r="I596" s="15"/>
      <c r="J596" s="15"/>
      <c r="K596" s="15"/>
      <c r="L596" s="15"/>
      <c r="M596" s="24">
        <f t="shared" si="224"/>
        <v>0</v>
      </c>
      <c r="N596" s="15"/>
      <c r="O596" s="55"/>
      <c r="P596" s="55"/>
      <c r="Q596" s="55"/>
      <c r="R596" s="67"/>
      <c r="S596" s="24">
        <f t="shared" si="225"/>
        <v>0</v>
      </c>
      <c r="T596" s="15"/>
      <c r="U596" s="55"/>
      <c r="V596" s="55"/>
      <c r="W596" s="55"/>
      <c r="X596" s="67"/>
      <c r="Y596" s="24">
        <f t="shared" si="226"/>
        <v>0</v>
      </c>
      <c r="Z596" s="24">
        <f t="shared" si="227"/>
        <v>1</v>
      </c>
      <c r="AA596" s="83">
        <v>44091</v>
      </c>
      <c r="AB596" s="47" t="s">
        <v>30</v>
      </c>
      <c r="AC596" s="41"/>
      <c r="AD596" s="42"/>
      <c r="AE596" s="42"/>
      <c r="AF596" s="42"/>
      <c r="AG596" s="42"/>
      <c r="AH596" s="43">
        <f t="shared" si="228"/>
        <v>0</v>
      </c>
      <c r="AI596" s="41"/>
      <c r="AJ596" s="42"/>
      <c r="AK596" s="42"/>
      <c r="AL596" s="42">
        <v>2</v>
      </c>
      <c r="AM596" s="42"/>
      <c r="AN596" s="43">
        <f t="shared" si="229"/>
        <v>2</v>
      </c>
      <c r="AO596" s="42"/>
      <c r="AP596" s="53"/>
      <c r="AQ596" s="53"/>
      <c r="AR596" s="53"/>
      <c r="AS596" s="72"/>
      <c r="AT596" s="24">
        <f t="shared" si="230"/>
        <v>0</v>
      </c>
      <c r="AU596" s="42"/>
      <c r="AV596" s="53"/>
      <c r="AW596" s="53"/>
      <c r="AX596" s="53"/>
      <c r="AY596" s="72"/>
      <c r="AZ596" s="24">
        <f t="shared" si="231"/>
        <v>0</v>
      </c>
      <c r="BA596" s="24">
        <f t="shared" si="232"/>
        <v>2</v>
      </c>
      <c r="BB596" s="83">
        <v>44083</v>
      </c>
    </row>
    <row r="597" spans="1:54" ht="14.25" x14ac:dyDescent="0.15">
      <c r="A597" s="47" t="s">
        <v>402</v>
      </c>
      <c r="B597" s="41"/>
      <c r="C597" s="42"/>
      <c r="D597" s="42"/>
      <c r="E597" s="42"/>
      <c r="F597" s="42"/>
      <c r="G597" s="43">
        <f t="shared" si="223"/>
        <v>0</v>
      </c>
      <c r="H597" s="41"/>
      <c r="I597" s="42"/>
      <c r="J597" s="42"/>
      <c r="K597" s="42"/>
      <c r="L597" s="42"/>
      <c r="M597" s="43">
        <f t="shared" si="224"/>
        <v>0</v>
      </c>
      <c r="N597" s="42">
        <v>3</v>
      </c>
      <c r="O597" s="53">
        <v>3</v>
      </c>
      <c r="P597" s="53">
        <v>5</v>
      </c>
      <c r="Q597" s="53">
        <v>1</v>
      </c>
      <c r="R597" s="72">
        <v>5</v>
      </c>
      <c r="S597" s="24">
        <f t="shared" si="225"/>
        <v>17</v>
      </c>
      <c r="T597" s="42">
        <v>5</v>
      </c>
      <c r="U597" s="53">
        <v>1</v>
      </c>
      <c r="V597" s="53">
        <v>1</v>
      </c>
      <c r="W597" s="53">
        <v>2</v>
      </c>
      <c r="X597" s="72"/>
      <c r="Y597" s="24">
        <f t="shared" si="226"/>
        <v>9</v>
      </c>
      <c r="Z597" s="24">
        <f t="shared" si="227"/>
        <v>26</v>
      </c>
      <c r="AA597" s="83">
        <v>44100</v>
      </c>
      <c r="AB597" s="21" t="s">
        <v>372</v>
      </c>
      <c r="AC597" s="41"/>
      <c r="AD597" s="42"/>
      <c r="AE597" s="42"/>
      <c r="AF597" s="42"/>
      <c r="AG597" s="42"/>
      <c r="AH597" s="43">
        <f t="shared" si="228"/>
        <v>0</v>
      </c>
      <c r="AI597" s="41"/>
      <c r="AJ597" s="42"/>
      <c r="AK597" s="42"/>
      <c r="AL597" s="42">
        <v>5</v>
      </c>
      <c r="AM597" s="42"/>
      <c r="AN597" s="43">
        <f t="shared" si="229"/>
        <v>5</v>
      </c>
      <c r="AO597" s="42"/>
      <c r="AP597" s="53"/>
      <c r="AQ597" s="53"/>
      <c r="AR597" s="53"/>
      <c r="AS597" s="72"/>
      <c r="AT597" s="43">
        <f t="shared" si="230"/>
        <v>0</v>
      </c>
      <c r="AU597" s="42"/>
      <c r="AV597" s="53"/>
      <c r="AW597" s="53"/>
      <c r="AX597" s="53"/>
      <c r="AY597" s="72"/>
      <c r="AZ597" s="43">
        <f t="shared" si="231"/>
        <v>0</v>
      </c>
      <c r="BA597" s="43">
        <f t="shared" si="232"/>
        <v>5</v>
      </c>
      <c r="BB597" s="83">
        <v>44088</v>
      </c>
    </row>
    <row r="598" spans="1:54" x14ac:dyDescent="0.15">
      <c r="A598" s="47" t="s">
        <v>395</v>
      </c>
      <c r="B598" s="41"/>
      <c r="C598" s="42">
        <v>1</v>
      </c>
      <c r="D598" s="42"/>
      <c r="E598" s="42"/>
      <c r="F598" s="42"/>
      <c r="G598" s="43">
        <f t="shared" si="223"/>
        <v>1</v>
      </c>
      <c r="H598" s="41"/>
      <c r="I598" s="42"/>
      <c r="J598" s="42"/>
      <c r="K598" s="42"/>
      <c r="L598" s="42"/>
      <c r="M598" s="43">
        <f t="shared" si="224"/>
        <v>0</v>
      </c>
      <c r="N598" s="42"/>
      <c r="O598" s="53"/>
      <c r="P598" s="53"/>
      <c r="Q598" s="53"/>
      <c r="R598" s="72"/>
      <c r="S598" s="24">
        <f t="shared" si="225"/>
        <v>0</v>
      </c>
      <c r="T598" s="42"/>
      <c r="U598" s="53"/>
      <c r="V598" s="53"/>
      <c r="W598" s="53"/>
      <c r="X598" s="72"/>
      <c r="Y598" s="24">
        <f t="shared" si="226"/>
        <v>0</v>
      </c>
      <c r="Z598" s="24">
        <f t="shared" si="227"/>
        <v>1</v>
      </c>
      <c r="AA598" s="83">
        <v>44100</v>
      </c>
      <c r="AB598" s="47" t="s">
        <v>397</v>
      </c>
      <c r="AC598" s="41"/>
      <c r="AD598" s="42"/>
      <c r="AE598" s="42"/>
      <c r="AF598" s="42"/>
      <c r="AG598" s="42"/>
      <c r="AH598" s="43">
        <f t="shared" si="228"/>
        <v>0</v>
      </c>
      <c r="AI598" s="41"/>
      <c r="AJ598" s="42"/>
      <c r="AK598" s="42"/>
      <c r="AL598" s="42"/>
      <c r="AM598" s="42"/>
      <c r="AN598" s="43">
        <f t="shared" si="229"/>
        <v>0</v>
      </c>
      <c r="AO598" s="42"/>
      <c r="AP598" s="53"/>
      <c r="AQ598" s="53"/>
      <c r="AR598" s="53"/>
      <c r="AS598" s="72"/>
      <c r="AT598" s="24">
        <f t="shared" si="230"/>
        <v>0</v>
      </c>
      <c r="AU598" s="42"/>
      <c r="AV598" s="53"/>
      <c r="AW598" s="53"/>
      <c r="AX598" s="53"/>
      <c r="AY598" s="72">
        <v>3</v>
      </c>
      <c r="AZ598" s="24">
        <f t="shared" si="231"/>
        <v>3</v>
      </c>
      <c r="BA598" s="24">
        <f t="shared" si="232"/>
        <v>3</v>
      </c>
      <c r="BB598" s="83">
        <v>44091</v>
      </c>
    </row>
    <row r="599" spans="1:54" ht="14.25" x14ac:dyDescent="0.15">
      <c r="A599" s="47" t="s">
        <v>160</v>
      </c>
      <c r="B599" s="171">
        <v>2</v>
      </c>
      <c r="C599" s="42">
        <v>2</v>
      </c>
      <c r="D599" s="42">
        <v>3</v>
      </c>
      <c r="E599" s="42"/>
      <c r="F599" s="42">
        <v>6</v>
      </c>
      <c r="G599" s="43">
        <f t="shared" si="223"/>
        <v>13</v>
      </c>
      <c r="H599" s="41"/>
      <c r="I599" s="42">
        <v>1</v>
      </c>
      <c r="J599" s="42"/>
      <c r="K599" s="42">
        <v>3</v>
      </c>
      <c r="L599" s="42"/>
      <c r="M599" s="43">
        <f t="shared" si="224"/>
        <v>4</v>
      </c>
      <c r="N599" s="42"/>
      <c r="O599" s="53"/>
      <c r="P599" s="53"/>
      <c r="Q599" s="53"/>
      <c r="R599" s="72"/>
      <c r="S599" s="24">
        <f t="shared" si="225"/>
        <v>0</v>
      </c>
      <c r="T599" s="42">
        <v>1</v>
      </c>
      <c r="U599" s="53">
        <v>1</v>
      </c>
      <c r="V599" s="53"/>
      <c r="W599" s="53"/>
      <c r="X599" s="72">
        <v>3</v>
      </c>
      <c r="Y599" s="24">
        <f t="shared" si="226"/>
        <v>5</v>
      </c>
      <c r="Z599" s="24">
        <f t="shared" si="227"/>
        <v>22</v>
      </c>
      <c r="AA599" s="83">
        <v>44100</v>
      </c>
      <c r="AB599" s="21" t="s">
        <v>398</v>
      </c>
      <c r="AC599" s="41"/>
      <c r="AD599" s="42"/>
      <c r="AE599" s="42">
        <v>3</v>
      </c>
      <c r="AF599" s="42"/>
      <c r="AG599" s="42"/>
      <c r="AH599" s="43">
        <f t="shared" si="228"/>
        <v>3</v>
      </c>
      <c r="AI599" s="41"/>
      <c r="AJ599" s="42"/>
      <c r="AK599" s="42"/>
      <c r="AL599" s="42"/>
      <c r="AM599" s="42"/>
      <c r="AN599" s="43">
        <f t="shared" si="229"/>
        <v>0</v>
      </c>
      <c r="AO599" s="42"/>
      <c r="AP599" s="53"/>
      <c r="AQ599" s="53"/>
      <c r="AR599" s="53"/>
      <c r="AS599" s="72"/>
      <c r="AT599" s="24">
        <f t="shared" si="230"/>
        <v>0</v>
      </c>
      <c r="AU599" s="42"/>
      <c r="AV599" s="53"/>
      <c r="AW599" s="53"/>
      <c r="AX599" s="53"/>
      <c r="AY599" s="72"/>
      <c r="AZ599" s="24">
        <f t="shared" si="231"/>
        <v>0</v>
      </c>
      <c r="BA599" s="24">
        <f t="shared" si="232"/>
        <v>3</v>
      </c>
      <c r="BB599" s="83">
        <v>44097</v>
      </c>
    </row>
    <row r="600" spans="1:54" x14ac:dyDescent="0.15">
      <c r="A600" s="47" t="s">
        <v>395</v>
      </c>
      <c r="B600" s="41"/>
      <c r="C600" s="42">
        <v>1</v>
      </c>
      <c r="D600" s="42"/>
      <c r="E600" s="42"/>
      <c r="F600" s="42"/>
      <c r="G600" s="43">
        <f t="shared" ref="G600:G620" si="233">SUM(B600:F600)</f>
        <v>1</v>
      </c>
      <c r="H600" s="41"/>
      <c r="I600" s="42"/>
      <c r="J600" s="42"/>
      <c r="K600" s="42"/>
      <c r="L600" s="42"/>
      <c r="M600" s="43">
        <f t="shared" si="224"/>
        <v>0</v>
      </c>
      <c r="N600" s="42"/>
      <c r="O600" s="53"/>
      <c r="P600" s="53"/>
      <c r="Q600" s="53"/>
      <c r="R600" s="72"/>
      <c r="S600" s="24">
        <f t="shared" si="225"/>
        <v>0</v>
      </c>
      <c r="T600" s="42"/>
      <c r="U600" s="53"/>
      <c r="V600" s="53"/>
      <c r="W600" s="53"/>
      <c r="X600" s="72"/>
      <c r="Y600" s="24">
        <f t="shared" si="226"/>
        <v>0</v>
      </c>
      <c r="Z600" s="24">
        <f t="shared" si="227"/>
        <v>1</v>
      </c>
      <c r="AA600" s="83">
        <v>44102</v>
      </c>
      <c r="AB600" s="47" t="s">
        <v>399</v>
      </c>
      <c r="AC600" s="41"/>
      <c r="AD600" s="42"/>
      <c r="AE600" s="42"/>
      <c r="AF600" s="42"/>
      <c r="AG600" s="42"/>
      <c r="AH600" s="43">
        <f t="shared" si="228"/>
        <v>0</v>
      </c>
      <c r="AI600" s="41"/>
      <c r="AJ600" s="42"/>
      <c r="AK600" s="42"/>
      <c r="AL600" s="42"/>
      <c r="AM600" s="42"/>
      <c r="AN600" s="43">
        <f t="shared" si="229"/>
        <v>0</v>
      </c>
      <c r="AO600" s="42"/>
      <c r="AP600" s="53"/>
      <c r="AQ600" s="53"/>
      <c r="AR600" s="53"/>
      <c r="AS600" s="72">
        <v>1</v>
      </c>
      <c r="AT600" s="24">
        <f t="shared" si="230"/>
        <v>1</v>
      </c>
      <c r="AU600" s="42"/>
      <c r="AV600" s="53"/>
      <c r="AW600" s="53"/>
      <c r="AX600" s="53"/>
      <c r="AY600" s="72"/>
      <c r="AZ600" s="24">
        <f t="shared" si="231"/>
        <v>0</v>
      </c>
      <c r="BA600" s="24">
        <f t="shared" si="232"/>
        <v>1</v>
      </c>
      <c r="BB600" s="83">
        <v>44097</v>
      </c>
    </row>
    <row r="601" spans="1:54" x14ac:dyDescent="0.15">
      <c r="A601" s="47" t="s">
        <v>385</v>
      </c>
      <c r="B601" s="41"/>
      <c r="C601" s="42"/>
      <c r="D601" s="42"/>
      <c r="E601" s="42"/>
      <c r="F601" s="42">
        <v>1</v>
      </c>
      <c r="G601" s="43">
        <f t="shared" si="233"/>
        <v>1</v>
      </c>
      <c r="H601" s="41"/>
      <c r="I601" s="42"/>
      <c r="J601" s="42"/>
      <c r="K601" s="42"/>
      <c r="L601" s="42"/>
      <c r="M601" s="43">
        <f t="shared" si="224"/>
        <v>0</v>
      </c>
      <c r="N601" s="42"/>
      <c r="O601" s="53"/>
      <c r="P601" s="53"/>
      <c r="Q601" s="53"/>
      <c r="R601" s="72"/>
      <c r="S601" s="24">
        <f t="shared" si="225"/>
        <v>0</v>
      </c>
      <c r="T601" s="42"/>
      <c r="U601" s="53"/>
      <c r="V601" s="53"/>
      <c r="W601" s="53"/>
      <c r="X601" s="72"/>
      <c r="Y601" s="24">
        <f t="shared" si="226"/>
        <v>0</v>
      </c>
      <c r="Z601" s="24">
        <f t="shared" si="227"/>
        <v>1</v>
      </c>
      <c r="AA601" s="83">
        <v>44106</v>
      </c>
      <c r="AB601" s="47" t="s">
        <v>403</v>
      </c>
      <c r="AC601" s="41"/>
      <c r="AD601" s="42"/>
      <c r="AE601" s="42"/>
      <c r="AF601" s="42"/>
      <c r="AG601" s="42"/>
      <c r="AH601" s="43">
        <f t="shared" si="228"/>
        <v>0</v>
      </c>
      <c r="AI601" s="41"/>
      <c r="AJ601" s="42"/>
      <c r="AK601" s="42"/>
      <c r="AL601" s="42"/>
      <c r="AM601" s="42"/>
      <c r="AN601" s="43">
        <f t="shared" si="229"/>
        <v>0</v>
      </c>
      <c r="AO601" s="42"/>
      <c r="AP601" s="53"/>
      <c r="AQ601" s="53"/>
      <c r="AR601" s="53"/>
      <c r="AS601" s="72"/>
      <c r="AT601" s="24">
        <f t="shared" si="230"/>
        <v>0</v>
      </c>
      <c r="AU601" s="42"/>
      <c r="AV601" s="53"/>
      <c r="AW601" s="53"/>
      <c r="AX601" s="53">
        <v>1</v>
      </c>
      <c r="AY601" s="72"/>
      <c r="AZ601" s="24">
        <f t="shared" si="231"/>
        <v>1</v>
      </c>
      <c r="BA601" s="24">
        <f t="shared" si="232"/>
        <v>1</v>
      </c>
      <c r="BB601" s="83">
        <v>44106</v>
      </c>
    </row>
    <row r="602" spans="1:54" ht="14.25" x14ac:dyDescent="0.15">
      <c r="A602" s="47" t="s">
        <v>395</v>
      </c>
      <c r="B602" s="41"/>
      <c r="C602" s="42"/>
      <c r="D602" s="42"/>
      <c r="E602" s="42"/>
      <c r="F602" s="42">
        <v>1</v>
      </c>
      <c r="G602" s="43">
        <f t="shared" si="233"/>
        <v>1</v>
      </c>
      <c r="H602" s="41"/>
      <c r="I602" s="42"/>
      <c r="J602" s="42"/>
      <c r="K602" s="42">
        <v>1</v>
      </c>
      <c r="L602" s="42"/>
      <c r="M602" s="43">
        <f t="shared" si="224"/>
        <v>1</v>
      </c>
      <c r="N602" s="42"/>
      <c r="O602" s="53"/>
      <c r="P602" s="53"/>
      <c r="Q602" s="53"/>
      <c r="R602" s="72"/>
      <c r="S602" s="24">
        <f t="shared" si="225"/>
        <v>0</v>
      </c>
      <c r="T602" s="42"/>
      <c r="U602" s="53"/>
      <c r="V602" s="53"/>
      <c r="W602" s="53"/>
      <c r="X602" s="72"/>
      <c r="Y602" s="24">
        <f t="shared" si="226"/>
        <v>0</v>
      </c>
      <c r="Z602" s="24">
        <f t="shared" si="227"/>
        <v>2</v>
      </c>
      <c r="AA602" s="83">
        <v>44106</v>
      </c>
      <c r="AB602" s="21" t="s">
        <v>372</v>
      </c>
      <c r="AC602" s="41"/>
      <c r="AD602" s="42"/>
      <c r="AE602" s="42">
        <v>5</v>
      </c>
      <c r="AF602" s="42"/>
      <c r="AG602" s="42"/>
      <c r="AH602" s="43">
        <f t="shared" si="228"/>
        <v>5</v>
      </c>
      <c r="AI602" s="41"/>
      <c r="AJ602" s="42"/>
      <c r="AK602" s="42"/>
      <c r="AL602" s="42"/>
      <c r="AM602" s="42"/>
      <c r="AN602" s="43">
        <f t="shared" si="229"/>
        <v>0</v>
      </c>
      <c r="AO602" s="42"/>
      <c r="AP602" s="53"/>
      <c r="AQ602" s="53"/>
      <c r="AR602" s="53"/>
      <c r="AS602" s="72"/>
      <c r="AT602" s="24">
        <f t="shared" si="230"/>
        <v>0</v>
      </c>
      <c r="AU602" s="42"/>
      <c r="AV602" s="53"/>
      <c r="AW602" s="53"/>
      <c r="AX602" s="53"/>
      <c r="AY602" s="72"/>
      <c r="AZ602" s="24">
        <f t="shared" si="231"/>
        <v>0</v>
      </c>
      <c r="BA602" s="24">
        <f t="shared" si="232"/>
        <v>5</v>
      </c>
      <c r="BB602" s="83">
        <v>44109</v>
      </c>
    </row>
    <row r="603" spans="1:54" ht="14.25" x14ac:dyDescent="0.15">
      <c r="A603" s="158" t="s">
        <v>401</v>
      </c>
      <c r="B603" s="41">
        <v>-1</v>
      </c>
      <c r="C603" s="42">
        <v>-1</v>
      </c>
      <c r="D603" s="42"/>
      <c r="E603" s="42"/>
      <c r="F603" s="42"/>
      <c r="G603" s="43">
        <f t="shared" si="233"/>
        <v>-2</v>
      </c>
      <c r="H603" s="41"/>
      <c r="I603" s="42">
        <v>-1</v>
      </c>
      <c r="J603" s="42"/>
      <c r="K603" s="42"/>
      <c r="L603" s="42"/>
      <c r="M603" s="43">
        <f t="shared" si="224"/>
        <v>-1</v>
      </c>
      <c r="N603" s="42"/>
      <c r="O603" s="53"/>
      <c r="P603" s="53">
        <v>-2</v>
      </c>
      <c r="Q603" s="53">
        <v>-1</v>
      </c>
      <c r="R603" s="72"/>
      <c r="S603" s="24">
        <f t="shared" si="225"/>
        <v>-3</v>
      </c>
      <c r="T603" s="42"/>
      <c r="U603" s="53"/>
      <c r="V603" s="53">
        <v>-1</v>
      </c>
      <c r="W603" s="53"/>
      <c r="X603" s="72"/>
      <c r="Y603" s="24">
        <f t="shared" si="226"/>
        <v>-1</v>
      </c>
      <c r="Z603" s="24">
        <f t="shared" si="227"/>
        <v>-7</v>
      </c>
      <c r="AA603" s="83">
        <v>44124</v>
      </c>
      <c r="AB603" s="21" t="s">
        <v>372</v>
      </c>
      <c r="AC603" s="41"/>
      <c r="AD603" s="42"/>
      <c r="AE603" s="42"/>
      <c r="AF603" s="42"/>
      <c r="AG603" s="42"/>
      <c r="AH603" s="43">
        <f t="shared" si="228"/>
        <v>0</v>
      </c>
      <c r="AI603" s="41"/>
      <c r="AJ603" s="42"/>
      <c r="AK603" s="42">
        <v>5</v>
      </c>
      <c r="AL603" s="42"/>
      <c r="AM603" s="42"/>
      <c r="AN603" s="43">
        <f t="shared" si="229"/>
        <v>5</v>
      </c>
      <c r="AO603" s="42"/>
      <c r="AP603" s="53"/>
      <c r="AQ603" s="53"/>
      <c r="AR603" s="53"/>
      <c r="AS603" s="72"/>
      <c r="AT603" s="24">
        <f t="shared" si="230"/>
        <v>0</v>
      </c>
      <c r="AU603" s="42"/>
      <c r="AV603" s="53"/>
      <c r="AW603" s="53"/>
      <c r="AX603" s="53"/>
      <c r="AY603" s="72"/>
      <c r="AZ603" s="24">
        <f t="shared" si="231"/>
        <v>0</v>
      </c>
      <c r="BA603" s="24">
        <f t="shared" si="232"/>
        <v>5</v>
      </c>
      <c r="BB603" s="83">
        <v>44112</v>
      </c>
    </row>
    <row r="604" spans="1:54" ht="14.25" x14ac:dyDescent="0.15">
      <c r="A604" s="47" t="s">
        <v>385</v>
      </c>
      <c r="B604" s="44"/>
      <c r="C604" s="45"/>
      <c r="D604" s="45">
        <v>1</v>
      </c>
      <c r="E604" s="45"/>
      <c r="F604" s="45"/>
      <c r="G604" s="43">
        <f t="shared" si="233"/>
        <v>1</v>
      </c>
      <c r="H604" s="44"/>
      <c r="I604" s="45"/>
      <c r="J604" s="45"/>
      <c r="K604" s="45"/>
      <c r="L604" s="45"/>
      <c r="M604" s="43">
        <f t="shared" si="224"/>
        <v>0</v>
      </c>
      <c r="N604" s="42"/>
      <c r="O604" s="53"/>
      <c r="P604" s="53"/>
      <c r="Q604" s="53"/>
      <c r="R604" s="72"/>
      <c r="S604" s="24">
        <f t="shared" si="225"/>
        <v>0</v>
      </c>
      <c r="T604" s="42"/>
      <c r="U604" s="53"/>
      <c r="V604" s="53"/>
      <c r="W604" s="53"/>
      <c r="X604" s="72"/>
      <c r="Y604" s="24">
        <f t="shared" si="226"/>
        <v>0</v>
      </c>
      <c r="Z604" s="24">
        <f t="shared" si="227"/>
        <v>1</v>
      </c>
      <c r="AA604" s="83">
        <v>44110</v>
      </c>
      <c r="AB604" s="21" t="s">
        <v>30</v>
      </c>
      <c r="AC604" s="44"/>
      <c r="AD604" s="45"/>
      <c r="AE604" s="45">
        <v>2</v>
      </c>
      <c r="AF604" s="45"/>
      <c r="AG604" s="45">
        <v>2</v>
      </c>
      <c r="AH604" s="43">
        <f t="shared" si="228"/>
        <v>4</v>
      </c>
      <c r="AI604" s="44"/>
      <c r="AJ604" s="45"/>
      <c r="AK604" s="45"/>
      <c r="AL604" s="45"/>
      <c r="AM604" s="45"/>
      <c r="AN604" s="43">
        <f t="shared" si="229"/>
        <v>0</v>
      </c>
      <c r="AO604" s="42"/>
      <c r="AP604" s="53"/>
      <c r="AQ604" s="53"/>
      <c r="AR604" s="53"/>
      <c r="AS604" s="72"/>
      <c r="AT604" s="24">
        <f t="shared" si="230"/>
        <v>0</v>
      </c>
      <c r="AU604" s="42"/>
      <c r="AV604" s="53"/>
      <c r="AW604" s="53"/>
      <c r="AX604" s="53"/>
      <c r="AY604" s="72"/>
      <c r="AZ604" s="24">
        <f t="shared" si="231"/>
        <v>0</v>
      </c>
      <c r="BA604" s="24">
        <f t="shared" si="232"/>
        <v>4</v>
      </c>
      <c r="BB604" s="83">
        <v>44107</v>
      </c>
    </row>
    <row r="605" spans="1:54" x14ac:dyDescent="0.15">
      <c r="A605" s="47" t="s">
        <v>385</v>
      </c>
      <c r="B605" s="41"/>
      <c r="C605" s="42"/>
      <c r="D605" s="42"/>
      <c r="E605" s="42"/>
      <c r="F605" s="42"/>
      <c r="G605" s="43">
        <f t="shared" si="233"/>
        <v>0</v>
      </c>
      <c r="H605" s="41"/>
      <c r="I605" s="42"/>
      <c r="J605" s="42"/>
      <c r="K605" s="42">
        <v>1</v>
      </c>
      <c r="L605" s="42"/>
      <c r="M605" s="43">
        <f t="shared" si="224"/>
        <v>1</v>
      </c>
      <c r="N605" s="42"/>
      <c r="O605" s="53"/>
      <c r="P605" s="53"/>
      <c r="Q605" s="53"/>
      <c r="R605" s="72"/>
      <c r="S605" s="24">
        <f t="shared" si="225"/>
        <v>0</v>
      </c>
      <c r="T605" s="42"/>
      <c r="U605" s="53"/>
      <c r="V605" s="53"/>
      <c r="W605" s="53"/>
      <c r="X605" s="72"/>
      <c r="Y605" s="24">
        <f t="shared" si="226"/>
        <v>0</v>
      </c>
      <c r="Z605" s="24">
        <f t="shared" si="227"/>
        <v>1</v>
      </c>
      <c r="AA605" s="83">
        <v>44111</v>
      </c>
      <c r="AB605" s="47" t="s">
        <v>404</v>
      </c>
      <c r="AC605" s="41"/>
      <c r="AD605" s="42"/>
      <c r="AE605" s="42"/>
      <c r="AF605" s="42"/>
      <c r="AG605" s="42"/>
      <c r="AH605" s="43">
        <f t="shared" si="228"/>
        <v>0</v>
      </c>
      <c r="AI605" s="41"/>
      <c r="AJ605" s="42"/>
      <c r="AK605" s="42"/>
      <c r="AL605" s="42"/>
      <c r="AM605" s="42"/>
      <c r="AN605" s="43">
        <f t="shared" si="229"/>
        <v>0</v>
      </c>
      <c r="AO605" s="42"/>
      <c r="AP605" s="53"/>
      <c r="AQ605" s="53"/>
      <c r="AR605" s="53">
        <v>1</v>
      </c>
      <c r="AS605" s="72"/>
      <c r="AT605" s="24">
        <f t="shared" si="230"/>
        <v>1</v>
      </c>
      <c r="AU605" s="42"/>
      <c r="AV605" s="53"/>
      <c r="AW605" s="53"/>
      <c r="AX605" s="53"/>
      <c r="AY605" s="72"/>
      <c r="AZ605" s="24">
        <f t="shared" si="231"/>
        <v>0</v>
      </c>
      <c r="BA605" s="24">
        <f t="shared" si="232"/>
        <v>1</v>
      </c>
      <c r="BB605" s="83">
        <v>44121</v>
      </c>
    </row>
    <row r="606" spans="1:54" ht="14.25" x14ac:dyDescent="0.15">
      <c r="A606" s="47" t="s">
        <v>385</v>
      </c>
      <c r="B606" s="41"/>
      <c r="C606" s="42">
        <v>1</v>
      </c>
      <c r="D606" s="42"/>
      <c r="E606" s="42"/>
      <c r="F606" s="42"/>
      <c r="G606" s="43">
        <f t="shared" si="233"/>
        <v>1</v>
      </c>
      <c r="H606" s="41"/>
      <c r="I606" s="42"/>
      <c r="J606" s="42"/>
      <c r="K606" s="42"/>
      <c r="L606" s="42"/>
      <c r="M606" s="43">
        <f t="shared" si="224"/>
        <v>0</v>
      </c>
      <c r="N606" s="42"/>
      <c r="O606" s="53"/>
      <c r="P606" s="53"/>
      <c r="Q606" s="53"/>
      <c r="R606" s="72"/>
      <c r="S606" s="24">
        <f t="shared" si="225"/>
        <v>0</v>
      </c>
      <c r="T606" s="42"/>
      <c r="U606" s="53"/>
      <c r="V606" s="53"/>
      <c r="W606" s="53"/>
      <c r="X606" s="72"/>
      <c r="Y606" s="24">
        <f t="shared" si="226"/>
        <v>0</v>
      </c>
      <c r="Z606" s="24">
        <f t="shared" si="227"/>
        <v>1</v>
      </c>
      <c r="AA606" s="83">
        <v>44120</v>
      </c>
      <c r="AB606" s="21" t="s">
        <v>372</v>
      </c>
      <c r="AC606" s="41"/>
      <c r="AD606" s="42"/>
      <c r="AE606" s="42"/>
      <c r="AF606" s="42"/>
      <c r="AG606" s="42"/>
      <c r="AH606" s="43">
        <f t="shared" si="228"/>
        <v>0</v>
      </c>
      <c r="AI606" s="41"/>
      <c r="AJ606" s="42"/>
      <c r="AK606" s="42"/>
      <c r="AL606" s="42"/>
      <c r="AM606" s="42">
        <v>5</v>
      </c>
      <c r="AN606" s="43">
        <f t="shared" si="229"/>
        <v>5</v>
      </c>
      <c r="AO606" s="42"/>
      <c r="AP606" s="53"/>
      <c r="AQ606" s="53"/>
      <c r="AR606" s="53"/>
      <c r="AS606" s="72"/>
      <c r="AT606" s="24">
        <f t="shared" si="230"/>
        <v>0</v>
      </c>
      <c r="AU606" s="42"/>
      <c r="AV606" s="53"/>
      <c r="AW606" s="53"/>
      <c r="AX606" s="53"/>
      <c r="AY606" s="72"/>
      <c r="AZ606" s="24">
        <f t="shared" si="231"/>
        <v>0</v>
      </c>
      <c r="BA606" s="24">
        <f t="shared" si="232"/>
        <v>5</v>
      </c>
      <c r="BB606" s="83">
        <v>44126</v>
      </c>
    </row>
    <row r="607" spans="1:54" ht="14.25" x14ac:dyDescent="0.15">
      <c r="A607" s="23" t="s">
        <v>50</v>
      </c>
      <c r="B607" s="41"/>
      <c r="C607" s="42"/>
      <c r="D607" s="42"/>
      <c r="E607" s="42"/>
      <c r="F607" s="42"/>
      <c r="G607" s="43">
        <f t="shared" si="233"/>
        <v>0</v>
      </c>
      <c r="H607" s="41"/>
      <c r="I607" s="42"/>
      <c r="J607" s="42"/>
      <c r="K607" s="42"/>
      <c r="L607" s="42"/>
      <c r="M607" s="43">
        <f t="shared" si="224"/>
        <v>0</v>
      </c>
      <c r="N607" s="42"/>
      <c r="O607" s="53"/>
      <c r="P607" s="53">
        <v>-1</v>
      </c>
      <c r="Q607" s="53"/>
      <c r="R607" s="72"/>
      <c r="S607" s="24">
        <f t="shared" si="225"/>
        <v>-1</v>
      </c>
      <c r="T607" s="42"/>
      <c r="U607" s="53"/>
      <c r="V607" s="53"/>
      <c r="W607" s="53"/>
      <c r="X607" s="72"/>
      <c r="Y607" s="24">
        <f t="shared" si="226"/>
        <v>0</v>
      </c>
      <c r="Z607" s="24">
        <f t="shared" si="227"/>
        <v>-1</v>
      </c>
      <c r="AA607" s="83">
        <v>44120</v>
      </c>
      <c r="AB607" s="47" t="s">
        <v>408</v>
      </c>
      <c r="AC607" s="41"/>
      <c r="AD607" s="42"/>
      <c r="AE607" s="42"/>
      <c r="AF607" s="42"/>
      <c r="AG607" s="42"/>
      <c r="AH607" s="43">
        <f t="shared" si="228"/>
        <v>0</v>
      </c>
      <c r="AI607" s="41"/>
      <c r="AJ607" s="42"/>
      <c r="AK607" s="42"/>
      <c r="AL607" s="42"/>
      <c r="AM607" s="42"/>
      <c r="AN607" s="43">
        <f t="shared" si="229"/>
        <v>0</v>
      </c>
      <c r="AO607" s="42"/>
      <c r="AP607" s="53"/>
      <c r="AQ607" s="53"/>
      <c r="AR607" s="53"/>
      <c r="AS607" s="72"/>
      <c r="AT607" s="24">
        <f t="shared" si="230"/>
        <v>0</v>
      </c>
      <c r="AU607" s="42"/>
      <c r="AV607" s="53"/>
      <c r="AW607" s="53">
        <v>1</v>
      </c>
      <c r="AX607" s="53">
        <v>1</v>
      </c>
      <c r="AY607" s="72"/>
      <c r="AZ607" s="24">
        <f t="shared" si="231"/>
        <v>2</v>
      </c>
      <c r="BA607" s="24">
        <f t="shared" si="232"/>
        <v>2</v>
      </c>
      <c r="BB607" s="83">
        <v>44134</v>
      </c>
    </row>
    <row r="608" spans="1:54" x14ac:dyDescent="0.15">
      <c r="A608" s="47" t="s">
        <v>385</v>
      </c>
      <c r="B608" s="38">
        <v>1</v>
      </c>
      <c r="C608" s="39"/>
      <c r="D608" s="39"/>
      <c r="E608" s="39"/>
      <c r="F608" s="39"/>
      <c r="G608" s="37">
        <f t="shared" si="233"/>
        <v>1</v>
      </c>
      <c r="H608" s="38"/>
      <c r="I608" s="39"/>
      <c r="J608" s="39"/>
      <c r="K608" s="39"/>
      <c r="L608" s="39"/>
      <c r="M608" s="37">
        <f t="shared" si="224"/>
        <v>0</v>
      </c>
      <c r="N608" s="42"/>
      <c r="O608" s="53"/>
      <c r="P608" s="53"/>
      <c r="Q608" s="53"/>
      <c r="R608" s="72"/>
      <c r="S608" s="24">
        <f t="shared" si="225"/>
        <v>0</v>
      </c>
      <c r="T608" s="42"/>
      <c r="U608" s="53"/>
      <c r="V608" s="53"/>
      <c r="W608" s="53"/>
      <c r="X608" s="72"/>
      <c r="Y608" s="24">
        <f t="shared" si="226"/>
        <v>0</v>
      </c>
      <c r="Z608" s="24">
        <f t="shared" si="227"/>
        <v>1</v>
      </c>
      <c r="AA608" s="83">
        <v>44121</v>
      </c>
      <c r="AB608" s="47" t="s">
        <v>409</v>
      </c>
      <c r="AC608" s="38"/>
      <c r="AD608" s="39"/>
      <c r="AE608" s="39"/>
      <c r="AF608" s="39"/>
      <c r="AG608" s="39"/>
      <c r="AH608" s="37">
        <f t="shared" si="228"/>
        <v>0</v>
      </c>
      <c r="AI608" s="38"/>
      <c r="AJ608" s="39"/>
      <c r="AK608" s="39"/>
      <c r="AL608" s="39"/>
      <c r="AM608" s="39"/>
      <c r="AN608" s="37">
        <f t="shared" si="229"/>
        <v>0</v>
      </c>
      <c r="AO608" s="42"/>
      <c r="AP608" s="53"/>
      <c r="AQ608" s="53"/>
      <c r="AR608" s="53"/>
      <c r="AS608" s="72">
        <v>1</v>
      </c>
      <c r="AT608" s="24">
        <f t="shared" si="230"/>
        <v>1</v>
      </c>
      <c r="AU608" s="42"/>
      <c r="AV608" s="53"/>
      <c r="AW608" s="53"/>
      <c r="AX608" s="53"/>
      <c r="AY608" s="72"/>
      <c r="AZ608" s="24">
        <f t="shared" si="231"/>
        <v>0</v>
      </c>
      <c r="BA608" s="24">
        <f t="shared" si="232"/>
        <v>1</v>
      </c>
      <c r="BB608" s="83">
        <v>44134</v>
      </c>
    </row>
    <row r="609" spans="1:55" ht="14.25" x14ac:dyDescent="0.15">
      <c r="A609" s="47" t="s">
        <v>160</v>
      </c>
      <c r="B609" s="41"/>
      <c r="C609" s="42"/>
      <c r="D609" s="42"/>
      <c r="E609" s="42"/>
      <c r="F609" s="42"/>
      <c r="G609" s="43">
        <f t="shared" si="233"/>
        <v>0</v>
      </c>
      <c r="H609" s="41"/>
      <c r="I609" s="42"/>
      <c r="J609" s="42"/>
      <c r="K609" s="42"/>
      <c r="L609" s="42"/>
      <c r="M609" s="43">
        <f t="shared" si="224"/>
        <v>0</v>
      </c>
      <c r="N609" s="42"/>
      <c r="O609" s="53"/>
      <c r="P609" s="53">
        <v>1</v>
      </c>
      <c r="Q609" s="53"/>
      <c r="R609" s="72"/>
      <c r="S609" s="24">
        <f t="shared" si="225"/>
        <v>1</v>
      </c>
      <c r="T609" s="42"/>
      <c r="U609" s="53"/>
      <c r="V609" s="53"/>
      <c r="W609" s="53"/>
      <c r="X609" s="72"/>
      <c r="Y609" s="24">
        <f t="shared" si="226"/>
        <v>0</v>
      </c>
      <c r="Z609" s="24">
        <f t="shared" si="227"/>
        <v>1</v>
      </c>
      <c r="AA609" s="83">
        <v>44121</v>
      </c>
      <c r="AB609" s="21" t="s">
        <v>30</v>
      </c>
      <c r="AC609" s="41"/>
      <c r="AD609" s="42"/>
      <c r="AE609" s="42"/>
      <c r="AF609" s="42"/>
      <c r="AG609" s="42"/>
      <c r="AH609" s="43">
        <f t="shared" si="228"/>
        <v>0</v>
      </c>
      <c r="AI609" s="41"/>
      <c r="AJ609" s="42"/>
      <c r="AK609" s="42"/>
      <c r="AL609" s="42"/>
      <c r="AM609" s="42"/>
      <c r="AN609" s="43">
        <f t="shared" si="229"/>
        <v>0</v>
      </c>
      <c r="AO609" s="42"/>
      <c r="AP609" s="53"/>
      <c r="AQ609" s="53"/>
      <c r="AR609" s="53"/>
      <c r="AS609" s="72"/>
      <c r="AT609" s="24">
        <f t="shared" si="230"/>
        <v>0</v>
      </c>
      <c r="AU609" s="42"/>
      <c r="AV609" s="53"/>
      <c r="AW609" s="53">
        <v>1</v>
      </c>
      <c r="AX609" s="53">
        <v>1</v>
      </c>
      <c r="AY609" s="72"/>
      <c r="AZ609" s="24">
        <f t="shared" si="231"/>
        <v>2</v>
      </c>
      <c r="BA609" s="24">
        <f t="shared" si="232"/>
        <v>2</v>
      </c>
      <c r="BB609" s="83">
        <v>44130</v>
      </c>
    </row>
    <row r="610" spans="1:55" ht="14.25" x14ac:dyDescent="0.15">
      <c r="A610" s="21" t="s">
        <v>405</v>
      </c>
      <c r="B610" s="14"/>
      <c r="C610" s="15"/>
      <c r="D610" s="15"/>
      <c r="E610" s="15"/>
      <c r="F610" s="15">
        <v>1</v>
      </c>
      <c r="G610" s="24">
        <f t="shared" si="233"/>
        <v>1</v>
      </c>
      <c r="H610" s="14"/>
      <c r="I610" s="15"/>
      <c r="J610" s="15"/>
      <c r="K610" s="15"/>
      <c r="L610" s="15"/>
      <c r="M610" s="24">
        <f t="shared" si="224"/>
        <v>0</v>
      </c>
      <c r="N610" s="15"/>
      <c r="O610" s="55"/>
      <c r="P610" s="55"/>
      <c r="Q610" s="55"/>
      <c r="R610" s="67"/>
      <c r="S610" s="24">
        <f t="shared" si="225"/>
        <v>0</v>
      </c>
      <c r="T610" s="15"/>
      <c r="U610" s="55"/>
      <c r="V610" s="55"/>
      <c r="W610" s="55"/>
      <c r="X610" s="67"/>
      <c r="Y610" s="24">
        <f t="shared" si="226"/>
        <v>0</v>
      </c>
      <c r="Z610" s="24">
        <f t="shared" si="227"/>
        <v>1</v>
      </c>
      <c r="AA610" s="83">
        <v>44125</v>
      </c>
      <c r="AB610" s="21" t="s">
        <v>372</v>
      </c>
      <c r="AC610" s="14"/>
      <c r="AD610" s="15"/>
      <c r="AE610" s="15"/>
      <c r="AF610" s="15"/>
      <c r="AG610" s="15">
        <v>5</v>
      </c>
      <c r="AH610" s="24">
        <f t="shared" si="228"/>
        <v>5</v>
      </c>
      <c r="AI610" s="14"/>
      <c r="AJ610" s="15"/>
      <c r="AK610" s="15"/>
      <c r="AL610" s="15"/>
      <c r="AM610" s="15"/>
      <c r="AN610" s="24">
        <f t="shared" si="229"/>
        <v>0</v>
      </c>
      <c r="AO610" s="15"/>
      <c r="AP610" s="55"/>
      <c r="AQ610" s="55"/>
      <c r="AR610" s="55"/>
      <c r="AS610" s="67"/>
      <c r="AT610" s="24">
        <f t="shared" si="230"/>
        <v>0</v>
      </c>
      <c r="AU610" s="15"/>
      <c r="AV610" s="55"/>
      <c r="AW610" s="55"/>
      <c r="AX610" s="55"/>
      <c r="AY610" s="67"/>
      <c r="AZ610" s="24">
        <f t="shared" si="231"/>
        <v>0</v>
      </c>
      <c r="BA610" s="24">
        <f t="shared" si="232"/>
        <v>5</v>
      </c>
      <c r="BB610" s="83">
        <v>44137</v>
      </c>
    </row>
    <row r="611" spans="1:55" x14ac:dyDescent="0.15">
      <c r="A611" s="47" t="s">
        <v>160</v>
      </c>
      <c r="B611" s="14">
        <v>1</v>
      </c>
      <c r="C611" s="15">
        <v>1</v>
      </c>
      <c r="D611" s="15"/>
      <c r="E611" s="15"/>
      <c r="F611" s="15"/>
      <c r="G611" s="24">
        <f t="shared" si="233"/>
        <v>2</v>
      </c>
      <c r="H611" s="14"/>
      <c r="I611" s="15">
        <v>1</v>
      </c>
      <c r="J611" s="15"/>
      <c r="K611" s="15"/>
      <c r="L611" s="15"/>
      <c r="M611" s="24">
        <f t="shared" si="224"/>
        <v>1</v>
      </c>
      <c r="N611" s="15"/>
      <c r="O611" s="55"/>
      <c r="P611" s="55">
        <v>1</v>
      </c>
      <c r="Q611" s="55">
        <v>1</v>
      </c>
      <c r="R611" s="67"/>
      <c r="S611" s="24">
        <f t="shared" si="225"/>
        <v>2</v>
      </c>
      <c r="T611" s="15"/>
      <c r="U611" s="55"/>
      <c r="V611" s="55">
        <v>1</v>
      </c>
      <c r="W611" s="55"/>
      <c r="X611" s="67"/>
      <c r="Y611" s="24">
        <f t="shared" si="226"/>
        <v>1</v>
      </c>
      <c r="Z611" s="24">
        <f t="shared" si="227"/>
        <v>6</v>
      </c>
      <c r="AA611" s="83">
        <v>44124</v>
      </c>
      <c r="AB611" s="47" t="s">
        <v>410</v>
      </c>
      <c r="AC611" s="14"/>
      <c r="AD611" s="15"/>
      <c r="AE611" s="15"/>
      <c r="AF611" s="15"/>
      <c r="AG611" s="15"/>
      <c r="AH611" s="24">
        <f t="shared" si="228"/>
        <v>0</v>
      </c>
      <c r="AI611" s="14"/>
      <c r="AJ611" s="15"/>
      <c r="AK611" s="15"/>
      <c r="AL611" s="15"/>
      <c r="AM611" s="15"/>
      <c r="AN611" s="24">
        <f t="shared" si="229"/>
        <v>0</v>
      </c>
      <c r="AO611" s="15"/>
      <c r="AP611" s="55"/>
      <c r="AQ611" s="55"/>
      <c r="AR611" s="55"/>
      <c r="AS611" s="67">
        <v>1</v>
      </c>
      <c r="AT611" s="24">
        <f t="shared" si="230"/>
        <v>1</v>
      </c>
      <c r="AU611" s="15"/>
      <c r="AV611" s="55"/>
      <c r="AW611" s="55"/>
      <c r="AX611" s="55"/>
      <c r="AY611" s="67"/>
      <c r="AZ611" s="24">
        <f t="shared" si="231"/>
        <v>0</v>
      </c>
      <c r="BA611" s="24">
        <f t="shared" si="232"/>
        <v>1</v>
      </c>
      <c r="BB611" s="83">
        <v>44140</v>
      </c>
    </row>
    <row r="612" spans="1:55" ht="14.25" x14ac:dyDescent="0.15">
      <c r="A612" s="21" t="s">
        <v>85</v>
      </c>
      <c r="B612" s="14"/>
      <c r="C612" s="15"/>
      <c r="D612" s="15"/>
      <c r="E612" s="15"/>
      <c r="F612" s="15"/>
      <c r="G612" s="24">
        <f t="shared" si="233"/>
        <v>0</v>
      </c>
      <c r="H612" s="14">
        <v>1</v>
      </c>
      <c r="I612" s="15"/>
      <c r="J612" s="15"/>
      <c r="K612" s="15"/>
      <c r="L612" s="15"/>
      <c r="M612" s="24">
        <f t="shared" si="224"/>
        <v>1</v>
      </c>
      <c r="N612" s="15"/>
      <c r="O612" s="55"/>
      <c r="P612" s="55"/>
      <c r="Q612" s="55"/>
      <c r="R612" s="67"/>
      <c r="S612" s="24">
        <f t="shared" si="225"/>
        <v>0</v>
      </c>
      <c r="T612" s="15"/>
      <c r="U612" s="55"/>
      <c r="V612" s="55"/>
      <c r="W612" s="55"/>
      <c r="X612" s="67"/>
      <c r="Y612" s="24">
        <f t="shared" si="226"/>
        <v>0</v>
      </c>
      <c r="Z612" s="24">
        <f t="shared" si="227"/>
        <v>1</v>
      </c>
      <c r="AA612" s="83">
        <v>44131</v>
      </c>
      <c r="AB612" s="47" t="s">
        <v>411</v>
      </c>
      <c r="AC612" s="14"/>
      <c r="AD612" s="15">
        <v>1</v>
      </c>
      <c r="AE612" s="15"/>
      <c r="AF612" s="15"/>
      <c r="AG612" s="15"/>
      <c r="AH612" s="24">
        <f t="shared" si="228"/>
        <v>1</v>
      </c>
      <c r="AI612" s="14"/>
      <c r="AJ612" s="15"/>
      <c r="AK612" s="15"/>
      <c r="AL612" s="15"/>
      <c r="AM612" s="15"/>
      <c r="AN612" s="24">
        <f t="shared" si="229"/>
        <v>0</v>
      </c>
      <c r="AO612" s="15"/>
      <c r="AP612" s="55"/>
      <c r="AQ612" s="55"/>
      <c r="AR612" s="55"/>
      <c r="AS612" s="67"/>
      <c r="AT612" s="24">
        <f t="shared" si="230"/>
        <v>0</v>
      </c>
      <c r="AU612" s="15"/>
      <c r="AV612" s="55"/>
      <c r="AW612" s="55"/>
      <c r="AX612" s="55"/>
      <c r="AY612" s="67"/>
      <c r="AZ612" s="24">
        <f t="shared" si="231"/>
        <v>0</v>
      </c>
      <c r="BA612" s="24">
        <f t="shared" si="232"/>
        <v>1</v>
      </c>
      <c r="BB612" s="83">
        <v>44146</v>
      </c>
      <c r="BC612" s="111"/>
    </row>
    <row r="613" spans="1:55" ht="14.25" x14ac:dyDescent="0.15">
      <c r="A613" s="10" t="s">
        <v>181</v>
      </c>
      <c r="B613" s="14"/>
      <c r="C613" s="15"/>
      <c r="D613" s="15"/>
      <c r="E613" s="15"/>
      <c r="F613" s="15"/>
      <c r="G613" s="24">
        <f t="shared" si="233"/>
        <v>0</v>
      </c>
      <c r="H613" s="14"/>
      <c r="I613" s="15"/>
      <c r="J613" s="15"/>
      <c r="K613" s="15"/>
      <c r="L613" s="15"/>
      <c r="M613" s="24">
        <f t="shared" si="224"/>
        <v>0</v>
      </c>
      <c r="N613" s="15"/>
      <c r="O613" s="55"/>
      <c r="P613" s="55"/>
      <c r="Q613" s="55"/>
      <c r="R613" s="67"/>
      <c r="S613" s="24">
        <f t="shared" si="225"/>
        <v>0</v>
      </c>
      <c r="T613" s="15"/>
      <c r="U613" s="55"/>
      <c r="V613" s="55">
        <v>-1</v>
      </c>
      <c r="W613" s="55">
        <v>-1</v>
      </c>
      <c r="X613" s="67"/>
      <c r="Y613" s="24">
        <f t="shared" si="226"/>
        <v>-2</v>
      </c>
      <c r="Z613" s="24">
        <f t="shared" si="227"/>
        <v>-2</v>
      </c>
      <c r="AA613" s="93">
        <v>44130</v>
      </c>
      <c r="AB613" s="21" t="s">
        <v>372</v>
      </c>
      <c r="AC613" s="14">
        <v>5</v>
      </c>
      <c r="AD613" s="15"/>
      <c r="AE613" s="15"/>
      <c r="AF613" s="15"/>
      <c r="AG613" s="15"/>
      <c r="AH613" s="24">
        <f t="shared" si="228"/>
        <v>5</v>
      </c>
      <c r="AI613" s="14"/>
      <c r="AJ613" s="15"/>
      <c r="AK613" s="15"/>
      <c r="AL613" s="15"/>
      <c r="AM613" s="15"/>
      <c r="AN613" s="24">
        <f t="shared" si="229"/>
        <v>0</v>
      </c>
      <c r="AO613" s="15"/>
      <c r="AP613" s="55"/>
      <c r="AQ613" s="55"/>
      <c r="AR613" s="55"/>
      <c r="AS613" s="67"/>
      <c r="AT613" s="24">
        <f t="shared" si="230"/>
        <v>0</v>
      </c>
      <c r="AU613" s="15"/>
      <c r="AV613" s="55"/>
      <c r="AW613" s="55"/>
      <c r="AX613" s="55"/>
      <c r="AY613" s="67"/>
      <c r="AZ613" s="24">
        <f t="shared" si="231"/>
        <v>0</v>
      </c>
      <c r="BA613" s="24">
        <f t="shared" si="232"/>
        <v>5</v>
      </c>
      <c r="BB613" s="83">
        <v>44147</v>
      </c>
    </row>
    <row r="614" spans="1:55" ht="14.25" x14ac:dyDescent="0.15">
      <c r="A614" s="47" t="s">
        <v>395</v>
      </c>
      <c r="B614" s="14"/>
      <c r="C614" s="15"/>
      <c r="D614" s="15"/>
      <c r="E614" s="15"/>
      <c r="F614" s="15"/>
      <c r="G614" s="24">
        <f t="shared" si="233"/>
        <v>0</v>
      </c>
      <c r="H614" s="14"/>
      <c r="I614" s="15"/>
      <c r="J614" s="15">
        <v>1</v>
      </c>
      <c r="K614" s="15"/>
      <c r="L614" s="15"/>
      <c r="M614" s="24">
        <f t="shared" si="224"/>
        <v>1</v>
      </c>
      <c r="N614" s="15"/>
      <c r="O614" s="55"/>
      <c r="P614" s="55"/>
      <c r="Q614" s="55"/>
      <c r="R614" s="67"/>
      <c r="S614" s="24">
        <f t="shared" si="225"/>
        <v>0</v>
      </c>
      <c r="T614" s="15"/>
      <c r="U614" s="55"/>
      <c r="V614" s="55"/>
      <c r="W614" s="55"/>
      <c r="X614" s="67"/>
      <c r="Y614" s="24">
        <f t="shared" si="226"/>
        <v>0</v>
      </c>
      <c r="Z614" s="24">
        <f t="shared" si="227"/>
        <v>1</v>
      </c>
      <c r="AA614" s="93">
        <v>44137</v>
      </c>
      <c r="AB614" s="21" t="s">
        <v>372</v>
      </c>
      <c r="AC614" s="14"/>
      <c r="AD614" s="15">
        <v>5</v>
      </c>
      <c r="AE614" s="15"/>
      <c r="AF614" s="15"/>
      <c r="AG614" s="15"/>
      <c r="AH614" s="24">
        <f t="shared" si="228"/>
        <v>5</v>
      </c>
      <c r="AI614" s="14"/>
      <c r="AJ614" s="15"/>
      <c r="AK614" s="15"/>
      <c r="AL614" s="15">
        <v>5</v>
      </c>
      <c r="AM614" s="15"/>
      <c r="AN614" s="24">
        <f t="shared" si="229"/>
        <v>5</v>
      </c>
      <c r="AO614" s="15"/>
      <c r="AP614" s="55"/>
      <c r="AQ614" s="55"/>
      <c r="AR614" s="55"/>
      <c r="AS614" s="67"/>
      <c r="AT614" s="24">
        <f t="shared" si="230"/>
        <v>0</v>
      </c>
      <c r="AU614" s="15"/>
      <c r="AV614" s="55"/>
      <c r="AW614" s="55"/>
      <c r="AX614" s="55"/>
      <c r="AY614" s="67"/>
      <c r="AZ614" s="24">
        <f t="shared" si="231"/>
        <v>0</v>
      </c>
      <c r="BA614" s="24">
        <f t="shared" si="232"/>
        <v>10</v>
      </c>
      <c r="BB614" s="83">
        <v>44148</v>
      </c>
    </row>
    <row r="615" spans="1:55" ht="14.25" x14ac:dyDescent="0.15">
      <c r="A615" s="23" t="s">
        <v>356</v>
      </c>
      <c r="B615" s="14"/>
      <c r="C615" s="15"/>
      <c r="D615" s="15"/>
      <c r="E615" s="15">
        <v>-2</v>
      </c>
      <c r="F615" s="15">
        <v>-2</v>
      </c>
      <c r="G615" s="24">
        <f t="shared" si="233"/>
        <v>-4</v>
      </c>
      <c r="H615" s="14"/>
      <c r="I615" s="15"/>
      <c r="J615" s="15"/>
      <c r="K615" s="15"/>
      <c r="L615" s="15"/>
      <c r="M615" s="24">
        <f t="shared" si="224"/>
        <v>0</v>
      </c>
      <c r="N615" s="15"/>
      <c r="O615" s="55"/>
      <c r="P615" s="55"/>
      <c r="Q615" s="55"/>
      <c r="R615" s="67"/>
      <c r="S615" s="24">
        <f t="shared" si="225"/>
        <v>0</v>
      </c>
      <c r="T615" s="15"/>
      <c r="U615" s="55"/>
      <c r="V615" s="55"/>
      <c r="W615" s="55"/>
      <c r="X615" s="67"/>
      <c r="Y615" s="24">
        <f t="shared" si="226"/>
        <v>0</v>
      </c>
      <c r="Z615" s="24">
        <f t="shared" si="227"/>
        <v>-4</v>
      </c>
      <c r="AA615" s="93">
        <v>44144</v>
      </c>
      <c r="AB615" s="21" t="s">
        <v>372</v>
      </c>
      <c r="AC615" s="14"/>
      <c r="AD615" s="15"/>
      <c r="AE615" s="15"/>
      <c r="AF615" s="15"/>
      <c r="AG615" s="15"/>
      <c r="AH615" s="24">
        <f>SUM(AC615:AG615)</f>
        <v>0</v>
      </c>
      <c r="AI615" s="14"/>
      <c r="AJ615" s="15"/>
      <c r="AK615" s="15"/>
      <c r="AL615" s="15">
        <v>5</v>
      </c>
      <c r="AM615" s="15"/>
      <c r="AN615" s="24">
        <f>SUM(AI615:AM615)</f>
        <v>5</v>
      </c>
      <c r="AO615" s="15"/>
      <c r="AP615" s="55"/>
      <c r="AQ615" s="55"/>
      <c r="AR615" s="55"/>
      <c r="AS615" s="67"/>
      <c r="AT615" s="24">
        <f>SUM(AO615:AS615)</f>
        <v>0</v>
      </c>
      <c r="AU615" s="15"/>
      <c r="AV615" s="55"/>
      <c r="AW615" s="55"/>
      <c r="AX615" s="55"/>
      <c r="AY615" s="67"/>
      <c r="AZ615" s="24">
        <f>SUM(AU615:AY615)</f>
        <v>0</v>
      </c>
      <c r="BA615" s="24">
        <f>AH615+AN615+AT615+AZ615</f>
        <v>5</v>
      </c>
      <c r="BB615" s="83">
        <v>44153</v>
      </c>
    </row>
    <row r="616" spans="1:55" ht="14.25" x14ac:dyDescent="0.15">
      <c r="A616" s="23" t="s">
        <v>156</v>
      </c>
      <c r="B616" s="44"/>
      <c r="C616" s="45"/>
      <c r="D616" s="45"/>
      <c r="E616" s="45"/>
      <c r="F616" s="45"/>
      <c r="G616" s="43">
        <f t="shared" si="233"/>
        <v>0</v>
      </c>
      <c r="H616" s="44">
        <v>-1</v>
      </c>
      <c r="I616" s="45"/>
      <c r="J616" s="45"/>
      <c r="K616" s="45"/>
      <c r="L616" s="45"/>
      <c r="M616" s="43">
        <f t="shared" si="224"/>
        <v>-1</v>
      </c>
      <c r="N616" s="42"/>
      <c r="O616" s="53"/>
      <c r="P616" s="53"/>
      <c r="Q616" s="53"/>
      <c r="R616" s="72"/>
      <c r="S616" s="24">
        <f t="shared" si="225"/>
        <v>0</v>
      </c>
      <c r="T616" s="42"/>
      <c r="U616" s="53"/>
      <c r="V616" s="53"/>
      <c r="W616" s="53"/>
      <c r="X616" s="72"/>
      <c r="Y616" s="24">
        <f t="shared" si="226"/>
        <v>0</v>
      </c>
      <c r="Z616" s="24">
        <f t="shared" si="227"/>
        <v>-1</v>
      </c>
      <c r="AA616" s="93">
        <v>44147</v>
      </c>
      <c r="AB616" s="47" t="s">
        <v>30</v>
      </c>
      <c r="AC616" s="14">
        <v>-4</v>
      </c>
      <c r="AD616" s="15">
        <v>-2</v>
      </c>
      <c r="AE616" s="15">
        <v>-4</v>
      </c>
      <c r="AF616" s="15">
        <v>-4</v>
      </c>
      <c r="AG616" s="15">
        <v>-4</v>
      </c>
      <c r="AH616" s="24">
        <f t="shared" si="228"/>
        <v>-18</v>
      </c>
      <c r="AI616" s="14"/>
      <c r="AJ616" s="15"/>
      <c r="AK616" s="15"/>
      <c r="AL616" s="15"/>
      <c r="AM616" s="15"/>
      <c r="AN616" s="24">
        <f t="shared" si="229"/>
        <v>0</v>
      </c>
      <c r="AO616" s="15">
        <v>-5</v>
      </c>
      <c r="AP616" s="55">
        <v>-4</v>
      </c>
      <c r="AQ616" s="55">
        <v>-6</v>
      </c>
      <c r="AR616" s="55">
        <v>-6</v>
      </c>
      <c r="AS616" s="67">
        <v>-3</v>
      </c>
      <c r="AT616" s="24">
        <f t="shared" si="230"/>
        <v>-24</v>
      </c>
      <c r="AU616" s="15">
        <v>-4</v>
      </c>
      <c r="AV616" s="55">
        <v>-4</v>
      </c>
      <c r="AW616" s="55">
        <v>-4</v>
      </c>
      <c r="AX616" s="55">
        <v>-7</v>
      </c>
      <c r="AY616" s="67">
        <v>-5</v>
      </c>
      <c r="AZ616" s="24">
        <f t="shared" si="231"/>
        <v>-24</v>
      </c>
      <c r="BA616" s="24">
        <f t="shared" si="232"/>
        <v>-66</v>
      </c>
      <c r="BB616" s="83">
        <v>44156</v>
      </c>
    </row>
    <row r="617" spans="1:55" ht="14.25" x14ac:dyDescent="0.15">
      <c r="A617" s="110" t="s">
        <v>401</v>
      </c>
      <c r="B617" s="41"/>
      <c r="C617" s="42">
        <v>-2</v>
      </c>
      <c r="D617" s="42"/>
      <c r="E617" s="42">
        <v>-1</v>
      </c>
      <c r="F617" s="42"/>
      <c r="G617" s="43">
        <f t="shared" si="233"/>
        <v>-3</v>
      </c>
      <c r="H617" s="41"/>
      <c r="I617" s="42">
        <v>-1</v>
      </c>
      <c r="J617" s="42"/>
      <c r="K617" s="42"/>
      <c r="L617" s="42"/>
      <c r="M617" s="43">
        <f t="shared" si="224"/>
        <v>-1</v>
      </c>
      <c r="N617" s="42"/>
      <c r="O617" s="53"/>
      <c r="P617" s="53"/>
      <c r="Q617" s="53"/>
      <c r="R617" s="72"/>
      <c r="S617" s="24">
        <f t="shared" si="225"/>
        <v>0</v>
      </c>
      <c r="T617" s="42"/>
      <c r="U617" s="53"/>
      <c r="V617" s="53"/>
      <c r="W617" s="53"/>
      <c r="X617" s="72"/>
      <c r="Y617" s="24">
        <f t="shared" si="226"/>
        <v>0</v>
      </c>
      <c r="Z617" s="24">
        <f t="shared" si="227"/>
        <v>-4</v>
      </c>
      <c r="AA617" s="93">
        <v>44153</v>
      </c>
      <c r="AB617" s="47"/>
      <c r="AC617" s="14"/>
      <c r="AD617" s="15"/>
      <c r="AE617" s="15"/>
      <c r="AF617" s="15"/>
      <c r="AG617" s="15"/>
      <c r="AH617" s="24">
        <f t="shared" si="228"/>
        <v>0</v>
      </c>
      <c r="AI617" s="14"/>
      <c r="AJ617" s="15"/>
      <c r="AK617" s="15"/>
      <c r="AL617" s="15"/>
      <c r="AM617" s="15"/>
      <c r="AN617" s="24">
        <f t="shared" si="229"/>
        <v>0</v>
      </c>
      <c r="AO617" s="15"/>
      <c r="AP617" s="55"/>
      <c r="AQ617" s="55"/>
      <c r="AR617" s="55"/>
      <c r="AS617" s="67"/>
      <c r="AT617" s="24">
        <f t="shared" si="230"/>
        <v>0</v>
      </c>
      <c r="AU617" s="15"/>
      <c r="AV617" s="55"/>
      <c r="AW617" s="55"/>
      <c r="AX617" s="55"/>
      <c r="AY617" s="67"/>
      <c r="AZ617" s="24">
        <f t="shared" si="231"/>
        <v>0</v>
      </c>
      <c r="BA617" s="24">
        <f t="shared" si="232"/>
        <v>0</v>
      </c>
      <c r="BB617" s="128"/>
    </row>
    <row r="618" spans="1:55" ht="14.25" x14ac:dyDescent="0.15">
      <c r="A618" s="23" t="s">
        <v>50</v>
      </c>
      <c r="B618" s="41">
        <v>-4</v>
      </c>
      <c r="C618" s="42">
        <v>-2</v>
      </c>
      <c r="D618" s="42">
        <v>-4</v>
      </c>
      <c r="E618" s="42">
        <v>-2</v>
      </c>
      <c r="F618" s="42">
        <v>-2</v>
      </c>
      <c r="G618" s="43">
        <f t="shared" si="233"/>
        <v>-14</v>
      </c>
      <c r="H618" s="41"/>
      <c r="I618" s="42"/>
      <c r="J618" s="42"/>
      <c r="K618" s="42"/>
      <c r="L618" s="42"/>
      <c r="M618" s="43">
        <f t="shared" si="224"/>
        <v>0</v>
      </c>
      <c r="N618" s="42">
        <v>-5</v>
      </c>
      <c r="O618" s="53">
        <v>-4</v>
      </c>
      <c r="P618" s="53">
        <v>-6</v>
      </c>
      <c r="Q618" s="53">
        <v>-6</v>
      </c>
      <c r="R618" s="72">
        <v>-3</v>
      </c>
      <c r="S618" s="24">
        <f t="shared" si="225"/>
        <v>-24</v>
      </c>
      <c r="T618" s="42">
        <v>-4</v>
      </c>
      <c r="U618" s="53">
        <v>-4</v>
      </c>
      <c r="V618" s="53">
        <v>-4</v>
      </c>
      <c r="W618" s="53">
        <v>-7</v>
      </c>
      <c r="X618" s="72">
        <v>-5</v>
      </c>
      <c r="Y618" s="24">
        <f t="shared" si="226"/>
        <v>-24</v>
      </c>
      <c r="Z618" s="24">
        <f t="shared" si="227"/>
        <v>-62</v>
      </c>
      <c r="AA618" s="93">
        <v>44155</v>
      </c>
      <c r="AB618" s="47" t="s">
        <v>256</v>
      </c>
      <c r="AC618" s="14"/>
      <c r="AD618" s="15"/>
      <c r="AE618" s="15"/>
      <c r="AF618" s="15"/>
      <c r="AG618" s="15"/>
      <c r="AH618" s="24">
        <f>SUM(AC618:AG618)</f>
        <v>0</v>
      </c>
      <c r="AI618" s="14"/>
      <c r="AJ618" s="15"/>
      <c r="AK618" s="15"/>
      <c r="AL618" s="15"/>
      <c r="AM618" s="15"/>
      <c r="AN618" s="24">
        <f>SUM(AI618:AM618)</f>
        <v>0</v>
      </c>
      <c r="AO618" s="15"/>
      <c r="AP618" s="55"/>
      <c r="AQ618" s="55"/>
      <c r="AR618" s="55"/>
      <c r="AS618" s="67"/>
      <c r="AT618" s="24">
        <f>SUM(AO618:AS618)</f>
        <v>0</v>
      </c>
      <c r="AU618" s="15"/>
      <c r="AV618" s="55"/>
      <c r="AW618" s="55"/>
      <c r="AX618" s="55"/>
      <c r="AY618" s="67"/>
      <c r="AZ618" s="24">
        <f>SUM(AU618:AY618)</f>
        <v>0</v>
      </c>
      <c r="BA618" s="24">
        <f>AH618+AN618+AT618+AZ618</f>
        <v>0</v>
      </c>
      <c r="BB618" s="128" t="s">
        <v>307</v>
      </c>
      <c r="BC618" s="111"/>
    </row>
    <row r="619" spans="1:55" ht="14.25" x14ac:dyDescent="0.15">
      <c r="A619" s="23" t="s">
        <v>160</v>
      </c>
      <c r="B619" s="41">
        <v>4</v>
      </c>
      <c r="C619" s="42">
        <v>2</v>
      </c>
      <c r="D619" s="42">
        <v>4</v>
      </c>
      <c r="E619" s="42">
        <v>4</v>
      </c>
      <c r="F619" s="42">
        <v>4</v>
      </c>
      <c r="G619" s="43">
        <f t="shared" si="233"/>
        <v>18</v>
      </c>
      <c r="H619" s="41"/>
      <c r="I619" s="42"/>
      <c r="J619" s="42"/>
      <c r="K619" s="42"/>
      <c r="L619" s="42"/>
      <c r="M619" s="43">
        <f t="shared" si="224"/>
        <v>0</v>
      </c>
      <c r="N619" s="42">
        <v>5</v>
      </c>
      <c r="O619" s="53">
        <v>4</v>
      </c>
      <c r="P619" s="53">
        <v>6</v>
      </c>
      <c r="Q619" s="53">
        <v>6</v>
      </c>
      <c r="R619" s="72">
        <v>3</v>
      </c>
      <c r="S619" s="24">
        <f>SUM(N619:R619)</f>
        <v>24</v>
      </c>
      <c r="T619" s="42">
        <v>4</v>
      </c>
      <c r="U619" s="53">
        <v>4</v>
      </c>
      <c r="V619" s="53">
        <v>4</v>
      </c>
      <c r="W619" s="53">
        <v>7</v>
      </c>
      <c r="X619" s="72">
        <v>5</v>
      </c>
      <c r="Y619" s="24">
        <f>SUM(T619:X619)</f>
        <v>24</v>
      </c>
      <c r="Z619" s="24">
        <f>G619+M619+S619+Y619</f>
        <v>66</v>
      </c>
      <c r="AA619" s="93">
        <v>44156</v>
      </c>
      <c r="AB619" s="47" t="s">
        <v>335</v>
      </c>
      <c r="AC619" s="14"/>
      <c r="AD619" s="15"/>
      <c r="AE619" s="15"/>
      <c r="AF619" s="15"/>
      <c r="AG619" s="15"/>
      <c r="AH619" s="24">
        <f>SUM(AC619:AG619)</f>
        <v>0</v>
      </c>
      <c r="AI619" s="14"/>
      <c r="AJ619" s="15"/>
      <c r="AK619" s="15"/>
      <c r="AL619" s="15"/>
      <c r="AM619" s="15"/>
      <c r="AN619" s="24">
        <f>SUM(AI619:AM619)</f>
        <v>0</v>
      </c>
      <c r="AO619" s="15"/>
      <c r="AP619" s="55"/>
      <c r="AQ619" s="55"/>
      <c r="AR619" s="55"/>
      <c r="AS619" s="67"/>
      <c r="AT619" s="24">
        <f>SUM(AO619:AS619)</f>
        <v>0</v>
      </c>
      <c r="AU619" s="15"/>
      <c r="AV619" s="55"/>
      <c r="AW619" s="55"/>
      <c r="AX619" s="55"/>
      <c r="AY619" s="67"/>
      <c r="AZ619" s="24">
        <f>SUM(AU619:AY619)</f>
        <v>0</v>
      </c>
      <c r="BA619" s="24">
        <f>AH619+AN619+AT619+AZ619</f>
        <v>0</v>
      </c>
      <c r="BB619" s="128" t="s">
        <v>336</v>
      </c>
      <c r="BC619" s="111"/>
    </row>
    <row r="620" spans="1:55" ht="14.25" thickBot="1" x14ac:dyDescent="0.2">
      <c r="A620" s="47"/>
      <c r="B620" s="44"/>
      <c r="C620" s="45"/>
      <c r="D620" s="45"/>
      <c r="E620" s="45"/>
      <c r="F620" s="45"/>
      <c r="G620" s="43">
        <f t="shared" si="233"/>
        <v>0</v>
      </c>
      <c r="H620" s="44"/>
      <c r="I620" s="45"/>
      <c r="J620" s="45"/>
      <c r="K620" s="45"/>
      <c r="L620" s="45"/>
      <c r="M620" s="112">
        <f t="shared" si="224"/>
        <v>0</v>
      </c>
      <c r="N620" s="45"/>
      <c r="O620" s="78"/>
      <c r="P620" s="78"/>
      <c r="Q620" s="78"/>
      <c r="R620" s="79"/>
      <c r="S620" s="113">
        <f>SUM(N620:R620)</f>
        <v>0</v>
      </c>
      <c r="T620" s="45"/>
      <c r="U620" s="78"/>
      <c r="V620" s="78"/>
      <c r="W620" s="78"/>
      <c r="X620" s="79"/>
      <c r="Y620" s="113">
        <f>SUM(T620:X620)</f>
        <v>0</v>
      </c>
      <c r="Z620" s="82">
        <f>G620+M620+S620+Y620</f>
        <v>0</v>
      </c>
      <c r="AB620" s="47" t="s">
        <v>262</v>
      </c>
      <c r="AC620" s="14"/>
      <c r="AD620" s="15"/>
      <c r="AE620" s="15"/>
      <c r="AF620" s="15"/>
      <c r="AG620" s="15"/>
      <c r="AH620" s="24">
        <f>SUM(AC620:AG620)</f>
        <v>0</v>
      </c>
      <c r="AI620" s="14"/>
      <c r="AJ620" s="15"/>
      <c r="AK620" s="15"/>
      <c r="AL620" s="15"/>
      <c r="AM620" s="15"/>
      <c r="AN620" s="24">
        <f>SUM(AI620:AM620)</f>
        <v>0</v>
      </c>
      <c r="AO620" s="15"/>
      <c r="AP620" s="55"/>
      <c r="AQ620" s="55"/>
      <c r="AR620" s="55"/>
      <c r="AS620" s="67"/>
      <c r="AT620" s="24">
        <f>SUM(AO620:AS620)</f>
        <v>0</v>
      </c>
      <c r="AU620" s="15"/>
      <c r="AV620" s="55"/>
      <c r="AW620" s="55"/>
      <c r="AX620" s="55"/>
      <c r="AY620" s="67"/>
      <c r="AZ620" s="24">
        <f>SUM(AU620:AY620)</f>
        <v>0</v>
      </c>
      <c r="BA620" s="24">
        <f>AH620+AN620+AT620+AZ620</f>
        <v>0</v>
      </c>
      <c r="BB620" s="128" t="s">
        <v>298</v>
      </c>
      <c r="BC620" s="111"/>
    </row>
    <row r="621" spans="1:55" ht="15" thickBot="1" x14ac:dyDescent="0.2">
      <c r="A621" s="9" t="s">
        <v>13</v>
      </c>
      <c r="B621" s="25">
        <f>SUM(B595:B620)</f>
        <v>3</v>
      </c>
      <c r="C621" s="26">
        <f>SUM(C595:C620)</f>
        <v>3</v>
      </c>
      <c r="D621" s="26">
        <f>SUM(D595:D620)</f>
        <v>5</v>
      </c>
      <c r="E621" s="26">
        <f>SUM(E595:E620)</f>
        <v>-1</v>
      </c>
      <c r="F621" s="27">
        <f>SUM(F595:F620)</f>
        <v>10</v>
      </c>
      <c r="G621" s="19">
        <f>SUM(B621:F621)</f>
        <v>20</v>
      </c>
      <c r="H621" s="25">
        <f>SUM(H595:H620)</f>
        <v>0</v>
      </c>
      <c r="I621" s="26">
        <f>SUM(I595:I620)</f>
        <v>0</v>
      </c>
      <c r="J621" s="26">
        <f>SUM(J595:J620)</f>
        <v>1</v>
      </c>
      <c r="K621" s="26">
        <f>SUM(K595:K620)</f>
        <v>5</v>
      </c>
      <c r="L621" s="27">
        <f>SUM(L595:L620)</f>
        <v>0</v>
      </c>
      <c r="M621" s="25">
        <f>SUM(H621:L621)</f>
        <v>6</v>
      </c>
      <c r="N621" s="65">
        <f>SUM(N595:N620)</f>
        <v>3</v>
      </c>
      <c r="O621" s="18">
        <f>SUM(O595:O620)</f>
        <v>3</v>
      </c>
      <c r="P621" s="18">
        <f>SUM(P595:P620)</f>
        <v>4</v>
      </c>
      <c r="Q621" s="18">
        <f>SUM(Q595:Q620)</f>
        <v>1</v>
      </c>
      <c r="R621" s="70">
        <f>SUM(R595:R620)</f>
        <v>5</v>
      </c>
      <c r="S621" s="49">
        <f>SUM(N621:R621)</f>
        <v>16</v>
      </c>
      <c r="T621" s="74">
        <f>SUM(T595:T620)</f>
        <v>6</v>
      </c>
      <c r="U621" s="18">
        <f>SUM(U595:U620)</f>
        <v>2</v>
      </c>
      <c r="V621" s="18">
        <f>SUM(V595:V620)</f>
        <v>0</v>
      </c>
      <c r="W621" s="18">
        <f>SUM(W595:W620)</f>
        <v>1</v>
      </c>
      <c r="X621" s="70">
        <f>SUM(X595:X620)</f>
        <v>3</v>
      </c>
      <c r="Y621" s="49">
        <f>SUM(T621:X621)</f>
        <v>12</v>
      </c>
      <c r="Z621" s="77">
        <f>G621+M621+S621+Y621</f>
        <v>54</v>
      </c>
      <c r="AB621" s="9" t="s">
        <v>13</v>
      </c>
      <c r="AC621" s="25">
        <f>SUM(AC595:AC620)</f>
        <v>1</v>
      </c>
      <c r="AD621" s="26">
        <f>SUM(AD595:AD620)</f>
        <v>4</v>
      </c>
      <c r="AE621" s="26">
        <f>SUM(AE595:AE620)</f>
        <v>6</v>
      </c>
      <c r="AF621" s="26">
        <f>SUM(AF595:AF620)</f>
        <v>-4</v>
      </c>
      <c r="AG621" s="27">
        <f>SUM(AG595:AG620)</f>
        <v>3</v>
      </c>
      <c r="AH621" s="19">
        <f>SUM(AC621:AG621)</f>
        <v>10</v>
      </c>
      <c r="AI621" s="25">
        <f>SUM(AI595:AI620)</f>
        <v>0</v>
      </c>
      <c r="AJ621" s="26">
        <f>SUM(AJ595:AJ620)</f>
        <v>2</v>
      </c>
      <c r="AK621" s="26">
        <f>SUM(AK595:AK620)</f>
        <v>5</v>
      </c>
      <c r="AL621" s="26">
        <f>SUM(AL595:AL620)</f>
        <v>17</v>
      </c>
      <c r="AM621" s="27">
        <f>SUM(AM595:AM620)</f>
        <v>5</v>
      </c>
      <c r="AN621" s="25">
        <f>SUM(AI621:AM621)</f>
        <v>29</v>
      </c>
      <c r="AO621" s="65">
        <f>SUM(AO595:AO620)</f>
        <v>-5</v>
      </c>
      <c r="AP621" s="18">
        <f>SUM(AP595:AP620)</f>
        <v>-4</v>
      </c>
      <c r="AQ621" s="18">
        <f>SUM(AQ595:AQ620)</f>
        <v>-6</v>
      </c>
      <c r="AR621" s="18">
        <f>SUM(AR595:AR620)</f>
        <v>-5</v>
      </c>
      <c r="AS621" s="70">
        <f>SUM(AS595:AS620)</f>
        <v>0</v>
      </c>
      <c r="AT621" s="49">
        <f>SUM(AO621:AS621)</f>
        <v>-20</v>
      </c>
      <c r="AU621" s="74">
        <f>SUM(AU595:AU620)</f>
        <v>-4</v>
      </c>
      <c r="AV621" s="18">
        <f>SUM(AV595:AV620)</f>
        <v>-4</v>
      </c>
      <c r="AW621" s="18">
        <f>SUM(AW595:AW620)</f>
        <v>-2</v>
      </c>
      <c r="AX621" s="18">
        <f>SUM(AX595:AX620)</f>
        <v>-4</v>
      </c>
      <c r="AY621" s="70">
        <f>SUM(AY595:AY620)</f>
        <v>-2</v>
      </c>
      <c r="AZ621" s="49">
        <f>SUM(AU621:AY621)</f>
        <v>-16</v>
      </c>
      <c r="BA621" s="77">
        <f>AH621+AN621+AT621+AZ621</f>
        <v>3</v>
      </c>
    </row>
    <row r="622" spans="1:55" ht="15" thickBot="1" x14ac:dyDescent="0.2">
      <c r="A622" s="32" t="s">
        <v>14</v>
      </c>
      <c r="B622" s="29">
        <f t="shared" ref="B622:Y622" si="234">B594-B621</f>
        <v>2</v>
      </c>
      <c r="C622" s="30">
        <f t="shared" si="234"/>
        <v>3</v>
      </c>
      <c r="D622" s="30">
        <f t="shared" si="234"/>
        <v>2</v>
      </c>
      <c r="E622" s="30">
        <f t="shared" si="234"/>
        <v>2</v>
      </c>
      <c r="F622" s="31">
        <f t="shared" si="234"/>
        <v>1</v>
      </c>
      <c r="G622" s="31">
        <f t="shared" si="234"/>
        <v>10</v>
      </c>
      <c r="H622" s="29">
        <f t="shared" si="234"/>
        <v>3</v>
      </c>
      <c r="I622" s="30">
        <f t="shared" si="234"/>
        <v>3</v>
      </c>
      <c r="J622" s="30">
        <f t="shared" si="234"/>
        <v>2</v>
      </c>
      <c r="K622" s="30">
        <f t="shared" si="234"/>
        <v>3</v>
      </c>
      <c r="L622" s="31">
        <f t="shared" si="234"/>
        <v>4</v>
      </c>
      <c r="M622" s="66">
        <f t="shared" si="234"/>
        <v>15</v>
      </c>
      <c r="N622" s="29">
        <f t="shared" si="234"/>
        <v>3</v>
      </c>
      <c r="O622" s="30">
        <f t="shared" si="234"/>
        <v>2</v>
      </c>
      <c r="P622" s="30">
        <f t="shared" si="234"/>
        <v>3</v>
      </c>
      <c r="Q622" s="30">
        <f t="shared" si="234"/>
        <v>2</v>
      </c>
      <c r="R622" s="66">
        <f t="shared" si="234"/>
        <v>3</v>
      </c>
      <c r="S622" s="33">
        <f t="shared" si="234"/>
        <v>13</v>
      </c>
      <c r="T622" s="75">
        <f t="shared" si="234"/>
        <v>3</v>
      </c>
      <c r="U622" s="30">
        <f t="shared" si="234"/>
        <v>3</v>
      </c>
      <c r="V622" s="30">
        <f t="shared" si="234"/>
        <v>3</v>
      </c>
      <c r="W622" s="30">
        <f t="shared" si="234"/>
        <v>3</v>
      </c>
      <c r="X622" s="66">
        <f t="shared" si="234"/>
        <v>4</v>
      </c>
      <c r="Y622" s="33">
        <f t="shared" si="234"/>
        <v>16</v>
      </c>
      <c r="Z622" s="77">
        <f>G622+M622+S622+Y622</f>
        <v>54</v>
      </c>
      <c r="AB622" s="32" t="s">
        <v>14</v>
      </c>
      <c r="AC622" s="29">
        <f t="shared" ref="AC622:AZ622" si="235">AC594-AC621</f>
        <v>189</v>
      </c>
      <c r="AD622" s="30">
        <f t="shared" si="235"/>
        <v>173</v>
      </c>
      <c r="AE622" s="30">
        <f t="shared" si="235"/>
        <v>168</v>
      </c>
      <c r="AF622" s="30">
        <f t="shared" si="235"/>
        <v>175</v>
      </c>
      <c r="AG622" s="31">
        <f t="shared" si="235"/>
        <v>142</v>
      </c>
      <c r="AH622" s="31">
        <f t="shared" si="235"/>
        <v>847</v>
      </c>
      <c r="AI622" s="29">
        <f t="shared" si="235"/>
        <v>125</v>
      </c>
      <c r="AJ622" s="30">
        <f t="shared" si="235"/>
        <v>128</v>
      </c>
      <c r="AK622" s="30">
        <f t="shared" si="235"/>
        <v>128</v>
      </c>
      <c r="AL622" s="30">
        <f t="shared" si="235"/>
        <v>113</v>
      </c>
      <c r="AM622" s="31">
        <f t="shared" si="235"/>
        <v>115</v>
      </c>
      <c r="AN622" s="66">
        <f t="shared" si="235"/>
        <v>609</v>
      </c>
      <c r="AO622" s="29">
        <f t="shared" si="235"/>
        <v>177</v>
      </c>
      <c r="AP622" s="30">
        <f t="shared" si="235"/>
        <v>171</v>
      </c>
      <c r="AQ622" s="30">
        <f t="shared" si="235"/>
        <v>163</v>
      </c>
      <c r="AR622" s="30">
        <f t="shared" si="235"/>
        <v>174</v>
      </c>
      <c r="AS622" s="66">
        <f t="shared" si="235"/>
        <v>182</v>
      </c>
      <c r="AT622" s="33">
        <f t="shared" si="235"/>
        <v>867</v>
      </c>
      <c r="AU622" s="75">
        <f t="shared" si="235"/>
        <v>129</v>
      </c>
      <c r="AV622" s="30">
        <f t="shared" si="235"/>
        <v>97</v>
      </c>
      <c r="AW622" s="30">
        <f t="shared" si="235"/>
        <v>101</v>
      </c>
      <c r="AX622" s="30">
        <f t="shared" si="235"/>
        <v>99</v>
      </c>
      <c r="AY622" s="66">
        <f t="shared" si="235"/>
        <v>152</v>
      </c>
      <c r="AZ622" s="33">
        <f t="shared" si="235"/>
        <v>578</v>
      </c>
      <c r="BA622" s="77">
        <f>AH622+AN622+AT622+AZ622</f>
        <v>2901</v>
      </c>
    </row>
    <row r="625" spans="1:55" ht="19.5" thickBot="1" x14ac:dyDescent="0.25">
      <c r="A625" s="1" t="s">
        <v>15</v>
      </c>
      <c r="AB625" s="1" t="s">
        <v>16</v>
      </c>
    </row>
    <row r="626" spans="1:55" ht="15" thickBot="1" x14ac:dyDescent="0.2">
      <c r="A626" s="4"/>
      <c r="B626" s="245" t="s">
        <v>17</v>
      </c>
      <c r="C626" s="246"/>
      <c r="D626" s="246"/>
      <c r="E626" s="246"/>
      <c r="F626" s="246"/>
      <c r="G626" s="247"/>
      <c r="H626" s="245" t="s">
        <v>18</v>
      </c>
      <c r="I626" s="246"/>
      <c r="J626" s="246"/>
      <c r="K626" s="246"/>
      <c r="L626" s="246"/>
      <c r="M626" s="247"/>
      <c r="N626" s="248" t="s">
        <v>27</v>
      </c>
      <c r="O626" s="249"/>
      <c r="P626" s="249"/>
      <c r="Q626" s="249"/>
      <c r="R626" s="249"/>
      <c r="S626" s="250"/>
      <c r="T626" s="248" t="s">
        <v>28</v>
      </c>
      <c r="U626" s="249"/>
      <c r="V626" s="249"/>
      <c r="W626" s="249"/>
      <c r="X626" s="249"/>
      <c r="Y626" s="250"/>
      <c r="Z626" s="251" t="s">
        <v>1</v>
      </c>
      <c r="AB626" s="4"/>
      <c r="AC626" s="253" t="s">
        <v>17</v>
      </c>
      <c r="AD626" s="249"/>
      <c r="AE626" s="249"/>
      <c r="AF626" s="249"/>
      <c r="AG626" s="249"/>
      <c r="AH626" s="250"/>
      <c r="AI626" s="248" t="s">
        <v>18</v>
      </c>
      <c r="AJ626" s="249"/>
      <c r="AK626" s="249"/>
      <c r="AL626" s="249"/>
      <c r="AM626" s="249"/>
      <c r="AN626" s="250"/>
      <c r="AO626" s="248" t="s">
        <v>27</v>
      </c>
      <c r="AP626" s="249"/>
      <c r="AQ626" s="249"/>
      <c r="AR626" s="249"/>
      <c r="AS626" s="249"/>
      <c r="AT626" s="250"/>
      <c r="AU626" s="248" t="s">
        <v>28</v>
      </c>
      <c r="AV626" s="249"/>
      <c r="AW626" s="249"/>
      <c r="AX626" s="249"/>
      <c r="AY626" s="249"/>
      <c r="AZ626" s="250"/>
      <c r="BA626" s="243" t="s">
        <v>1</v>
      </c>
    </row>
    <row r="627" spans="1:55" ht="15" thickBot="1" x14ac:dyDescent="0.2">
      <c r="A627" s="9" t="s">
        <v>2</v>
      </c>
      <c r="B627" s="6" t="s">
        <v>3</v>
      </c>
      <c r="C627" s="7" t="s">
        <v>4</v>
      </c>
      <c r="D627" s="7" t="s">
        <v>5</v>
      </c>
      <c r="E627" s="48" t="s">
        <v>20</v>
      </c>
      <c r="F627" s="8" t="s">
        <v>21</v>
      </c>
      <c r="G627" s="5" t="s">
        <v>6</v>
      </c>
      <c r="H627" s="6" t="s">
        <v>3</v>
      </c>
      <c r="I627" s="7" t="s">
        <v>4</v>
      </c>
      <c r="J627" s="7" t="s">
        <v>5</v>
      </c>
      <c r="K627" s="48" t="s">
        <v>20</v>
      </c>
      <c r="L627" s="8" t="s">
        <v>21</v>
      </c>
      <c r="M627" s="5" t="s">
        <v>6</v>
      </c>
      <c r="N627" s="6" t="s">
        <v>3</v>
      </c>
      <c r="O627" s="7" t="s">
        <v>4</v>
      </c>
      <c r="P627" s="7" t="s">
        <v>5</v>
      </c>
      <c r="Q627" s="48" t="s">
        <v>20</v>
      </c>
      <c r="R627" s="8" t="s">
        <v>21</v>
      </c>
      <c r="S627" s="5" t="s">
        <v>6</v>
      </c>
      <c r="T627" s="7" t="s">
        <v>3</v>
      </c>
      <c r="U627" s="7" t="s">
        <v>4</v>
      </c>
      <c r="V627" s="7" t="s">
        <v>5</v>
      </c>
      <c r="W627" s="48" t="s">
        <v>20</v>
      </c>
      <c r="X627" s="109" t="s">
        <v>21</v>
      </c>
      <c r="Y627" s="62" t="s">
        <v>6</v>
      </c>
      <c r="Z627" s="252"/>
      <c r="AB627" s="9" t="s">
        <v>2</v>
      </c>
      <c r="AC627" s="6" t="s">
        <v>3</v>
      </c>
      <c r="AD627" s="7" t="s">
        <v>4</v>
      </c>
      <c r="AE627" s="7" t="s">
        <v>5</v>
      </c>
      <c r="AF627" s="48" t="s">
        <v>20</v>
      </c>
      <c r="AG627" s="8" t="s">
        <v>21</v>
      </c>
      <c r="AH627" s="5" t="s">
        <v>6</v>
      </c>
      <c r="AI627" s="6" t="s">
        <v>3</v>
      </c>
      <c r="AJ627" s="7" t="s">
        <v>4</v>
      </c>
      <c r="AK627" s="7" t="s">
        <v>5</v>
      </c>
      <c r="AL627" s="48" t="s">
        <v>20</v>
      </c>
      <c r="AM627" s="8" t="s">
        <v>21</v>
      </c>
      <c r="AN627" s="5" t="s">
        <v>6</v>
      </c>
      <c r="AO627" s="6" t="s">
        <v>3</v>
      </c>
      <c r="AP627" s="7" t="s">
        <v>4</v>
      </c>
      <c r="AQ627" s="7" t="s">
        <v>5</v>
      </c>
      <c r="AR627" s="48" t="s">
        <v>20</v>
      </c>
      <c r="AS627" s="8" t="s">
        <v>21</v>
      </c>
      <c r="AT627" s="5" t="s">
        <v>6</v>
      </c>
      <c r="AU627" s="7" t="s">
        <v>3</v>
      </c>
      <c r="AV627" s="7" t="s">
        <v>4</v>
      </c>
      <c r="AW627" s="7" t="s">
        <v>5</v>
      </c>
      <c r="AX627" s="48" t="s">
        <v>20</v>
      </c>
      <c r="AY627" s="109" t="s">
        <v>21</v>
      </c>
      <c r="AZ627" s="62" t="s">
        <v>6</v>
      </c>
      <c r="BA627" s="244"/>
    </row>
    <row r="628" spans="1:55" ht="14.25" x14ac:dyDescent="0.15">
      <c r="A628" s="103" t="s">
        <v>43</v>
      </c>
      <c r="B628" s="104">
        <f>B622</f>
        <v>2</v>
      </c>
      <c r="C628" s="105">
        <f>C622</f>
        <v>3</v>
      </c>
      <c r="D628" s="105">
        <f>D622</f>
        <v>2</v>
      </c>
      <c r="E628" s="105">
        <f>E622</f>
        <v>2</v>
      </c>
      <c r="F628" s="105">
        <f>F622</f>
        <v>1</v>
      </c>
      <c r="G628" s="106">
        <f t="shared" ref="G628:G659" si="236">SUM(B628:F628)</f>
        <v>10</v>
      </c>
      <c r="H628" s="104">
        <f>H622</f>
        <v>3</v>
      </c>
      <c r="I628" s="105">
        <f>I622</f>
        <v>3</v>
      </c>
      <c r="J628" s="105">
        <f>J622</f>
        <v>2</v>
      </c>
      <c r="K628" s="105">
        <f>K622</f>
        <v>3</v>
      </c>
      <c r="L628" s="105">
        <f>L622</f>
        <v>4</v>
      </c>
      <c r="M628" s="107">
        <f t="shared" ref="M628:M659" si="237">SUM(H628:L628)</f>
        <v>15</v>
      </c>
      <c r="N628" s="104">
        <f>N622</f>
        <v>3</v>
      </c>
      <c r="O628" s="105">
        <f>O622</f>
        <v>2</v>
      </c>
      <c r="P628" s="105">
        <f>P622</f>
        <v>3</v>
      </c>
      <c r="Q628" s="105">
        <f>Q622</f>
        <v>2</v>
      </c>
      <c r="R628" s="105">
        <f>R622</f>
        <v>3</v>
      </c>
      <c r="S628" s="108">
        <f t="shared" ref="S628:S657" si="238">SUM(N628:R628)</f>
        <v>13</v>
      </c>
      <c r="T628" s="104">
        <f>T622</f>
        <v>3</v>
      </c>
      <c r="U628" s="105">
        <f>U622</f>
        <v>3</v>
      </c>
      <c r="V628" s="105">
        <f>V622</f>
        <v>3</v>
      </c>
      <c r="W628" s="105">
        <f>W622</f>
        <v>3</v>
      </c>
      <c r="X628" s="105">
        <f>X622</f>
        <v>4</v>
      </c>
      <c r="Y628" s="106">
        <f t="shared" ref="Y628:Y657" si="239">SUM(T628:X628)</f>
        <v>16</v>
      </c>
      <c r="Z628" s="106">
        <f t="shared" ref="Z628:Z657" si="240">G628+M628+S628+Y628</f>
        <v>54</v>
      </c>
      <c r="AB628" s="103" t="s">
        <v>43</v>
      </c>
      <c r="AC628" s="104">
        <f>AC622</f>
        <v>189</v>
      </c>
      <c r="AD628" s="105">
        <f>AD622</f>
        <v>173</v>
      </c>
      <c r="AE628" s="105">
        <f>AE622</f>
        <v>168</v>
      </c>
      <c r="AF628" s="105">
        <f>AF622</f>
        <v>175</v>
      </c>
      <c r="AG628" s="105">
        <f>AG622</f>
        <v>142</v>
      </c>
      <c r="AH628" s="106">
        <f>SUM(AC628:AG628)</f>
        <v>847</v>
      </c>
      <c r="AI628" s="104">
        <f>AI622</f>
        <v>125</v>
      </c>
      <c r="AJ628" s="105">
        <f>AJ622</f>
        <v>128</v>
      </c>
      <c r="AK628" s="105">
        <f>AK622</f>
        <v>128</v>
      </c>
      <c r="AL628" s="105">
        <f>AL622</f>
        <v>113</v>
      </c>
      <c r="AM628" s="105">
        <f>AM622</f>
        <v>115</v>
      </c>
      <c r="AN628" s="107">
        <f>SUM(AI628:AM628)</f>
        <v>609</v>
      </c>
      <c r="AO628" s="104">
        <f>AO622</f>
        <v>177</v>
      </c>
      <c r="AP628" s="105">
        <f>AP622</f>
        <v>171</v>
      </c>
      <c r="AQ628" s="105">
        <f>AQ622</f>
        <v>163</v>
      </c>
      <c r="AR628" s="105">
        <f>AR622</f>
        <v>174</v>
      </c>
      <c r="AS628" s="105">
        <f>AS622</f>
        <v>182</v>
      </c>
      <c r="AT628" s="108">
        <f>SUM(AO628:AS628)</f>
        <v>867</v>
      </c>
      <c r="AU628" s="104">
        <f>AU622</f>
        <v>129</v>
      </c>
      <c r="AV628" s="105">
        <f>AV622</f>
        <v>97</v>
      </c>
      <c r="AW628" s="105">
        <f>AW622</f>
        <v>101</v>
      </c>
      <c r="AX628" s="105">
        <f>AX622</f>
        <v>99</v>
      </c>
      <c r="AY628" s="105">
        <f>AY622</f>
        <v>152</v>
      </c>
      <c r="AZ628" s="106">
        <f>SUM(AU628:AY628)</f>
        <v>578</v>
      </c>
      <c r="BA628" s="106">
        <f>AH628+AN628+AT628+AZ628</f>
        <v>2901</v>
      </c>
    </row>
    <row r="629" spans="1:55" ht="14.25" x14ac:dyDescent="0.15">
      <c r="A629" s="10" t="s">
        <v>366</v>
      </c>
      <c r="B629" s="14">
        <v>1</v>
      </c>
      <c r="C629" s="15"/>
      <c r="D629" s="15">
        <v>1</v>
      </c>
      <c r="E629" s="15"/>
      <c r="F629" s="15">
        <v>1</v>
      </c>
      <c r="G629" s="16">
        <f t="shared" si="236"/>
        <v>3</v>
      </c>
      <c r="H629" s="14"/>
      <c r="I629" s="15"/>
      <c r="J629" s="15"/>
      <c r="K629" s="15">
        <v>1</v>
      </c>
      <c r="L629" s="15"/>
      <c r="M629" s="57">
        <f t="shared" si="237"/>
        <v>1</v>
      </c>
      <c r="N629" s="14"/>
      <c r="O629" s="55"/>
      <c r="P629" s="55"/>
      <c r="Q629" s="55"/>
      <c r="R629" s="67">
        <v>1</v>
      </c>
      <c r="S629" s="24">
        <f t="shared" si="238"/>
        <v>1</v>
      </c>
      <c r="T629" s="15"/>
      <c r="U629" s="55"/>
      <c r="V629" s="55">
        <v>1</v>
      </c>
      <c r="W629" s="55"/>
      <c r="X629" s="67">
        <v>1</v>
      </c>
      <c r="Y629" s="24">
        <f t="shared" si="239"/>
        <v>2</v>
      </c>
      <c r="Z629" s="24">
        <f t="shared" si="240"/>
        <v>7</v>
      </c>
      <c r="AA629" s="83">
        <v>44181</v>
      </c>
      <c r="AB629" s="10" t="s">
        <v>126</v>
      </c>
      <c r="AC629" s="14">
        <v>1</v>
      </c>
      <c r="AD629" s="15"/>
      <c r="AE629" s="15">
        <v>1</v>
      </c>
      <c r="AF629" s="15"/>
      <c r="AG629" s="15">
        <v>1</v>
      </c>
      <c r="AH629" s="24">
        <v>3</v>
      </c>
      <c r="AI629" s="14"/>
      <c r="AJ629" s="15"/>
      <c r="AK629" s="15"/>
      <c r="AL629" s="15">
        <v>1</v>
      </c>
      <c r="AM629" s="15"/>
      <c r="AN629" s="24">
        <v>1</v>
      </c>
      <c r="AO629" s="14"/>
      <c r="AP629" s="55"/>
      <c r="AQ629" s="55"/>
      <c r="AR629" s="55"/>
      <c r="AS629" s="67">
        <v>1</v>
      </c>
      <c r="AT629" s="24">
        <v>1</v>
      </c>
      <c r="AU629" s="15"/>
      <c r="AV629" s="55"/>
      <c r="AW629" s="55">
        <v>1</v>
      </c>
      <c r="AX629" s="55"/>
      <c r="AY629" s="67">
        <v>1</v>
      </c>
      <c r="AZ629" s="24">
        <v>2</v>
      </c>
      <c r="BA629" s="24">
        <v>7</v>
      </c>
      <c r="BB629" s="93">
        <v>44549</v>
      </c>
    </row>
    <row r="630" spans="1:55" ht="14.25" x14ac:dyDescent="0.15">
      <c r="A630" s="10" t="s">
        <v>33</v>
      </c>
      <c r="B630" s="41"/>
      <c r="C630" s="42">
        <v>1</v>
      </c>
      <c r="D630" s="42"/>
      <c r="E630" s="42"/>
      <c r="F630" s="42">
        <v>1</v>
      </c>
      <c r="G630" s="37">
        <f t="shared" si="236"/>
        <v>2</v>
      </c>
      <c r="H630" s="41"/>
      <c r="I630" s="42"/>
      <c r="J630" s="42">
        <v>1</v>
      </c>
      <c r="K630" s="42"/>
      <c r="L630" s="42"/>
      <c r="M630" s="114">
        <f t="shared" si="237"/>
        <v>1</v>
      </c>
      <c r="N630" s="41"/>
      <c r="O630" s="53"/>
      <c r="P630" s="53"/>
      <c r="Q630" s="53"/>
      <c r="R630" s="72"/>
      <c r="S630" s="24">
        <f t="shared" si="238"/>
        <v>0</v>
      </c>
      <c r="T630" s="42"/>
      <c r="U630" s="53"/>
      <c r="V630" s="53"/>
      <c r="W630" s="53"/>
      <c r="X630" s="72"/>
      <c r="Y630" s="24">
        <f t="shared" si="239"/>
        <v>0</v>
      </c>
      <c r="Z630" s="24">
        <f t="shared" si="240"/>
        <v>3</v>
      </c>
      <c r="AA630" s="93">
        <v>44214</v>
      </c>
      <c r="AB630" s="10" t="s">
        <v>126</v>
      </c>
      <c r="AC630" s="14"/>
      <c r="AD630" s="15">
        <v>1</v>
      </c>
      <c r="AE630" s="15"/>
      <c r="AF630" s="15"/>
      <c r="AG630" s="15">
        <v>1</v>
      </c>
      <c r="AH630" s="24">
        <v>2</v>
      </c>
      <c r="AI630" s="14"/>
      <c r="AJ630" s="15"/>
      <c r="AK630" s="15">
        <v>1</v>
      </c>
      <c r="AL630" s="15"/>
      <c r="AM630" s="15"/>
      <c r="AN630" s="24">
        <v>1</v>
      </c>
      <c r="AO630" s="14"/>
      <c r="AP630" s="55"/>
      <c r="AQ630" s="55"/>
      <c r="AR630" s="55"/>
      <c r="AS630" s="67"/>
      <c r="AT630" s="24">
        <v>0</v>
      </c>
      <c r="AU630" s="15"/>
      <c r="AV630" s="55"/>
      <c r="AW630" s="55"/>
      <c r="AX630" s="55"/>
      <c r="AY630" s="67"/>
      <c r="AZ630" s="24">
        <v>0</v>
      </c>
      <c r="BA630" s="24">
        <v>3</v>
      </c>
      <c r="BB630" s="93">
        <v>44240</v>
      </c>
    </row>
    <row r="631" spans="1:55" ht="14.25" x14ac:dyDescent="0.15">
      <c r="A631" s="10" t="s">
        <v>33</v>
      </c>
      <c r="B631" s="14"/>
      <c r="C631" s="15"/>
      <c r="D631" s="15">
        <v>2</v>
      </c>
      <c r="E631" s="15"/>
      <c r="F631" s="15">
        <v>1</v>
      </c>
      <c r="G631" s="16">
        <f t="shared" si="236"/>
        <v>3</v>
      </c>
      <c r="H631" s="14"/>
      <c r="I631" s="15"/>
      <c r="J631" s="15"/>
      <c r="K631" s="15"/>
      <c r="L631" s="15">
        <v>1</v>
      </c>
      <c r="M631" s="57">
        <f t="shared" si="237"/>
        <v>1</v>
      </c>
      <c r="N631" s="14"/>
      <c r="O631" s="55"/>
      <c r="P631" s="55"/>
      <c r="Q631" s="55"/>
      <c r="R631" s="67"/>
      <c r="S631" s="24">
        <f t="shared" si="238"/>
        <v>0</v>
      </c>
      <c r="T631" s="15"/>
      <c r="U631" s="55"/>
      <c r="V631" s="55"/>
      <c r="W631" s="55"/>
      <c r="X631" s="67"/>
      <c r="Y631" s="24">
        <f t="shared" si="239"/>
        <v>0</v>
      </c>
      <c r="Z631" s="24">
        <f t="shared" si="240"/>
        <v>4</v>
      </c>
      <c r="AA631" s="93">
        <v>44251</v>
      </c>
      <c r="AB631" s="10" t="s">
        <v>181</v>
      </c>
      <c r="AC631" s="14"/>
      <c r="AD631" s="15"/>
      <c r="AE631" s="15"/>
      <c r="AF631" s="15"/>
      <c r="AG631" s="15"/>
      <c r="AH631" s="24">
        <f>SUM(AC631:AG631)</f>
        <v>0</v>
      </c>
      <c r="AI631" s="14"/>
      <c r="AJ631" s="15"/>
      <c r="AK631" s="15"/>
      <c r="AL631" s="15"/>
      <c r="AM631" s="15"/>
      <c r="AN631" s="24">
        <f>SUM(AI631:AM631)</f>
        <v>0</v>
      </c>
      <c r="AO631" s="86"/>
      <c r="AP631" s="156"/>
      <c r="AQ631" s="156"/>
      <c r="AR631" s="156"/>
      <c r="AS631" s="157"/>
      <c r="AT631" s="24">
        <f>SUM(AO631:AS631)</f>
        <v>0</v>
      </c>
      <c r="AU631" s="87"/>
      <c r="AV631" s="156"/>
      <c r="AW631" s="156"/>
      <c r="AX631" s="156"/>
      <c r="AY631" s="157"/>
      <c r="AZ631" s="24">
        <f>SUM(AU631:AY631)</f>
        <v>0</v>
      </c>
      <c r="BA631" s="24">
        <f>AH631+AN631+AT631+AZ631</f>
        <v>0</v>
      </c>
    </row>
    <row r="632" spans="1:55" ht="15" thickBot="1" x14ac:dyDescent="0.2">
      <c r="A632" s="10" t="s">
        <v>181</v>
      </c>
      <c r="B632" s="14"/>
      <c r="C632" s="15"/>
      <c r="D632" s="15">
        <v>2</v>
      </c>
      <c r="E632" s="15"/>
      <c r="F632" s="15"/>
      <c r="G632" s="16">
        <f t="shared" si="236"/>
        <v>2</v>
      </c>
      <c r="H632" s="14"/>
      <c r="I632" s="15"/>
      <c r="J632" s="15">
        <v>2</v>
      </c>
      <c r="K632" s="15"/>
      <c r="L632" s="15"/>
      <c r="M632" s="57">
        <f t="shared" si="237"/>
        <v>2</v>
      </c>
      <c r="N632" s="63"/>
      <c r="O632" s="64"/>
      <c r="P632" s="64"/>
      <c r="Q632" s="64"/>
      <c r="R632" s="69"/>
      <c r="S632" s="82">
        <f t="shared" si="238"/>
        <v>0</v>
      </c>
      <c r="T632" s="73"/>
      <c r="U632" s="64"/>
      <c r="V632" s="64"/>
      <c r="W632" s="64"/>
      <c r="X632" s="69"/>
      <c r="Y632" s="82">
        <f t="shared" si="239"/>
        <v>0</v>
      </c>
      <c r="Z632" s="82">
        <f t="shared" si="240"/>
        <v>4</v>
      </c>
      <c r="AA632" s="83">
        <v>44298</v>
      </c>
      <c r="AB632" s="10" t="s">
        <v>181</v>
      </c>
      <c r="AC632" s="14"/>
      <c r="AD632" s="15"/>
      <c r="AE632" s="15"/>
      <c r="AF632" s="15"/>
      <c r="AG632" s="15"/>
      <c r="AH632" s="178">
        <f>SUM(AC632:AG632)</f>
        <v>0</v>
      </c>
      <c r="AI632" s="14"/>
      <c r="AJ632" s="15"/>
      <c r="AK632" s="15"/>
      <c r="AL632" s="15"/>
      <c r="AM632" s="15"/>
      <c r="AN632" s="178">
        <f>SUM(AI632:AM632)</f>
        <v>0</v>
      </c>
      <c r="AO632" s="63"/>
      <c r="AP632" s="64"/>
      <c r="AQ632" s="64"/>
      <c r="AR632" s="64"/>
      <c r="AS632" s="69"/>
      <c r="AT632" s="178">
        <f>SUM(AO632:AS632)</f>
        <v>0</v>
      </c>
      <c r="AU632" s="73"/>
      <c r="AV632" s="64"/>
      <c r="AW632" s="64"/>
      <c r="AX632" s="64"/>
      <c r="AY632" s="69"/>
      <c r="AZ632" s="178">
        <f t="shared" ref="AZ632:AZ656" si="241">SUM(AU632:AY632)</f>
        <v>0</v>
      </c>
      <c r="BA632" s="178">
        <f t="shared" ref="BA632:BA656" si="242">AH632+AN632+AT632+AZ632</f>
        <v>0</v>
      </c>
    </row>
    <row r="633" spans="1:55" ht="15" thickBot="1" x14ac:dyDescent="0.2">
      <c r="A633" s="4" t="s">
        <v>12</v>
      </c>
      <c r="B633" s="17">
        <f>SUM(B628:B632)</f>
        <v>3</v>
      </c>
      <c r="C633" s="18">
        <f>SUM(C628:C632)</f>
        <v>4</v>
      </c>
      <c r="D633" s="18">
        <f>SUM(D628:D632)</f>
        <v>7</v>
      </c>
      <c r="E633" s="18">
        <f>SUM(E628:E632)</f>
        <v>2</v>
      </c>
      <c r="F633" s="18">
        <f>SUM(F628:F632)</f>
        <v>4</v>
      </c>
      <c r="G633" s="19">
        <f t="shared" si="236"/>
        <v>20</v>
      </c>
      <c r="H633" s="17">
        <f>SUM(H628:H632)</f>
        <v>3</v>
      </c>
      <c r="I633" s="18">
        <f>SUM(I628:I632)</f>
        <v>3</v>
      </c>
      <c r="J633" s="18">
        <f>SUM(J628:J632)</f>
        <v>5</v>
      </c>
      <c r="K633" s="18">
        <f>SUM(K628:K632)</f>
        <v>4</v>
      </c>
      <c r="L633" s="18">
        <f>SUM(L628:L632)</f>
        <v>5</v>
      </c>
      <c r="M633" s="25">
        <f t="shared" si="237"/>
        <v>20</v>
      </c>
      <c r="N633" s="65">
        <f>SUM(N628:N632)</f>
        <v>3</v>
      </c>
      <c r="O633" s="18">
        <f>SUM(O628:O632)</f>
        <v>2</v>
      </c>
      <c r="P633" s="18">
        <f>SUM(P628:P632)</f>
        <v>3</v>
      </c>
      <c r="Q633" s="18">
        <f>SUM(Q628:Q632)</f>
        <v>2</v>
      </c>
      <c r="R633" s="70">
        <f>SUM(R628:R632)</f>
        <v>4</v>
      </c>
      <c r="S633" s="49">
        <f t="shared" si="238"/>
        <v>14</v>
      </c>
      <c r="T633" s="74">
        <f>SUM(T628:T632)</f>
        <v>3</v>
      </c>
      <c r="U633" s="18">
        <f>SUM(U628:U632)</f>
        <v>3</v>
      </c>
      <c r="V633" s="18">
        <f>SUM(V628:V632)</f>
        <v>4</v>
      </c>
      <c r="W633" s="18">
        <f>SUM(W628:W632)</f>
        <v>3</v>
      </c>
      <c r="X633" s="70">
        <f>SUM(X628:X632)</f>
        <v>5</v>
      </c>
      <c r="Y633" s="49">
        <f t="shared" si="239"/>
        <v>18</v>
      </c>
      <c r="Z633" s="33">
        <f t="shared" si="240"/>
        <v>72</v>
      </c>
      <c r="AB633" s="4" t="s">
        <v>12</v>
      </c>
      <c r="AC633" s="17">
        <f>SUM(AC628:AC632)</f>
        <v>190</v>
      </c>
      <c r="AD633" s="18">
        <f>SUM(AD628:AD632)</f>
        <v>174</v>
      </c>
      <c r="AE633" s="18">
        <f>SUM(AE628:AE632)</f>
        <v>169</v>
      </c>
      <c r="AF633" s="18">
        <f>SUM(AF628:AF632)</f>
        <v>175</v>
      </c>
      <c r="AG633" s="18">
        <f>SUM(AG628:AG632)</f>
        <v>144</v>
      </c>
      <c r="AH633" s="148">
        <f t="shared" ref="AH633:AH656" si="243">SUM(AC633:AG633)</f>
        <v>852</v>
      </c>
      <c r="AI633" s="17">
        <f>SUM(AI628:AI632)</f>
        <v>125</v>
      </c>
      <c r="AJ633" s="18">
        <f>SUM(AJ628:AJ632)</f>
        <v>128</v>
      </c>
      <c r="AK633" s="18">
        <f>SUM(AK628:AK632)</f>
        <v>129</v>
      </c>
      <c r="AL633" s="18">
        <f>SUM(AL628:AL632)</f>
        <v>114</v>
      </c>
      <c r="AM633" s="18">
        <f>SUM(AM628:AM632)</f>
        <v>115</v>
      </c>
      <c r="AN633" s="148">
        <f t="shared" ref="AN633:AN656" si="244">SUM(AI633:AM633)</f>
        <v>611</v>
      </c>
      <c r="AO633" s="65">
        <f>SUM(AO628:AO632)</f>
        <v>177</v>
      </c>
      <c r="AP633" s="18">
        <f>SUM(AP628:AP632)</f>
        <v>171</v>
      </c>
      <c r="AQ633" s="18">
        <f>SUM(AQ628:AQ632)</f>
        <v>163</v>
      </c>
      <c r="AR633" s="18">
        <f>SUM(AR628:AR632)</f>
        <v>174</v>
      </c>
      <c r="AS633" s="70">
        <f>SUM(AS628:AS632)</f>
        <v>183</v>
      </c>
      <c r="AT633" s="49">
        <f t="shared" ref="AT633:AT656" si="245">SUM(AO633:AS633)</f>
        <v>868</v>
      </c>
      <c r="AU633" s="74">
        <f>SUM(AU628:AU632)</f>
        <v>129</v>
      </c>
      <c r="AV633" s="18">
        <f>SUM(AV628:AV632)</f>
        <v>97</v>
      </c>
      <c r="AW633" s="18">
        <f>SUM(AW628:AW632)</f>
        <v>102</v>
      </c>
      <c r="AX633" s="18">
        <f>SUM(AX628:AX632)</f>
        <v>99</v>
      </c>
      <c r="AY633" s="70">
        <f>SUM(AY628:AY632)</f>
        <v>153</v>
      </c>
      <c r="AZ633" s="49">
        <f t="shared" si="241"/>
        <v>580</v>
      </c>
      <c r="BA633" s="33">
        <f t="shared" si="242"/>
        <v>2911</v>
      </c>
    </row>
    <row r="634" spans="1:55" ht="14.25" x14ac:dyDescent="0.15">
      <c r="A634" s="181" t="s">
        <v>413</v>
      </c>
      <c r="B634" s="34">
        <v>1</v>
      </c>
      <c r="C634" s="35"/>
      <c r="D634" s="35">
        <v>1</v>
      </c>
      <c r="E634" s="35"/>
      <c r="F634" s="35">
        <v>1</v>
      </c>
      <c r="G634" s="36">
        <f t="shared" si="236"/>
        <v>3</v>
      </c>
      <c r="H634" s="34"/>
      <c r="I634" s="35"/>
      <c r="J634" s="35"/>
      <c r="K634" s="35">
        <v>1</v>
      </c>
      <c r="L634" s="35"/>
      <c r="M634" s="36">
        <f t="shared" si="237"/>
        <v>1</v>
      </c>
      <c r="N634" s="39"/>
      <c r="O634" s="56"/>
      <c r="P634" s="56"/>
      <c r="Q634" s="56"/>
      <c r="R634" s="71">
        <v>1</v>
      </c>
      <c r="S634" s="16">
        <f t="shared" si="238"/>
        <v>1</v>
      </c>
      <c r="T634" s="39"/>
      <c r="U634" s="56"/>
      <c r="V634" s="56">
        <v>1</v>
      </c>
      <c r="W634" s="56"/>
      <c r="X634" s="71">
        <v>1</v>
      </c>
      <c r="Y634" s="16">
        <f t="shared" si="239"/>
        <v>2</v>
      </c>
      <c r="Z634" s="16">
        <f t="shared" si="240"/>
        <v>7</v>
      </c>
      <c r="AA634" s="93">
        <v>44184</v>
      </c>
      <c r="AB634" s="21" t="s">
        <v>372</v>
      </c>
      <c r="AC634" s="14"/>
      <c r="AD634" s="15"/>
      <c r="AE634" s="15">
        <v>5</v>
      </c>
      <c r="AF634" s="15">
        <v>5</v>
      </c>
      <c r="AG634" s="15">
        <v>5</v>
      </c>
      <c r="AH634" s="24">
        <f t="shared" si="243"/>
        <v>15</v>
      </c>
      <c r="AI634" s="14"/>
      <c r="AJ634" s="15"/>
      <c r="AK634" s="15"/>
      <c r="AL634" s="15"/>
      <c r="AM634" s="15"/>
      <c r="AN634" s="24">
        <f t="shared" si="244"/>
        <v>0</v>
      </c>
      <c r="AO634" s="15"/>
      <c r="AP634" s="55"/>
      <c r="AQ634" s="55"/>
      <c r="AR634" s="55"/>
      <c r="AS634" s="67"/>
      <c r="AT634" s="24">
        <f t="shared" si="245"/>
        <v>0</v>
      </c>
      <c r="AU634" s="15"/>
      <c r="AV634" s="55"/>
      <c r="AW634" s="55"/>
      <c r="AX634" s="55"/>
      <c r="AY634" s="67"/>
      <c r="AZ634" s="24">
        <f t="shared" si="241"/>
        <v>0</v>
      </c>
      <c r="BA634" s="24">
        <f t="shared" si="242"/>
        <v>15</v>
      </c>
      <c r="BB634" s="83">
        <v>44183</v>
      </c>
    </row>
    <row r="635" spans="1:55" ht="14.25" x14ac:dyDescent="0.15">
      <c r="A635" s="23" t="s">
        <v>414</v>
      </c>
      <c r="B635" s="14"/>
      <c r="C635" s="15"/>
      <c r="D635" s="15"/>
      <c r="E635" s="15"/>
      <c r="F635" s="15"/>
      <c r="G635" s="24">
        <f t="shared" si="236"/>
        <v>0</v>
      </c>
      <c r="H635" s="14"/>
      <c r="I635" s="15"/>
      <c r="J635" s="15">
        <v>1</v>
      </c>
      <c r="K635" s="15"/>
      <c r="L635" s="15"/>
      <c r="M635" s="24">
        <f t="shared" si="237"/>
        <v>1</v>
      </c>
      <c r="N635" s="15"/>
      <c r="O635" s="55"/>
      <c r="P635" s="55"/>
      <c r="Q635" s="55"/>
      <c r="R635" s="67"/>
      <c r="S635" s="24">
        <f t="shared" si="238"/>
        <v>0</v>
      </c>
      <c r="T635" s="15"/>
      <c r="U635" s="55"/>
      <c r="V635" s="55"/>
      <c r="W635" s="55"/>
      <c r="X635" s="67"/>
      <c r="Y635" s="24">
        <f t="shared" si="239"/>
        <v>0</v>
      </c>
      <c r="Z635" s="24">
        <f t="shared" si="240"/>
        <v>1</v>
      </c>
      <c r="AA635" s="83">
        <v>44194</v>
      </c>
      <c r="AB635" s="21" t="s">
        <v>372</v>
      </c>
      <c r="AC635" s="41"/>
      <c r="AD635" s="42"/>
      <c r="AE635" s="42"/>
      <c r="AF635" s="42"/>
      <c r="AG635" s="42"/>
      <c r="AH635" s="43">
        <f t="shared" si="243"/>
        <v>0</v>
      </c>
      <c r="AI635" s="41"/>
      <c r="AJ635" s="42"/>
      <c r="AK635" s="42"/>
      <c r="AL635" s="42"/>
      <c r="AM635" s="42">
        <v>5</v>
      </c>
      <c r="AN635" s="43">
        <f t="shared" si="244"/>
        <v>5</v>
      </c>
      <c r="AO635" s="42"/>
      <c r="AP635" s="53"/>
      <c r="AQ635" s="53"/>
      <c r="AR635" s="53"/>
      <c r="AS635" s="72"/>
      <c r="AT635" s="24">
        <f t="shared" si="245"/>
        <v>0</v>
      </c>
      <c r="AU635" s="42"/>
      <c r="AV635" s="53"/>
      <c r="AW635" s="53"/>
      <c r="AX635" s="53"/>
      <c r="AY635" s="72"/>
      <c r="AZ635" s="24">
        <f t="shared" si="241"/>
        <v>0</v>
      </c>
      <c r="BA635" s="24">
        <f t="shared" si="242"/>
        <v>5</v>
      </c>
      <c r="BB635" s="83">
        <v>44231</v>
      </c>
    </row>
    <row r="636" spans="1:55" ht="14.25" x14ac:dyDescent="0.15">
      <c r="A636" s="47" t="s">
        <v>160</v>
      </c>
      <c r="B636" s="41"/>
      <c r="C636" s="42">
        <v>1</v>
      </c>
      <c r="D636" s="42"/>
      <c r="E636" s="42"/>
      <c r="F636" s="42">
        <v>1</v>
      </c>
      <c r="G636" s="43">
        <f t="shared" si="236"/>
        <v>2</v>
      </c>
      <c r="H636" s="41"/>
      <c r="I636" s="42"/>
      <c r="J636" s="42">
        <v>1</v>
      </c>
      <c r="K636" s="42"/>
      <c r="L636" s="42"/>
      <c r="M636" s="43">
        <f t="shared" si="237"/>
        <v>1</v>
      </c>
      <c r="N636" s="42"/>
      <c r="O636" s="53"/>
      <c r="P636" s="53"/>
      <c r="Q636" s="53"/>
      <c r="R636" s="72"/>
      <c r="S636" s="24">
        <f t="shared" si="238"/>
        <v>0</v>
      </c>
      <c r="T636" s="42"/>
      <c r="U636" s="53"/>
      <c r="V636" s="53"/>
      <c r="W636" s="53"/>
      <c r="X636" s="72"/>
      <c r="Y636" s="24">
        <f t="shared" si="239"/>
        <v>0</v>
      </c>
      <c r="Z636" s="24">
        <f t="shared" si="240"/>
        <v>3</v>
      </c>
      <c r="AA636" s="93">
        <v>44240</v>
      </c>
      <c r="AB636" s="21" t="s">
        <v>372</v>
      </c>
      <c r="AC636" s="41"/>
      <c r="AD636" s="42">
        <v>5</v>
      </c>
      <c r="AE636" s="42"/>
      <c r="AF636" s="42"/>
      <c r="AG636" s="42"/>
      <c r="AH636" s="43">
        <f t="shared" si="243"/>
        <v>5</v>
      </c>
      <c r="AI636" s="41"/>
      <c r="AJ636" s="42"/>
      <c r="AK636" s="42"/>
      <c r="AL636" s="42"/>
      <c r="AM636" s="42"/>
      <c r="AN636" s="43">
        <f t="shared" si="244"/>
        <v>0</v>
      </c>
      <c r="AO636" s="42"/>
      <c r="AP636" s="53"/>
      <c r="AQ636" s="53"/>
      <c r="AR636" s="53"/>
      <c r="AS636" s="72"/>
      <c r="AT636" s="43">
        <f t="shared" si="245"/>
        <v>0</v>
      </c>
      <c r="AU636" s="42"/>
      <c r="AV636" s="53"/>
      <c r="AW636" s="53"/>
      <c r="AX636" s="53"/>
      <c r="AY636" s="72"/>
      <c r="AZ636" s="43">
        <f t="shared" si="241"/>
        <v>0</v>
      </c>
      <c r="BA636" s="43">
        <f t="shared" si="242"/>
        <v>5</v>
      </c>
      <c r="BB636" s="83">
        <v>44246</v>
      </c>
      <c r="BC636" s="111"/>
    </row>
    <row r="637" spans="1:55" ht="14.25" x14ac:dyDescent="0.15">
      <c r="A637" s="23" t="s">
        <v>47</v>
      </c>
      <c r="B637" s="41"/>
      <c r="C637" s="42"/>
      <c r="D637" s="42">
        <v>1</v>
      </c>
      <c r="E637" s="42"/>
      <c r="F637" s="42"/>
      <c r="G637" s="43">
        <f t="shared" si="236"/>
        <v>1</v>
      </c>
      <c r="H637" s="41"/>
      <c r="I637" s="42"/>
      <c r="J637" s="42"/>
      <c r="K637" s="42"/>
      <c r="L637" s="42"/>
      <c r="M637" s="43">
        <f t="shared" si="237"/>
        <v>0</v>
      </c>
      <c r="N637" s="42"/>
      <c r="O637" s="53"/>
      <c r="P637" s="53"/>
      <c r="Q637" s="53"/>
      <c r="R637" s="72"/>
      <c r="S637" s="24">
        <f t="shared" si="238"/>
        <v>0</v>
      </c>
      <c r="T637" s="42"/>
      <c r="U637" s="53"/>
      <c r="V637" s="53"/>
      <c r="W637" s="53"/>
      <c r="X637" s="72"/>
      <c r="Y637" s="24">
        <f t="shared" si="239"/>
        <v>0</v>
      </c>
      <c r="Z637" s="24">
        <f t="shared" si="240"/>
        <v>1</v>
      </c>
      <c r="AA637" s="83">
        <v>44252</v>
      </c>
      <c r="AB637" s="180" t="s">
        <v>419</v>
      </c>
      <c r="AC637" s="41">
        <v>2</v>
      </c>
      <c r="AD637" s="42">
        <v>3</v>
      </c>
      <c r="AE637" s="42">
        <v>5</v>
      </c>
      <c r="AF637" s="42">
        <v>5</v>
      </c>
      <c r="AG637" s="42">
        <v>5</v>
      </c>
      <c r="AH637" s="43">
        <f t="shared" si="243"/>
        <v>20</v>
      </c>
      <c r="AI637" s="41">
        <v>1</v>
      </c>
      <c r="AJ637" s="42">
        <v>2</v>
      </c>
      <c r="AK637" s="42">
        <v>1</v>
      </c>
      <c r="AL637" s="42">
        <v>1</v>
      </c>
      <c r="AM637" s="42">
        <v>2</v>
      </c>
      <c r="AN637" s="43">
        <f t="shared" si="244"/>
        <v>7</v>
      </c>
      <c r="AO637" s="42">
        <v>1</v>
      </c>
      <c r="AP637" s="53">
        <v>4</v>
      </c>
      <c r="AQ637" s="53">
        <v>3</v>
      </c>
      <c r="AR637" s="53">
        <v>4</v>
      </c>
      <c r="AS637" s="72">
        <v>4</v>
      </c>
      <c r="AT637" s="24">
        <f t="shared" si="245"/>
        <v>16</v>
      </c>
      <c r="AU637" s="42">
        <v>1</v>
      </c>
      <c r="AV637" s="53">
        <v>5</v>
      </c>
      <c r="AW637" s="53">
        <v>3</v>
      </c>
      <c r="AX637" s="53">
        <v>4</v>
      </c>
      <c r="AY637" s="72">
        <v>3</v>
      </c>
      <c r="AZ637" s="24">
        <f t="shared" si="241"/>
        <v>16</v>
      </c>
      <c r="BA637" s="24">
        <f t="shared" si="242"/>
        <v>59</v>
      </c>
      <c r="BB637" s="83">
        <v>44257</v>
      </c>
    </row>
    <row r="638" spans="1:55" ht="14.25" x14ac:dyDescent="0.15">
      <c r="A638" s="47" t="s">
        <v>420</v>
      </c>
      <c r="B638" s="171"/>
      <c r="C638" s="42"/>
      <c r="D638" s="42"/>
      <c r="E638" s="42"/>
      <c r="F638" s="42"/>
      <c r="G638" s="43">
        <f t="shared" si="236"/>
        <v>0</v>
      </c>
      <c r="H638" s="41"/>
      <c r="I638" s="42"/>
      <c r="J638" s="42"/>
      <c r="K638" s="42"/>
      <c r="L638" s="42"/>
      <c r="M638" s="43">
        <f t="shared" si="237"/>
        <v>0</v>
      </c>
      <c r="N638" s="42"/>
      <c r="O638" s="53"/>
      <c r="P638" s="53"/>
      <c r="Q638" s="53"/>
      <c r="R638" s="72"/>
      <c r="S638" s="24">
        <f t="shared" si="238"/>
        <v>0</v>
      </c>
      <c r="T638" s="42"/>
      <c r="U638" s="53">
        <v>1</v>
      </c>
      <c r="V638" s="53"/>
      <c r="W638" s="53"/>
      <c r="X638" s="72"/>
      <c r="Y638" s="24">
        <f t="shared" si="239"/>
        <v>1</v>
      </c>
      <c r="Z638" s="24">
        <f t="shared" si="240"/>
        <v>1</v>
      </c>
      <c r="AA638" s="93">
        <v>44253</v>
      </c>
      <c r="AB638" s="21" t="s">
        <v>372</v>
      </c>
      <c r="AC638" s="41"/>
      <c r="AD638" s="42"/>
      <c r="AE638" s="42">
        <v>5</v>
      </c>
      <c r="AF638" s="42"/>
      <c r="AG638" s="42"/>
      <c r="AH638" s="43">
        <f t="shared" si="243"/>
        <v>5</v>
      </c>
      <c r="AI638" s="41"/>
      <c r="AJ638" s="42"/>
      <c r="AK638" s="42"/>
      <c r="AL638" s="42"/>
      <c r="AM638" s="42"/>
      <c r="AN638" s="43">
        <f t="shared" si="244"/>
        <v>0</v>
      </c>
      <c r="AO638" s="42"/>
      <c r="AP638" s="53"/>
      <c r="AQ638" s="53"/>
      <c r="AR638" s="53"/>
      <c r="AS638" s="72"/>
      <c r="AT638" s="24">
        <f t="shared" si="245"/>
        <v>0</v>
      </c>
      <c r="AU638" s="42"/>
      <c r="AV638" s="53"/>
      <c r="AW638" s="53"/>
      <c r="AX638" s="53"/>
      <c r="AY638" s="72"/>
      <c r="AZ638" s="24">
        <f t="shared" si="241"/>
        <v>0</v>
      </c>
      <c r="BA638" s="24">
        <f t="shared" si="242"/>
        <v>5</v>
      </c>
      <c r="BB638" s="83">
        <v>44263</v>
      </c>
    </row>
    <row r="639" spans="1:55" ht="14.25" x14ac:dyDescent="0.15">
      <c r="A639" s="23" t="s">
        <v>47</v>
      </c>
      <c r="B639" s="41"/>
      <c r="C639" s="42"/>
      <c r="D639" s="42">
        <v>1</v>
      </c>
      <c r="E639" s="42"/>
      <c r="F639" s="42"/>
      <c r="G639" s="43">
        <f t="shared" si="236"/>
        <v>1</v>
      </c>
      <c r="H639" s="41"/>
      <c r="I639" s="42"/>
      <c r="J639" s="42"/>
      <c r="K639" s="42"/>
      <c r="L639" s="42"/>
      <c r="M639" s="43">
        <f t="shared" si="237"/>
        <v>0</v>
      </c>
      <c r="N639" s="42"/>
      <c r="O639" s="53"/>
      <c r="P639" s="53"/>
      <c r="Q639" s="53"/>
      <c r="R639" s="72"/>
      <c r="S639" s="24">
        <f t="shared" si="238"/>
        <v>0</v>
      </c>
      <c r="T639" s="42"/>
      <c r="U639" s="53"/>
      <c r="V639" s="53"/>
      <c r="W639" s="53"/>
      <c r="X639" s="72"/>
      <c r="Y639" s="24">
        <f t="shared" si="239"/>
        <v>0</v>
      </c>
      <c r="Z639" s="24">
        <f t="shared" si="240"/>
        <v>1</v>
      </c>
      <c r="AA639" s="83">
        <v>44285</v>
      </c>
      <c r="AB639" s="21" t="s">
        <v>372</v>
      </c>
      <c r="AC639" s="41"/>
      <c r="AD639" s="42"/>
      <c r="AE639" s="42"/>
      <c r="AF639" s="42">
        <v>5</v>
      </c>
      <c r="AG639" s="42"/>
      <c r="AH639" s="43">
        <f t="shared" si="243"/>
        <v>5</v>
      </c>
      <c r="AI639" s="41">
        <v>5</v>
      </c>
      <c r="AJ639" s="42"/>
      <c r="AK639" s="42"/>
      <c r="AL639" s="42"/>
      <c r="AM639" s="42"/>
      <c r="AN639" s="43">
        <f t="shared" si="244"/>
        <v>5</v>
      </c>
      <c r="AO639" s="42"/>
      <c r="AP639" s="53"/>
      <c r="AQ639" s="53"/>
      <c r="AR639" s="53"/>
      <c r="AS639" s="72"/>
      <c r="AT639" s="24">
        <f t="shared" si="245"/>
        <v>0</v>
      </c>
      <c r="AU639" s="42"/>
      <c r="AV639" s="53"/>
      <c r="AW639" s="53"/>
      <c r="AX639" s="53"/>
      <c r="AY639" s="72"/>
      <c r="AZ639" s="24">
        <f t="shared" si="241"/>
        <v>0</v>
      </c>
      <c r="BA639" s="24">
        <f t="shared" si="242"/>
        <v>10</v>
      </c>
      <c r="BB639" s="83">
        <v>44270</v>
      </c>
    </row>
    <row r="640" spans="1:55" ht="14.25" x14ac:dyDescent="0.15">
      <c r="A640" s="23" t="s">
        <v>47</v>
      </c>
      <c r="B640" s="41"/>
      <c r="C640" s="42"/>
      <c r="D640" s="42">
        <v>1</v>
      </c>
      <c r="E640" s="42"/>
      <c r="F640" s="42"/>
      <c r="G640" s="43">
        <f t="shared" si="236"/>
        <v>1</v>
      </c>
      <c r="H640" s="41"/>
      <c r="I640" s="42"/>
      <c r="J640" s="42"/>
      <c r="K640" s="42"/>
      <c r="L640" s="42"/>
      <c r="M640" s="43">
        <f t="shared" si="237"/>
        <v>0</v>
      </c>
      <c r="N640" s="42"/>
      <c r="O640" s="53"/>
      <c r="P640" s="53"/>
      <c r="Q640" s="53"/>
      <c r="R640" s="72"/>
      <c r="S640" s="24">
        <f t="shared" si="238"/>
        <v>0</v>
      </c>
      <c r="T640" s="42"/>
      <c r="U640" s="53"/>
      <c r="V640" s="53"/>
      <c r="W640" s="53"/>
      <c r="X640" s="72"/>
      <c r="Y640" s="24">
        <f t="shared" si="239"/>
        <v>0</v>
      </c>
      <c r="Z640" s="24">
        <f t="shared" si="240"/>
        <v>1</v>
      </c>
      <c r="AA640" s="83">
        <v>44292</v>
      </c>
      <c r="AB640" s="21" t="s">
        <v>372</v>
      </c>
      <c r="AC640" s="41"/>
      <c r="AD640" s="42"/>
      <c r="AE640" s="42"/>
      <c r="AF640" s="42"/>
      <c r="AG640" s="42"/>
      <c r="AH640" s="43">
        <f t="shared" si="243"/>
        <v>0</v>
      </c>
      <c r="AI640" s="41"/>
      <c r="AJ640" s="42">
        <v>5</v>
      </c>
      <c r="AK640" s="42"/>
      <c r="AL640" s="42"/>
      <c r="AM640" s="42"/>
      <c r="AN640" s="43">
        <f t="shared" si="244"/>
        <v>5</v>
      </c>
      <c r="AO640" s="42"/>
      <c r="AP640" s="53"/>
      <c r="AQ640" s="53"/>
      <c r="AR640" s="53"/>
      <c r="AS640" s="72"/>
      <c r="AT640" s="24">
        <f t="shared" si="245"/>
        <v>0</v>
      </c>
      <c r="AU640" s="42"/>
      <c r="AV640" s="53"/>
      <c r="AW640" s="53"/>
      <c r="AX640" s="53"/>
      <c r="AY640" s="72"/>
      <c r="AZ640" s="24">
        <f t="shared" si="241"/>
        <v>0</v>
      </c>
      <c r="BA640" s="24">
        <f t="shared" si="242"/>
        <v>5</v>
      </c>
      <c r="BB640" s="83">
        <v>44273</v>
      </c>
    </row>
    <row r="641" spans="1:54" ht="14.25" x14ac:dyDescent="0.15">
      <c r="A641" s="23" t="s">
        <v>47</v>
      </c>
      <c r="B641" s="41"/>
      <c r="C641" s="42"/>
      <c r="D641" s="42"/>
      <c r="E641" s="42"/>
      <c r="F641" s="42"/>
      <c r="G641" s="43">
        <f t="shared" si="236"/>
        <v>0</v>
      </c>
      <c r="H641" s="41"/>
      <c r="I641" s="42">
        <v>1</v>
      </c>
      <c r="J641" s="42"/>
      <c r="K641" s="42"/>
      <c r="L641" s="42"/>
      <c r="M641" s="43">
        <f t="shared" si="237"/>
        <v>1</v>
      </c>
      <c r="N641" s="42"/>
      <c r="O641" s="53"/>
      <c r="P641" s="53"/>
      <c r="Q641" s="53"/>
      <c r="R641" s="72"/>
      <c r="S641" s="24">
        <f t="shared" si="238"/>
        <v>0</v>
      </c>
      <c r="T641" s="42"/>
      <c r="U641" s="53"/>
      <c r="V641" s="53"/>
      <c r="W641" s="53"/>
      <c r="X641" s="72"/>
      <c r="Y641" s="24">
        <f t="shared" si="239"/>
        <v>0</v>
      </c>
      <c r="Z641" s="24">
        <f t="shared" si="240"/>
        <v>1</v>
      </c>
      <c r="AA641" s="83">
        <v>44303</v>
      </c>
      <c r="AB641" s="21" t="s">
        <v>372</v>
      </c>
      <c r="AC641" s="41"/>
      <c r="AD641" s="42"/>
      <c r="AE641" s="42"/>
      <c r="AF641" s="42"/>
      <c r="AG641" s="42"/>
      <c r="AH641" s="43">
        <f t="shared" si="243"/>
        <v>0</v>
      </c>
      <c r="AI641" s="41"/>
      <c r="AJ641" s="42"/>
      <c r="AK641" s="42">
        <v>5</v>
      </c>
      <c r="AL641" s="42"/>
      <c r="AM641" s="42"/>
      <c r="AN641" s="43">
        <f t="shared" si="244"/>
        <v>5</v>
      </c>
      <c r="AO641" s="42"/>
      <c r="AP641" s="53"/>
      <c r="AQ641" s="53"/>
      <c r="AR641" s="53"/>
      <c r="AS641" s="72"/>
      <c r="AT641" s="24">
        <f t="shared" si="245"/>
        <v>0</v>
      </c>
      <c r="AU641" s="42"/>
      <c r="AV641" s="53"/>
      <c r="AW641" s="53"/>
      <c r="AX641" s="53"/>
      <c r="AY641" s="72"/>
      <c r="AZ641" s="24">
        <f t="shared" si="241"/>
        <v>0</v>
      </c>
      <c r="BA641" s="24">
        <f t="shared" si="242"/>
        <v>5</v>
      </c>
      <c r="BB641" s="83">
        <v>44277</v>
      </c>
    </row>
    <row r="642" spans="1:54" ht="14.25" x14ac:dyDescent="0.15">
      <c r="A642" s="47" t="s">
        <v>48</v>
      </c>
      <c r="B642" s="41"/>
      <c r="C642" s="42">
        <v>1</v>
      </c>
      <c r="D642" s="42"/>
      <c r="E642" s="42"/>
      <c r="F642" s="42"/>
      <c r="G642" s="43">
        <f t="shared" si="236"/>
        <v>1</v>
      </c>
      <c r="H642" s="41"/>
      <c r="I642" s="42"/>
      <c r="J642" s="42"/>
      <c r="K642" s="42"/>
      <c r="L642" s="42"/>
      <c r="M642" s="43">
        <f t="shared" si="237"/>
        <v>0</v>
      </c>
      <c r="N642" s="42"/>
      <c r="O642" s="53"/>
      <c r="P642" s="53"/>
      <c r="Q642" s="53"/>
      <c r="R642" s="72"/>
      <c r="S642" s="24">
        <f t="shared" si="238"/>
        <v>0</v>
      </c>
      <c r="T642" s="42"/>
      <c r="U642" s="53"/>
      <c r="V642" s="53"/>
      <c r="W642" s="53"/>
      <c r="X642" s="72"/>
      <c r="Y642" s="24">
        <f t="shared" si="239"/>
        <v>0</v>
      </c>
      <c r="Z642" s="24">
        <f t="shared" si="240"/>
        <v>1</v>
      </c>
      <c r="AA642" s="93">
        <v>44302</v>
      </c>
      <c r="AB642" s="21" t="s">
        <v>423</v>
      </c>
      <c r="AC642" s="41"/>
      <c r="AD642" s="42"/>
      <c r="AE642" s="42">
        <v>2</v>
      </c>
      <c r="AF642" s="42"/>
      <c r="AG642" s="42"/>
      <c r="AH642" s="43">
        <f t="shared" si="243"/>
        <v>2</v>
      </c>
      <c r="AI642" s="41"/>
      <c r="AJ642" s="42"/>
      <c r="AK642" s="42">
        <v>2</v>
      </c>
      <c r="AL642" s="42"/>
      <c r="AM642" s="42"/>
      <c r="AN642" s="43">
        <f t="shared" si="244"/>
        <v>2</v>
      </c>
      <c r="AO642" s="42"/>
      <c r="AP642" s="53"/>
      <c r="AQ642" s="53"/>
      <c r="AR642" s="53"/>
      <c r="AS642" s="72"/>
      <c r="AT642" s="24">
        <f t="shared" si="245"/>
        <v>0</v>
      </c>
      <c r="AU642" s="42"/>
      <c r="AV642" s="53"/>
      <c r="AW642" s="53"/>
      <c r="AX642" s="53"/>
      <c r="AY642" s="72"/>
      <c r="AZ642" s="24">
        <f t="shared" si="241"/>
        <v>0</v>
      </c>
      <c r="BA642" s="24">
        <f t="shared" si="242"/>
        <v>4</v>
      </c>
      <c r="BB642" s="83">
        <v>44298</v>
      </c>
    </row>
    <row r="643" spans="1:54" x14ac:dyDescent="0.15">
      <c r="A643" s="47" t="s">
        <v>48</v>
      </c>
      <c r="B643" s="44"/>
      <c r="C643" s="45"/>
      <c r="D643" s="45"/>
      <c r="E643" s="45"/>
      <c r="F643" s="45"/>
      <c r="G643" s="43">
        <f t="shared" si="236"/>
        <v>0</v>
      </c>
      <c r="H643" s="44"/>
      <c r="I643" s="45"/>
      <c r="J643" s="45"/>
      <c r="K643" s="45"/>
      <c r="L643" s="45"/>
      <c r="M643" s="43">
        <f t="shared" si="237"/>
        <v>0</v>
      </c>
      <c r="N643" s="42"/>
      <c r="O643" s="53"/>
      <c r="P643" s="53"/>
      <c r="Q643" s="53"/>
      <c r="R643" s="72"/>
      <c r="S643" s="24">
        <f t="shared" si="238"/>
        <v>0</v>
      </c>
      <c r="T643" s="42"/>
      <c r="U643" s="53"/>
      <c r="V643" s="53"/>
      <c r="W643" s="53">
        <v>1</v>
      </c>
      <c r="X643" s="72"/>
      <c r="Y643" s="24">
        <f t="shared" si="239"/>
        <v>1</v>
      </c>
      <c r="Z643" s="24">
        <f t="shared" si="240"/>
        <v>1</v>
      </c>
      <c r="AA643" s="93">
        <v>44305</v>
      </c>
      <c r="AB643" s="180" t="s">
        <v>424</v>
      </c>
      <c r="AC643" s="44">
        <v>5</v>
      </c>
      <c r="AD643" s="45"/>
      <c r="AE643" s="45">
        <v>6</v>
      </c>
      <c r="AF643" s="45">
        <v>5</v>
      </c>
      <c r="AG643" s="45">
        <v>3</v>
      </c>
      <c r="AH643" s="43">
        <f t="shared" si="243"/>
        <v>19</v>
      </c>
      <c r="AI643" s="44">
        <v>8</v>
      </c>
      <c r="AJ643" s="45">
        <v>20</v>
      </c>
      <c r="AK643" s="45">
        <v>10</v>
      </c>
      <c r="AL643" s="45">
        <v>6</v>
      </c>
      <c r="AM643" s="45">
        <v>13</v>
      </c>
      <c r="AN643" s="43">
        <f t="shared" si="244"/>
        <v>57</v>
      </c>
      <c r="AO643" s="42">
        <v>7</v>
      </c>
      <c r="AP643" s="53">
        <v>7</v>
      </c>
      <c r="AQ643" s="53">
        <v>4</v>
      </c>
      <c r="AR643" s="53">
        <v>7</v>
      </c>
      <c r="AS643" s="72">
        <v>6</v>
      </c>
      <c r="AT643" s="24">
        <f t="shared" si="245"/>
        <v>31</v>
      </c>
      <c r="AU643" s="42">
        <v>2</v>
      </c>
      <c r="AV643" s="53">
        <v>15</v>
      </c>
      <c r="AW643" s="53">
        <v>8</v>
      </c>
      <c r="AX643" s="53">
        <v>11</v>
      </c>
      <c r="AY643" s="72">
        <v>8</v>
      </c>
      <c r="AZ643" s="24">
        <f t="shared" si="241"/>
        <v>44</v>
      </c>
      <c r="BA643" s="24">
        <f t="shared" si="242"/>
        <v>151</v>
      </c>
      <c r="BB643" s="83">
        <v>44312</v>
      </c>
    </row>
    <row r="644" spans="1:54" ht="14.25" x14ac:dyDescent="0.15">
      <c r="A644" s="23" t="s">
        <v>47</v>
      </c>
      <c r="B644" s="41"/>
      <c r="C644" s="42"/>
      <c r="D644" s="42"/>
      <c r="E644" s="42"/>
      <c r="F644" s="42"/>
      <c r="G644" s="43">
        <f t="shared" si="236"/>
        <v>0</v>
      </c>
      <c r="H644" s="41"/>
      <c r="I644" s="42"/>
      <c r="J644" s="42"/>
      <c r="K644" s="42"/>
      <c r="L644" s="42"/>
      <c r="M644" s="43">
        <f t="shared" si="237"/>
        <v>0</v>
      </c>
      <c r="N644" s="42"/>
      <c r="O644" s="53"/>
      <c r="P644" s="53">
        <v>1</v>
      </c>
      <c r="Q644" s="53"/>
      <c r="R644" s="72"/>
      <c r="S644" s="24">
        <f t="shared" si="238"/>
        <v>1</v>
      </c>
      <c r="T644" s="42"/>
      <c r="U644" s="53"/>
      <c r="V644" s="53"/>
      <c r="W644" s="53"/>
      <c r="X644" s="72"/>
      <c r="Y644" s="24">
        <f t="shared" si="239"/>
        <v>0</v>
      </c>
      <c r="Z644" s="24">
        <f t="shared" si="240"/>
        <v>1</v>
      </c>
      <c r="AA644" s="83">
        <v>44313</v>
      </c>
      <c r="AB644" s="180" t="s">
        <v>425</v>
      </c>
      <c r="AC644" s="41"/>
      <c r="AD644" s="42">
        <v>8</v>
      </c>
      <c r="AE644" s="42">
        <v>4</v>
      </c>
      <c r="AF644" s="42">
        <v>9</v>
      </c>
      <c r="AG644" s="42">
        <v>8</v>
      </c>
      <c r="AH644" s="43">
        <f t="shared" si="243"/>
        <v>29</v>
      </c>
      <c r="AI644" s="41"/>
      <c r="AJ644" s="42"/>
      <c r="AK644" s="42"/>
      <c r="AL644" s="42"/>
      <c r="AM644" s="42"/>
      <c r="AN644" s="43">
        <f t="shared" si="244"/>
        <v>0</v>
      </c>
      <c r="AO644" s="42"/>
      <c r="AP644" s="53"/>
      <c r="AQ644" s="53"/>
      <c r="AR644" s="53"/>
      <c r="AS644" s="72"/>
      <c r="AT644" s="24">
        <f t="shared" si="245"/>
        <v>0</v>
      </c>
      <c r="AU644" s="42">
        <v>7</v>
      </c>
      <c r="AV644" s="53"/>
      <c r="AW644" s="53"/>
      <c r="AX644" s="53"/>
      <c r="AY644" s="72">
        <v>8</v>
      </c>
      <c r="AZ644" s="24">
        <f t="shared" si="241"/>
        <v>15</v>
      </c>
      <c r="BA644" s="24">
        <f t="shared" si="242"/>
        <v>44</v>
      </c>
      <c r="BB644" s="83">
        <v>44312</v>
      </c>
    </row>
    <row r="645" spans="1:54" ht="14.25" x14ac:dyDescent="0.15">
      <c r="A645" s="23" t="s">
        <v>47</v>
      </c>
      <c r="B645" s="41"/>
      <c r="C645" s="42">
        <v>1</v>
      </c>
      <c r="D645" s="42"/>
      <c r="E645" s="42"/>
      <c r="F645" s="42"/>
      <c r="G645" s="43">
        <f t="shared" si="236"/>
        <v>1</v>
      </c>
      <c r="H645" s="41"/>
      <c r="I645" s="42"/>
      <c r="J645" s="42"/>
      <c r="K645" s="42"/>
      <c r="L645" s="42"/>
      <c r="M645" s="43">
        <f t="shared" si="237"/>
        <v>0</v>
      </c>
      <c r="N645" s="42"/>
      <c r="O645" s="53"/>
      <c r="P645" s="53"/>
      <c r="Q645" s="53"/>
      <c r="R645" s="72"/>
      <c r="S645" s="24">
        <f t="shared" si="238"/>
        <v>0</v>
      </c>
      <c r="T645" s="42">
        <v>1</v>
      </c>
      <c r="U645" s="53"/>
      <c r="V645" s="53"/>
      <c r="W645" s="53"/>
      <c r="X645" s="72"/>
      <c r="Y645" s="24">
        <f t="shared" si="239"/>
        <v>1</v>
      </c>
      <c r="Z645" s="24">
        <f t="shared" si="240"/>
        <v>2</v>
      </c>
      <c r="AA645" s="83">
        <v>44323</v>
      </c>
      <c r="AB645" s="21" t="s">
        <v>372</v>
      </c>
      <c r="AC645" s="41"/>
      <c r="AD645" s="42">
        <v>5</v>
      </c>
      <c r="AE645" s="42">
        <v>5</v>
      </c>
      <c r="AF645" s="42"/>
      <c r="AG645" s="42">
        <v>5</v>
      </c>
      <c r="AH645" s="43">
        <f t="shared" si="243"/>
        <v>15</v>
      </c>
      <c r="AI645" s="41"/>
      <c r="AJ645" s="42"/>
      <c r="AK645" s="42"/>
      <c r="AL645" s="42">
        <v>5</v>
      </c>
      <c r="AM645" s="42">
        <v>5</v>
      </c>
      <c r="AN645" s="43">
        <f t="shared" si="244"/>
        <v>10</v>
      </c>
      <c r="AO645" s="42"/>
      <c r="AP645" s="53"/>
      <c r="AQ645" s="53"/>
      <c r="AR645" s="53"/>
      <c r="AS645" s="72"/>
      <c r="AT645" s="24">
        <f t="shared" si="245"/>
        <v>0</v>
      </c>
      <c r="AU645" s="42"/>
      <c r="AV645" s="53"/>
      <c r="AW645" s="53"/>
      <c r="AX645" s="53"/>
      <c r="AY645" s="72"/>
      <c r="AZ645" s="24">
        <f t="shared" si="241"/>
        <v>0</v>
      </c>
      <c r="BA645" s="24">
        <f t="shared" si="242"/>
        <v>25</v>
      </c>
      <c r="BB645" s="83">
        <v>44313</v>
      </c>
    </row>
    <row r="646" spans="1:54" x14ac:dyDescent="0.15">
      <c r="A646" s="47" t="s">
        <v>48</v>
      </c>
      <c r="B646" s="41"/>
      <c r="C646" s="42"/>
      <c r="D646" s="42"/>
      <c r="E646" s="42">
        <v>1</v>
      </c>
      <c r="F646" s="42"/>
      <c r="G646" s="43">
        <f t="shared" si="236"/>
        <v>1</v>
      </c>
      <c r="H646" s="41"/>
      <c r="I646" s="42"/>
      <c r="J646" s="42"/>
      <c r="K646" s="42"/>
      <c r="L646" s="42"/>
      <c r="M646" s="43">
        <f t="shared" si="237"/>
        <v>0</v>
      </c>
      <c r="N646" s="42"/>
      <c r="O646" s="53"/>
      <c r="P646" s="53"/>
      <c r="Q646" s="53"/>
      <c r="R646" s="72"/>
      <c r="S646" s="24">
        <f t="shared" si="238"/>
        <v>0</v>
      </c>
      <c r="T646" s="42"/>
      <c r="U646" s="53"/>
      <c r="V646" s="53"/>
      <c r="W646" s="53"/>
      <c r="X646" s="72"/>
      <c r="Y646" s="24">
        <f t="shared" si="239"/>
        <v>0</v>
      </c>
      <c r="Z646" s="24">
        <f t="shared" si="240"/>
        <v>1</v>
      </c>
      <c r="AA646" s="93">
        <v>44322</v>
      </c>
      <c r="AB646" s="180" t="s">
        <v>426</v>
      </c>
      <c r="AC646" s="41">
        <v>3</v>
      </c>
      <c r="AD646" s="42">
        <v>3</v>
      </c>
      <c r="AE646" s="42">
        <v>1</v>
      </c>
      <c r="AF646" s="42"/>
      <c r="AG646" s="42"/>
      <c r="AH646" s="43">
        <f t="shared" si="243"/>
        <v>7</v>
      </c>
      <c r="AI646" s="41"/>
      <c r="AJ646" s="42"/>
      <c r="AK646" s="42"/>
      <c r="AL646" s="42"/>
      <c r="AM646" s="42"/>
      <c r="AN646" s="43">
        <f t="shared" si="244"/>
        <v>0</v>
      </c>
      <c r="AO646" s="42"/>
      <c r="AP646" s="53">
        <v>1</v>
      </c>
      <c r="AQ646" s="53">
        <v>1</v>
      </c>
      <c r="AR646" s="53">
        <v>2</v>
      </c>
      <c r="AS646" s="72">
        <v>5</v>
      </c>
      <c r="AT646" s="24">
        <f t="shared" si="245"/>
        <v>9</v>
      </c>
      <c r="AU646" s="42"/>
      <c r="AV646" s="53"/>
      <c r="AW646" s="53">
        <v>6</v>
      </c>
      <c r="AX646" s="53"/>
      <c r="AY646" s="72">
        <v>2</v>
      </c>
      <c r="AZ646" s="24">
        <f t="shared" si="241"/>
        <v>8</v>
      </c>
      <c r="BA646" s="24">
        <f t="shared" si="242"/>
        <v>24</v>
      </c>
      <c r="BB646" s="83">
        <v>44329</v>
      </c>
    </row>
    <row r="647" spans="1:54" ht="14.25" x14ac:dyDescent="0.15">
      <c r="A647" s="21" t="s">
        <v>85</v>
      </c>
      <c r="B647" s="38"/>
      <c r="C647" s="39"/>
      <c r="D647" s="39"/>
      <c r="E647" s="39"/>
      <c r="F647" s="39"/>
      <c r="G647" s="37">
        <f t="shared" si="236"/>
        <v>0</v>
      </c>
      <c r="H647" s="38"/>
      <c r="I647" s="39"/>
      <c r="J647" s="39"/>
      <c r="K647" s="39"/>
      <c r="L647" s="39"/>
      <c r="M647" s="37">
        <f t="shared" si="237"/>
        <v>0</v>
      </c>
      <c r="N647" s="42"/>
      <c r="O647" s="53"/>
      <c r="P647" s="53"/>
      <c r="Q647" s="53"/>
      <c r="R647" s="72"/>
      <c r="S647" s="24">
        <f t="shared" si="238"/>
        <v>0</v>
      </c>
      <c r="T647" s="42"/>
      <c r="U647" s="53"/>
      <c r="V647" s="53"/>
      <c r="W647" s="53"/>
      <c r="X647" s="72">
        <v>1</v>
      </c>
      <c r="Y647" s="24">
        <f t="shared" si="239"/>
        <v>1</v>
      </c>
      <c r="Z647" s="24">
        <f t="shared" si="240"/>
        <v>1</v>
      </c>
      <c r="AA647" s="83">
        <v>44324</v>
      </c>
      <c r="AB647" s="21" t="s">
        <v>427</v>
      </c>
      <c r="AC647" s="38">
        <v>1</v>
      </c>
      <c r="AD647" s="39"/>
      <c r="AE647" s="39">
        <v>1</v>
      </c>
      <c r="AF647" s="39"/>
      <c r="AG647" s="39"/>
      <c r="AH647" s="37">
        <f t="shared" si="243"/>
        <v>2</v>
      </c>
      <c r="AI647" s="38"/>
      <c r="AJ647" s="39"/>
      <c r="AK647" s="39"/>
      <c r="AL647" s="39"/>
      <c r="AM647" s="39"/>
      <c r="AN647" s="37">
        <f t="shared" si="244"/>
        <v>0</v>
      </c>
      <c r="AO647" s="42">
        <v>1</v>
      </c>
      <c r="AP647" s="53"/>
      <c r="AQ647" s="53"/>
      <c r="AR647" s="53"/>
      <c r="AS647" s="72"/>
      <c r="AT647" s="24">
        <f t="shared" si="245"/>
        <v>1</v>
      </c>
      <c r="AU647" s="42"/>
      <c r="AV647" s="53"/>
      <c r="AW647" s="53"/>
      <c r="AX647" s="53"/>
      <c r="AY647" s="72"/>
      <c r="AZ647" s="24">
        <f t="shared" si="241"/>
        <v>0</v>
      </c>
      <c r="BA647" s="24">
        <f t="shared" si="242"/>
        <v>3</v>
      </c>
      <c r="BB647" s="83">
        <v>44322</v>
      </c>
    </row>
    <row r="648" spans="1:54" ht="14.25" x14ac:dyDescent="0.15">
      <c r="A648" s="21" t="s">
        <v>85</v>
      </c>
      <c r="B648" s="41">
        <v>1</v>
      </c>
      <c r="C648" s="42"/>
      <c r="D648" s="42"/>
      <c r="E648" s="42"/>
      <c r="F648" s="42"/>
      <c r="G648" s="43">
        <f t="shared" si="236"/>
        <v>1</v>
      </c>
      <c r="H648" s="41"/>
      <c r="I648" s="42"/>
      <c r="J648" s="42"/>
      <c r="K648" s="42"/>
      <c r="L648" s="42"/>
      <c r="M648" s="43">
        <f t="shared" si="237"/>
        <v>0</v>
      </c>
      <c r="N648" s="42"/>
      <c r="O648" s="53"/>
      <c r="P648" s="53"/>
      <c r="Q648" s="53"/>
      <c r="R648" s="72"/>
      <c r="S648" s="24">
        <f t="shared" si="238"/>
        <v>0</v>
      </c>
      <c r="T648" s="42">
        <v>1</v>
      </c>
      <c r="U648" s="53"/>
      <c r="V648" s="53"/>
      <c r="W648" s="53"/>
      <c r="X648" s="72"/>
      <c r="Y648" s="24">
        <f t="shared" si="239"/>
        <v>1</v>
      </c>
      <c r="Z648" s="24">
        <f t="shared" si="240"/>
        <v>2</v>
      </c>
      <c r="AA648" s="83">
        <v>44327</v>
      </c>
      <c r="AB648" s="21" t="s">
        <v>85</v>
      </c>
      <c r="AC648" s="41"/>
      <c r="AD648" s="42"/>
      <c r="AE648" s="42">
        <v>1</v>
      </c>
      <c r="AF648" s="42"/>
      <c r="AG648" s="42"/>
      <c r="AH648" s="43">
        <f t="shared" si="243"/>
        <v>1</v>
      </c>
      <c r="AI648" s="41"/>
      <c r="AJ648" s="42"/>
      <c r="AK648" s="42"/>
      <c r="AL648" s="42"/>
      <c r="AM648" s="42"/>
      <c r="AN648" s="43">
        <f t="shared" si="244"/>
        <v>0</v>
      </c>
      <c r="AO648" s="42"/>
      <c r="AP648" s="53"/>
      <c r="AQ648" s="53"/>
      <c r="AR648" s="53"/>
      <c r="AS648" s="72"/>
      <c r="AT648" s="24">
        <f t="shared" si="245"/>
        <v>0</v>
      </c>
      <c r="AU648" s="42"/>
      <c r="AV648" s="53"/>
      <c r="AW648" s="53">
        <v>1</v>
      </c>
      <c r="AX648" s="53"/>
      <c r="AY648" s="72"/>
      <c r="AZ648" s="24">
        <f t="shared" si="241"/>
        <v>1</v>
      </c>
      <c r="BA648" s="24">
        <f t="shared" si="242"/>
        <v>2</v>
      </c>
      <c r="BB648" s="83">
        <v>44323</v>
      </c>
    </row>
    <row r="649" spans="1:54" x14ac:dyDescent="0.15">
      <c r="A649" s="47" t="s">
        <v>48</v>
      </c>
      <c r="B649" s="14"/>
      <c r="C649" s="15"/>
      <c r="D649" s="15">
        <v>1</v>
      </c>
      <c r="E649" s="15"/>
      <c r="F649" s="15"/>
      <c r="G649" s="24">
        <f t="shared" si="236"/>
        <v>1</v>
      </c>
      <c r="H649" s="14"/>
      <c r="I649" s="15"/>
      <c r="J649" s="15"/>
      <c r="K649" s="15"/>
      <c r="L649" s="15"/>
      <c r="M649" s="24">
        <f t="shared" si="237"/>
        <v>0</v>
      </c>
      <c r="N649" s="15"/>
      <c r="O649" s="55"/>
      <c r="P649" s="55"/>
      <c r="Q649" s="55"/>
      <c r="R649" s="67"/>
      <c r="S649" s="24">
        <f t="shared" si="238"/>
        <v>0</v>
      </c>
      <c r="T649" s="15"/>
      <c r="U649" s="55"/>
      <c r="V649" s="55"/>
      <c r="W649" s="55"/>
      <c r="X649" s="67"/>
      <c r="Y649" s="24">
        <f t="shared" si="239"/>
        <v>0</v>
      </c>
      <c r="Z649" s="24">
        <f t="shared" si="240"/>
        <v>1</v>
      </c>
      <c r="AA649" s="93">
        <v>44328</v>
      </c>
      <c r="AB649" s="180" t="s">
        <v>428</v>
      </c>
      <c r="AC649" s="14"/>
      <c r="AD649" s="15">
        <v>5</v>
      </c>
      <c r="AE649" s="15">
        <v>5</v>
      </c>
      <c r="AF649" s="15"/>
      <c r="AG649" s="15"/>
      <c r="AH649" s="24">
        <f t="shared" si="243"/>
        <v>10</v>
      </c>
      <c r="AI649" s="14"/>
      <c r="AJ649" s="15"/>
      <c r="AK649" s="15"/>
      <c r="AL649" s="15">
        <v>3</v>
      </c>
      <c r="AM649" s="15"/>
      <c r="AN649" s="24">
        <f t="shared" si="244"/>
        <v>3</v>
      </c>
      <c r="AO649" s="15">
        <v>3</v>
      </c>
      <c r="AP649" s="55"/>
      <c r="AQ649" s="55">
        <v>2</v>
      </c>
      <c r="AR649" s="55">
        <v>2</v>
      </c>
      <c r="AS649" s="67"/>
      <c r="AT649" s="24">
        <f t="shared" si="245"/>
        <v>7</v>
      </c>
      <c r="AU649" s="15"/>
      <c r="AV649" s="55"/>
      <c r="AW649" s="55">
        <v>2</v>
      </c>
      <c r="AX649" s="55"/>
      <c r="AY649" s="67">
        <v>2</v>
      </c>
      <c r="AZ649" s="24">
        <f t="shared" si="241"/>
        <v>4</v>
      </c>
      <c r="BA649" s="24">
        <f t="shared" si="242"/>
        <v>24</v>
      </c>
      <c r="BB649" s="83">
        <v>44335</v>
      </c>
    </row>
    <row r="650" spans="1:54" x14ac:dyDescent="0.15">
      <c r="A650" s="47" t="s">
        <v>430</v>
      </c>
      <c r="B650" s="14">
        <v>-1</v>
      </c>
      <c r="C650" s="15">
        <v>-1</v>
      </c>
      <c r="D650" s="15"/>
      <c r="E650" s="15"/>
      <c r="F650" s="15"/>
      <c r="G650" s="24">
        <f t="shared" si="236"/>
        <v>-2</v>
      </c>
      <c r="H650" s="14"/>
      <c r="I650" s="15"/>
      <c r="J650" s="15"/>
      <c r="K650" s="15"/>
      <c r="L650" s="15"/>
      <c r="M650" s="24">
        <f t="shared" si="237"/>
        <v>0</v>
      </c>
      <c r="N650" s="15"/>
      <c r="O650" s="55"/>
      <c r="P650" s="55"/>
      <c r="Q650" s="55"/>
      <c r="R650" s="67"/>
      <c r="S650" s="24">
        <f t="shared" si="238"/>
        <v>0</v>
      </c>
      <c r="T650" s="15">
        <v>-1</v>
      </c>
      <c r="U650" s="55"/>
      <c r="V650" s="55"/>
      <c r="W650" s="55"/>
      <c r="X650" s="67"/>
      <c r="Y650" s="24">
        <f t="shared" si="239"/>
        <v>-1</v>
      </c>
      <c r="Z650" s="24">
        <f t="shared" si="240"/>
        <v>-3</v>
      </c>
      <c r="AA650" s="83">
        <v>44329</v>
      </c>
      <c r="AB650" s="180" t="s">
        <v>429</v>
      </c>
      <c r="AC650" s="14"/>
      <c r="AD650" s="15"/>
      <c r="AE650" s="15">
        <v>1</v>
      </c>
      <c r="AF650" s="15"/>
      <c r="AG650" s="15"/>
      <c r="AH650" s="24">
        <f t="shared" si="243"/>
        <v>1</v>
      </c>
      <c r="AI650" s="14"/>
      <c r="AJ650" s="15"/>
      <c r="AK650" s="15"/>
      <c r="AL650" s="15">
        <v>2</v>
      </c>
      <c r="AM650" s="15"/>
      <c r="AN650" s="24">
        <f t="shared" si="244"/>
        <v>2</v>
      </c>
      <c r="AO650" s="15"/>
      <c r="AP650" s="55"/>
      <c r="AQ650" s="55"/>
      <c r="AR650" s="55"/>
      <c r="AS650" s="67"/>
      <c r="AT650" s="24">
        <f t="shared" si="245"/>
        <v>0</v>
      </c>
      <c r="AU650" s="15"/>
      <c r="AV650" s="55"/>
      <c r="AW650" s="55">
        <v>2</v>
      </c>
      <c r="AX650" s="55">
        <v>1</v>
      </c>
      <c r="AY650" s="67">
        <v>3</v>
      </c>
      <c r="AZ650" s="24">
        <f t="shared" si="241"/>
        <v>6</v>
      </c>
      <c r="BA650" s="24">
        <f t="shared" si="242"/>
        <v>9</v>
      </c>
      <c r="BB650" s="83">
        <v>44333</v>
      </c>
    </row>
    <row r="651" spans="1:54" ht="14.25" x14ac:dyDescent="0.15">
      <c r="A651" s="23" t="s">
        <v>47</v>
      </c>
      <c r="B651" s="14"/>
      <c r="C651" s="15"/>
      <c r="D651" s="15"/>
      <c r="E651" s="15"/>
      <c r="F651" s="15"/>
      <c r="G651" s="24">
        <f t="shared" si="236"/>
        <v>0</v>
      </c>
      <c r="H651" s="14"/>
      <c r="I651" s="15"/>
      <c r="J651" s="15"/>
      <c r="K651" s="15">
        <v>1</v>
      </c>
      <c r="L651" s="15"/>
      <c r="M651" s="24">
        <f t="shared" si="237"/>
        <v>1</v>
      </c>
      <c r="N651" s="15"/>
      <c r="O651" s="55"/>
      <c r="P651" s="55"/>
      <c r="Q651" s="55"/>
      <c r="R651" s="67"/>
      <c r="S651" s="24">
        <f t="shared" si="238"/>
        <v>0</v>
      </c>
      <c r="T651" s="15"/>
      <c r="U651" s="55"/>
      <c r="V651" s="55"/>
      <c r="W651" s="55"/>
      <c r="X651" s="67"/>
      <c r="Y651" s="24">
        <f t="shared" si="239"/>
        <v>0</v>
      </c>
      <c r="Z651" s="24">
        <f t="shared" si="240"/>
        <v>1</v>
      </c>
      <c r="AA651" s="83">
        <v>44335</v>
      </c>
      <c r="AB651" s="21" t="s">
        <v>85</v>
      </c>
      <c r="AC651" s="14">
        <v>2</v>
      </c>
      <c r="AD651" s="15"/>
      <c r="AE651" s="15"/>
      <c r="AF651" s="15">
        <v>1</v>
      </c>
      <c r="AG651" s="15"/>
      <c r="AH651" s="24">
        <f t="shared" si="243"/>
        <v>3</v>
      </c>
      <c r="AI651" s="14"/>
      <c r="AJ651" s="15"/>
      <c r="AK651" s="15"/>
      <c r="AL651" s="15"/>
      <c r="AM651" s="15"/>
      <c r="AN651" s="24">
        <f t="shared" si="244"/>
        <v>0</v>
      </c>
      <c r="AO651" s="15"/>
      <c r="AP651" s="55"/>
      <c r="AQ651" s="55"/>
      <c r="AR651" s="55"/>
      <c r="AS651" s="67"/>
      <c r="AT651" s="24">
        <f t="shared" si="245"/>
        <v>0</v>
      </c>
      <c r="AU651" s="15"/>
      <c r="AV651" s="55"/>
      <c r="AW651" s="55"/>
      <c r="AX651" s="55"/>
      <c r="AY651" s="67"/>
      <c r="AZ651" s="24">
        <f t="shared" si="241"/>
        <v>0</v>
      </c>
      <c r="BA651" s="24">
        <f t="shared" si="242"/>
        <v>3</v>
      </c>
      <c r="BB651" s="83">
        <v>44329</v>
      </c>
    </row>
    <row r="652" spans="1:54" x14ac:dyDescent="0.15">
      <c r="A652" s="47" t="s">
        <v>48</v>
      </c>
      <c r="B652" s="14"/>
      <c r="C652" s="15"/>
      <c r="D652" s="15"/>
      <c r="E652" s="15"/>
      <c r="F652" s="15"/>
      <c r="G652" s="24">
        <f t="shared" si="236"/>
        <v>0</v>
      </c>
      <c r="H652" s="14"/>
      <c r="I652" s="15"/>
      <c r="J652" s="15"/>
      <c r="K652" s="15"/>
      <c r="L652" s="15"/>
      <c r="M652" s="24">
        <f t="shared" si="237"/>
        <v>0</v>
      </c>
      <c r="N652" s="15"/>
      <c r="O652" s="55"/>
      <c r="P652" s="55"/>
      <c r="Q652" s="55"/>
      <c r="R652" s="67"/>
      <c r="S652" s="24">
        <f t="shared" si="238"/>
        <v>0</v>
      </c>
      <c r="T652" s="15"/>
      <c r="U652" s="55"/>
      <c r="V652" s="55"/>
      <c r="W652" s="55"/>
      <c r="X652" s="67">
        <v>1</v>
      </c>
      <c r="Y652" s="24">
        <f t="shared" si="239"/>
        <v>1</v>
      </c>
      <c r="Z652" s="24">
        <f t="shared" si="240"/>
        <v>1</v>
      </c>
      <c r="AA652" s="93">
        <v>44334</v>
      </c>
      <c r="AB652" s="47" t="s">
        <v>431</v>
      </c>
      <c r="AC652" s="14">
        <v>1</v>
      </c>
      <c r="AD652" s="15">
        <v>1</v>
      </c>
      <c r="AE652" s="15"/>
      <c r="AF652" s="15"/>
      <c r="AG652" s="15"/>
      <c r="AH652" s="24">
        <f t="shared" ref="AH652" si="246">SUM(AC652:AG652)</f>
        <v>2</v>
      </c>
      <c r="AI652" s="14"/>
      <c r="AJ652" s="15"/>
      <c r="AK652" s="15"/>
      <c r="AL652" s="15"/>
      <c r="AM652" s="15"/>
      <c r="AN652" s="24">
        <f t="shared" ref="AN652" si="247">SUM(AI652:AM652)</f>
        <v>0</v>
      </c>
      <c r="AO652" s="15"/>
      <c r="AP652" s="55"/>
      <c r="AQ652" s="55"/>
      <c r="AR652" s="55"/>
      <c r="AS652" s="67"/>
      <c r="AT652" s="24">
        <f t="shared" ref="AT652" si="248">SUM(AO652:AS652)</f>
        <v>0</v>
      </c>
      <c r="AU652" s="15">
        <v>1</v>
      </c>
      <c r="AV652" s="55"/>
      <c r="AW652" s="55"/>
      <c r="AX652" s="55"/>
      <c r="AY652" s="67"/>
      <c r="AZ652" s="24">
        <f t="shared" si="241"/>
        <v>1</v>
      </c>
      <c r="BA652" s="24">
        <f t="shared" si="242"/>
        <v>3</v>
      </c>
      <c r="BB652" s="83">
        <v>44329</v>
      </c>
    </row>
    <row r="653" spans="1:54" ht="14.25" x14ac:dyDescent="0.15">
      <c r="A653" s="21" t="s">
        <v>85</v>
      </c>
      <c r="B653" s="14"/>
      <c r="C653" s="15"/>
      <c r="D653" s="15">
        <v>1</v>
      </c>
      <c r="E653" s="15"/>
      <c r="F653" s="15"/>
      <c r="G653" s="24">
        <f t="shared" si="236"/>
        <v>1</v>
      </c>
      <c r="H653" s="14"/>
      <c r="I653" s="15"/>
      <c r="J653" s="15"/>
      <c r="K653" s="15"/>
      <c r="L653" s="15"/>
      <c r="M653" s="24">
        <f t="shared" si="237"/>
        <v>0</v>
      </c>
      <c r="N653" s="15"/>
      <c r="O653" s="55"/>
      <c r="P653" s="55"/>
      <c r="Q653" s="55"/>
      <c r="R653" s="67"/>
      <c r="S653" s="24">
        <f t="shared" si="238"/>
        <v>0</v>
      </c>
      <c r="T653" s="15"/>
      <c r="U653" s="55"/>
      <c r="V653" s="55"/>
      <c r="W653" s="55"/>
      <c r="X653" s="67"/>
      <c r="Y653" s="24">
        <f t="shared" si="239"/>
        <v>0</v>
      </c>
      <c r="Z653" s="24">
        <f t="shared" si="240"/>
        <v>1</v>
      </c>
      <c r="AA653" s="83">
        <v>44336</v>
      </c>
      <c r="AB653" s="21" t="s">
        <v>85</v>
      </c>
      <c r="AC653" s="14">
        <v>1</v>
      </c>
      <c r="AD653" s="15"/>
      <c r="AE653" s="15"/>
      <c r="AF653" s="15"/>
      <c r="AG653" s="15"/>
      <c r="AH653" s="24">
        <f t="shared" si="243"/>
        <v>1</v>
      </c>
      <c r="AI653" s="14"/>
      <c r="AJ653" s="15"/>
      <c r="AK653" s="15"/>
      <c r="AL653" s="15"/>
      <c r="AM653" s="15"/>
      <c r="AN653" s="24">
        <f t="shared" si="244"/>
        <v>0</v>
      </c>
      <c r="AO653" s="15"/>
      <c r="AP653" s="55"/>
      <c r="AQ653" s="55"/>
      <c r="AR653" s="55"/>
      <c r="AS653" s="67"/>
      <c r="AT653" s="24">
        <f t="shared" si="245"/>
        <v>0</v>
      </c>
      <c r="AU653" s="15"/>
      <c r="AV653" s="55"/>
      <c r="AW653" s="55"/>
      <c r="AX653" s="55"/>
      <c r="AY653" s="67"/>
      <c r="AZ653" s="24">
        <f t="shared" si="241"/>
        <v>0</v>
      </c>
      <c r="BA653" s="24">
        <f t="shared" si="242"/>
        <v>1</v>
      </c>
      <c r="BB653" s="83">
        <v>44334</v>
      </c>
    </row>
    <row r="654" spans="1:54" ht="14.25" x14ac:dyDescent="0.15">
      <c r="A654" s="21" t="s">
        <v>435</v>
      </c>
      <c r="B654" s="14"/>
      <c r="C654" s="15"/>
      <c r="D654" s="15"/>
      <c r="E654" s="15"/>
      <c r="F654" s="15"/>
      <c r="G654" s="24">
        <f t="shared" si="236"/>
        <v>0</v>
      </c>
      <c r="H654" s="14"/>
      <c r="I654" s="15">
        <v>-2</v>
      </c>
      <c r="J654" s="15">
        <v>-1</v>
      </c>
      <c r="K654" s="15"/>
      <c r="L654" s="15"/>
      <c r="M654" s="24">
        <f t="shared" si="237"/>
        <v>-3</v>
      </c>
      <c r="N654" s="15"/>
      <c r="O654" s="55"/>
      <c r="P654" s="55"/>
      <c r="Q654" s="55"/>
      <c r="R654" s="67"/>
      <c r="S654" s="24">
        <f t="shared" si="238"/>
        <v>0</v>
      </c>
      <c r="T654" s="15"/>
      <c r="U654" s="55"/>
      <c r="V654" s="55"/>
      <c r="W654" s="55"/>
      <c r="X654" s="67"/>
      <c r="Y654" s="24">
        <f t="shared" si="239"/>
        <v>0</v>
      </c>
      <c r="Z654" s="24">
        <f t="shared" si="240"/>
        <v>-3</v>
      </c>
      <c r="AA654" s="93">
        <v>44340</v>
      </c>
      <c r="AB654" s="180" t="s">
        <v>432</v>
      </c>
      <c r="AC654" s="14"/>
      <c r="AD654" s="15"/>
      <c r="AE654" s="15"/>
      <c r="AF654" s="15"/>
      <c r="AG654" s="15">
        <v>3</v>
      </c>
      <c r="AH654" s="24">
        <f t="shared" si="243"/>
        <v>3</v>
      </c>
      <c r="AI654" s="14"/>
      <c r="AJ654" s="15"/>
      <c r="AK654" s="15"/>
      <c r="AL654" s="15"/>
      <c r="AM654" s="15"/>
      <c r="AN654" s="24">
        <f t="shared" si="244"/>
        <v>0</v>
      </c>
      <c r="AO654" s="15"/>
      <c r="AP654" s="55">
        <v>4</v>
      </c>
      <c r="AQ654" s="55"/>
      <c r="AR654" s="55">
        <v>3</v>
      </c>
      <c r="AS654" s="67"/>
      <c r="AT654" s="24">
        <f t="shared" si="245"/>
        <v>7</v>
      </c>
      <c r="AU654" s="15"/>
      <c r="AV654" s="55"/>
      <c r="AW654" s="55"/>
      <c r="AX654" s="55">
        <v>2</v>
      </c>
      <c r="AY654" s="67"/>
      <c r="AZ654" s="24">
        <f t="shared" si="241"/>
        <v>2</v>
      </c>
      <c r="BA654" s="24">
        <f t="shared" si="242"/>
        <v>12</v>
      </c>
      <c r="BB654" s="83">
        <v>44342</v>
      </c>
    </row>
    <row r="655" spans="1:54" ht="14.25" x14ac:dyDescent="0.15">
      <c r="A655" s="23" t="s">
        <v>434</v>
      </c>
      <c r="B655" s="44"/>
      <c r="C655" s="45">
        <v>1</v>
      </c>
      <c r="D655" s="45"/>
      <c r="E655" s="45"/>
      <c r="F655" s="45"/>
      <c r="G655" s="43">
        <f t="shared" si="236"/>
        <v>1</v>
      </c>
      <c r="H655" s="44"/>
      <c r="I655" s="45"/>
      <c r="J655" s="45"/>
      <c r="K655" s="45"/>
      <c r="L655" s="45"/>
      <c r="M655" s="43">
        <f t="shared" si="237"/>
        <v>0</v>
      </c>
      <c r="N655" s="42"/>
      <c r="O655" s="53"/>
      <c r="P655" s="53"/>
      <c r="Q655" s="53"/>
      <c r="R655" s="72"/>
      <c r="S655" s="24">
        <f t="shared" si="238"/>
        <v>0</v>
      </c>
      <c r="T655" s="42"/>
      <c r="U655" s="53"/>
      <c r="V655" s="53"/>
      <c r="W655" s="53"/>
      <c r="X655" s="72"/>
      <c r="Y655" s="24">
        <f t="shared" si="239"/>
        <v>0</v>
      </c>
      <c r="Z655" s="24">
        <f t="shared" si="240"/>
        <v>1</v>
      </c>
      <c r="AA655" s="83">
        <v>44342</v>
      </c>
      <c r="AB655" s="21" t="s">
        <v>372</v>
      </c>
      <c r="AC655" s="14"/>
      <c r="AD655" s="15"/>
      <c r="AE655" s="15"/>
      <c r="AF655" s="15">
        <v>5</v>
      </c>
      <c r="AG655" s="15"/>
      <c r="AH655" s="24">
        <f t="shared" si="243"/>
        <v>5</v>
      </c>
      <c r="AI655" s="14"/>
      <c r="AJ655" s="15"/>
      <c r="AK655" s="15"/>
      <c r="AL655" s="15"/>
      <c r="AM655" s="15"/>
      <c r="AN655" s="24">
        <f t="shared" si="244"/>
        <v>0</v>
      </c>
      <c r="AO655" s="15"/>
      <c r="AP655" s="55"/>
      <c r="AQ655" s="55"/>
      <c r="AR655" s="55"/>
      <c r="AS655" s="67"/>
      <c r="AT655" s="24">
        <f t="shared" si="245"/>
        <v>0</v>
      </c>
      <c r="AU655" s="15"/>
      <c r="AV655" s="55"/>
      <c r="AW655" s="55"/>
      <c r="AX655" s="55"/>
      <c r="AY655" s="67"/>
      <c r="AZ655" s="24">
        <f t="shared" si="241"/>
        <v>0</v>
      </c>
      <c r="BA655" s="24">
        <f t="shared" si="242"/>
        <v>5</v>
      </c>
      <c r="BB655" s="83">
        <v>44341</v>
      </c>
    </row>
    <row r="656" spans="1:54" ht="14.25" x14ac:dyDescent="0.15">
      <c r="A656" s="23" t="s">
        <v>434</v>
      </c>
      <c r="B656" s="41"/>
      <c r="C656" s="42"/>
      <c r="D656" s="42"/>
      <c r="E656" s="42"/>
      <c r="F656" s="42">
        <v>1</v>
      </c>
      <c r="G656" s="43">
        <f t="shared" si="236"/>
        <v>1</v>
      </c>
      <c r="H656" s="41"/>
      <c r="I656" s="42"/>
      <c r="J656" s="42"/>
      <c r="K656" s="42"/>
      <c r="L656" s="42"/>
      <c r="M656" s="43">
        <f t="shared" si="237"/>
        <v>0</v>
      </c>
      <c r="N656" s="42"/>
      <c r="O656" s="53"/>
      <c r="P656" s="53"/>
      <c r="Q656" s="53"/>
      <c r="R656" s="72"/>
      <c r="S656" s="24">
        <f t="shared" si="238"/>
        <v>0</v>
      </c>
      <c r="T656" s="42"/>
      <c r="U656" s="53"/>
      <c r="V656" s="53"/>
      <c r="W656" s="53"/>
      <c r="X656" s="72"/>
      <c r="Y656" s="24">
        <f t="shared" si="239"/>
        <v>0</v>
      </c>
      <c r="Z656" s="24">
        <f t="shared" si="240"/>
        <v>1</v>
      </c>
      <c r="AA656" s="83">
        <v>44344</v>
      </c>
      <c r="AB656" s="21" t="s">
        <v>85</v>
      </c>
      <c r="AC656" s="14"/>
      <c r="AD656" s="15"/>
      <c r="AE656" s="15"/>
      <c r="AF656" s="15"/>
      <c r="AG656" s="15"/>
      <c r="AH656" s="24">
        <f t="shared" si="243"/>
        <v>0</v>
      </c>
      <c r="AI656" s="14"/>
      <c r="AJ656" s="15"/>
      <c r="AK656" s="15"/>
      <c r="AL656" s="15"/>
      <c r="AM656" s="15"/>
      <c r="AN656" s="24">
        <f t="shared" si="244"/>
        <v>0</v>
      </c>
      <c r="AO656" s="15"/>
      <c r="AP656" s="55"/>
      <c r="AQ656" s="55"/>
      <c r="AR656" s="55"/>
      <c r="AS656" s="67">
        <v>1</v>
      </c>
      <c r="AT656" s="24">
        <f t="shared" si="245"/>
        <v>1</v>
      </c>
      <c r="AU656" s="15"/>
      <c r="AV656" s="55"/>
      <c r="AW656" s="55"/>
      <c r="AX656" s="55"/>
      <c r="AY656" s="67"/>
      <c r="AZ656" s="24">
        <f t="shared" si="241"/>
        <v>0</v>
      </c>
      <c r="BA656" s="24">
        <f t="shared" si="242"/>
        <v>1</v>
      </c>
      <c r="BB656" s="83">
        <v>44337</v>
      </c>
    </row>
    <row r="657" spans="1:54" x14ac:dyDescent="0.15">
      <c r="A657" s="47" t="s">
        <v>48</v>
      </c>
      <c r="B657" s="41"/>
      <c r="C657" s="42"/>
      <c r="D657" s="42"/>
      <c r="E657" s="42">
        <v>1</v>
      </c>
      <c r="F657" s="42"/>
      <c r="G657" s="43">
        <f t="shared" si="236"/>
        <v>1</v>
      </c>
      <c r="H657" s="41"/>
      <c r="I657" s="42"/>
      <c r="J657" s="42"/>
      <c r="K657" s="42"/>
      <c r="L657" s="42"/>
      <c r="M657" s="43">
        <f t="shared" si="237"/>
        <v>0</v>
      </c>
      <c r="N657" s="42"/>
      <c r="O657" s="53"/>
      <c r="P657" s="53"/>
      <c r="Q657" s="53"/>
      <c r="R657" s="72"/>
      <c r="S657" s="24">
        <f t="shared" si="238"/>
        <v>0</v>
      </c>
      <c r="T657" s="42"/>
      <c r="U657" s="53"/>
      <c r="V657" s="53"/>
      <c r="W657" s="53"/>
      <c r="X657" s="72"/>
      <c r="Y657" s="24">
        <f t="shared" si="239"/>
        <v>0</v>
      </c>
      <c r="Z657" s="24">
        <f t="shared" si="240"/>
        <v>1</v>
      </c>
      <c r="AA657" s="83">
        <v>44349</v>
      </c>
      <c r="AB657" s="180" t="s">
        <v>433</v>
      </c>
      <c r="AC657" s="14"/>
      <c r="AD657" s="15"/>
      <c r="AE657" s="15"/>
      <c r="AF657" s="15"/>
      <c r="AG657" s="15"/>
      <c r="AH657" s="24">
        <f>SUM(AC657:AG657)</f>
        <v>0</v>
      </c>
      <c r="AI657" s="14"/>
      <c r="AJ657" s="15"/>
      <c r="AK657" s="15"/>
      <c r="AL657" s="15"/>
      <c r="AM657" s="15"/>
      <c r="AN657" s="24">
        <f>SUM(AI657:AM657)</f>
        <v>0</v>
      </c>
      <c r="AO657" s="15"/>
      <c r="AP657" s="55"/>
      <c r="AQ657" s="55">
        <v>2</v>
      </c>
      <c r="AR657" s="55"/>
      <c r="AS657" s="67"/>
      <c r="AT657" s="24">
        <f>SUM(AO657:AS657)</f>
        <v>2</v>
      </c>
      <c r="AU657" s="15"/>
      <c r="AV657" s="55"/>
      <c r="AW657" s="55"/>
      <c r="AX657" s="55"/>
      <c r="AY657" s="67"/>
      <c r="AZ657" s="24">
        <f>SUM(AU657:AY657)</f>
        <v>0</v>
      </c>
      <c r="BA657" s="24">
        <f>AH657+AN657+AT657+AZ657</f>
        <v>2</v>
      </c>
      <c r="BB657" s="83">
        <v>44350</v>
      </c>
    </row>
    <row r="658" spans="1:54" ht="14.25" x14ac:dyDescent="0.15">
      <c r="A658" s="23" t="s">
        <v>434</v>
      </c>
      <c r="B658" s="41"/>
      <c r="C658" s="42"/>
      <c r="D658" s="42"/>
      <c r="E658" s="42"/>
      <c r="F658" s="42"/>
      <c r="G658" s="43">
        <f t="shared" si="236"/>
        <v>0</v>
      </c>
      <c r="H658" s="41"/>
      <c r="I658" s="42"/>
      <c r="J658" s="42"/>
      <c r="K658" s="42"/>
      <c r="L658" s="42"/>
      <c r="M658" s="43">
        <f t="shared" si="237"/>
        <v>0</v>
      </c>
      <c r="N658" s="42"/>
      <c r="O658" s="53"/>
      <c r="P658" s="53"/>
      <c r="Q658" s="53"/>
      <c r="R658" s="72"/>
      <c r="S658" s="24">
        <f>SUM(N658:R658)</f>
        <v>0</v>
      </c>
      <c r="T658" s="42"/>
      <c r="U658" s="53">
        <v>1</v>
      </c>
      <c r="V658" s="53"/>
      <c r="W658" s="53"/>
      <c r="X658" s="72"/>
      <c r="Y658" s="24">
        <f>SUM(T658:X658)</f>
        <v>1</v>
      </c>
      <c r="Z658" s="24">
        <f>G658+M658+S658+Y658</f>
        <v>1</v>
      </c>
      <c r="AA658" s="83">
        <v>44351</v>
      </c>
      <c r="AB658" s="180" t="s">
        <v>436</v>
      </c>
      <c r="AC658" s="14"/>
      <c r="AD658" s="15"/>
      <c r="AE658" s="15"/>
      <c r="AF658" s="15"/>
      <c r="AG658" s="15">
        <v>6</v>
      </c>
      <c r="AH658" s="24">
        <f>SUM(AC658:AG658)</f>
        <v>6</v>
      </c>
      <c r="AI658" s="14"/>
      <c r="AJ658" s="15"/>
      <c r="AK658" s="15"/>
      <c r="AL658" s="15"/>
      <c r="AM658" s="15"/>
      <c r="AN658" s="24">
        <f>SUM(AI658:AM658)</f>
        <v>0</v>
      </c>
      <c r="AO658" s="15"/>
      <c r="AP658" s="55"/>
      <c r="AQ658" s="55"/>
      <c r="AR658" s="55"/>
      <c r="AS658" s="67"/>
      <c r="AT658" s="24">
        <f>SUM(AO658:AS658)</f>
        <v>0</v>
      </c>
      <c r="AU658" s="15"/>
      <c r="AV658" s="55"/>
      <c r="AW658" s="55"/>
      <c r="AX658" s="55"/>
      <c r="AY658" s="67"/>
      <c r="AZ658" s="24">
        <f>SUM(AU658:AY658)</f>
        <v>0</v>
      </c>
      <c r="BA658" s="24">
        <f>AH658+AN658+AT658+AZ658</f>
        <v>6</v>
      </c>
      <c r="BB658" s="83">
        <v>44351</v>
      </c>
    </row>
    <row r="659" spans="1:54" ht="14.25" thickBot="1" x14ac:dyDescent="0.2">
      <c r="A659" s="182"/>
      <c r="B659" s="44"/>
      <c r="C659" s="45"/>
      <c r="D659" s="45"/>
      <c r="E659" s="45"/>
      <c r="F659" s="45"/>
      <c r="G659" s="43">
        <f t="shared" si="236"/>
        <v>0</v>
      </c>
      <c r="H659" s="44"/>
      <c r="I659" s="45"/>
      <c r="J659" s="45"/>
      <c r="K659" s="45"/>
      <c r="L659" s="45"/>
      <c r="M659" s="112">
        <f t="shared" si="237"/>
        <v>0</v>
      </c>
      <c r="N659" s="45"/>
      <c r="O659" s="78"/>
      <c r="P659" s="78"/>
      <c r="Q659" s="78"/>
      <c r="R659" s="79"/>
      <c r="S659" s="113">
        <f>SUM(N659:R659)</f>
        <v>0</v>
      </c>
      <c r="T659" s="45"/>
      <c r="U659" s="78"/>
      <c r="V659" s="78"/>
      <c r="W659" s="78"/>
      <c r="X659" s="79"/>
      <c r="Y659" s="113">
        <f>SUM(T659:X659)</f>
        <v>0</v>
      </c>
      <c r="Z659" s="82">
        <f>G659+M659+S659+Y659</f>
        <v>0</v>
      </c>
      <c r="AB659" s="180" t="s">
        <v>437</v>
      </c>
      <c r="AC659" s="14"/>
      <c r="AD659" s="15"/>
      <c r="AE659" s="15"/>
      <c r="AF659" s="15"/>
      <c r="AG659" s="15"/>
      <c r="AH659" s="24">
        <f>SUM(AC659:AG659)</f>
        <v>0</v>
      </c>
      <c r="AI659" s="14"/>
      <c r="AJ659" s="15"/>
      <c r="AK659" s="15"/>
      <c r="AL659" s="15"/>
      <c r="AM659" s="15"/>
      <c r="AN659" s="24">
        <f>SUM(AI659:AM659)</f>
        <v>0</v>
      </c>
      <c r="AO659" s="15"/>
      <c r="AP659" s="55"/>
      <c r="AQ659" s="55">
        <v>3</v>
      </c>
      <c r="AR659" s="55"/>
      <c r="AS659" s="67"/>
      <c r="AT659" s="24">
        <f>SUM(AO659:AS659)</f>
        <v>3</v>
      </c>
      <c r="AU659" s="15"/>
      <c r="AV659" s="55"/>
      <c r="AW659" s="55"/>
      <c r="AX659" s="55"/>
      <c r="AY659" s="67"/>
      <c r="AZ659" s="24">
        <f>SUM(AU659:AY659)</f>
        <v>0</v>
      </c>
      <c r="BA659" s="24">
        <f>AH659+AN659+AT659+AZ659</f>
        <v>3</v>
      </c>
      <c r="BB659" s="83">
        <v>44352</v>
      </c>
    </row>
    <row r="660" spans="1:54" ht="15" thickBot="1" x14ac:dyDescent="0.2">
      <c r="A660" s="9" t="s">
        <v>13</v>
      </c>
      <c r="B660" s="25">
        <f>SUM(B634:B659)</f>
        <v>1</v>
      </c>
      <c r="C660" s="26">
        <f>SUM(C634:C659)</f>
        <v>3</v>
      </c>
      <c r="D660" s="26">
        <f>SUM(D634:D659)</f>
        <v>6</v>
      </c>
      <c r="E660" s="26">
        <f>SUM(E634:E659)</f>
        <v>2</v>
      </c>
      <c r="F660" s="27">
        <f>SUM(F634:F659)</f>
        <v>3</v>
      </c>
      <c r="G660" s="19">
        <f>SUM(B660:F660)</f>
        <v>15</v>
      </c>
      <c r="H660" s="25">
        <f>SUM(H634:H659)</f>
        <v>0</v>
      </c>
      <c r="I660" s="26">
        <f>SUM(I634:I659)</f>
        <v>-1</v>
      </c>
      <c r="J660" s="26">
        <f>SUM(J634:J659)</f>
        <v>1</v>
      </c>
      <c r="K660" s="26">
        <f>SUM(K634:K659)</f>
        <v>2</v>
      </c>
      <c r="L660" s="27">
        <f>SUM(L634:L659)</f>
        <v>0</v>
      </c>
      <c r="M660" s="25">
        <f>SUM(H660:L660)</f>
        <v>2</v>
      </c>
      <c r="N660" s="65">
        <f>SUM(N634:N659)</f>
        <v>0</v>
      </c>
      <c r="O660" s="18">
        <f>SUM(O634:O659)</f>
        <v>0</v>
      </c>
      <c r="P660" s="18">
        <f>SUM(P634:P659)</f>
        <v>1</v>
      </c>
      <c r="Q660" s="18">
        <f>SUM(Q634:Q659)</f>
        <v>0</v>
      </c>
      <c r="R660" s="70">
        <f>SUM(R634:R659)</f>
        <v>1</v>
      </c>
      <c r="S660" s="49">
        <f>SUM(N660:R660)</f>
        <v>2</v>
      </c>
      <c r="T660" s="74">
        <f>SUM(T634:T659)</f>
        <v>1</v>
      </c>
      <c r="U660" s="18">
        <f>SUM(U634:U659)</f>
        <v>2</v>
      </c>
      <c r="V660" s="18">
        <f>SUM(V634:V659)</f>
        <v>1</v>
      </c>
      <c r="W660" s="18">
        <f>SUM(W634:W659)</f>
        <v>1</v>
      </c>
      <c r="X660" s="70">
        <f>SUM(X634:X659)</f>
        <v>3</v>
      </c>
      <c r="Y660" s="49">
        <f>SUM(T660:X660)</f>
        <v>8</v>
      </c>
      <c r="Z660" s="77">
        <f>G660+M660+S660+Y660</f>
        <v>27</v>
      </c>
      <c r="AB660" s="9" t="s">
        <v>13</v>
      </c>
      <c r="AC660" s="25">
        <f>SUM(AC634:AC659)</f>
        <v>15</v>
      </c>
      <c r="AD660" s="26">
        <f>SUM(AD634:AD659)</f>
        <v>30</v>
      </c>
      <c r="AE660" s="26">
        <f>SUM(AE634:AE659)</f>
        <v>41</v>
      </c>
      <c r="AF660" s="26">
        <f>SUM(AF634:AF659)</f>
        <v>35</v>
      </c>
      <c r="AG660" s="27">
        <f>SUM(AG634:AG659)</f>
        <v>35</v>
      </c>
      <c r="AH660" s="19">
        <f>SUM(AC660:AG660)</f>
        <v>156</v>
      </c>
      <c r="AI660" s="25">
        <f>SUM(AI634:AI659)</f>
        <v>14</v>
      </c>
      <c r="AJ660" s="26">
        <f>SUM(AJ634:AJ659)</f>
        <v>27</v>
      </c>
      <c r="AK660" s="26">
        <f>SUM(AK634:AK659)</f>
        <v>18</v>
      </c>
      <c r="AL660" s="26">
        <f>SUM(AL634:AL659)</f>
        <v>17</v>
      </c>
      <c r="AM660" s="27">
        <f>SUM(AM634:AM659)</f>
        <v>25</v>
      </c>
      <c r="AN660" s="25">
        <f>SUM(AI660:AM660)</f>
        <v>101</v>
      </c>
      <c r="AO660" s="65">
        <f>SUM(AO634:AO659)</f>
        <v>12</v>
      </c>
      <c r="AP660" s="18">
        <f>SUM(AP634:AP659)</f>
        <v>16</v>
      </c>
      <c r="AQ660" s="18">
        <f>SUM(AQ634:AQ659)</f>
        <v>15</v>
      </c>
      <c r="AR660" s="18">
        <f>SUM(AR634:AR659)</f>
        <v>18</v>
      </c>
      <c r="AS660" s="70">
        <f>SUM(AS634:AS659)</f>
        <v>16</v>
      </c>
      <c r="AT660" s="49">
        <f>SUM(AO660:AS660)</f>
        <v>77</v>
      </c>
      <c r="AU660" s="74">
        <f>SUM(AU634:AU659)</f>
        <v>11</v>
      </c>
      <c r="AV660" s="18">
        <f>SUM(AV634:AV659)</f>
        <v>20</v>
      </c>
      <c r="AW660" s="18">
        <f>SUM(AW634:AW659)</f>
        <v>22</v>
      </c>
      <c r="AX660" s="18">
        <f>SUM(AX634:AX659)</f>
        <v>18</v>
      </c>
      <c r="AY660" s="70">
        <f>SUM(AY634:AY659)</f>
        <v>26</v>
      </c>
      <c r="AZ660" s="49">
        <f>SUM(AU660:AY660)</f>
        <v>97</v>
      </c>
      <c r="BA660" s="77">
        <f>AH660+AN660+AT660+AZ660</f>
        <v>431</v>
      </c>
    </row>
    <row r="661" spans="1:54" ht="15" thickBot="1" x14ac:dyDescent="0.2">
      <c r="A661" s="32" t="s">
        <v>14</v>
      </c>
      <c r="B661" s="29">
        <f t="shared" ref="B661:Y661" si="249">B633-B660</f>
        <v>2</v>
      </c>
      <c r="C661" s="30">
        <f t="shared" si="249"/>
        <v>1</v>
      </c>
      <c r="D661" s="30">
        <f t="shared" si="249"/>
        <v>1</v>
      </c>
      <c r="E661" s="30">
        <f t="shared" si="249"/>
        <v>0</v>
      </c>
      <c r="F661" s="31">
        <f t="shared" si="249"/>
        <v>1</v>
      </c>
      <c r="G661" s="31">
        <f t="shared" si="249"/>
        <v>5</v>
      </c>
      <c r="H661" s="29">
        <f t="shared" si="249"/>
        <v>3</v>
      </c>
      <c r="I661" s="30">
        <f t="shared" si="249"/>
        <v>4</v>
      </c>
      <c r="J661" s="30">
        <f t="shared" si="249"/>
        <v>4</v>
      </c>
      <c r="K661" s="30">
        <f t="shared" si="249"/>
        <v>2</v>
      </c>
      <c r="L661" s="31">
        <f t="shared" si="249"/>
        <v>5</v>
      </c>
      <c r="M661" s="66">
        <f t="shared" si="249"/>
        <v>18</v>
      </c>
      <c r="N661" s="29">
        <f t="shared" si="249"/>
        <v>3</v>
      </c>
      <c r="O661" s="30">
        <f t="shared" si="249"/>
        <v>2</v>
      </c>
      <c r="P661" s="30">
        <f t="shared" si="249"/>
        <v>2</v>
      </c>
      <c r="Q661" s="30">
        <f t="shared" si="249"/>
        <v>2</v>
      </c>
      <c r="R661" s="66">
        <f t="shared" si="249"/>
        <v>3</v>
      </c>
      <c r="S661" s="33">
        <f t="shared" si="249"/>
        <v>12</v>
      </c>
      <c r="T661" s="75">
        <f t="shared" si="249"/>
        <v>2</v>
      </c>
      <c r="U661" s="30">
        <f t="shared" si="249"/>
        <v>1</v>
      </c>
      <c r="V661" s="30">
        <f t="shared" si="249"/>
        <v>3</v>
      </c>
      <c r="W661" s="30">
        <f t="shared" si="249"/>
        <v>2</v>
      </c>
      <c r="X661" s="66">
        <f t="shared" si="249"/>
        <v>2</v>
      </c>
      <c r="Y661" s="33">
        <f t="shared" si="249"/>
        <v>10</v>
      </c>
      <c r="Z661" s="77">
        <f>G661+M661+S661+Y661</f>
        <v>45</v>
      </c>
      <c r="AB661" s="32" t="s">
        <v>14</v>
      </c>
      <c r="AC661" s="29">
        <f t="shared" ref="AC661:AZ661" si="250">AC633-AC660</f>
        <v>175</v>
      </c>
      <c r="AD661" s="30">
        <f t="shared" si="250"/>
        <v>144</v>
      </c>
      <c r="AE661" s="30">
        <f t="shared" si="250"/>
        <v>128</v>
      </c>
      <c r="AF661" s="30">
        <f t="shared" si="250"/>
        <v>140</v>
      </c>
      <c r="AG661" s="31">
        <f t="shared" si="250"/>
        <v>109</v>
      </c>
      <c r="AH661" s="31">
        <f t="shared" si="250"/>
        <v>696</v>
      </c>
      <c r="AI661" s="29">
        <f t="shared" si="250"/>
        <v>111</v>
      </c>
      <c r="AJ661" s="30">
        <f t="shared" si="250"/>
        <v>101</v>
      </c>
      <c r="AK661" s="30">
        <f t="shared" si="250"/>
        <v>111</v>
      </c>
      <c r="AL661" s="30">
        <f t="shared" si="250"/>
        <v>97</v>
      </c>
      <c r="AM661" s="31">
        <f t="shared" si="250"/>
        <v>90</v>
      </c>
      <c r="AN661" s="66">
        <f t="shared" si="250"/>
        <v>510</v>
      </c>
      <c r="AO661" s="29">
        <f t="shared" si="250"/>
        <v>165</v>
      </c>
      <c r="AP661" s="30">
        <f t="shared" si="250"/>
        <v>155</v>
      </c>
      <c r="AQ661" s="30">
        <f t="shared" si="250"/>
        <v>148</v>
      </c>
      <c r="AR661" s="30">
        <f t="shared" si="250"/>
        <v>156</v>
      </c>
      <c r="AS661" s="66">
        <f t="shared" si="250"/>
        <v>167</v>
      </c>
      <c r="AT661" s="33">
        <f t="shared" si="250"/>
        <v>791</v>
      </c>
      <c r="AU661" s="75">
        <f t="shared" si="250"/>
        <v>118</v>
      </c>
      <c r="AV661" s="30">
        <f t="shared" si="250"/>
        <v>77</v>
      </c>
      <c r="AW661" s="30">
        <f t="shared" si="250"/>
        <v>80</v>
      </c>
      <c r="AX661" s="30">
        <f t="shared" si="250"/>
        <v>81</v>
      </c>
      <c r="AY661" s="66">
        <f t="shared" si="250"/>
        <v>127</v>
      </c>
      <c r="AZ661" s="33">
        <f t="shared" si="250"/>
        <v>483</v>
      </c>
      <c r="BA661" s="77">
        <f>AH661+AN661+AT661+AZ661</f>
        <v>2480</v>
      </c>
    </row>
    <row r="664" spans="1:54" ht="19.5" thickBot="1" x14ac:dyDescent="0.25">
      <c r="A664" s="1" t="s">
        <v>15</v>
      </c>
      <c r="AB664" s="1" t="s">
        <v>16</v>
      </c>
    </row>
    <row r="665" spans="1:54" ht="15" thickBot="1" x14ac:dyDescent="0.2">
      <c r="A665" s="4"/>
      <c r="B665" s="245" t="s">
        <v>17</v>
      </c>
      <c r="C665" s="246"/>
      <c r="D665" s="246"/>
      <c r="E665" s="246"/>
      <c r="F665" s="246"/>
      <c r="G665" s="247"/>
      <c r="H665" s="245" t="s">
        <v>18</v>
      </c>
      <c r="I665" s="246"/>
      <c r="J665" s="246"/>
      <c r="K665" s="246"/>
      <c r="L665" s="246"/>
      <c r="M665" s="247"/>
      <c r="N665" s="248" t="s">
        <v>27</v>
      </c>
      <c r="O665" s="249"/>
      <c r="P665" s="249"/>
      <c r="Q665" s="249"/>
      <c r="R665" s="249"/>
      <c r="S665" s="250"/>
      <c r="T665" s="248" t="s">
        <v>28</v>
      </c>
      <c r="U665" s="249"/>
      <c r="V665" s="249"/>
      <c r="W665" s="249"/>
      <c r="X665" s="249"/>
      <c r="Y665" s="250"/>
      <c r="Z665" s="251" t="s">
        <v>1</v>
      </c>
      <c r="AB665" s="4"/>
      <c r="AC665" s="253" t="s">
        <v>17</v>
      </c>
      <c r="AD665" s="249"/>
      <c r="AE665" s="249"/>
      <c r="AF665" s="249"/>
      <c r="AG665" s="249"/>
      <c r="AH665" s="250"/>
      <c r="AI665" s="248" t="s">
        <v>18</v>
      </c>
      <c r="AJ665" s="249"/>
      <c r="AK665" s="249"/>
      <c r="AL665" s="249"/>
      <c r="AM665" s="249"/>
      <c r="AN665" s="250"/>
      <c r="AO665" s="248" t="s">
        <v>27</v>
      </c>
      <c r="AP665" s="249"/>
      <c r="AQ665" s="249"/>
      <c r="AR665" s="249"/>
      <c r="AS665" s="249"/>
      <c r="AT665" s="250"/>
      <c r="AU665" s="248" t="s">
        <v>28</v>
      </c>
      <c r="AV665" s="249"/>
      <c r="AW665" s="249"/>
      <c r="AX665" s="249"/>
      <c r="AY665" s="249"/>
      <c r="AZ665" s="250"/>
      <c r="BA665" s="243" t="s">
        <v>1</v>
      </c>
    </row>
    <row r="666" spans="1:54" ht="15" thickBot="1" x14ac:dyDescent="0.2">
      <c r="A666" s="9" t="s">
        <v>2</v>
      </c>
      <c r="B666" s="6" t="s">
        <v>3</v>
      </c>
      <c r="C666" s="7" t="s">
        <v>4</v>
      </c>
      <c r="D666" s="7" t="s">
        <v>5</v>
      </c>
      <c r="E666" s="48" t="s">
        <v>20</v>
      </c>
      <c r="F666" s="8" t="s">
        <v>21</v>
      </c>
      <c r="G666" s="5" t="s">
        <v>6</v>
      </c>
      <c r="H666" s="6" t="s">
        <v>3</v>
      </c>
      <c r="I666" s="7" t="s">
        <v>4</v>
      </c>
      <c r="J666" s="7" t="s">
        <v>5</v>
      </c>
      <c r="K666" s="48" t="s">
        <v>20</v>
      </c>
      <c r="L666" s="8" t="s">
        <v>21</v>
      </c>
      <c r="M666" s="5" t="s">
        <v>6</v>
      </c>
      <c r="N666" s="6" t="s">
        <v>3</v>
      </c>
      <c r="O666" s="7" t="s">
        <v>4</v>
      </c>
      <c r="P666" s="7" t="s">
        <v>5</v>
      </c>
      <c r="Q666" s="48" t="s">
        <v>20</v>
      </c>
      <c r="R666" s="8" t="s">
        <v>21</v>
      </c>
      <c r="S666" s="5" t="s">
        <v>6</v>
      </c>
      <c r="T666" s="7" t="s">
        <v>3</v>
      </c>
      <c r="U666" s="7" t="s">
        <v>4</v>
      </c>
      <c r="V666" s="7" t="s">
        <v>5</v>
      </c>
      <c r="W666" s="48" t="s">
        <v>20</v>
      </c>
      <c r="X666" s="109" t="s">
        <v>21</v>
      </c>
      <c r="Y666" s="62" t="s">
        <v>6</v>
      </c>
      <c r="Z666" s="252"/>
      <c r="AB666" s="9" t="s">
        <v>2</v>
      </c>
      <c r="AC666" s="6" t="s">
        <v>3</v>
      </c>
      <c r="AD666" s="7" t="s">
        <v>4</v>
      </c>
      <c r="AE666" s="7" t="s">
        <v>5</v>
      </c>
      <c r="AF666" s="48" t="s">
        <v>20</v>
      </c>
      <c r="AG666" s="8" t="s">
        <v>21</v>
      </c>
      <c r="AH666" s="5" t="s">
        <v>6</v>
      </c>
      <c r="AI666" s="6" t="s">
        <v>3</v>
      </c>
      <c r="AJ666" s="7" t="s">
        <v>4</v>
      </c>
      <c r="AK666" s="7" t="s">
        <v>5</v>
      </c>
      <c r="AL666" s="48" t="s">
        <v>20</v>
      </c>
      <c r="AM666" s="8" t="s">
        <v>21</v>
      </c>
      <c r="AN666" s="5" t="s">
        <v>6</v>
      </c>
      <c r="AO666" s="6" t="s">
        <v>3</v>
      </c>
      <c r="AP666" s="7" t="s">
        <v>4</v>
      </c>
      <c r="AQ666" s="7" t="s">
        <v>5</v>
      </c>
      <c r="AR666" s="48" t="s">
        <v>20</v>
      </c>
      <c r="AS666" s="8" t="s">
        <v>21</v>
      </c>
      <c r="AT666" s="5" t="s">
        <v>6</v>
      </c>
      <c r="AU666" s="7" t="s">
        <v>3</v>
      </c>
      <c r="AV666" s="7" t="s">
        <v>4</v>
      </c>
      <c r="AW666" s="7" t="s">
        <v>5</v>
      </c>
      <c r="AX666" s="48" t="s">
        <v>20</v>
      </c>
      <c r="AY666" s="109" t="s">
        <v>21</v>
      </c>
      <c r="AZ666" s="62" t="s">
        <v>6</v>
      </c>
      <c r="BA666" s="244"/>
    </row>
    <row r="667" spans="1:54" ht="14.25" x14ac:dyDescent="0.15">
      <c r="A667" s="103" t="s">
        <v>43</v>
      </c>
      <c r="B667" s="104">
        <f>B661</f>
        <v>2</v>
      </c>
      <c r="C667" s="105">
        <f>C661</f>
        <v>1</v>
      </c>
      <c r="D667" s="105">
        <f>D661</f>
        <v>1</v>
      </c>
      <c r="E667" s="105">
        <f>E661</f>
        <v>0</v>
      </c>
      <c r="F667" s="105">
        <f>F661</f>
        <v>1</v>
      </c>
      <c r="G667" s="106">
        <f t="shared" ref="G667:G698" si="251">SUM(B667:F667)</f>
        <v>5</v>
      </c>
      <c r="H667" s="104">
        <f>H661</f>
        <v>3</v>
      </c>
      <c r="I667" s="105">
        <f>I661</f>
        <v>4</v>
      </c>
      <c r="J667" s="105">
        <f>J661</f>
        <v>4</v>
      </c>
      <c r="K667" s="105">
        <f>K661</f>
        <v>2</v>
      </c>
      <c r="L667" s="105">
        <f>L661</f>
        <v>5</v>
      </c>
      <c r="M667" s="107">
        <f t="shared" ref="M667:M698" si="252">SUM(H667:L667)</f>
        <v>18</v>
      </c>
      <c r="N667" s="104">
        <f>N661</f>
        <v>3</v>
      </c>
      <c r="O667" s="105">
        <f>O661</f>
        <v>2</v>
      </c>
      <c r="P667" s="105">
        <f>P661</f>
        <v>2</v>
      </c>
      <c r="Q667" s="105">
        <f>Q661</f>
        <v>2</v>
      </c>
      <c r="R667" s="105">
        <f>R661</f>
        <v>3</v>
      </c>
      <c r="S667" s="108">
        <f t="shared" ref="S667:S696" si="253">SUM(N667:R667)</f>
        <v>12</v>
      </c>
      <c r="T667" s="104">
        <f>T661</f>
        <v>2</v>
      </c>
      <c r="U667" s="105">
        <f>U661</f>
        <v>1</v>
      </c>
      <c r="V667" s="105">
        <f>V661</f>
        <v>3</v>
      </c>
      <c r="W667" s="105">
        <f>W661</f>
        <v>2</v>
      </c>
      <c r="X667" s="105">
        <f>X661</f>
        <v>2</v>
      </c>
      <c r="Y667" s="106">
        <f t="shared" ref="Y667:Y696" si="254">SUM(T667:X667)</f>
        <v>10</v>
      </c>
      <c r="Z667" s="106">
        <f t="shared" ref="Z667:Z696" si="255">G667+M667+S667+Y667</f>
        <v>45</v>
      </c>
      <c r="AB667" s="103" t="s">
        <v>43</v>
      </c>
      <c r="AC667" s="104">
        <f>AC661</f>
        <v>175</v>
      </c>
      <c r="AD667" s="105">
        <f>AD661</f>
        <v>144</v>
      </c>
      <c r="AE667" s="105">
        <f>AE661</f>
        <v>128</v>
      </c>
      <c r="AF667" s="105">
        <f>AF661</f>
        <v>140</v>
      </c>
      <c r="AG667" s="105">
        <f>AG661</f>
        <v>109</v>
      </c>
      <c r="AH667" s="106">
        <f>SUM(AC667:AG667)</f>
        <v>696</v>
      </c>
      <c r="AI667" s="104">
        <f>AI661</f>
        <v>111</v>
      </c>
      <c r="AJ667" s="105">
        <f>AJ661</f>
        <v>101</v>
      </c>
      <c r="AK667" s="105">
        <f>AK661</f>
        <v>111</v>
      </c>
      <c r="AL667" s="105">
        <f>AL661</f>
        <v>97</v>
      </c>
      <c r="AM667" s="105">
        <f>AM661</f>
        <v>90</v>
      </c>
      <c r="AN667" s="107">
        <f>SUM(AI667:AM667)</f>
        <v>510</v>
      </c>
      <c r="AO667" s="104">
        <f>AO661</f>
        <v>165</v>
      </c>
      <c r="AP667" s="105">
        <f>AP661</f>
        <v>155</v>
      </c>
      <c r="AQ667" s="105">
        <f>AQ661</f>
        <v>148</v>
      </c>
      <c r="AR667" s="105">
        <f>AR661</f>
        <v>156</v>
      </c>
      <c r="AS667" s="105">
        <f>AS661</f>
        <v>167</v>
      </c>
      <c r="AT667" s="108">
        <f>SUM(AO667:AS667)</f>
        <v>791</v>
      </c>
      <c r="AU667" s="104">
        <f>AU661</f>
        <v>118</v>
      </c>
      <c r="AV667" s="105">
        <f>AV661</f>
        <v>77</v>
      </c>
      <c r="AW667" s="105">
        <f>AW661</f>
        <v>80</v>
      </c>
      <c r="AX667" s="105">
        <f>AX661</f>
        <v>81</v>
      </c>
      <c r="AY667" s="105">
        <f>AY661</f>
        <v>127</v>
      </c>
      <c r="AZ667" s="106">
        <f>SUM(AU667:AY667)</f>
        <v>483</v>
      </c>
      <c r="BA667" s="106">
        <f>AH667+AN667+AT667+AZ667</f>
        <v>2480</v>
      </c>
    </row>
    <row r="668" spans="1:54" ht="14.25" x14ac:dyDescent="0.15">
      <c r="A668" s="10" t="s">
        <v>181</v>
      </c>
      <c r="B668" s="14"/>
      <c r="C668" s="15">
        <v>2</v>
      </c>
      <c r="D668" s="15">
        <v>2</v>
      </c>
      <c r="E668" s="15">
        <v>2</v>
      </c>
      <c r="F668" s="15">
        <v>2</v>
      </c>
      <c r="G668" s="16">
        <f t="shared" si="251"/>
        <v>8</v>
      </c>
      <c r="H668" s="14"/>
      <c r="I668" s="15"/>
      <c r="J668" s="15"/>
      <c r="K668" s="15"/>
      <c r="L668" s="15"/>
      <c r="M668" s="57">
        <f t="shared" si="252"/>
        <v>0</v>
      </c>
      <c r="N668" s="14"/>
      <c r="O668" s="55"/>
      <c r="P668" s="55">
        <v>2</v>
      </c>
      <c r="Q668" s="55"/>
      <c r="R668" s="67"/>
      <c r="S668" s="24">
        <f t="shared" si="253"/>
        <v>2</v>
      </c>
      <c r="T668" s="15"/>
      <c r="U668" s="55">
        <v>2</v>
      </c>
      <c r="V668" s="55"/>
      <c r="W668" s="55"/>
      <c r="X668" s="67">
        <v>2</v>
      </c>
      <c r="Y668" s="24">
        <f t="shared" si="254"/>
        <v>4</v>
      </c>
      <c r="Z668" s="24">
        <f t="shared" si="255"/>
        <v>14</v>
      </c>
      <c r="AA668" s="83">
        <v>44352</v>
      </c>
      <c r="AB668" s="10" t="s">
        <v>181</v>
      </c>
      <c r="AC668" s="14"/>
      <c r="AD668" s="15"/>
      <c r="AE668" s="15"/>
      <c r="AF668" s="15"/>
      <c r="AG668" s="15"/>
      <c r="AH668" s="24">
        <v>3</v>
      </c>
      <c r="AI668" s="14"/>
      <c r="AJ668" s="15"/>
      <c r="AK668" s="15"/>
      <c r="AL668" s="15"/>
      <c r="AM668" s="15"/>
      <c r="AN668" s="24">
        <v>1</v>
      </c>
      <c r="AO668" s="14"/>
      <c r="AP668" s="55"/>
      <c r="AQ668" s="55"/>
      <c r="AR668" s="55"/>
      <c r="AS668" s="67"/>
      <c r="AT668" s="24">
        <v>1</v>
      </c>
      <c r="AU668" s="15"/>
      <c r="AV668" s="55"/>
      <c r="AW668" s="55"/>
      <c r="AX668" s="55"/>
      <c r="AY668" s="67"/>
      <c r="AZ668" s="24">
        <v>2</v>
      </c>
      <c r="BA668" s="24">
        <v>7</v>
      </c>
      <c r="BB668" s="93"/>
    </row>
    <row r="669" spans="1:54" ht="14.25" x14ac:dyDescent="0.15">
      <c r="A669" s="10" t="s">
        <v>77</v>
      </c>
      <c r="B669" s="41"/>
      <c r="C669" s="42"/>
      <c r="D669" s="42"/>
      <c r="E669" s="42"/>
      <c r="F669" s="42"/>
      <c r="G669" s="37">
        <f t="shared" si="251"/>
        <v>0</v>
      </c>
      <c r="H669" s="41"/>
      <c r="I669" s="42"/>
      <c r="J669" s="42"/>
      <c r="K669" s="42"/>
      <c r="L669" s="42"/>
      <c r="M669" s="114">
        <f t="shared" si="252"/>
        <v>0</v>
      </c>
      <c r="N669" s="41"/>
      <c r="O669" s="53"/>
      <c r="P669" s="53"/>
      <c r="Q669" s="53"/>
      <c r="R669" s="72"/>
      <c r="S669" s="24">
        <f t="shared" si="253"/>
        <v>0</v>
      </c>
      <c r="T669" s="42"/>
      <c r="U669" s="53">
        <v>1</v>
      </c>
      <c r="V669" s="53"/>
      <c r="W669" s="53"/>
      <c r="X669" s="72"/>
      <c r="Y669" s="24">
        <f t="shared" si="254"/>
        <v>1</v>
      </c>
      <c r="Z669" s="24">
        <f t="shared" si="255"/>
        <v>1</v>
      </c>
      <c r="AA669" s="93">
        <v>44354</v>
      </c>
      <c r="AB669" s="10" t="s">
        <v>181</v>
      </c>
      <c r="AC669" s="14"/>
      <c r="AD669" s="15"/>
      <c r="AE669" s="15"/>
      <c r="AF669" s="15"/>
      <c r="AG669" s="15"/>
      <c r="AH669" s="24">
        <v>2</v>
      </c>
      <c r="AI669" s="14"/>
      <c r="AJ669" s="15"/>
      <c r="AK669" s="15"/>
      <c r="AL669" s="15"/>
      <c r="AM669" s="15"/>
      <c r="AN669" s="24">
        <v>1</v>
      </c>
      <c r="AO669" s="14"/>
      <c r="AP669" s="55"/>
      <c r="AQ669" s="55"/>
      <c r="AR669" s="55"/>
      <c r="AS669" s="67"/>
      <c r="AT669" s="24">
        <v>0</v>
      </c>
      <c r="AU669" s="15"/>
      <c r="AV669" s="55"/>
      <c r="AW669" s="55"/>
      <c r="AX669" s="55"/>
      <c r="AY669" s="67"/>
      <c r="AZ669" s="24">
        <v>0</v>
      </c>
      <c r="BA669" s="24">
        <v>3</v>
      </c>
      <c r="BB669" s="93"/>
    </row>
    <row r="670" spans="1:54" ht="14.25" x14ac:dyDescent="0.15">
      <c r="A670" s="10" t="s">
        <v>77</v>
      </c>
      <c r="B670" s="14"/>
      <c r="C670" s="15"/>
      <c r="D670" s="15"/>
      <c r="E670" s="15">
        <v>1</v>
      </c>
      <c r="F670" s="15"/>
      <c r="G670" s="16">
        <f t="shared" si="251"/>
        <v>1</v>
      </c>
      <c r="H670" s="14"/>
      <c r="I670" s="15"/>
      <c r="J670" s="15"/>
      <c r="K670" s="15"/>
      <c r="L670" s="15"/>
      <c r="M670" s="57">
        <f t="shared" si="252"/>
        <v>0</v>
      </c>
      <c r="N670" s="14"/>
      <c r="O670" s="55"/>
      <c r="P670" s="55"/>
      <c r="Q670" s="55"/>
      <c r="R670" s="67"/>
      <c r="S670" s="24">
        <f t="shared" si="253"/>
        <v>0</v>
      </c>
      <c r="T670" s="15"/>
      <c r="U670" s="55"/>
      <c r="V670" s="55"/>
      <c r="W670" s="55"/>
      <c r="X670" s="67"/>
      <c r="Y670" s="24">
        <f t="shared" si="254"/>
        <v>0</v>
      </c>
      <c r="Z670" s="24">
        <f t="shared" si="255"/>
        <v>1</v>
      </c>
      <c r="AA670" s="93">
        <v>44357</v>
      </c>
      <c r="AB670" s="23" t="s">
        <v>441</v>
      </c>
      <c r="AC670" s="41"/>
      <c r="AD670" s="42">
        <v>1</v>
      </c>
      <c r="AE670" s="42">
        <v>2</v>
      </c>
      <c r="AF670" s="42">
        <v>1</v>
      </c>
      <c r="AG670" s="42"/>
      <c r="AH670" s="43">
        <f t="shared" ref="AH670" si="256">SUM(AC670:AG670)</f>
        <v>4</v>
      </c>
      <c r="AI670" s="41"/>
      <c r="AJ670" s="42">
        <v>1</v>
      </c>
      <c r="AK670" s="42">
        <v>2</v>
      </c>
      <c r="AL670" s="42"/>
      <c r="AM670" s="42"/>
      <c r="AN670" s="43">
        <f t="shared" ref="AN670" si="257">SUM(AI670:AM670)</f>
        <v>3</v>
      </c>
      <c r="AO670" s="42">
        <v>3</v>
      </c>
      <c r="AP670" s="53"/>
      <c r="AQ670" s="53"/>
      <c r="AR670" s="53">
        <v>1</v>
      </c>
      <c r="AS670" s="72"/>
      <c r="AT670" s="24">
        <f t="shared" ref="AT670" si="258">SUM(AO670:AS670)</f>
        <v>4</v>
      </c>
      <c r="AU670" s="42">
        <v>2</v>
      </c>
      <c r="AV670" s="53">
        <v>3</v>
      </c>
      <c r="AW670" s="53"/>
      <c r="AX670" s="53">
        <v>1</v>
      </c>
      <c r="AY670" s="72"/>
      <c r="AZ670" s="24">
        <f t="shared" ref="AZ670" si="259">SUM(AU670:AY670)</f>
        <v>6</v>
      </c>
      <c r="BA670" s="24">
        <f t="shared" ref="BA670" si="260">AH670+AN670+AT670+AZ670</f>
        <v>17</v>
      </c>
      <c r="BB670" s="83">
        <v>44366</v>
      </c>
    </row>
    <row r="671" spans="1:54" ht="15" thickBot="1" x14ac:dyDescent="0.2">
      <c r="A671" s="10" t="s">
        <v>366</v>
      </c>
      <c r="B671" s="14"/>
      <c r="C671" s="15">
        <v>1</v>
      </c>
      <c r="D671" s="15">
        <v>2</v>
      </c>
      <c r="E671" s="15"/>
      <c r="F671" s="15">
        <v>1</v>
      </c>
      <c r="G671" s="16">
        <f t="shared" si="251"/>
        <v>4</v>
      </c>
      <c r="H671" s="14"/>
      <c r="I671" s="15">
        <v>1</v>
      </c>
      <c r="J671" s="15">
        <v>2</v>
      </c>
      <c r="K671" s="15"/>
      <c r="L671" s="15"/>
      <c r="M671" s="57">
        <f t="shared" si="252"/>
        <v>3</v>
      </c>
      <c r="N671" s="63">
        <v>3</v>
      </c>
      <c r="O671" s="64"/>
      <c r="P671" s="64"/>
      <c r="Q671" s="64">
        <v>1</v>
      </c>
      <c r="R671" s="69"/>
      <c r="S671" s="82">
        <f t="shared" si="253"/>
        <v>4</v>
      </c>
      <c r="T671" s="73">
        <v>2</v>
      </c>
      <c r="U671" s="64">
        <v>3</v>
      </c>
      <c r="V671" s="64"/>
      <c r="W671" s="64">
        <v>1</v>
      </c>
      <c r="X671" s="69"/>
      <c r="Y671" s="82">
        <f t="shared" si="254"/>
        <v>6</v>
      </c>
      <c r="Z671" s="82">
        <f t="shared" si="255"/>
        <v>17</v>
      </c>
      <c r="AA671" s="83">
        <v>44362</v>
      </c>
      <c r="AB671" s="10" t="s">
        <v>181</v>
      </c>
      <c r="AC671" s="14"/>
      <c r="AD671" s="15"/>
      <c r="AE671" s="15"/>
      <c r="AF671" s="15"/>
      <c r="AG671" s="15"/>
      <c r="AH671" s="178">
        <f>SUM(AC671:AG671)</f>
        <v>0</v>
      </c>
      <c r="AI671" s="14"/>
      <c r="AJ671" s="15"/>
      <c r="AK671" s="15"/>
      <c r="AL671" s="15"/>
      <c r="AM671" s="15"/>
      <c r="AN671" s="178">
        <f>SUM(AI671:AM671)</f>
        <v>0</v>
      </c>
      <c r="AO671" s="63"/>
      <c r="AP671" s="64"/>
      <c r="AQ671" s="64"/>
      <c r="AR671" s="64"/>
      <c r="AS671" s="69"/>
      <c r="AT671" s="178">
        <f>SUM(AO671:AS671)</f>
        <v>0</v>
      </c>
      <c r="AU671" s="73"/>
      <c r="AV671" s="64"/>
      <c r="AW671" s="64"/>
      <c r="AX671" s="64"/>
      <c r="AY671" s="69"/>
      <c r="AZ671" s="178">
        <f t="shared" ref="AZ671:AZ695" si="261">SUM(AU671:AY671)</f>
        <v>0</v>
      </c>
      <c r="BA671" s="178">
        <f t="shared" ref="BA671:BA695" si="262">AH671+AN671+AT671+AZ671</f>
        <v>0</v>
      </c>
    </row>
    <row r="672" spans="1:54" ht="15" thickBot="1" x14ac:dyDescent="0.2">
      <c r="A672" s="4" t="s">
        <v>12</v>
      </c>
      <c r="B672" s="17">
        <f>SUM(B667:B671)</f>
        <v>2</v>
      </c>
      <c r="C672" s="18">
        <f>SUM(C667:C671)</f>
        <v>4</v>
      </c>
      <c r="D672" s="18">
        <f>SUM(D667:D671)</f>
        <v>5</v>
      </c>
      <c r="E672" s="18">
        <f>SUM(E667:E671)</f>
        <v>3</v>
      </c>
      <c r="F672" s="18">
        <f>SUM(F667:F671)</f>
        <v>4</v>
      </c>
      <c r="G672" s="19">
        <f t="shared" si="251"/>
        <v>18</v>
      </c>
      <c r="H672" s="17">
        <f>SUM(H667:H671)</f>
        <v>3</v>
      </c>
      <c r="I672" s="18">
        <f>SUM(I667:I671)</f>
        <v>5</v>
      </c>
      <c r="J672" s="18">
        <f>SUM(J667:J671)</f>
        <v>6</v>
      </c>
      <c r="K672" s="18">
        <f>SUM(K667:K671)</f>
        <v>2</v>
      </c>
      <c r="L672" s="18">
        <f>SUM(L667:L671)</f>
        <v>5</v>
      </c>
      <c r="M672" s="25">
        <f t="shared" si="252"/>
        <v>21</v>
      </c>
      <c r="N672" s="65">
        <f>SUM(N667:N671)</f>
        <v>6</v>
      </c>
      <c r="O672" s="18">
        <f>SUM(O667:O671)</f>
        <v>2</v>
      </c>
      <c r="P672" s="18">
        <f>SUM(P667:P671)</f>
        <v>4</v>
      </c>
      <c r="Q672" s="18">
        <f>SUM(Q667:Q671)</f>
        <v>3</v>
      </c>
      <c r="R672" s="70">
        <f>SUM(R667:R671)</f>
        <v>3</v>
      </c>
      <c r="S672" s="49">
        <f t="shared" si="253"/>
        <v>18</v>
      </c>
      <c r="T672" s="74">
        <f>SUM(T667:T671)</f>
        <v>4</v>
      </c>
      <c r="U672" s="18">
        <f>SUM(U667:U671)</f>
        <v>7</v>
      </c>
      <c r="V672" s="18">
        <f>SUM(V667:V671)</f>
        <v>3</v>
      </c>
      <c r="W672" s="18">
        <f>SUM(W667:W671)</f>
        <v>3</v>
      </c>
      <c r="X672" s="70">
        <f>SUM(X667:X671)</f>
        <v>4</v>
      </c>
      <c r="Y672" s="49">
        <f t="shared" si="254"/>
        <v>21</v>
      </c>
      <c r="Z672" s="33">
        <f t="shared" si="255"/>
        <v>78</v>
      </c>
      <c r="AB672" s="4" t="s">
        <v>12</v>
      </c>
      <c r="AC672" s="17">
        <f>SUM(AC667:AC671)</f>
        <v>175</v>
      </c>
      <c r="AD672" s="18">
        <f>SUM(AD667:AD671)</f>
        <v>145</v>
      </c>
      <c r="AE672" s="18">
        <f>SUM(AE667:AE671)</f>
        <v>130</v>
      </c>
      <c r="AF672" s="18">
        <f>SUM(AF667:AF671)</f>
        <v>141</v>
      </c>
      <c r="AG672" s="18">
        <f>SUM(AG667:AG671)</f>
        <v>109</v>
      </c>
      <c r="AH672" s="148">
        <f t="shared" ref="AH672:AH695" si="263">SUM(AC672:AG672)</f>
        <v>700</v>
      </c>
      <c r="AI672" s="17">
        <f>SUM(AI667:AI671)</f>
        <v>111</v>
      </c>
      <c r="AJ672" s="18">
        <f>SUM(AJ667:AJ671)</f>
        <v>102</v>
      </c>
      <c r="AK672" s="18">
        <f>SUM(AK667:AK671)</f>
        <v>113</v>
      </c>
      <c r="AL672" s="18">
        <f>SUM(AL667:AL671)</f>
        <v>97</v>
      </c>
      <c r="AM672" s="18">
        <f>SUM(AM667:AM671)</f>
        <v>90</v>
      </c>
      <c r="AN672" s="148">
        <f t="shared" ref="AN672:AN695" si="264">SUM(AI672:AM672)</f>
        <v>513</v>
      </c>
      <c r="AO672" s="65">
        <f>SUM(AO667:AO671)</f>
        <v>168</v>
      </c>
      <c r="AP672" s="18">
        <f>SUM(AP667:AP671)</f>
        <v>155</v>
      </c>
      <c r="AQ672" s="18">
        <f>SUM(AQ667:AQ671)</f>
        <v>148</v>
      </c>
      <c r="AR672" s="18">
        <f>SUM(AR667:AR671)</f>
        <v>157</v>
      </c>
      <c r="AS672" s="70">
        <f>SUM(AS667:AS671)</f>
        <v>167</v>
      </c>
      <c r="AT672" s="49">
        <f t="shared" ref="AT672:AT695" si="265">SUM(AO672:AS672)</f>
        <v>795</v>
      </c>
      <c r="AU672" s="74">
        <f>SUM(AU667:AU671)</f>
        <v>120</v>
      </c>
      <c r="AV672" s="18">
        <f>SUM(AV667:AV671)</f>
        <v>80</v>
      </c>
      <c r="AW672" s="18">
        <f>SUM(AW667:AW671)</f>
        <v>80</v>
      </c>
      <c r="AX672" s="18">
        <f>SUM(AX667:AX671)</f>
        <v>82</v>
      </c>
      <c r="AY672" s="70">
        <f>SUM(AY667:AY671)</f>
        <v>127</v>
      </c>
      <c r="AZ672" s="49">
        <f t="shared" si="261"/>
        <v>489</v>
      </c>
      <c r="BA672" s="33">
        <f t="shared" si="262"/>
        <v>2497</v>
      </c>
    </row>
    <row r="673" spans="1:55" ht="14.25" x14ac:dyDescent="0.15">
      <c r="A673" s="47" t="s">
        <v>48</v>
      </c>
      <c r="B673" s="34"/>
      <c r="C673" s="35"/>
      <c r="D673" s="35"/>
      <c r="E673" s="35"/>
      <c r="F673" s="35"/>
      <c r="G673" s="36">
        <f t="shared" si="251"/>
        <v>0</v>
      </c>
      <c r="H673" s="34"/>
      <c r="I673" s="35"/>
      <c r="J673" s="35"/>
      <c r="K673" s="35"/>
      <c r="L673" s="35"/>
      <c r="M673" s="36">
        <f t="shared" si="252"/>
        <v>0</v>
      </c>
      <c r="N673" s="39"/>
      <c r="O673" s="56"/>
      <c r="P673" s="56">
        <v>1</v>
      </c>
      <c r="Q673" s="56"/>
      <c r="R673" s="71"/>
      <c r="S673" s="16">
        <f t="shared" si="253"/>
        <v>1</v>
      </c>
      <c r="T673" s="39"/>
      <c r="U673" s="56"/>
      <c r="V673" s="56"/>
      <c r="W673" s="56"/>
      <c r="X673" s="71"/>
      <c r="Y673" s="16">
        <f t="shared" si="254"/>
        <v>0</v>
      </c>
      <c r="Z673" s="16">
        <f t="shared" si="255"/>
        <v>1</v>
      </c>
      <c r="AA673" s="83">
        <v>44351</v>
      </c>
      <c r="AB673" s="21" t="s">
        <v>85</v>
      </c>
      <c r="AC673" s="14"/>
      <c r="AD673" s="15"/>
      <c r="AE673" s="15"/>
      <c r="AF673" s="15"/>
      <c r="AG673" s="15"/>
      <c r="AH673" s="24">
        <f t="shared" si="263"/>
        <v>0</v>
      </c>
      <c r="AI673" s="14"/>
      <c r="AJ673" s="15"/>
      <c r="AK673" s="15"/>
      <c r="AL673" s="15"/>
      <c r="AM673" s="15"/>
      <c r="AN673" s="24">
        <f t="shared" si="264"/>
        <v>0</v>
      </c>
      <c r="AO673" s="15"/>
      <c r="AP673" s="55"/>
      <c r="AQ673" s="55"/>
      <c r="AR673" s="55"/>
      <c r="AS673" s="67"/>
      <c r="AT673" s="24">
        <f t="shared" si="265"/>
        <v>0</v>
      </c>
      <c r="AU673" s="15"/>
      <c r="AV673" s="55">
        <v>1</v>
      </c>
      <c r="AW673" s="55"/>
      <c r="AX673" s="55"/>
      <c r="AY673" s="67"/>
      <c r="AZ673" s="24">
        <f t="shared" si="261"/>
        <v>1</v>
      </c>
      <c r="BA673" s="24">
        <f t="shared" si="262"/>
        <v>1</v>
      </c>
      <c r="BB673" s="83">
        <v>44352</v>
      </c>
    </row>
    <row r="674" spans="1:55" ht="14.25" x14ac:dyDescent="0.15">
      <c r="A674" s="23" t="s">
        <v>438</v>
      </c>
      <c r="B674" s="14"/>
      <c r="C674" s="15"/>
      <c r="D674" s="15"/>
      <c r="E674" s="15"/>
      <c r="F674" s="15">
        <v>1</v>
      </c>
      <c r="G674" s="24">
        <f t="shared" si="251"/>
        <v>1</v>
      </c>
      <c r="H674" s="14"/>
      <c r="I674" s="15"/>
      <c r="J674" s="15"/>
      <c r="K674" s="15"/>
      <c r="L674" s="15"/>
      <c r="M674" s="24">
        <f t="shared" si="252"/>
        <v>0</v>
      </c>
      <c r="N674" s="15"/>
      <c r="O674" s="55"/>
      <c r="P674" s="55"/>
      <c r="Q674" s="55"/>
      <c r="R674" s="67"/>
      <c r="S674" s="24">
        <f t="shared" si="253"/>
        <v>0</v>
      </c>
      <c r="T674" s="15"/>
      <c r="U674" s="55"/>
      <c r="V674" s="55"/>
      <c r="W674" s="55"/>
      <c r="X674" s="67"/>
      <c r="Y674" s="24">
        <f t="shared" si="254"/>
        <v>0</v>
      </c>
      <c r="Z674" s="24">
        <f t="shared" si="255"/>
        <v>1</v>
      </c>
      <c r="AA674" s="83">
        <v>44359</v>
      </c>
      <c r="AB674" s="10" t="s">
        <v>126</v>
      </c>
      <c r="AC674" s="14"/>
      <c r="AD674" s="15">
        <v>2</v>
      </c>
      <c r="AE674" s="15">
        <v>2</v>
      </c>
      <c r="AF674" s="15">
        <v>2</v>
      </c>
      <c r="AG674" s="15">
        <v>2</v>
      </c>
      <c r="AH674" s="16">
        <f t="shared" ref="AH674" si="266">SUM(AC674:AG674)</f>
        <v>8</v>
      </c>
      <c r="AI674" s="14"/>
      <c r="AJ674" s="15"/>
      <c r="AK674" s="15"/>
      <c r="AL674" s="15"/>
      <c r="AM674" s="15"/>
      <c r="AN674" s="57">
        <f t="shared" ref="AN674" si="267">SUM(AI674:AM674)</f>
        <v>0</v>
      </c>
      <c r="AO674" s="14"/>
      <c r="AP674" s="55"/>
      <c r="AQ674" s="55">
        <v>2</v>
      </c>
      <c r="AR674" s="55"/>
      <c r="AS674" s="67"/>
      <c r="AT674" s="24">
        <f t="shared" ref="AT674" si="268">SUM(AO674:AS674)</f>
        <v>2</v>
      </c>
      <c r="AU674" s="15"/>
      <c r="AV674" s="55">
        <v>2</v>
      </c>
      <c r="AW674" s="55"/>
      <c r="AX674" s="55"/>
      <c r="AY674" s="67">
        <v>2</v>
      </c>
      <c r="AZ674" s="24">
        <f t="shared" si="261"/>
        <v>4</v>
      </c>
      <c r="BA674" s="24">
        <f t="shared" si="262"/>
        <v>14</v>
      </c>
      <c r="BB674" s="83">
        <v>44352</v>
      </c>
    </row>
    <row r="675" spans="1:55" ht="14.25" x14ac:dyDescent="0.15">
      <c r="A675" s="23" t="s">
        <v>438</v>
      </c>
      <c r="B675" s="41"/>
      <c r="C675" s="42">
        <v>1</v>
      </c>
      <c r="D675" s="42"/>
      <c r="E675" s="42"/>
      <c r="F675" s="42"/>
      <c r="G675" s="43">
        <f t="shared" si="251"/>
        <v>1</v>
      </c>
      <c r="H675" s="41"/>
      <c r="I675" s="42"/>
      <c r="J675" s="42"/>
      <c r="K675" s="42"/>
      <c r="L675" s="42"/>
      <c r="M675" s="43">
        <f t="shared" si="252"/>
        <v>0</v>
      </c>
      <c r="N675" s="42"/>
      <c r="O675" s="53"/>
      <c r="P675" s="53"/>
      <c r="Q675" s="53"/>
      <c r="R675" s="72"/>
      <c r="S675" s="24">
        <f t="shared" si="253"/>
        <v>0</v>
      </c>
      <c r="T675" s="42"/>
      <c r="U675" s="53">
        <v>1</v>
      </c>
      <c r="V675" s="53"/>
      <c r="W675" s="53"/>
      <c r="X675" s="72"/>
      <c r="Y675" s="24">
        <f t="shared" si="254"/>
        <v>1</v>
      </c>
      <c r="Z675" s="24">
        <f t="shared" si="255"/>
        <v>2</v>
      </c>
      <c r="AA675" s="83">
        <v>44362</v>
      </c>
      <c r="AB675" s="180" t="s">
        <v>444</v>
      </c>
      <c r="AC675" s="41"/>
      <c r="AD675" s="42">
        <v>2</v>
      </c>
      <c r="AE675" s="42"/>
      <c r="AF675" s="42"/>
      <c r="AG675" s="42"/>
      <c r="AH675" s="43">
        <f t="shared" si="263"/>
        <v>2</v>
      </c>
      <c r="AI675" s="41"/>
      <c r="AJ675" s="42"/>
      <c r="AK675" s="42"/>
      <c r="AL675" s="42"/>
      <c r="AM675" s="42"/>
      <c r="AN675" s="43">
        <f t="shared" si="264"/>
        <v>0</v>
      </c>
      <c r="AO675" s="42"/>
      <c r="AP675" s="53"/>
      <c r="AQ675" s="53"/>
      <c r="AR675" s="53"/>
      <c r="AS675" s="72"/>
      <c r="AT675" s="43">
        <f t="shared" si="265"/>
        <v>0</v>
      </c>
      <c r="AU675" s="42"/>
      <c r="AV675" s="53"/>
      <c r="AW675" s="53"/>
      <c r="AX675" s="53"/>
      <c r="AY675" s="72"/>
      <c r="AZ675" s="43">
        <f t="shared" si="261"/>
        <v>0</v>
      </c>
      <c r="BA675" s="43">
        <f t="shared" si="262"/>
        <v>2</v>
      </c>
      <c r="BB675" s="83">
        <v>44383</v>
      </c>
      <c r="BC675" s="111"/>
    </row>
    <row r="676" spans="1:55" ht="14.25" x14ac:dyDescent="0.15">
      <c r="A676" s="23" t="s">
        <v>438</v>
      </c>
      <c r="B676" s="41"/>
      <c r="C676" s="42"/>
      <c r="D676" s="42"/>
      <c r="E676" s="42"/>
      <c r="F676" s="42"/>
      <c r="G676" s="43">
        <f t="shared" si="251"/>
        <v>0</v>
      </c>
      <c r="H676" s="41"/>
      <c r="I676" s="42"/>
      <c r="J676" s="42"/>
      <c r="K676" s="42"/>
      <c r="L676" s="42"/>
      <c r="M676" s="43">
        <f t="shared" si="252"/>
        <v>0</v>
      </c>
      <c r="N676" s="42"/>
      <c r="O676" s="53"/>
      <c r="P676" s="53"/>
      <c r="Q676" s="53"/>
      <c r="R676" s="72"/>
      <c r="S676" s="24">
        <f t="shared" si="253"/>
        <v>0</v>
      </c>
      <c r="T676" s="42"/>
      <c r="U676" s="53"/>
      <c r="V676" s="53"/>
      <c r="W676" s="53"/>
      <c r="X676" s="72">
        <v>1</v>
      </c>
      <c r="Y676" s="24">
        <f t="shared" si="254"/>
        <v>1</v>
      </c>
      <c r="Z676" s="24">
        <f t="shared" si="255"/>
        <v>1</v>
      </c>
      <c r="AA676" s="83">
        <v>44363</v>
      </c>
      <c r="AB676" s="180" t="s">
        <v>445</v>
      </c>
      <c r="AC676" s="41"/>
      <c r="AD676" s="42"/>
      <c r="AE676" s="42"/>
      <c r="AF676" s="42"/>
      <c r="AG676" s="42"/>
      <c r="AH676" s="43">
        <f t="shared" si="263"/>
        <v>0</v>
      </c>
      <c r="AI676" s="41"/>
      <c r="AJ676" s="42"/>
      <c r="AK676" s="42"/>
      <c r="AL676" s="42"/>
      <c r="AM676" s="42"/>
      <c r="AN676" s="43">
        <f t="shared" si="264"/>
        <v>0</v>
      </c>
      <c r="AO676" s="42"/>
      <c r="AP676" s="53"/>
      <c r="AQ676" s="53"/>
      <c r="AR676" s="53"/>
      <c r="AS676" s="72"/>
      <c r="AT676" s="24">
        <f t="shared" si="265"/>
        <v>0</v>
      </c>
      <c r="AU676" s="42"/>
      <c r="AV676" s="53"/>
      <c r="AW676" s="53"/>
      <c r="AX676" s="53">
        <v>3</v>
      </c>
      <c r="AY676" s="72"/>
      <c r="AZ676" s="24">
        <f t="shared" si="261"/>
        <v>3</v>
      </c>
      <c r="BA676" s="24">
        <f t="shared" si="262"/>
        <v>3</v>
      </c>
      <c r="BB676" s="83">
        <v>44387</v>
      </c>
    </row>
    <row r="677" spans="1:55" x14ac:dyDescent="0.15">
      <c r="A677" s="47" t="s">
        <v>439</v>
      </c>
      <c r="B677" s="171"/>
      <c r="C677" s="42"/>
      <c r="D677" s="42"/>
      <c r="E677" s="42"/>
      <c r="F677" s="42">
        <v>1</v>
      </c>
      <c r="G677" s="43">
        <f t="shared" si="251"/>
        <v>1</v>
      </c>
      <c r="H677" s="41"/>
      <c r="I677" s="42"/>
      <c r="J677" s="42"/>
      <c r="K677" s="42"/>
      <c r="L677" s="42"/>
      <c r="M677" s="43">
        <f t="shared" si="252"/>
        <v>0</v>
      </c>
      <c r="N677" s="42"/>
      <c r="O677" s="53"/>
      <c r="P677" s="53"/>
      <c r="Q677" s="53"/>
      <c r="R677" s="72"/>
      <c r="S677" s="24">
        <f t="shared" si="253"/>
        <v>0</v>
      </c>
      <c r="T677" s="42"/>
      <c r="U677" s="53"/>
      <c r="V677" s="53"/>
      <c r="W677" s="53"/>
      <c r="X677" s="72"/>
      <c r="Y677" s="24">
        <f t="shared" si="254"/>
        <v>0</v>
      </c>
      <c r="Z677" s="24">
        <f t="shared" si="255"/>
        <v>1</v>
      </c>
      <c r="AA677" s="83">
        <v>44365</v>
      </c>
      <c r="AB677" s="180" t="s">
        <v>446</v>
      </c>
      <c r="AC677" s="41"/>
      <c r="AD677" s="42"/>
      <c r="AE677" s="42"/>
      <c r="AF677" s="42"/>
      <c r="AG677" s="42"/>
      <c r="AH677" s="43">
        <f t="shared" si="263"/>
        <v>0</v>
      </c>
      <c r="AI677" s="41"/>
      <c r="AJ677" s="42"/>
      <c r="AK677" s="42"/>
      <c r="AL677" s="42"/>
      <c r="AM677" s="42"/>
      <c r="AN677" s="43">
        <f t="shared" si="264"/>
        <v>0</v>
      </c>
      <c r="AO677" s="42"/>
      <c r="AP677" s="53">
        <v>2</v>
      </c>
      <c r="AQ677" s="53"/>
      <c r="AR677" s="53"/>
      <c r="AS677" s="72"/>
      <c r="AT677" s="24">
        <f t="shared" si="265"/>
        <v>2</v>
      </c>
      <c r="AU677" s="42"/>
      <c r="AV677" s="53"/>
      <c r="AW677" s="53"/>
      <c r="AX677" s="53"/>
      <c r="AY677" s="72"/>
      <c r="AZ677" s="24">
        <f t="shared" si="261"/>
        <v>0</v>
      </c>
      <c r="BA677" s="24">
        <f t="shared" si="262"/>
        <v>2</v>
      </c>
      <c r="BB677" s="83">
        <v>44389</v>
      </c>
    </row>
    <row r="678" spans="1:55" ht="14.25" x14ac:dyDescent="0.15">
      <c r="A678" s="23" t="s">
        <v>438</v>
      </c>
      <c r="B678" s="41"/>
      <c r="C678" s="42"/>
      <c r="D678" s="42">
        <v>1</v>
      </c>
      <c r="E678" s="42"/>
      <c r="F678" s="42"/>
      <c r="G678" s="43">
        <f t="shared" si="251"/>
        <v>1</v>
      </c>
      <c r="H678" s="41"/>
      <c r="I678" s="42"/>
      <c r="J678" s="42"/>
      <c r="K678" s="42"/>
      <c r="L678" s="42"/>
      <c r="M678" s="43">
        <f t="shared" si="252"/>
        <v>0</v>
      </c>
      <c r="N678" s="42"/>
      <c r="O678" s="53"/>
      <c r="P678" s="53"/>
      <c r="Q678" s="53"/>
      <c r="R678" s="72"/>
      <c r="S678" s="24">
        <f t="shared" si="253"/>
        <v>0</v>
      </c>
      <c r="T678" s="42"/>
      <c r="U678" s="53"/>
      <c r="V678" s="53"/>
      <c r="W678" s="53"/>
      <c r="X678" s="72"/>
      <c r="Y678" s="24">
        <f t="shared" si="254"/>
        <v>0</v>
      </c>
      <c r="Z678" s="24">
        <f t="shared" si="255"/>
        <v>1</v>
      </c>
      <c r="AA678" s="83">
        <v>44366</v>
      </c>
      <c r="AB678" s="180" t="s">
        <v>447</v>
      </c>
      <c r="AC678" s="41">
        <v>2</v>
      </c>
      <c r="AD678" s="42"/>
      <c r="AE678" s="42"/>
      <c r="AF678" s="42">
        <v>2</v>
      </c>
      <c r="AG678" s="42"/>
      <c r="AH678" s="43">
        <f t="shared" si="263"/>
        <v>4</v>
      </c>
      <c r="AI678" s="41"/>
      <c r="AJ678" s="42"/>
      <c r="AK678" s="42"/>
      <c r="AL678" s="42"/>
      <c r="AM678" s="42"/>
      <c r="AN678" s="43">
        <f t="shared" si="264"/>
        <v>0</v>
      </c>
      <c r="AO678" s="42"/>
      <c r="AP678" s="53"/>
      <c r="AQ678" s="53"/>
      <c r="AR678" s="53"/>
      <c r="AS678" s="72"/>
      <c r="AT678" s="24">
        <f t="shared" si="265"/>
        <v>0</v>
      </c>
      <c r="AU678" s="42"/>
      <c r="AV678" s="53"/>
      <c r="AW678" s="53"/>
      <c r="AX678" s="53"/>
      <c r="AY678" s="72"/>
      <c r="AZ678" s="24">
        <f t="shared" si="261"/>
        <v>0</v>
      </c>
      <c r="BA678" s="24">
        <f t="shared" si="262"/>
        <v>4</v>
      </c>
      <c r="BB678" s="83">
        <v>44391</v>
      </c>
    </row>
    <row r="679" spans="1:55" ht="14.25" x14ac:dyDescent="0.15">
      <c r="A679" s="23" t="s">
        <v>48</v>
      </c>
      <c r="B679" s="41"/>
      <c r="C679" s="42"/>
      <c r="D679" s="42"/>
      <c r="E679" s="42"/>
      <c r="F679" s="42"/>
      <c r="G679" s="43">
        <f t="shared" si="251"/>
        <v>0</v>
      </c>
      <c r="H679" s="41"/>
      <c r="I679" s="42"/>
      <c r="J679" s="42"/>
      <c r="K679" s="42"/>
      <c r="L679" s="42"/>
      <c r="M679" s="43">
        <f t="shared" si="252"/>
        <v>0</v>
      </c>
      <c r="N679" s="42"/>
      <c r="O679" s="53"/>
      <c r="P679" s="53"/>
      <c r="Q679" s="53"/>
      <c r="R679" s="72">
        <v>1</v>
      </c>
      <c r="S679" s="24">
        <f t="shared" si="253"/>
        <v>1</v>
      </c>
      <c r="T679" s="42"/>
      <c r="U679" s="53"/>
      <c r="V679" s="53"/>
      <c r="W679" s="53"/>
      <c r="X679" s="72"/>
      <c r="Y679" s="24">
        <f t="shared" si="254"/>
        <v>0</v>
      </c>
      <c r="Z679" s="24">
        <f t="shared" si="255"/>
        <v>1</v>
      </c>
      <c r="AA679" s="83">
        <v>44365</v>
      </c>
      <c r="AB679" s="21" t="s">
        <v>449</v>
      </c>
      <c r="AC679" s="38"/>
      <c r="AD679" s="39"/>
      <c r="AE679" s="39"/>
      <c r="AF679" s="39"/>
      <c r="AG679" s="39"/>
      <c r="AH679" s="43">
        <f t="shared" si="263"/>
        <v>0</v>
      </c>
      <c r="AI679" s="38"/>
      <c r="AJ679" s="39"/>
      <c r="AK679" s="39"/>
      <c r="AL679" s="39"/>
      <c r="AM679" s="39"/>
      <c r="AN679" s="43">
        <f t="shared" si="264"/>
        <v>0</v>
      </c>
      <c r="AO679" s="42"/>
      <c r="AP679" s="53"/>
      <c r="AQ679" s="53"/>
      <c r="AR679" s="53">
        <v>2</v>
      </c>
      <c r="AS679" s="72">
        <v>2</v>
      </c>
      <c r="AT679" s="24">
        <f t="shared" si="265"/>
        <v>4</v>
      </c>
      <c r="AU679" s="42"/>
      <c r="AV679" s="53"/>
      <c r="AW679" s="53"/>
      <c r="AX679" s="53"/>
      <c r="AY679" s="72"/>
      <c r="AZ679" s="24">
        <f t="shared" ref="AZ679" si="269">SUM(AU679:AY679)</f>
        <v>0</v>
      </c>
      <c r="BA679" s="24">
        <f t="shared" si="262"/>
        <v>4</v>
      </c>
      <c r="BB679" s="83">
        <v>44383</v>
      </c>
    </row>
    <row r="680" spans="1:55" ht="14.25" x14ac:dyDescent="0.15">
      <c r="A680" s="23" t="s">
        <v>440</v>
      </c>
      <c r="B680" s="41"/>
      <c r="C680" s="42">
        <v>1</v>
      </c>
      <c r="D680" s="42">
        <v>2</v>
      </c>
      <c r="E680" s="42">
        <v>1</v>
      </c>
      <c r="F680" s="42"/>
      <c r="G680" s="43">
        <f t="shared" si="251"/>
        <v>4</v>
      </c>
      <c r="H680" s="41"/>
      <c r="I680" s="42">
        <v>1</v>
      </c>
      <c r="J680" s="42">
        <v>2</v>
      </c>
      <c r="K680" s="42"/>
      <c r="L680" s="42"/>
      <c r="M680" s="43">
        <f t="shared" si="252"/>
        <v>3</v>
      </c>
      <c r="N680" s="42">
        <v>3</v>
      </c>
      <c r="O680" s="53"/>
      <c r="P680" s="53"/>
      <c r="Q680" s="53">
        <v>1</v>
      </c>
      <c r="R680" s="72"/>
      <c r="S680" s="24">
        <f t="shared" si="253"/>
        <v>4</v>
      </c>
      <c r="T680" s="42">
        <v>2</v>
      </c>
      <c r="U680" s="53">
        <v>3</v>
      </c>
      <c r="V680" s="53"/>
      <c r="W680" s="53">
        <v>1</v>
      </c>
      <c r="X680" s="72"/>
      <c r="Y680" s="24">
        <f t="shared" si="254"/>
        <v>6</v>
      </c>
      <c r="Z680" s="24">
        <f t="shared" si="255"/>
        <v>17</v>
      </c>
      <c r="AA680" s="83">
        <v>44366</v>
      </c>
      <c r="AB680" s="21" t="s">
        <v>30</v>
      </c>
      <c r="AC680" s="14"/>
      <c r="AD680" s="15">
        <v>2</v>
      </c>
      <c r="AE680" s="15"/>
      <c r="AF680" s="15"/>
      <c r="AG680" s="15"/>
      <c r="AH680" s="24">
        <f t="shared" ref="AH680" si="270">SUM(AC680:AG680)</f>
        <v>2</v>
      </c>
      <c r="AI680" s="14"/>
      <c r="AJ680" s="15"/>
      <c r="AK680" s="15"/>
      <c r="AL680" s="15"/>
      <c r="AM680" s="15"/>
      <c r="AN680" s="24">
        <f t="shared" ref="AN680" si="271">SUM(AI680:AM680)</f>
        <v>0</v>
      </c>
      <c r="AO680" s="15"/>
      <c r="AP680" s="55"/>
      <c r="AQ680" s="55"/>
      <c r="AR680" s="55"/>
      <c r="AS680" s="67"/>
      <c r="AT680" s="24">
        <f t="shared" ref="AT680" si="272">SUM(AO680:AS680)</f>
        <v>0</v>
      </c>
      <c r="AU680" s="15"/>
      <c r="AV680" s="55"/>
      <c r="AW680" s="55"/>
      <c r="AX680" s="55"/>
      <c r="AY680" s="67"/>
      <c r="AZ680" s="24">
        <f t="shared" ref="AZ680" si="273">SUM(AU680:AY680)</f>
        <v>0</v>
      </c>
      <c r="BA680" s="24">
        <f t="shared" si="262"/>
        <v>2</v>
      </c>
      <c r="BB680" s="83">
        <v>44384</v>
      </c>
    </row>
    <row r="681" spans="1:55" ht="14.25" x14ac:dyDescent="0.15">
      <c r="A681" s="23" t="s">
        <v>48</v>
      </c>
      <c r="B681" s="41"/>
      <c r="C681" s="42"/>
      <c r="D681" s="42"/>
      <c r="E681" s="42"/>
      <c r="F681" s="42"/>
      <c r="G681" s="43">
        <f t="shared" si="251"/>
        <v>0</v>
      </c>
      <c r="H681" s="41"/>
      <c r="I681" s="42"/>
      <c r="J681" s="42"/>
      <c r="K681" s="42"/>
      <c r="L681" s="42"/>
      <c r="M681" s="43">
        <f t="shared" si="252"/>
        <v>0</v>
      </c>
      <c r="N681" s="42"/>
      <c r="O681" s="53"/>
      <c r="P681" s="53"/>
      <c r="Q681" s="53"/>
      <c r="R681" s="72"/>
      <c r="S681" s="24">
        <f t="shared" si="253"/>
        <v>0</v>
      </c>
      <c r="T681" s="42"/>
      <c r="U681" s="53">
        <v>1</v>
      </c>
      <c r="V681" s="53"/>
      <c r="W681" s="53"/>
      <c r="X681" s="72"/>
      <c r="Y681" s="24">
        <f t="shared" si="254"/>
        <v>1</v>
      </c>
      <c r="Z681" s="24">
        <f t="shared" si="255"/>
        <v>1</v>
      </c>
      <c r="AA681" s="93">
        <v>44369</v>
      </c>
      <c r="AB681" s="180" t="s">
        <v>450</v>
      </c>
      <c r="AC681" s="41"/>
      <c r="AD681" s="42">
        <v>2</v>
      </c>
      <c r="AE681" s="42"/>
      <c r="AF681" s="42"/>
      <c r="AG681" s="42"/>
      <c r="AH681" s="43">
        <f t="shared" si="263"/>
        <v>2</v>
      </c>
      <c r="AI681" s="41"/>
      <c r="AJ681" s="42"/>
      <c r="AK681" s="42"/>
      <c r="AL681" s="42"/>
      <c r="AM681" s="42"/>
      <c r="AN681" s="43">
        <f t="shared" si="264"/>
        <v>0</v>
      </c>
      <c r="AO681" s="42"/>
      <c r="AP681" s="53"/>
      <c r="AQ681" s="53"/>
      <c r="AR681" s="53"/>
      <c r="AS681" s="72"/>
      <c r="AT681" s="24">
        <f t="shared" si="265"/>
        <v>0</v>
      </c>
      <c r="AU681" s="42"/>
      <c r="AV681" s="53"/>
      <c r="AW681" s="53"/>
      <c r="AX681" s="53"/>
      <c r="AY681" s="72"/>
      <c r="AZ681" s="24">
        <f t="shared" si="261"/>
        <v>0</v>
      </c>
      <c r="BA681" s="24">
        <f t="shared" si="262"/>
        <v>2</v>
      </c>
      <c r="BB681" s="83">
        <v>44394</v>
      </c>
    </row>
    <row r="682" spans="1:55" ht="14.25" x14ac:dyDescent="0.15">
      <c r="A682" s="10" t="s">
        <v>77</v>
      </c>
      <c r="B682" s="44"/>
      <c r="C682" s="45"/>
      <c r="D682" s="45"/>
      <c r="E682" s="45"/>
      <c r="F682" s="45">
        <v>-1</v>
      </c>
      <c r="G682" s="43">
        <f t="shared" si="251"/>
        <v>-1</v>
      </c>
      <c r="H682" s="44"/>
      <c r="I682" s="45"/>
      <c r="J682" s="45"/>
      <c r="K682" s="45"/>
      <c r="L682" s="45"/>
      <c r="M682" s="43">
        <f t="shared" si="252"/>
        <v>0</v>
      </c>
      <c r="N682" s="42"/>
      <c r="O682" s="53"/>
      <c r="P682" s="53"/>
      <c r="Q682" s="53"/>
      <c r="R682" s="72"/>
      <c r="S682" s="24">
        <f t="shared" si="253"/>
        <v>0</v>
      </c>
      <c r="T682" s="42"/>
      <c r="U682" s="53"/>
      <c r="V682" s="53"/>
      <c r="W682" s="53"/>
      <c r="X682" s="72"/>
      <c r="Y682" s="24">
        <f t="shared" si="254"/>
        <v>0</v>
      </c>
      <c r="Z682" s="24">
        <f t="shared" si="255"/>
        <v>-1</v>
      </c>
      <c r="AA682" s="93">
        <v>44370</v>
      </c>
      <c r="AB682" s="180" t="s">
        <v>451</v>
      </c>
      <c r="AC682" s="44"/>
      <c r="AD682" s="45">
        <v>3</v>
      </c>
      <c r="AE682" s="45"/>
      <c r="AF682" s="45"/>
      <c r="AG682" s="45"/>
      <c r="AH682" s="43">
        <f t="shared" si="263"/>
        <v>3</v>
      </c>
      <c r="AI682" s="44"/>
      <c r="AJ682" s="45"/>
      <c r="AK682" s="45"/>
      <c r="AL682" s="45"/>
      <c r="AM682" s="45"/>
      <c r="AN682" s="43">
        <f t="shared" si="264"/>
        <v>0</v>
      </c>
      <c r="AO682" s="42"/>
      <c r="AP682" s="53"/>
      <c r="AQ682" s="53"/>
      <c r="AR682" s="53"/>
      <c r="AS682" s="72"/>
      <c r="AT682" s="24">
        <f t="shared" si="265"/>
        <v>0</v>
      </c>
      <c r="AU682" s="42"/>
      <c r="AV682" s="53"/>
      <c r="AW682" s="53"/>
      <c r="AX682" s="53"/>
      <c r="AY682" s="72"/>
      <c r="AZ682" s="24">
        <f t="shared" si="261"/>
        <v>0</v>
      </c>
      <c r="BA682" s="24">
        <f t="shared" si="262"/>
        <v>3</v>
      </c>
      <c r="BB682" s="83">
        <v>44405</v>
      </c>
    </row>
    <row r="683" spans="1:55" ht="14.25" x14ac:dyDescent="0.15">
      <c r="A683" s="23" t="s">
        <v>48</v>
      </c>
      <c r="B683" s="41"/>
      <c r="C683" s="42"/>
      <c r="D683" s="42"/>
      <c r="E683" s="42"/>
      <c r="F683" s="42"/>
      <c r="G683" s="43">
        <f t="shared" si="251"/>
        <v>0</v>
      </c>
      <c r="H683" s="41"/>
      <c r="I683" s="42"/>
      <c r="J683" s="42"/>
      <c r="K683" s="42"/>
      <c r="L683" s="42">
        <v>1</v>
      </c>
      <c r="M683" s="43">
        <f t="shared" si="252"/>
        <v>1</v>
      </c>
      <c r="N683" s="42"/>
      <c r="O683" s="53"/>
      <c r="P683" s="53"/>
      <c r="Q683" s="53"/>
      <c r="R683" s="72"/>
      <c r="S683" s="24">
        <f t="shared" si="253"/>
        <v>0</v>
      </c>
      <c r="T683" s="42"/>
      <c r="U683" s="53"/>
      <c r="V683" s="53"/>
      <c r="W683" s="53"/>
      <c r="X683" s="72"/>
      <c r="Y683" s="24">
        <f t="shared" si="254"/>
        <v>0</v>
      </c>
      <c r="Z683" s="24">
        <f t="shared" si="255"/>
        <v>1</v>
      </c>
      <c r="AA683" s="83">
        <v>44372</v>
      </c>
      <c r="AB683" s="180" t="s">
        <v>453</v>
      </c>
      <c r="AC683" s="41"/>
      <c r="AD683" s="42"/>
      <c r="AE683" s="42">
        <v>3</v>
      </c>
      <c r="AF683" s="42"/>
      <c r="AG683" s="42"/>
      <c r="AH683" s="43">
        <f t="shared" si="263"/>
        <v>3</v>
      </c>
      <c r="AI683" s="41"/>
      <c r="AJ683" s="42"/>
      <c r="AK683" s="42"/>
      <c r="AL683" s="42"/>
      <c r="AM683" s="42"/>
      <c r="AN683" s="43">
        <f t="shared" si="264"/>
        <v>0</v>
      </c>
      <c r="AO683" s="42"/>
      <c r="AP683" s="53">
        <v>3</v>
      </c>
      <c r="AQ683" s="53"/>
      <c r="AR683" s="53"/>
      <c r="AS683" s="72"/>
      <c r="AT683" s="24">
        <f t="shared" si="265"/>
        <v>3</v>
      </c>
      <c r="AU683" s="42"/>
      <c r="AV683" s="53"/>
      <c r="AW683" s="53"/>
      <c r="AX683" s="53"/>
      <c r="AY683" s="72"/>
      <c r="AZ683" s="24">
        <f t="shared" si="261"/>
        <v>0</v>
      </c>
      <c r="BA683" s="24">
        <f t="shared" si="262"/>
        <v>6</v>
      </c>
      <c r="BB683" s="83">
        <v>44394</v>
      </c>
    </row>
    <row r="684" spans="1:55" ht="14.25" x14ac:dyDescent="0.15">
      <c r="A684" s="23" t="s">
        <v>48</v>
      </c>
      <c r="B684" s="41"/>
      <c r="C684" s="42"/>
      <c r="D684" s="42"/>
      <c r="E684" s="42"/>
      <c r="F684" s="42"/>
      <c r="G684" s="43">
        <f t="shared" si="251"/>
        <v>0</v>
      </c>
      <c r="H684" s="41"/>
      <c r="I684" s="42"/>
      <c r="J684" s="42"/>
      <c r="K684" s="42"/>
      <c r="L684" s="42"/>
      <c r="M684" s="43">
        <f t="shared" si="252"/>
        <v>0</v>
      </c>
      <c r="N684" s="42"/>
      <c r="O684" s="53"/>
      <c r="P684" s="53"/>
      <c r="Q684" s="53">
        <v>1</v>
      </c>
      <c r="R684" s="72"/>
      <c r="S684" s="24">
        <f t="shared" si="253"/>
        <v>1</v>
      </c>
      <c r="T684" s="42"/>
      <c r="U684" s="53"/>
      <c r="V684" s="53"/>
      <c r="W684" s="53"/>
      <c r="X684" s="72"/>
      <c r="Y684" s="24">
        <f t="shared" si="254"/>
        <v>0</v>
      </c>
      <c r="Z684" s="24">
        <f t="shared" si="255"/>
        <v>1</v>
      </c>
      <c r="AA684" s="83">
        <v>44377</v>
      </c>
      <c r="AB684" s="180" t="s">
        <v>454</v>
      </c>
      <c r="AC684" s="41"/>
      <c r="AD684" s="42">
        <v>3</v>
      </c>
      <c r="AE684" s="42"/>
      <c r="AF684" s="42"/>
      <c r="AG684" s="42"/>
      <c r="AH684" s="43">
        <f t="shared" si="263"/>
        <v>3</v>
      </c>
      <c r="AI684" s="41"/>
      <c r="AJ684" s="42"/>
      <c r="AK684" s="42"/>
      <c r="AL684" s="42"/>
      <c r="AM684" s="42"/>
      <c r="AN684" s="43">
        <f t="shared" si="264"/>
        <v>0</v>
      </c>
      <c r="AO684" s="42"/>
      <c r="AP684" s="53"/>
      <c r="AQ684" s="53"/>
      <c r="AR684" s="53"/>
      <c r="AS684" s="72"/>
      <c r="AT684" s="24">
        <f t="shared" si="265"/>
        <v>0</v>
      </c>
      <c r="AU684" s="42"/>
      <c r="AV684" s="53"/>
      <c r="AW684" s="53"/>
      <c r="AX684" s="53"/>
      <c r="AY684" s="72"/>
      <c r="AZ684" s="24">
        <f t="shared" si="261"/>
        <v>0</v>
      </c>
      <c r="BA684" s="24">
        <f t="shared" si="262"/>
        <v>3</v>
      </c>
      <c r="BB684" s="83">
        <v>44408</v>
      </c>
    </row>
    <row r="685" spans="1:55" ht="14.25" x14ac:dyDescent="0.15">
      <c r="A685" s="23" t="s">
        <v>47</v>
      </c>
      <c r="B685" s="41"/>
      <c r="C685" s="42">
        <v>1</v>
      </c>
      <c r="D685" s="42"/>
      <c r="E685" s="42"/>
      <c r="F685" s="42"/>
      <c r="G685" s="43">
        <f t="shared" si="251"/>
        <v>1</v>
      </c>
      <c r="H685" s="41"/>
      <c r="I685" s="42"/>
      <c r="J685" s="42"/>
      <c r="K685" s="42"/>
      <c r="L685" s="42"/>
      <c r="M685" s="43">
        <f t="shared" si="252"/>
        <v>0</v>
      </c>
      <c r="N685" s="42"/>
      <c r="O685" s="53"/>
      <c r="P685" s="53"/>
      <c r="Q685" s="53"/>
      <c r="R685" s="72"/>
      <c r="S685" s="24">
        <f t="shared" si="253"/>
        <v>0</v>
      </c>
      <c r="T685" s="42"/>
      <c r="U685" s="53"/>
      <c r="V685" s="53"/>
      <c r="W685" s="53"/>
      <c r="X685" s="72"/>
      <c r="Y685" s="24">
        <f t="shared" si="254"/>
        <v>0</v>
      </c>
      <c r="Z685" s="24">
        <f t="shared" si="255"/>
        <v>1</v>
      </c>
      <c r="AA685" s="83">
        <v>44380</v>
      </c>
      <c r="AB685" s="23" t="s">
        <v>47</v>
      </c>
      <c r="AC685" s="41"/>
      <c r="AD685" s="42"/>
      <c r="AE685" s="42"/>
      <c r="AF685" s="42"/>
      <c r="AG685" s="42"/>
      <c r="AH685" s="43">
        <f t="shared" ref="AH685" si="274">SUM(AC685:AG685)</f>
        <v>0</v>
      </c>
      <c r="AI685" s="41">
        <v>1</v>
      </c>
      <c r="AJ685" s="42"/>
      <c r="AK685" s="42"/>
      <c r="AL685" s="42"/>
      <c r="AM685" s="42"/>
      <c r="AN685" s="43">
        <f t="shared" ref="AN685" si="275">SUM(AI685:AM685)</f>
        <v>1</v>
      </c>
      <c r="AO685" s="42"/>
      <c r="AP685" s="53"/>
      <c r="AQ685" s="53"/>
      <c r="AR685" s="53"/>
      <c r="AS685" s="72"/>
      <c r="AT685" s="24">
        <f t="shared" ref="AT685" si="276">SUM(AO685:AS685)</f>
        <v>0</v>
      </c>
      <c r="AU685" s="42"/>
      <c r="AV685" s="53"/>
      <c r="AW685" s="53"/>
      <c r="AX685" s="53"/>
      <c r="AY685" s="72"/>
      <c r="AZ685" s="24">
        <f t="shared" ref="AZ685" si="277">SUM(AU685:AY685)</f>
        <v>0</v>
      </c>
      <c r="BA685" s="24">
        <f t="shared" si="262"/>
        <v>1</v>
      </c>
      <c r="BB685" s="83">
        <v>44397</v>
      </c>
    </row>
    <row r="686" spans="1:55" ht="14.25" x14ac:dyDescent="0.15">
      <c r="A686" s="21" t="s">
        <v>448</v>
      </c>
      <c r="B686" s="38"/>
      <c r="C686" s="39"/>
      <c r="D686" s="39"/>
      <c r="E686" s="39"/>
      <c r="F686" s="39"/>
      <c r="G686" s="37">
        <f t="shared" si="251"/>
        <v>0</v>
      </c>
      <c r="H686" s="38"/>
      <c r="I686" s="39"/>
      <c r="J686" s="39"/>
      <c r="K686" s="39"/>
      <c r="L686" s="39"/>
      <c r="M686" s="37">
        <f t="shared" si="252"/>
        <v>0</v>
      </c>
      <c r="N686" s="42"/>
      <c r="O686" s="53"/>
      <c r="P686" s="53"/>
      <c r="Q686" s="53">
        <v>-2</v>
      </c>
      <c r="R686" s="72">
        <v>-2</v>
      </c>
      <c r="S686" s="24">
        <f t="shared" si="253"/>
        <v>-4</v>
      </c>
      <c r="T686" s="42"/>
      <c r="U686" s="53"/>
      <c r="V686" s="53"/>
      <c r="W686" s="53"/>
      <c r="X686" s="72"/>
      <c r="Y686" s="24">
        <f t="shared" si="254"/>
        <v>0</v>
      </c>
      <c r="Z686" s="24">
        <f t="shared" si="255"/>
        <v>-4</v>
      </c>
      <c r="AA686" s="83">
        <v>44383</v>
      </c>
      <c r="AB686" s="23" t="s">
        <v>438</v>
      </c>
      <c r="AC686" s="38"/>
      <c r="AD686" s="39"/>
      <c r="AE686" s="39"/>
      <c r="AF686" s="39">
        <v>1</v>
      </c>
      <c r="AG686" s="39"/>
      <c r="AH686" s="37">
        <f t="shared" si="263"/>
        <v>1</v>
      </c>
      <c r="AI686" s="38"/>
      <c r="AJ686" s="39"/>
      <c r="AK686" s="39"/>
      <c r="AL686" s="39"/>
      <c r="AM686" s="39"/>
      <c r="AN686" s="37">
        <f t="shared" si="264"/>
        <v>0</v>
      </c>
      <c r="AO686" s="39"/>
      <c r="AP686" s="56"/>
      <c r="AQ686" s="56"/>
      <c r="AR686" s="56"/>
      <c r="AS686" s="71"/>
      <c r="AT686" s="16">
        <f t="shared" si="265"/>
        <v>0</v>
      </c>
      <c r="AU686" s="39"/>
      <c r="AV686" s="53"/>
      <c r="AW686" s="53"/>
      <c r="AX686" s="53"/>
      <c r="AY686" s="72"/>
      <c r="AZ686" s="24">
        <f t="shared" si="261"/>
        <v>0</v>
      </c>
      <c r="BA686" s="24">
        <f t="shared" si="262"/>
        <v>1</v>
      </c>
      <c r="BB686" s="83">
        <v>44398</v>
      </c>
    </row>
    <row r="687" spans="1:55" ht="14.25" x14ac:dyDescent="0.15">
      <c r="A687" s="23" t="s">
        <v>48</v>
      </c>
      <c r="B687" s="41"/>
      <c r="C687" s="42">
        <v>1</v>
      </c>
      <c r="D687" s="42"/>
      <c r="E687" s="42"/>
      <c r="F687" s="42"/>
      <c r="G687" s="43">
        <f t="shared" si="251"/>
        <v>1</v>
      </c>
      <c r="H687" s="41"/>
      <c r="I687" s="42"/>
      <c r="J687" s="42"/>
      <c r="K687" s="42"/>
      <c r="L687" s="42"/>
      <c r="M687" s="43">
        <f t="shared" si="252"/>
        <v>0</v>
      </c>
      <c r="N687" s="42"/>
      <c r="O687" s="53"/>
      <c r="P687" s="53"/>
      <c r="Q687" s="53"/>
      <c r="R687" s="72"/>
      <c r="S687" s="24">
        <f t="shared" si="253"/>
        <v>0</v>
      </c>
      <c r="T687" s="42"/>
      <c r="U687" s="53"/>
      <c r="V687" s="53"/>
      <c r="W687" s="53"/>
      <c r="X687" s="72">
        <v>1</v>
      </c>
      <c r="Y687" s="24">
        <f t="shared" si="254"/>
        <v>1</v>
      </c>
      <c r="Z687" s="24">
        <f t="shared" si="255"/>
        <v>2</v>
      </c>
      <c r="AA687" s="83">
        <v>44382</v>
      </c>
      <c r="AB687" s="180" t="s">
        <v>455</v>
      </c>
      <c r="AC687" s="41"/>
      <c r="AD687" s="42"/>
      <c r="AE687" s="42"/>
      <c r="AF687" s="42"/>
      <c r="AG687" s="42">
        <v>2</v>
      </c>
      <c r="AH687" s="43">
        <f t="shared" si="263"/>
        <v>2</v>
      </c>
      <c r="AI687" s="41"/>
      <c r="AJ687" s="42"/>
      <c r="AK687" s="42"/>
      <c r="AL687" s="42"/>
      <c r="AM687" s="42"/>
      <c r="AN687" s="43">
        <f t="shared" si="264"/>
        <v>0</v>
      </c>
      <c r="AO687" s="42"/>
      <c r="AP687" s="53"/>
      <c r="AQ687" s="53"/>
      <c r="AR687" s="53"/>
      <c r="AS687" s="72"/>
      <c r="AT687" s="24">
        <f t="shared" si="265"/>
        <v>0</v>
      </c>
      <c r="AU687" s="42"/>
      <c r="AV687" s="53"/>
      <c r="AW687" s="53">
        <v>2</v>
      </c>
      <c r="AX687" s="53"/>
      <c r="AY687" s="72">
        <v>2</v>
      </c>
      <c r="AZ687" s="24">
        <f t="shared" si="261"/>
        <v>4</v>
      </c>
      <c r="BA687" s="24">
        <f t="shared" si="262"/>
        <v>6</v>
      </c>
      <c r="BB687" s="83">
        <v>44410</v>
      </c>
    </row>
    <row r="688" spans="1:55" ht="14.25" x14ac:dyDescent="0.15">
      <c r="A688" s="21" t="s">
        <v>42</v>
      </c>
      <c r="B688" s="14"/>
      <c r="C688" s="15">
        <v>-2</v>
      </c>
      <c r="D688" s="15"/>
      <c r="E688" s="15"/>
      <c r="F688" s="15"/>
      <c r="G688" s="24">
        <f t="shared" si="251"/>
        <v>-2</v>
      </c>
      <c r="H688" s="14"/>
      <c r="I688" s="15"/>
      <c r="J688" s="15"/>
      <c r="K688" s="15"/>
      <c r="L688" s="15"/>
      <c r="M688" s="24">
        <f t="shared" si="252"/>
        <v>0</v>
      </c>
      <c r="N688" s="15"/>
      <c r="O688" s="55"/>
      <c r="P688" s="55"/>
      <c r="Q688" s="55"/>
      <c r="R688" s="67"/>
      <c r="S688" s="24">
        <f t="shared" si="253"/>
        <v>0</v>
      </c>
      <c r="T688" s="15"/>
      <c r="U688" s="55"/>
      <c r="V688" s="55"/>
      <c r="W688" s="55"/>
      <c r="X688" s="67"/>
      <c r="Y688" s="24">
        <f t="shared" si="254"/>
        <v>0</v>
      </c>
      <c r="Z688" s="24">
        <f t="shared" si="255"/>
        <v>-2</v>
      </c>
      <c r="AA688" s="83">
        <v>44384</v>
      </c>
      <c r="AB688" s="23" t="s">
        <v>30</v>
      </c>
      <c r="AC688" s="41">
        <v>3</v>
      </c>
      <c r="AD688" s="42"/>
      <c r="AE688" s="42"/>
      <c r="AF688" s="42"/>
      <c r="AG688" s="42"/>
      <c r="AH688" s="43">
        <f t="shared" ref="AH688" si="278">SUM(AC688:AG688)</f>
        <v>3</v>
      </c>
      <c r="AI688" s="41"/>
      <c r="AJ688" s="42"/>
      <c r="AK688" s="42"/>
      <c r="AL688" s="42">
        <v>3</v>
      </c>
      <c r="AM688" s="42"/>
      <c r="AN688" s="43">
        <f t="shared" ref="AN688" si="279">SUM(AI688:AM688)</f>
        <v>3</v>
      </c>
      <c r="AO688" s="42"/>
      <c r="AP688" s="53"/>
      <c r="AQ688" s="53"/>
      <c r="AR688" s="53"/>
      <c r="AS688" s="72"/>
      <c r="AT688" s="24">
        <f t="shared" ref="AT688" si="280">SUM(AO688:AS688)</f>
        <v>0</v>
      </c>
      <c r="AU688" s="42"/>
      <c r="AV688" s="53"/>
      <c r="AW688" s="53"/>
      <c r="AX688" s="53"/>
      <c r="AY688" s="72"/>
      <c r="AZ688" s="24">
        <f t="shared" ref="AZ688" si="281">SUM(AU688:AY688)</f>
        <v>0</v>
      </c>
      <c r="BA688" s="24">
        <f t="shared" si="262"/>
        <v>6</v>
      </c>
      <c r="BB688" s="83">
        <v>44405</v>
      </c>
    </row>
    <row r="689" spans="1:54" ht="14.25" x14ac:dyDescent="0.15">
      <c r="A689" s="23" t="s">
        <v>48</v>
      </c>
      <c r="B689" s="14"/>
      <c r="C689" s="15"/>
      <c r="D689" s="15"/>
      <c r="E689" s="15"/>
      <c r="F689" s="15"/>
      <c r="G689" s="24">
        <f t="shared" si="251"/>
        <v>0</v>
      </c>
      <c r="H689" s="14"/>
      <c r="I689" s="15">
        <v>1</v>
      </c>
      <c r="J689" s="15">
        <v>1</v>
      </c>
      <c r="K689" s="15"/>
      <c r="L689" s="15"/>
      <c r="M689" s="24">
        <f t="shared" si="252"/>
        <v>2</v>
      </c>
      <c r="N689" s="15"/>
      <c r="O689" s="55"/>
      <c r="P689" s="55"/>
      <c r="Q689" s="55"/>
      <c r="R689" s="67"/>
      <c r="S689" s="24">
        <f t="shared" si="253"/>
        <v>0</v>
      </c>
      <c r="T689" s="15"/>
      <c r="U689" s="55"/>
      <c r="V689" s="55"/>
      <c r="W689" s="55"/>
      <c r="X689" s="67"/>
      <c r="Y689" s="24">
        <f t="shared" si="254"/>
        <v>0</v>
      </c>
      <c r="Z689" s="24">
        <f t="shared" si="255"/>
        <v>2</v>
      </c>
      <c r="AA689" s="83">
        <v>44389</v>
      </c>
      <c r="AB689" s="180" t="s">
        <v>456</v>
      </c>
      <c r="AC689" s="14"/>
      <c r="AD689" s="15"/>
      <c r="AE689" s="15"/>
      <c r="AF689" s="15"/>
      <c r="AG689" s="15"/>
      <c r="AH689" s="24">
        <f t="shared" si="263"/>
        <v>0</v>
      </c>
      <c r="AI689" s="14"/>
      <c r="AJ689" s="15"/>
      <c r="AK689" s="15"/>
      <c r="AL689" s="15"/>
      <c r="AM689" s="15"/>
      <c r="AN689" s="24">
        <f t="shared" si="264"/>
        <v>0</v>
      </c>
      <c r="AO689" s="15"/>
      <c r="AP689" s="55"/>
      <c r="AQ689" s="55"/>
      <c r="AR689" s="55"/>
      <c r="AS689" s="67"/>
      <c r="AT689" s="24">
        <f t="shared" si="265"/>
        <v>0</v>
      </c>
      <c r="AU689" s="15"/>
      <c r="AV689" s="55"/>
      <c r="AW689" s="55">
        <v>2</v>
      </c>
      <c r="AX689" s="55"/>
      <c r="AY689" s="67"/>
      <c r="AZ689" s="24">
        <f t="shared" si="261"/>
        <v>2</v>
      </c>
      <c r="BA689" s="24">
        <f t="shared" si="262"/>
        <v>2</v>
      </c>
      <c r="BB689" s="83">
        <v>44415</v>
      </c>
    </row>
    <row r="690" spans="1:54" ht="14.25" x14ac:dyDescent="0.15">
      <c r="A690" s="10" t="s">
        <v>366</v>
      </c>
      <c r="B690" s="14"/>
      <c r="C690" s="15"/>
      <c r="D690" s="15"/>
      <c r="E690" s="15"/>
      <c r="F690" s="15"/>
      <c r="G690" s="24">
        <f t="shared" si="251"/>
        <v>0</v>
      </c>
      <c r="H690" s="14"/>
      <c r="I690" s="15"/>
      <c r="J690" s="15"/>
      <c r="K690" s="15"/>
      <c r="L690" s="15"/>
      <c r="M690" s="24">
        <f t="shared" si="252"/>
        <v>0</v>
      </c>
      <c r="N690" s="15"/>
      <c r="O690" s="55"/>
      <c r="P690" s="55"/>
      <c r="Q690" s="55"/>
      <c r="R690" s="67">
        <v>-1</v>
      </c>
      <c r="S690" s="24">
        <f t="shared" si="253"/>
        <v>-1</v>
      </c>
      <c r="T690" s="15"/>
      <c r="U690" s="55"/>
      <c r="V690" s="55"/>
      <c r="W690" s="55"/>
      <c r="X690" s="67"/>
      <c r="Y690" s="24">
        <f t="shared" si="254"/>
        <v>0</v>
      </c>
      <c r="Z690" s="24">
        <f t="shared" si="255"/>
        <v>-1</v>
      </c>
      <c r="AA690" s="83">
        <v>44391</v>
      </c>
      <c r="AB690" s="23" t="s">
        <v>438</v>
      </c>
      <c r="AC690" s="14"/>
      <c r="AD690" s="15"/>
      <c r="AE690" s="15"/>
      <c r="AF690" s="15"/>
      <c r="AG690" s="15"/>
      <c r="AH690" s="24">
        <f t="shared" si="263"/>
        <v>0</v>
      </c>
      <c r="AI690" s="14"/>
      <c r="AJ690" s="15"/>
      <c r="AK690" s="15"/>
      <c r="AL690" s="15"/>
      <c r="AM690" s="15"/>
      <c r="AN690" s="24">
        <f t="shared" si="264"/>
        <v>0</v>
      </c>
      <c r="AO690" s="15"/>
      <c r="AP690" s="55"/>
      <c r="AQ690" s="55"/>
      <c r="AR690" s="55"/>
      <c r="AS690" s="67"/>
      <c r="AT690" s="24">
        <f t="shared" si="265"/>
        <v>0</v>
      </c>
      <c r="AU690" s="15"/>
      <c r="AV690" s="55"/>
      <c r="AW690" s="55"/>
      <c r="AX690" s="55"/>
      <c r="AY690" s="67">
        <v>1</v>
      </c>
      <c r="AZ690" s="24">
        <f t="shared" si="261"/>
        <v>1</v>
      </c>
      <c r="BA690" s="24">
        <f t="shared" si="262"/>
        <v>1</v>
      </c>
      <c r="BB690" s="83">
        <v>44407</v>
      </c>
    </row>
    <row r="691" spans="1:54" ht="14.25" x14ac:dyDescent="0.15">
      <c r="A691" s="23" t="s">
        <v>48</v>
      </c>
      <c r="B691" s="14"/>
      <c r="C691" s="15"/>
      <c r="D691" s="15"/>
      <c r="E691" s="15"/>
      <c r="F691" s="15"/>
      <c r="G691" s="24">
        <f t="shared" si="251"/>
        <v>0</v>
      </c>
      <c r="H691" s="14"/>
      <c r="I691" s="15"/>
      <c r="J691" s="15"/>
      <c r="K691" s="15"/>
      <c r="L691" s="15"/>
      <c r="M691" s="24">
        <f t="shared" si="252"/>
        <v>0</v>
      </c>
      <c r="N691" s="15"/>
      <c r="O691" s="55">
        <v>1</v>
      </c>
      <c r="P691" s="55"/>
      <c r="Q691" s="55"/>
      <c r="R691" s="67"/>
      <c r="S691" s="24">
        <f t="shared" si="253"/>
        <v>1</v>
      </c>
      <c r="T691" s="15"/>
      <c r="U691" s="55"/>
      <c r="V691" s="55"/>
      <c r="W691" s="55"/>
      <c r="X691" s="67"/>
      <c r="Y691" s="24">
        <f t="shared" si="254"/>
        <v>0</v>
      </c>
      <c r="Z691" s="24">
        <f t="shared" si="255"/>
        <v>1</v>
      </c>
      <c r="AA691" s="83">
        <v>44392</v>
      </c>
      <c r="AB691" s="23" t="s">
        <v>438</v>
      </c>
      <c r="AC691" s="14"/>
      <c r="AD691" s="15"/>
      <c r="AE691" s="15"/>
      <c r="AF691" s="15"/>
      <c r="AG691" s="15">
        <v>1</v>
      </c>
      <c r="AH691" s="24">
        <f t="shared" si="263"/>
        <v>1</v>
      </c>
      <c r="AI691" s="14"/>
      <c r="AJ691" s="15"/>
      <c r="AK691" s="15"/>
      <c r="AL691" s="15"/>
      <c r="AM691" s="15"/>
      <c r="AN691" s="24">
        <f t="shared" si="264"/>
        <v>0</v>
      </c>
      <c r="AO691" s="15"/>
      <c r="AP691" s="55"/>
      <c r="AQ691" s="55">
        <v>1</v>
      </c>
      <c r="AR691" s="55"/>
      <c r="AS691" s="67"/>
      <c r="AT691" s="24">
        <f t="shared" si="265"/>
        <v>1</v>
      </c>
      <c r="AU691" s="15"/>
      <c r="AV691" s="55"/>
      <c r="AW691" s="55"/>
      <c r="AX691" s="55"/>
      <c r="AY691" s="67"/>
      <c r="AZ691" s="24">
        <f t="shared" si="261"/>
        <v>0</v>
      </c>
      <c r="BA691" s="24">
        <f t="shared" si="262"/>
        <v>2</v>
      </c>
      <c r="BB691" s="83">
        <v>44408</v>
      </c>
    </row>
    <row r="692" spans="1:54" ht="14.25" x14ac:dyDescent="0.15">
      <c r="A692" s="23" t="s">
        <v>438</v>
      </c>
      <c r="B692" s="14"/>
      <c r="C692" s="15"/>
      <c r="D692" s="15">
        <v>1</v>
      </c>
      <c r="E692" s="15"/>
      <c r="F692" s="15"/>
      <c r="G692" s="24">
        <f t="shared" si="251"/>
        <v>1</v>
      </c>
      <c r="H692" s="14"/>
      <c r="I692" s="15"/>
      <c r="J692" s="15"/>
      <c r="K692" s="15"/>
      <c r="L692" s="15"/>
      <c r="M692" s="24">
        <f t="shared" si="252"/>
        <v>0</v>
      </c>
      <c r="N692" s="15"/>
      <c r="O692" s="55"/>
      <c r="P692" s="55"/>
      <c r="Q692" s="55"/>
      <c r="R692" s="67"/>
      <c r="S692" s="24">
        <f t="shared" si="253"/>
        <v>0</v>
      </c>
      <c r="T692" s="15"/>
      <c r="U692" s="55"/>
      <c r="V692" s="55"/>
      <c r="W692" s="55"/>
      <c r="X692" s="67"/>
      <c r="Y692" s="24">
        <f t="shared" si="254"/>
        <v>0</v>
      </c>
      <c r="Z692" s="24">
        <f t="shared" si="255"/>
        <v>1</v>
      </c>
      <c r="AA692" s="83">
        <v>44394</v>
      </c>
      <c r="AB692" s="21"/>
      <c r="AC692" s="14"/>
      <c r="AD692" s="15"/>
      <c r="AE692" s="15"/>
      <c r="AF692" s="15"/>
      <c r="AG692" s="15"/>
      <c r="AH692" s="24">
        <f t="shared" si="263"/>
        <v>0</v>
      </c>
      <c r="AI692" s="14"/>
      <c r="AJ692" s="15"/>
      <c r="AK692" s="15"/>
      <c r="AL692" s="15"/>
      <c r="AM692" s="15"/>
      <c r="AN692" s="24">
        <f t="shared" si="264"/>
        <v>0</v>
      </c>
      <c r="AO692" s="15"/>
      <c r="AP692" s="55"/>
      <c r="AQ692" s="55"/>
      <c r="AR692" s="55"/>
      <c r="AS692" s="67"/>
      <c r="AT692" s="24">
        <f t="shared" si="265"/>
        <v>0</v>
      </c>
      <c r="AU692" s="15"/>
      <c r="AV692" s="55"/>
      <c r="AW692" s="55"/>
      <c r="AX692" s="55"/>
      <c r="AY692" s="67"/>
      <c r="AZ692" s="24">
        <f t="shared" si="261"/>
        <v>0</v>
      </c>
      <c r="BA692" s="24">
        <f t="shared" si="262"/>
        <v>0</v>
      </c>
      <c r="BB692" s="83"/>
    </row>
    <row r="693" spans="1:54" ht="14.25" x14ac:dyDescent="0.15">
      <c r="A693" s="23" t="s">
        <v>452</v>
      </c>
      <c r="B693" s="14"/>
      <c r="C693" s="15"/>
      <c r="D693" s="15">
        <v>-3</v>
      </c>
      <c r="E693" s="15"/>
      <c r="F693" s="15"/>
      <c r="G693" s="24">
        <f t="shared" si="251"/>
        <v>-3</v>
      </c>
      <c r="H693" s="14"/>
      <c r="I693" s="15"/>
      <c r="J693" s="15"/>
      <c r="K693" s="15"/>
      <c r="L693" s="15"/>
      <c r="M693" s="24">
        <f t="shared" si="252"/>
        <v>0</v>
      </c>
      <c r="N693" s="15"/>
      <c r="O693" s="55">
        <v>-3</v>
      </c>
      <c r="P693" s="55"/>
      <c r="Q693" s="55"/>
      <c r="R693" s="67"/>
      <c r="S693" s="24">
        <f t="shared" si="253"/>
        <v>-3</v>
      </c>
      <c r="T693" s="15"/>
      <c r="U693" s="55"/>
      <c r="V693" s="55"/>
      <c r="W693" s="55"/>
      <c r="X693" s="67"/>
      <c r="Y693" s="24">
        <f t="shared" si="254"/>
        <v>0</v>
      </c>
      <c r="Z693" s="24">
        <f t="shared" si="255"/>
        <v>-6</v>
      </c>
      <c r="AA693" s="83">
        <v>44394</v>
      </c>
      <c r="AB693" s="180"/>
      <c r="AC693" s="14"/>
      <c r="AD693" s="15"/>
      <c r="AE693" s="15"/>
      <c r="AF693" s="15"/>
      <c r="AG693" s="15"/>
      <c r="AH693" s="24">
        <f t="shared" si="263"/>
        <v>0</v>
      </c>
      <c r="AI693" s="14"/>
      <c r="AJ693" s="15"/>
      <c r="AK693" s="15"/>
      <c r="AL693" s="15"/>
      <c r="AM693" s="15"/>
      <c r="AN693" s="24">
        <f t="shared" si="264"/>
        <v>0</v>
      </c>
      <c r="AO693" s="15"/>
      <c r="AP693" s="55"/>
      <c r="AQ693" s="55"/>
      <c r="AR693" s="55"/>
      <c r="AS693" s="67"/>
      <c r="AT693" s="24">
        <f t="shared" si="265"/>
        <v>0</v>
      </c>
      <c r="AU693" s="15"/>
      <c r="AV693" s="55"/>
      <c r="AW693" s="55"/>
      <c r="AX693" s="55"/>
      <c r="AY693" s="67"/>
      <c r="AZ693" s="24">
        <f t="shared" si="261"/>
        <v>0</v>
      </c>
      <c r="BA693" s="24">
        <f t="shared" si="262"/>
        <v>0</v>
      </c>
      <c r="BB693" s="83"/>
    </row>
    <row r="694" spans="1:54" ht="14.25" x14ac:dyDescent="0.15">
      <c r="A694" s="23" t="s">
        <v>48</v>
      </c>
      <c r="B694" s="44"/>
      <c r="C694" s="45"/>
      <c r="D694" s="45"/>
      <c r="E694" s="45"/>
      <c r="F694" s="45"/>
      <c r="G694" s="43">
        <f t="shared" si="251"/>
        <v>0</v>
      </c>
      <c r="H694" s="44"/>
      <c r="I694" s="45"/>
      <c r="J694" s="45"/>
      <c r="K694" s="45">
        <v>1</v>
      </c>
      <c r="L694" s="45"/>
      <c r="M694" s="43">
        <f t="shared" si="252"/>
        <v>1</v>
      </c>
      <c r="N694" s="42"/>
      <c r="O694" s="53"/>
      <c r="P694" s="53"/>
      <c r="Q694" s="53">
        <v>1</v>
      </c>
      <c r="R694" s="72"/>
      <c r="S694" s="24">
        <f t="shared" si="253"/>
        <v>1</v>
      </c>
      <c r="T694" s="42"/>
      <c r="U694" s="53"/>
      <c r="V694" s="53"/>
      <c r="W694" s="53"/>
      <c r="X694" s="72"/>
      <c r="Y694" s="24">
        <f t="shared" si="254"/>
        <v>0</v>
      </c>
      <c r="Z694" s="24">
        <f t="shared" si="255"/>
        <v>2</v>
      </c>
      <c r="AA694" s="83">
        <v>44397</v>
      </c>
      <c r="AB694" s="47"/>
      <c r="AC694" s="14"/>
      <c r="AD694" s="15"/>
      <c r="AE694" s="15"/>
      <c r="AF694" s="15"/>
      <c r="AG694" s="15"/>
      <c r="AH694" s="24">
        <f t="shared" si="263"/>
        <v>0</v>
      </c>
      <c r="AI694" s="14"/>
      <c r="AJ694" s="15"/>
      <c r="AK694" s="15"/>
      <c r="AL694" s="15"/>
      <c r="AM694" s="15"/>
      <c r="AN694" s="24">
        <f t="shared" si="264"/>
        <v>0</v>
      </c>
      <c r="AO694" s="15"/>
      <c r="AP694" s="55"/>
      <c r="AQ694" s="55"/>
      <c r="AR694" s="55"/>
      <c r="AS694" s="67"/>
      <c r="AT694" s="24">
        <f t="shared" si="265"/>
        <v>0</v>
      </c>
      <c r="AU694" s="15"/>
      <c r="AV694" s="55"/>
      <c r="AW694" s="55"/>
      <c r="AX694" s="55"/>
      <c r="AY694" s="67"/>
      <c r="AZ694" s="24">
        <f t="shared" si="261"/>
        <v>0</v>
      </c>
      <c r="BA694" s="24">
        <f t="shared" si="262"/>
        <v>0</v>
      </c>
      <c r="BB694" s="128"/>
    </row>
    <row r="695" spans="1:54" ht="14.25" x14ac:dyDescent="0.15">
      <c r="A695" s="23" t="s">
        <v>48</v>
      </c>
      <c r="B695" s="41">
        <v>2</v>
      </c>
      <c r="C695" s="42"/>
      <c r="D695" s="42"/>
      <c r="E695" s="42"/>
      <c r="F695" s="42"/>
      <c r="G695" s="43">
        <f t="shared" si="251"/>
        <v>2</v>
      </c>
      <c r="H695" s="41"/>
      <c r="I695" s="42"/>
      <c r="J695" s="42"/>
      <c r="K695" s="42"/>
      <c r="L695" s="42"/>
      <c r="M695" s="43">
        <f t="shared" si="252"/>
        <v>0</v>
      </c>
      <c r="N695" s="42"/>
      <c r="O695" s="53"/>
      <c r="P695" s="53"/>
      <c r="Q695" s="53"/>
      <c r="R695" s="72">
        <v>1</v>
      </c>
      <c r="S695" s="24">
        <f t="shared" si="253"/>
        <v>1</v>
      </c>
      <c r="T695" s="42"/>
      <c r="U695" s="53"/>
      <c r="V695" s="53"/>
      <c r="W695" s="53"/>
      <c r="X695" s="72"/>
      <c r="Y695" s="24">
        <f t="shared" si="254"/>
        <v>0</v>
      </c>
      <c r="Z695" s="24">
        <f t="shared" si="255"/>
        <v>3</v>
      </c>
      <c r="AA695" s="83">
        <v>44403</v>
      </c>
      <c r="AB695" s="47"/>
      <c r="AC695" s="14"/>
      <c r="AD695" s="15"/>
      <c r="AE695" s="15"/>
      <c r="AF695" s="15"/>
      <c r="AG695" s="15"/>
      <c r="AH695" s="24">
        <f t="shared" si="263"/>
        <v>0</v>
      </c>
      <c r="AI695" s="14"/>
      <c r="AJ695" s="15"/>
      <c r="AK695" s="15"/>
      <c r="AL695" s="15"/>
      <c r="AM695" s="15"/>
      <c r="AN695" s="24">
        <f t="shared" si="264"/>
        <v>0</v>
      </c>
      <c r="AO695" s="15"/>
      <c r="AP695" s="55"/>
      <c r="AQ695" s="55"/>
      <c r="AR695" s="55"/>
      <c r="AS695" s="67"/>
      <c r="AT695" s="24">
        <f t="shared" si="265"/>
        <v>0</v>
      </c>
      <c r="AU695" s="15"/>
      <c r="AV695" s="55"/>
      <c r="AW695" s="55"/>
      <c r="AX695" s="55"/>
      <c r="AY695" s="67"/>
      <c r="AZ695" s="24">
        <f t="shared" si="261"/>
        <v>0</v>
      </c>
      <c r="BA695" s="24">
        <f t="shared" si="262"/>
        <v>0</v>
      </c>
      <c r="BB695" s="128"/>
    </row>
    <row r="696" spans="1:54" ht="14.25" x14ac:dyDescent="0.15">
      <c r="A696" s="23" t="s">
        <v>42</v>
      </c>
      <c r="B696" s="41">
        <v>-3</v>
      </c>
      <c r="C696" s="42"/>
      <c r="D696" s="42"/>
      <c r="E696" s="42"/>
      <c r="F696" s="42"/>
      <c r="G696" s="43">
        <f t="shared" si="251"/>
        <v>-3</v>
      </c>
      <c r="H696" s="41"/>
      <c r="I696" s="42"/>
      <c r="J696" s="42"/>
      <c r="K696" s="42">
        <v>-3</v>
      </c>
      <c r="L696" s="42"/>
      <c r="M696" s="43">
        <f t="shared" si="252"/>
        <v>-3</v>
      </c>
      <c r="N696" s="42"/>
      <c r="O696" s="53"/>
      <c r="P696" s="53"/>
      <c r="Q696" s="53"/>
      <c r="R696" s="72"/>
      <c r="S696" s="24">
        <f t="shared" si="253"/>
        <v>0</v>
      </c>
      <c r="T696" s="42"/>
      <c r="U696" s="53"/>
      <c r="V696" s="53"/>
      <c r="W696" s="53"/>
      <c r="X696" s="72"/>
      <c r="Y696" s="24">
        <f t="shared" si="254"/>
        <v>0</v>
      </c>
      <c r="Z696" s="24">
        <f t="shared" si="255"/>
        <v>-6</v>
      </c>
      <c r="AA696" s="83">
        <v>44405</v>
      </c>
      <c r="AB696" s="47"/>
      <c r="AC696" s="14"/>
      <c r="AD696" s="15"/>
      <c r="AE696" s="15"/>
      <c r="AF696" s="15"/>
      <c r="AG696" s="15"/>
      <c r="AH696" s="24">
        <f>SUM(AC696:AG696)</f>
        <v>0</v>
      </c>
      <c r="AI696" s="14"/>
      <c r="AJ696" s="15"/>
      <c r="AK696" s="15"/>
      <c r="AL696" s="15"/>
      <c r="AM696" s="15"/>
      <c r="AN696" s="24">
        <f>SUM(AI696:AM696)</f>
        <v>0</v>
      </c>
      <c r="AO696" s="15"/>
      <c r="AP696" s="55"/>
      <c r="AQ696" s="55"/>
      <c r="AR696" s="55"/>
      <c r="AS696" s="67"/>
      <c r="AT696" s="24">
        <f>SUM(AO696:AS696)</f>
        <v>0</v>
      </c>
      <c r="AU696" s="15"/>
      <c r="AV696" s="55"/>
      <c r="AW696" s="55"/>
      <c r="AX696" s="55"/>
      <c r="AY696" s="67"/>
      <c r="AZ696" s="24">
        <f>SUM(AU696:AY696)</f>
        <v>0</v>
      </c>
      <c r="BA696" s="24">
        <f>AH696+AN696+AT696+AZ696</f>
        <v>0</v>
      </c>
      <c r="BB696" s="128"/>
    </row>
    <row r="697" spans="1:54" ht="14.25" x14ac:dyDescent="0.15">
      <c r="A697" s="23" t="s">
        <v>48</v>
      </c>
      <c r="B697" s="41"/>
      <c r="C697" s="42"/>
      <c r="D697" s="42"/>
      <c r="E697" s="42"/>
      <c r="F697" s="42"/>
      <c r="G697" s="43">
        <f t="shared" si="251"/>
        <v>0</v>
      </c>
      <c r="H697" s="41"/>
      <c r="I697" s="42">
        <v>1</v>
      </c>
      <c r="J697" s="42"/>
      <c r="K697" s="42"/>
      <c r="L697" s="42"/>
      <c r="M697" s="43">
        <f t="shared" si="252"/>
        <v>1</v>
      </c>
      <c r="N697" s="42"/>
      <c r="O697" s="53"/>
      <c r="P697" s="53"/>
      <c r="Q697" s="53"/>
      <c r="R697" s="72"/>
      <c r="S697" s="24">
        <f>SUM(N697:R697)</f>
        <v>0</v>
      </c>
      <c r="T697" s="42"/>
      <c r="U697" s="53"/>
      <c r="V697" s="53"/>
      <c r="W697" s="53"/>
      <c r="X697" s="72"/>
      <c r="Y697" s="24">
        <f>SUM(T697:X697)</f>
        <v>0</v>
      </c>
      <c r="Z697" s="24">
        <f>G697+M697+S697+Y697</f>
        <v>1</v>
      </c>
      <c r="AA697" s="93">
        <v>44404</v>
      </c>
      <c r="AB697" s="47"/>
      <c r="AC697" s="14"/>
      <c r="AD697" s="15"/>
      <c r="AE697" s="15"/>
      <c r="AF697" s="15"/>
      <c r="AG697" s="15"/>
      <c r="AH697" s="24">
        <f>SUM(AC697:AG697)</f>
        <v>0</v>
      </c>
      <c r="AI697" s="14"/>
      <c r="AJ697" s="15"/>
      <c r="AK697" s="15"/>
      <c r="AL697" s="15"/>
      <c r="AM697" s="15"/>
      <c r="AN697" s="24">
        <f>SUM(AI697:AM697)</f>
        <v>0</v>
      </c>
      <c r="AO697" s="15"/>
      <c r="AP697" s="55"/>
      <c r="AQ697" s="55"/>
      <c r="AR697" s="55"/>
      <c r="AS697" s="67"/>
      <c r="AT697" s="24">
        <f>SUM(AO697:AS697)</f>
        <v>0</v>
      </c>
      <c r="AU697" s="15"/>
      <c r="AV697" s="55"/>
      <c r="AW697" s="55"/>
      <c r="AX697" s="55"/>
      <c r="AY697" s="67"/>
      <c r="AZ697" s="24">
        <f>SUM(AU697:AY697)</f>
        <v>0</v>
      </c>
      <c r="BA697" s="24">
        <f>AH697+AN697+AT697+AZ697</f>
        <v>0</v>
      </c>
      <c r="BB697" s="128"/>
    </row>
    <row r="698" spans="1:54" ht="14.25" thickBot="1" x14ac:dyDescent="0.2">
      <c r="A698" s="182"/>
      <c r="B698" s="44"/>
      <c r="C698" s="45"/>
      <c r="D698" s="45"/>
      <c r="E698" s="45"/>
      <c r="F698" s="45"/>
      <c r="G698" s="43">
        <f t="shared" si="251"/>
        <v>0</v>
      </c>
      <c r="H698" s="44"/>
      <c r="I698" s="45"/>
      <c r="J698" s="45"/>
      <c r="K698" s="45"/>
      <c r="L698" s="45"/>
      <c r="M698" s="112">
        <f t="shared" si="252"/>
        <v>0</v>
      </c>
      <c r="N698" s="45"/>
      <c r="O698" s="78"/>
      <c r="P698" s="78"/>
      <c r="Q698" s="78"/>
      <c r="R698" s="79"/>
      <c r="S698" s="113">
        <f>SUM(N698:R698)</f>
        <v>0</v>
      </c>
      <c r="T698" s="45"/>
      <c r="U698" s="78"/>
      <c r="V698" s="78"/>
      <c r="W698" s="78"/>
      <c r="X698" s="79"/>
      <c r="Y698" s="113">
        <f>SUM(T698:X698)</f>
        <v>0</v>
      </c>
      <c r="Z698" s="82">
        <f>G698+M698+S698+Y698</f>
        <v>0</v>
      </c>
      <c r="AB698" s="158"/>
      <c r="AC698" s="14"/>
      <c r="AD698" s="15"/>
      <c r="AE698" s="15"/>
      <c r="AF698" s="15"/>
      <c r="AG698" s="15"/>
      <c r="AH698" s="24">
        <f>SUM(AC698:AG698)</f>
        <v>0</v>
      </c>
      <c r="AI698" s="14"/>
      <c r="AJ698" s="15"/>
      <c r="AK698" s="15"/>
      <c r="AL698" s="15"/>
      <c r="AM698" s="15"/>
      <c r="AN698" s="24">
        <f>SUM(AI698:AM698)</f>
        <v>0</v>
      </c>
      <c r="AO698" s="15"/>
      <c r="AP698" s="55"/>
      <c r="AQ698" s="55"/>
      <c r="AR698" s="55"/>
      <c r="AS698" s="67"/>
      <c r="AT698" s="24">
        <f>SUM(AO698:AS698)</f>
        <v>0</v>
      </c>
      <c r="AU698" s="15"/>
      <c r="AV698" s="55"/>
      <c r="AW698" s="55"/>
      <c r="AX698" s="55"/>
      <c r="AY698" s="67"/>
      <c r="AZ698" s="24">
        <f>SUM(AU698:AY698)</f>
        <v>0</v>
      </c>
      <c r="BA698" s="24">
        <f>AH698+AN698+AT698+AZ698</f>
        <v>0</v>
      </c>
      <c r="BB698" s="128"/>
    </row>
    <row r="699" spans="1:54" ht="15" thickBot="1" x14ac:dyDescent="0.2">
      <c r="A699" s="9" t="s">
        <v>13</v>
      </c>
      <c r="B699" s="25">
        <f>SUM(B673:B698)</f>
        <v>-1</v>
      </c>
      <c r="C699" s="26">
        <f>SUM(C673:C698)</f>
        <v>2</v>
      </c>
      <c r="D699" s="26">
        <f>SUM(D673:D698)</f>
        <v>1</v>
      </c>
      <c r="E699" s="26">
        <f>SUM(E673:E698)</f>
        <v>1</v>
      </c>
      <c r="F699" s="27">
        <f>SUM(F673:F698)</f>
        <v>1</v>
      </c>
      <c r="G699" s="19">
        <f>SUM(B699:F699)</f>
        <v>4</v>
      </c>
      <c r="H699" s="25">
        <f>SUM(H673:H698)</f>
        <v>0</v>
      </c>
      <c r="I699" s="26">
        <f>SUM(I673:I698)</f>
        <v>3</v>
      </c>
      <c r="J699" s="26">
        <f>SUM(J673:J698)</f>
        <v>3</v>
      </c>
      <c r="K699" s="26">
        <f>SUM(K673:K698)</f>
        <v>-2</v>
      </c>
      <c r="L699" s="27">
        <f>SUM(L673:L698)</f>
        <v>1</v>
      </c>
      <c r="M699" s="25">
        <f>SUM(H699:L699)</f>
        <v>5</v>
      </c>
      <c r="N699" s="65">
        <f>SUM(N673:N698)</f>
        <v>3</v>
      </c>
      <c r="O699" s="18">
        <f>SUM(O673:O698)</f>
        <v>-2</v>
      </c>
      <c r="P699" s="18">
        <f>SUM(P673:P698)</f>
        <v>1</v>
      </c>
      <c r="Q699" s="18">
        <f>SUM(Q673:Q698)</f>
        <v>1</v>
      </c>
      <c r="R699" s="70">
        <f>SUM(R673:R698)</f>
        <v>-1</v>
      </c>
      <c r="S699" s="49">
        <f>SUM(N699:R699)</f>
        <v>2</v>
      </c>
      <c r="T699" s="74">
        <f>SUM(T673:T698)</f>
        <v>2</v>
      </c>
      <c r="U699" s="18">
        <f>SUM(U673:U698)</f>
        <v>5</v>
      </c>
      <c r="V699" s="18">
        <f>SUM(V673:V698)</f>
        <v>0</v>
      </c>
      <c r="W699" s="18">
        <f>SUM(W673:W698)</f>
        <v>1</v>
      </c>
      <c r="X699" s="70">
        <f>SUM(X673:X698)</f>
        <v>2</v>
      </c>
      <c r="Y699" s="49">
        <f>SUM(T699:X699)</f>
        <v>10</v>
      </c>
      <c r="Z699" s="77">
        <f>G699+M699+S699+Y699</f>
        <v>21</v>
      </c>
      <c r="AB699" s="9" t="s">
        <v>13</v>
      </c>
      <c r="AC699" s="25">
        <f>SUM(AC673:AC698)</f>
        <v>5</v>
      </c>
      <c r="AD699" s="26">
        <f>SUM(AD673:AD698)</f>
        <v>14</v>
      </c>
      <c r="AE699" s="26">
        <f>SUM(AE673:AE698)</f>
        <v>5</v>
      </c>
      <c r="AF699" s="26">
        <f>SUM(AF673:AF698)</f>
        <v>5</v>
      </c>
      <c r="AG699" s="27">
        <f>SUM(AG673:AG698)</f>
        <v>5</v>
      </c>
      <c r="AH699" s="19">
        <f>SUM(AC699:AG699)</f>
        <v>34</v>
      </c>
      <c r="AI699" s="25">
        <f>SUM(AI673:AI698)</f>
        <v>1</v>
      </c>
      <c r="AJ699" s="26">
        <f>SUM(AJ673:AJ698)</f>
        <v>0</v>
      </c>
      <c r="AK699" s="26">
        <f>SUM(AK673:AK698)</f>
        <v>0</v>
      </c>
      <c r="AL699" s="26">
        <f>SUM(AL673:AL698)</f>
        <v>3</v>
      </c>
      <c r="AM699" s="27">
        <f>SUM(AM673:AM698)</f>
        <v>0</v>
      </c>
      <c r="AN699" s="25">
        <f>SUM(AI699:AM699)</f>
        <v>4</v>
      </c>
      <c r="AO699" s="65">
        <f>SUM(AO673:AO698)</f>
        <v>0</v>
      </c>
      <c r="AP699" s="18">
        <f>SUM(AP673:AP698)</f>
        <v>5</v>
      </c>
      <c r="AQ699" s="18">
        <f>SUM(AQ673:AQ698)</f>
        <v>3</v>
      </c>
      <c r="AR699" s="18">
        <f>SUM(AR673:AR698)</f>
        <v>2</v>
      </c>
      <c r="AS699" s="70">
        <f>SUM(AS673:AS698)</f>
        <v>2</v>
      </c>
      <c r="AT699" s="49">
        <f>SUM(AO699:AS699)</f>
        <v>12</v>
      </c>
      <c r="AU699" s="74">
        <f>SUM(AU673:AU698)</f>
        <v>0</v>
      </c>
      <c r="AV699" s="18">
        <f>SUM(AV673:AV698)</f>
        <v>3</v>
      </c>
      <c r="AW699" s="18">
        <f>SUM(AW673:AW698)</f>
        <v>4</v>
      </c>
      <c r="AX699" s="18">
        <f>SUM(AX673:AX698)</f>
        <v>3</v>
      </c>
      <c r="AY699" s="70">
        <f>SUM(AY673:AY698)</f>
        <v>5</v>
      </c>
      <c r="AZ699" s="49">
        <f>SUM(AU699:AY699)</f>
        <v>15</v>
      </c>
      <c r="BA699" s="77">
        <f>AH699+AN699+AT699+AZ699</f>
        <v>65</v>
      </c>
    </row>
    <row r="700" spans="1:54" ht="15" thickBot="1" x14ac:dyDescent="0.2">
      <c r="A700" s="32" t="s">
        <v>14</v>
      </c>
      <c r="B700" s="29">
        <f t="shared" ref="B700:Y700" si="282">B672-B699</f>
        <v>3</v>
      </c>
      <c r="C700" s="30">
        <f t="shared" si="282"/>
        <v>2</v>
      </c>
      <c r="D700" s="30">
        <f t="shared" si="282"/>
        <v>4</v>
      </c>
      <c r="E700" s="30">
        <f t="shared" si="282"/>
        <v>2</v>
      </c>
      <c r="F700" s="31">
        <f t="shared" si="282"/>
        <v>3</v>
      </c>
      <c r="G700" s="31">
        <f t="shared" si="282"/>
        <v>14</v>
      </c>
      <c r="H700" s="29">
        <f t="shared" si="282"/>
        <v>3</v>
      </c>
      <c r="I700" s="30">
        <f t="shared" si="282"/>
        <v>2</v>
      </c>
      <c r="J700" s="30">
        <f t="shared" si="282"/>
        <v>3</v>
      </c>
      <c r="K700" s="30">
        <f t="shared" si="282"/>
        <v>4</v>
      </c>
      <c r="L700" s="31">
        <f t="shared" si="282"/>
        <v>4</v>
      </c>
      <c r="M700" s="66">
        <f t="shared" si="282"/>
        <v>16</v>
      </c>
      <c r="N700" s="29">
        <f t="shared" si="282"/>
        <v>3</v>
      </c>
      <c r="O700" s="30">
        <f t="shared" si="282"/>
        <v>4</v>
      </c>
      <c r="P700" s="30">
        <f t="shared" si="282"/>
        <v>3</v>
      </c>
      <c r="Q700" s="30">
        <f t="shared" si="282"/>
        <v>2</v>
      </c>
      <c r="R700" s="66">
        <f t="shared" si="282"/>
        <v>4</v>
      </c>
      <c r="S700" s="33">
        <f t="shared" si="282"/>
        <v>16</v>
      </c>
      <c r="T700" s="75">
        <f t="shared" si="282"/>
        <v>2</v>
      </c>
      <c r="U700" s="30">
        <f t="shared" si="282"/>
        <v>2</v>
      </c>
      <c r="V700" s="30">
        <f t="shared" si="282"/>
        <v>3</v>
      </c>
      <c r="W700" s="30">
        <f t="shared" si="282"/>
        <v>2</v>
      </c>
      <c r="X700" s="66">
        <f t="shared" si="282"/>
        <v>2</v>
      </c>
      <c r="Y700" s="33">
        <f t="shared" si="282"/>
        <v>11</v>
      </c>
      <c r="Z700" s="77">
        <f>G700+M700+S700+Y700</f>
        <v>57</v>
      </c>
      <c r="AB700" s="32" t="s">
        <v>14</v>
      </c>
      <c r="AC700" s="29">
        <f t="shared" ref="AC700:AZ700" si="283">AC672-AC699</f>
        <v>170</v>
      </c>
      <c r="AD700" s="30">
        <f t="shared" si="283"/>
        <v>131</v>
      </c>
      <c r="AE700" s="30">
        <f t="shared" si="283"/>
        <v>125</v>
      </c>
      <c r="AF700" s="30">
        <f t="shared" si="283"/>
        <v>136</v>
      </c>
      <c r="AG700" s="31">
        <f t="shared" si="283"/>
        <v>104</v>
      </c>
      <c r="AH700" s="31">
        <f t="shared" si="283"/>
        <v>666</v>
      </c>
      <c r="AI700" s="29">
        <f t="shared" si="283"/>
        <v>110</v>
      </c>
      <c r="AJ700" s="30">
        <f t="shared" si="283"/>
        <v>102</v>
      </c>
      <c r="AK700" s="30">
        <f t="shared" si="283"/>
        <v>113</v>
      </c>
      <c r="AL700" s="30">
        <f t="shared" si="283"/>
        <v>94</v>
      </c>
      <c r="AM700" s="31">
        <f t="shared" si="283"/>
        <v>90</v>
      </c>
      <c r="AN700" s="66">
        <f t="shared" si="283"/>
        <v>509</v>
      </c>
      <c r="AO700" s="29">
        <f t="shared" si="283"/>
        <v>168</v>
      </c>
      <c r="AP700" s="30">
        <f t="shared" si="283"/>
        <v>150</v>
      </c>
      <c r="AQ700" s="30">
        <f t="shared" si="283"/>
        <v>145</v>
      </c>
      <c r="AR700" s="30">
        <f t="shared" si="283"/>
        <v>155</v>
      </c>
      <c r="AS700" s="66">
        <f t="shared" si="283"/>
        <v>165</v>
      </c>
      <c r="AT700" s="33">
        <f t="shared" si="283"/>
        <v>783</v>
      </c>
      <c r="AU700" s="75">
        <f t="shared" si="283"/>
        <v>120</v>
      </c>
      <c r="AV700" s="30">
        <f t="shared" si="283"/>
        <v>77</v>
      </c>
      <c r="AW700" s="30">
        <f t="shared" si="283"/>
        <v>76</v>
      </c>
      <c r="AX700" s="30">
        <f t="shared" si="283"/>
        <v>79</v>
      </c>
      <c r="AY700" s="66">
        <f t="shared" si="283"/>
        <v>122</v>
      </c>
      <c r="AZ700" s="33">
        <f t="shared" si="283"/>
        <v>474</v>
      </c>
      <c r="BA700" s="77">
        <f>AH700+AN700+AT700+AZ700</f>
        <v>2432</v>
      </c>
    </row>
    <row r="703" spans="1:54" ht="19.5" thickBot="1" x14ac:dyDescent="0.25">
      <c r="A703" s="1" t="s">
        <v>15</v>
      </c>
      <c r="AB703" s="1" t="s">
        <v>16</v>
      </c>
    </row>
    <row r="704" spans="1:54" ht="15" thickBot="1" x14ac:dyDescent="0.2">
      <c r="A704" s="4"/>
      <c r="B704" s="245" t="s">
        <v>17</v>
      </c>
      <c r="C704" s="246"/>
      <c r="D704" s="246"/>
      <c r="E704" s="246"/>
      <c r="F704" s="246"/>
      <c r="G704" s="247"/>
      <c r="H704" s="245" t="s">
        <v>18</v>
      </c>
      <c r="I704" s="246"/>
      <c r="J704" s="246"/>
      <c r="K704" s="246"/>
      <c r="L704" s="246"/>
      <c r="M704" s="247"/>
      <c r="N704" s="248" t="s">
        <v>27</v>
      </c>
      <c r="O704" s="249"/>
      <c r="P704" s="249"/>
      <c r="Q704" s="249"/>
      <c r="R704" s="249"/>
      <c r="S704" s="250"/>
      <c r="T704" s="248" t="s">
        <v>28</v>
      </c>
      <c r="U704" s="249"/>
      <c r="V704" s="249"/>
      <c r="W704" s="249"/>
      <c r="X704" s="249"/>
      <c r="Y704" s="250"/>
      <c r="Z704" s="251" t="s">
        <v>1</v>
      </c>
      <c r="AB704" s="4"/>
      <c r="AC704" s="253" t="s">
        <v>17</v>
      </c>
      <c r="AD704" s="249"/>
      <c r="AE704" s="249"/>
      <c r="AF704" s="249"/>
      <c r="AG704" s="249"/>
      <c r="AH704" s="250"/>
      <c r="AI704" s="248" t="s">
        <v>18</v>
      </c>
      <c r="AJ704" s="249"/>
      <c r="AK704" s="249"/>
      <c r="AL704" s="249"/>
      <c r="AM704" s="249"/>
      <c r="AN704" s="250"/>
      <c r="AO704" s="248" t="s">
        <v>27</v>
      </c>
      <c r="AP704" s="249"/>
      <c r="AQ704" s="249"/>
      <c r="AR704" s="249"/>
      <c r="AS704" s="249"/>
      <c r="AT704" s="250"/>
      <c r="AU704" s="248" t="s">
        <v>28</v>
      </c>
      <c r="AV704" s="249"/>
      <c r="AW704" s="249"/>
      <c r="AX704" s="249"/>
      <c r="AY704" s="249"/>
      <c r="AZ704" s="250"/>
      <c r="BA704" s="243" t="s">
        <v>1</v>
      </c>
    </row>
    <row r="705" spans="1:55" ht="15" thickBot="1" x14ac:dyDescent="0.2">
      <c r="A705" s="9" t="s">
        <v>2</v>
      </c>
      <c r="B705" s="6" t="s">
        <v>3</v>
      </c>
      <c r="C705" s="7" t="s">
        <v>4</v>
      </c>
      <c r="D705" s="7" t="s">
        <v>5</v>
      </c>
      <c r="E705" s="48" t="s">
        <v>20</v>
      </c>
      <c r="F705" s="8" t="s">
        <v>21</v>
      </c>
      <c r="G705" s="5" t="s">
        <v>6</v>
      </c>
      <c r="H705" s="6" t="s">
        <v>3</v>
      </c>
      <c r="I705" s="7" t="s">
        <v>4</v>
      </c>
      <c r="J705" s="7" t="s">
        <v>5</v>
      </c>
      <c r="K705" s="48" t="s">
        <v>20</v>
      </c>
      <c r="L705" s="8" t="s">
        <v>21</v>
      </c>
      <c r="M705" s="5" t="s">
        <v>6</v>
      </c>
      <c r="N705" s="6" t="s">
        <v>3</v>
      </c>
      <c r="O705" s="7" t="s">
        <v>4</v>
      </c>
      <c r="P705" s="7" t="s">
        <v>5</v>
      </c>
      <c r="Q705" s="48" t="s">
        <v>20</v>
      </c>
      <c r="R705" s="8" t="s">
        <v>21</v>
      </c>
      <c r="S705" s="5" t="s">
        <v>6</v>
      </c>
      <c r="T705" s="7" t="s">
        <v>3</v>
      </c>
      <c r="U705" s="7" t="s">
        <v>4</v>
      </c>
      <c r="V705" s="7" t="s">
        <v>5</v>
      </c>
      <c r="W705" s="48" t="s">
        <v>20</v>
      </c>
      <c r="X705" s="109" t="s">
        <v>21</v>
      </c>
      <c r="Y705" s="62" t="s">
        <v>6</v>
      </c>
      <c r="Z705" s="252"/>
      <c r="AB705" s="9" t="s">
        <v>2</v>
      </c>
      <c r="AC705" s="6" t="s">
        <v>3</v>
      </c>
      <c r="AD705" s="7" t="s">
        <v>4</v>
      </c>
      <c r="AE705" s="7" t="s">
        <v>5</v>
      </c>
      <c r="AF705" s="48" t="s">
        <v>20</v>
      </c>
      <c r="AG705" s="8" t="s">
        <v>21</v>
      </c>
      <c r="AH705" s="5" t="s">
        <v>6</v>
      </c>
      <c r="AI705" s="6" t="s">
        <v>3</v>
      </c>
      <c r="AJ705" s="7" t="s">
        <v>4</v>
      </c>
      <c r="AK705" s="7" t="s">
        <v>5</v>
      </c>
      <c r="AL705" s="48" t="s">
        <v>20</v>
      </c>
      <c r="AM705" s="8" t="s">
        <v>21</v>
      </c>
      <c r="AN705" s="5" t="s">
        <v>6</v>
      </c>
      <c r="AO705" s="6" t="s">
        <v>3</v>
      </c>
      <c r="AP705" s="7" t="s">
        <v>4</v>
      </c>
      <c r="AQ705" s="7" t="s">
        <v>5</v>
      </c>
      <c r="AR705" s="48" t="s">
        <v>20</v>
      </c>
      <c r="AS705" s="8" t="s">
        <v>21</v>
      </c>
      <c r="AT705" s="5" t="s">
        <v>6</v>
      </c>
      <c r="AU705" s="7" t="s">
        <v>3</v>
      </c>
      <c r="AV705" s="7" t="s">
        <v>4</v>
      </c>
      <c r="AW705" s="7" t="s">
        <v>5</v>
      </c>
      <c r="AX705" s="48" t="s">
        <v>20</v>
      </c>
      <c r="AY705" s="109" t="s">
        <v>21</v>
      </c>
      <c r="AZ705" s="62" t="s">
        <v>6</v>
      </c>
      <c r="BA705" s="244"/>
    </row>
    <row r="706" spans="1:55" ht="14.25" x14ac:dyDescent="0.15">
      <c r="A706" s="103" t="s">
        <v>43</v>
      </c>
      <c r="B706" s="104">
        <f>B700</f>
        <v>3</v>
      </c>
      <c r="C706" s="105">
        <f>C700</f>
        <v>2</v>
      </c>
      <c r="D706" s="105">
        <f>D700</f>
        <v>4</v>
      </c>
      <c r="E706" s="105">
        <f>E700</f>
        <v>2</v>
      </c>
      <c r="F706" s="105">
        <f>F700</f>
        <v>3</v>
      </c>
      <c r="G706" s="106">
        <f t="shared" ref="G706:G737" si="284">SUM(B706:F706)</f>
        <v>14</v>
      </c>
      <c r="H706" s="104">
        <f>H700</f>
        <v>3</v>
      </c>
      <c r="I706" s="105">
        <f>I700</f>
        <v>2</v>
      </c>
      <c r="J706" s="105">
        <f>J700</f>
        <v>3</v>
      </c>
      <c r="K706" s="105">
        <f>K700</f>
        <v>4</v>
      </c>
      <c r="L706" s="105">
        <f>L700</f>
        <v>4</v>
      </c>
      <c r="M706" s="107">
        <f t="shared" ref="M706:M737" si="285">SUM(H706:L706)</f>
        <v>16</v>
      </c>
      <c r="N706" s="104">
        <f>N700</f>
        <v>3</v>
      </c>
      <c r="O706" s="105">
        <f>O700</f>
        <v>4</v>
      </c>
      <c r="P706" s="105">
        <f>P700</f>
        <v>3</v>
      </c>
      <c r="Q706" s="105">
        <f>Q700</f>
        <v>2</v>
      </c>
      <c r="R706" s="105">
        <f>R700</f>
        <v>4</v>
      </c>
      <c r="S706" s="108">
        <f t="shared" ref="S706:S735" si="286">SUM(N706:R706)</f>
        <v>16</v>
      </c>
      <c r="T706" s="104">
        <f>T700</f>
        <v>2</v>
      </c>
      <c r="U706" s="105">
        <f>U700</f>
        <v>2</v>
      </c>
      <c r="V706" s="105">
        <f>V700</f>
        <v>3</v>
      </c>
      <c r="W706" s="105">
        <f>W700</f>
        <v>2</v>
      </c>
      <c r="X706" s="105">
        <f>X700</f>
        <v>2</v>
      </c>
      <c r="Y706" s="106">
        <f t="shared" ref="Y706:Y735" si="287">SUM(T706:X706)</f>
        <v>11</v>
      </c>
      <c r="Z706" s="106">
        <f t="shared" ref="Z706:Z735" si="288">G706+M706+S706+Y706</f>
        <v>57</v>
      </c>
      <c r="AB706" s="103" t="s">
        <v>43</v>
      </c>
      <c r="AC706" s="104">
        <f>AC700</f>
        <v>170</v>
      </c>
      <c r="AD706" s="105">
        <f>AD700</f>
        <v>131</v>
      </c>
      <c r="AE706" s="105">
        <f>AE700</f>
        <v>125</v>
      </c>
      <c r="AF706" s="105">
        <f>AF700</f>
        <v>136</v>
      </c>
      <c r="AG706" s="105">
        <f>AG700</f>
        <v>104</v>
      </c>
      <c r="AH706" s="106">
        <f>SUM(AC706:AG706)</f>
        <v>666</v>
      </c>
      <c r="AI706" s="104">
        <f>AI700</f>
        <v>110</v>
      </c>
      <c r="AJ706" s="105">
        <f>AJ700</f>
        <v>102</v>
      </c>
      <c r="AK706" s="105">
        <f>AK700</f>
        <v>113</v>
      </c>
      <c r="AL706" s="105">
        <f>AL700</f>
        <v>94</v>
      </c>
      <c r="AM706" s="105">
        <f>AM700</f>
        <v>90</v>
      </c>
      <c r="AN706" s="107">
        <f>SUM(AI706:AM706)</f>
        <v>509</v>
      </c>
      <c r="AO706" s="104">
        <f>AO700</f>
        <v>168</v>
      </c>
      <c r="AP706" s="105">
        <f>AP700</f>
        <v>150</v>
      </c>
      <c r="AQ706" s="105">
        <f>AQ700</f>
        <v>145</v>
      </c>
      <c r="AR706" s="105">
        <f>AR700</f>
        <v>155</v>
      </c>
      <c r="AS706" s="105">
        <f>AS700</f>
        <v>165</v>
      </c>
      <c r="AT706" s="108">
        <f>SUM(AO706:AS706)</f>
        <v>783</v>
      </c>
      <c r="AU706" s="104">
        <f>AU700</f>
        <v>120</v>
      </c>
      <c r="AV706" s="105">
        <f>AV700</f>
        <v>77</v>
      </c>
      <c r="AW706" s="105">
        <f>AW700</f>
        <v>76</v>
      </c>
      <c r="AX706" s="105">
        <f>AX700</f>
        <v>79</v>
      </c>
      <c r="AY706" s="105">
        <f>AY700</f>
        <v>122</v>
      </c>
      <c r="AZ706" s="106">
        <f>SUM(AU706:AY706)</f>
        <v>474</v>
      </c>
      <c r="BA706" s="106">
        <f>AH706+AN706+AT706+AZ706</f>
        <v>2432</v>
      </c>
    </row>
    <row r="707" spans="1:55" ht="14.25" x14ac:dyDescent="0.15">
      <c r="A707" s="10" t="s">
        <v>181</v>
      </c>
      <c r="B707" s="14"/>
      <c r="C707" s="15">
        <v>3</v>
      </c>
      <c r="D707" s="15"/>
      <c r="E707" s="15"/>
      <c r="F707" s="15"/>
      <c r="G707" s="16">
        <f t="shared" si="284"/>
        <v>3</v>
      </c>
      <c r="H707" s="14"/>
      <c r="I707" s="15">
        <v>3</v>
      </c>
      <c r="J707" s="15"/>
      <c r="K707" s="15"/>
      <c r="L707" s="15"/>
      <c r="M707" s="57">
        <f t="shared" si="285"/>
        <v>3</v>
      </c>
      <c r="N707" s="14"/>
      <c r="O707" s="55">
        <v>3</v>
      </c>
      <c r="P707" s="55"/>
      <c r="Q707" s="55"/>
      <c r="R707" s="67"/>
      <c r="S707" s="24">
        <f t="shared" si="286"/>
        <v>3</v>
      </c>
      <c r="T707" s="15"/>
      <c r="U707" s="55">
        <v>3</v>
      </c>
      <c r="V707" s="55"/>
      <c r="W707" s="55"/>
      <c r="X707" s="67"/>
      <c r="Y707" s="24">
        <f t="shared" si="287"/>
        <v>3</v>
      </c>
      <c r="Z707" s="24">
        <f t="shared" si="288"/>
        <v>12</v>
      </c>
      <c r="AA707" s="83">
        <v>44408</v>
      </c>
      <c r="AB707" s="23" t="s">
        <v>30</v>
      </c>
      <c r="AC707" s="41"/>
      <c r="AD707" s="42">
        <v>1</v>
      </c>
      <c r="AE707" s="42"/>
      <c r="AF707" s="42"/>
      <c r="AG707" s="42"/>
      <c r="AH707" s="43">
        <f t="shared" ref="AH707" si="289">SUM(AC707:AG707)</f>
        <v>1</v>
      </c>
      <c r="AI707" s="41">
        <v>1</v>
      </c>
      <c r="AJ707" s="42"/>
      <c r="AK707" s="42"/>
      <c r="AL707" s="42"/>
      <c r="AM707" s="42">
        <v>2</v>
      </c>
      <c r="AN707" s="43">
        <f t="shared" ref="AN707" si="290">SUM(AI707:AM707)</f>
        <v>3</v>
      </c>
      <c r="AO707" s="42">
        <v>3</v>
      </c>
      <c r="AP707" s="53">
        <v>1</v>
      </c>
      <c r="AQ707" s="53"/>
      <c r="AR707" s="53">
        <v>1</v>
      </c>
      <c r="AS707" s="72"/>
      <c r="AT707" s="24">
        <f t="shared" ref="AT707" si="291">SUM(AO707:AS707)</f>
        <v>5</v>
      </c>
      <c r="AU707" s="42"/>
      <c r="AV707" s="53"/>
      <c r="AW707" s="53">
        <v>3</v>
      </c>
      <c r="AX707" s="53"/>
      <c r="AY707" s="72"/>
      <c r="AZ707" s="24">
        <f t="shared" ref="AZ707" si="292">SUM(AU707:AY707)</f>
        <v>3</v>
      </c>
      <c r="BA707" s="24">
        <f t="shared" ref="BA707" si="293">AH707+AN707+AT707+AZ707</f>
        <v>12</v>
      </c>
      <c r="BB707" s="83">
        <v>44457</v>
      </c>
    </row>
    <row r="708" spans="1:55" ht="14.25" x14ac:dyDescent="0.15">
      <c r="A708" s="10" t="s">
        <v>181</v>
      </c>
      <c r="B708" s="41"/>
      <c r="C708" s="42"/>
      <c r="D708" s="42"/>
      <c r="E708" s="42">
        <v>3</v>
      </c>
      <c r="F708" s="42"/>
      <c r="G708" s="37">
        <f t="shared" si="284"/>
        <v>3</v>
      </c>
      <c r="H708" s="41">
        <v>3</v>
      </c>
      <c r="I708" s="42"/>
      <c r="J708" s="42"/>
      <c r="K708" s="42"/>
      <c r="L708" s="42"/>
      <c r="M708" s="114">
        <f t="shared" si="285"/>
        <v>3</v>
      </c>
      <c r="N708" s="41"/>
      <c r="O708" s="53"/>
      <c r="P708" s="53"/>
      <c r="Q708" s="53">
        <v>3</v>
      </c>
      <c r="R708" s="72"/>
      <c r="S708" s="24">
        <f t="shared" si="286"/>
        <v>3</v>
      </c>
      <c r="T708" s="42">
        <v>3</v>
      </c>
      <c r="U708" s="53"/>
      <c r="V708" s="53"/>
      <c r="W708" s="53">
        <v>3</v>
      </c>
      <c r="X708" s="72">
        <v>3</v>
      </c>
      <c r="Y708" s="24">
        <f t="shared" si="287"/>
        <v>9</v>
      </c>
      <c r="Z708" s="24">
        <f t="shared" si="288"/>
        <v>18</v>
      </c>
      <c r="AA708" s="83">
        <v>44411</v>
      </c>
      <c r="AB708" s="10" t="s">
        <v>181</v>
      </c>
      <c r="AC708" s="14"/>
      <c r="AD708" s="15"/>
      <c r="AE708" s="15"/>
      <c r="AF708" s="15"/>
      <c r="AG708" s="15"/>
      <c r="AH708" s="24">
        <v>2</v>
      </c>
      <c r="AI708" s="14"/>
      <c r="AJ708" s="15"/>
      <c r="AK708" s="15"/>
      <c r="AL708" s="15"/>
      <c r="AM708" s="15"/>
      <c r="AN708" s="24">
        <v>1</v>
      </c>
      <c r="AO708" s="14"/>
      <c r="AP708" s="55"/>
      <c r="AQ708" s="55"/>
      <c r="AR708" s="55"/>
      <c r="AS708" s="67"/>
      <c r="AT708" s="24">
        <v>0</v>
      </c>
      <c r="AU708" s="15"/>
      <c r="AV708" s="55"/>
      <c r="AW708" s="55"/>
      <c r="AX708" s="55"/>
      <c r="AY708" s="67"/>
      <c r="AZ708" s="24">
        <v>0</v>
      </c>
      <c r="BA708" s="24">
        <v>3</v>
      </c>
      <c r="BB708" s="93"/>
    </row>
    <row r="709" spans="1:55" ht="14.25" x14ac:dyDescent="0.15">
      <c r="A709" s="10" t="s">
        <v>77</v>
      </c>
      <c r="B709" s="14"/>
      <c r="C709" s="15"/>
      <c r="D709" s="15"/>
      <c r="E709" s="15"/>
      <c r="F709" s="15">
        <v>1</v>
      </c>
      <c r="G709" s="16">
        <f t="shared" si="284"/>
        <v>1</v>
      </c>
      <c r="H709" s="14"/>
      <c r="I709" s="15"/>
      <c r="J709" s="15"/>
      <c r="K709" s="15"/>
      <c r="L709" s="15"/>
      <c r="M709" s="57">
        <f t="shared" si="285"/>
        <v>0</v>
      </c>
      <c r="N709" s="14"/>
      <c r="O709" s="55"/>
      <c r="P709" s="55"/>
      <c r="Q709" s="55"/>
      <c r="R709" s="67"/>
      <c r="S709" s="24">
        <f t="shared" si="286"/>
        <v>0</v>
      </c>
      <c r="T709" s="15"/>
      <c r="U709" s="55"/>
      <c r="V709" s="55"/>
      <c r="W709" s="55"/>
      <c r="X709" s="67"/>
      <c r="Y709" s="24">
        <f t="shared" si="287"/>
        <v>0</v>
      </c>
      <c r="Z709" s="24">
        <f t="shared" si="288"/>
        <v>1</v>
      </c>
      <c r="AA709" s="93">
        <v>44434</v>
      </c>
      <c r="AB709" s="10" t="s">
        <v>181</v>
      </c>
      <c r="AC709" s="41"/>
      <c r="AD709" s="42"/>
      <c r="AE709" s="42"/>
      <c r="AF709" s="42"/>
      <c r="AG709" s="42"/>
      <c r="AH709" s="43">
        <f t="shared" ref="AH709" si="294">SUM(AC709:AG709)</f>
        <v>0</v>
      </c>
      <c r="AI709" s="41"/>
      <c r="AJ709" s="42"/>
      <c r="AK709" s="42"/>
      <c r="AL709" s="42"/>
      <c r="AM709" s="42"/>
      <c r="AN709" s="43">
        <f t="shared" ref="AN709" si="295">SUM(AI709:AM709)</f>
        <v>0</v>
      </c>
      <c r="AO709" s="42"/>
      <c r="AP709" s="53"/>
      <c r="AQ709" s="53"/>
      <c r="AR709" s="53"/>
      <c r="AS709" s="72"/>
      <c r="AT709" s="24">
        <f t="shared" ref="AT709" si="296">SUM(AO709:AS709)</f>
        <v>0</v>
      </c>
      <c r="AU709" s="42"/>
      <c r="AV709" s="53"/>
      <c r="AW709" s="53"/>
      <c r="AX709" s="53"/>
      <c r="AY709" s="72"/>
      <c r="AZ709" s="24">
        <f t="shared" ref="AZ709" si="297">SUM(AU709:AY709)</f>
        <v>0</v>
      </c>
      <c r="BA709" s="24">
        <f t="shared" ref="BA709:BA734" si="298">AH709+AN709+AT709+AZ709</f>
        <v>0</v>
      </c>
      <c r="BB709" s="83"/>
    </row>
    <row r="710" spans="1:55" ht="15" thickBot="1" x14ac:dyDescent="0.2">
      <c r="A710" s="10" t="s">
        <v>181</v>
      </c>
      <c r="B710" s="14"/>
      <c r="C710" s="15"/>
      <c r="D710" s="15"/>
      <c r="E710" s="15"/>
      <c r="F710" s="15"/>
      <c r="G710" s="16">
        <f t="shared" si="284"/>
        <v>0</v>
      </c>
      <c r="H710" s="14"/>
      <c r="I710" s="15"/>
      <c r="J710" s="15"/>
      <c r="K710" s="15"/>
      <c r="L710" s="15"/>
      <c r="M710" s="57">
        <f t="shared" si="285"/>
        <v>0</v>
      </c>
      <c r="N710" s="63">
        <v>3</v>
      </c>
      <c r="O710" s="64"/>
      <c r="P710" s="64">
        <v>3</v>
      </c>
      <c r="Q710" s="64"/>
      <c r="R710" s="69"/>
      <c r="S710" s="82">
        <f t="shared" si="286"/>
        <v>6</v>
      </c>
      <c r="T710" s="73"/>
      <c r="U710" s="64"/>
      <c r="V710" s="64">
        <v>3</v>
      </c>
      <c r="W710" s="64"/>
      <c r="X710" s="69"/>
      <c r="Y710" s="82">
        <f t="shared" si="287"/>
        <v>3</v>
      </c>
      <c r="Z710" s="82">
        <f t="shared" si="288"/>
        <v>9</v>
      </c>
      <c r="AA710" s="83">
        <v>44438</v>
      </c>
      <c r="AB710" s="10" t="s">
        <v>181</v>
      </c>
      <c r="AC710" s="14"/>
      <c r="AD710" s="15"/>
      <c r="AE710" s="15"/>
      <c r="AF710" s="15"/>
      <c r="AG710" s="15"/>
      <c r="AH710" s="178">
        <f>SUM(AC710:AG710)</f>
        <v>0</v>
      </c>
      <c r="AI710" s="14"/>
      <c r="AJ710" s="15"/>
      <c r="AK710" s="15"/>
      <c r="AL710" s="15"/>
      <c r="AM710" s="15"/>
      <c r="AN710" s="178">
        <f>SUM(AI710:AM710)</f>
        <v>0</v>
      </c>
      <c r="AO710" s="63"/>
      <c r="AP710" s="64"/>
      <c r="AQ710" s="64"/>
      <c r="AR710" s="64"/>
      <c r="AS710" s="69"/>
      <c r="AT710" s="178">
        <f>SUM(AO710:AS710)</f>
        <v>0</v>
      </c>
      <c r="AU710" s="73"/>
      <c r="AV710" s="64"/>
      <c r="AW710" s="64"/>
      <c r="AX710" s="64"/>
      <c r="AY710" s="69"/>
      <c r="AZ710" s="178">
        <f t="shared" ref="AZ710:AZ734" si="299">SUM(AU710:AY710)</f>
        <v>0</v>
      </c>
      <c r="BA710" s="178">
        <f t="shared" si="298"/>
        <v>0</v>
      </c>
    </row>
    <row r="711" spans="1:55" ht="15" thickBot="1" x14ac:dyDescent="0.2">
      <c r="A711" s="4" t="s">
        <v>12</v>
      </c>
      <c r="B711" s="17">
        <f>SUM(B706:B710)</f>
        <v>3</v>
      </c>
      <c r="C711" s="18">
        <f>SUM(C706:C710)</f>
        <v>5</v>
      </c>
      <c r="D711" s="18">
        <f>SUM(D706:D710)</f>
        <v>4</v>
      </c>
      <c r="E711" s="18">
        <f>SUM(E706:E710)</f>
        <v>5</v>
      </c>
      <c r="F711" s="18">
        <f>SUM(F706:F710)</f>
        <v>4</v>
      </c>
      <c r="G711" s="19">
        <f t="shared" si="284"/>
        <v>21</v>
      </c>
      <c r="H711" s="17">
        <f>SUM(H706:H710)</f>
        <v>6</v>
      </c>
      <c r="I711" s="18">
        <f>SUM(I706:I710)</f>
        <v>5</v>
      </c>
      <c r="J711" s="18">
        <f>SUM(J706:J710)</f>
        <v>3</v>
      </c>
      <c r="K711" s="18">
        <f>SUM(K706:K710)</f>
        <v>4</v>
      </c>
      <c r="L711" s="18">
        <f>SUM(L706:L710)</f>
        <v>4</v>
      </c>
      <c r="M711" s="25">
        <f t="shared" si="285"/>
        <v>22</v>
      </c>
      <c r="N711" s="65">
        <f>SUM(N706:N710)</f>
        <v>6</v>
      </c>
      <c r="O711" s="18">
        <f>SUM(O706:O710)</f>
        <v>7</v>
      </c>
      <c r="P711" s="18">
        <f>SUM(P706:P710)</f>
        <v>6</v>
      </c>
      <c r="Q711" s="18">
        <f>SUM(Q706:Q710)</f>
        <v>5</v>
      </c>
      <c r="R711" s="70">
        <f>SUM(R706:R710)</f>
        <v>4</v>
      </c>
      <c r="S711" s="49">
        <f t="shared" si="286"/>
        <v>28</v>
      </c>
      <c r="T711" s="74">
        <f>SUM(T706:T710)</f>
        <v>5</v>
      </c>
      <c r="U711" s="18">
        <f>SUM(U706:U710)</f>
        <v>5</v>
      </c>
      <c r="V711" s="18">
        <f>SUM(V706:V710)</f>
        <v>6</v>
      </c>
      <c r="W711" s="18">
        <f>SUM(W706:W710)</f>
        <v>5</v>
      </c>
      <c r="X711" s="70">
        <f>SUM(X706:X710)</f>
        <v>5</v>
      </c>
      <c r="Y711" s="49">
        <f t="shared" si="287"/>
        <v>26</v>
      </c>
      <c r="Z711" s="33">
        <f t="shared" si="288"/>
        <v>97</v>
      </c>
      <c r="AB711" s="4" t="s">
        <v>12</v>
      </c>
      <c r="AC711" s="17">
        <f>SUM(AC706:AC710)</f>
        <v>170</v>
      </c>
      <c r="AD711" s="18">
        <f>SUM(AD706:AD710)</f>
        <v>132</v>
      </c>
      <c r="AE711" s="18">
        <f>SUM(AE706:AE710)</f>
        <v>125</v>
      </c>
      <c r="AF711" s="18">
        <f>SUM(AF706:AF710)</f>
        <v>136</v>
      </c>
      <c r="AG711" s="18">
        <f>SUM(AG706:AG710)</f>
        <v>104</v>
      </c>
      <c r="AH711" s="148">
        <f t="shared" ref="AH711:AH734" si="300">SUM(AC711:AG711)</f>
        <v>667</v>
      </c>
      <c r="AI711" s="17">
        <f>SUM(AI706:AI710)</f>
        <v>111</v>
      </c>
      <c r="AJ711" s="18">
        <f>SUM(AJ706:AJ710)</f>
        <v>102</v>
      </c>
      <c r="AK711" s="18">
        <f>SUM(AK706:AK710)</f>
        <v>113</v>
      </c>
      <c r="AL711" s="18">
        <f>SUM(AL706:AL710)</f>
        <v>94</v>
      </c>
      <c r="AM711" s="18">
        <f>SUM(AM706:AM710)</f>
        <v>92</v>
      </c>
      <c r="AN711" s="148">
        <f t="shared" ref="AN711:AN734" si="301">SUM(AI711:AM711)</f>
        <v>512</v>
      </c>
      <c r="AO711" s="65">
        <f>SUM(AO706:AO710)</f>
        <v>171</v>
      </c>
      <c r="AP711" s="18">
        <f>SUM(AP706:AP710)</f>
        <v>151</v>
      </c>
      <c r="AQ711" s="18">
        <f>SUM(AQ706:AQ710)</f>
        <v>145</v>
      </c>
      <c r="AR711" s="18">
        <f>SUM(AR706:AR710)</f>
        <v>156</v>
      </c>
      <c r="AS711" s="70">
        <f>SUM(AS706:AS710)</f>
        <v>165</v>
      </c>
      <c r="AT711" s="49">
        <f t="shared" ref="AT711:AT734" si="302">SUM(AO711:AS711)</f>
        <v>788</v>
      </c>
      <c r="AU711" s="74">
        <f>SUM(AU706:AU710)</f>
        <v>120</v>
      </c>
      <c r="AV711" s="18">
        <f>SUM(AV706:AV710)</f>
        <v>77</v>
      </c>
      <c r="AW711" s="18">
        <f>SUM(AW706:AW710)</f>
        <v>79</v>
      </c>
      <c r="AX711" s="18">
        <f>SUM(AX706:AX710)</f>
        <v>79</v>
      </c>
      <c r="AY711" s="70">
        <f>SUM(AY706:AY710)</f>
        <v>122</v>
      </c>
      <c r="AZ711" s="49">
        <f t="shared" si="299"/>
        <v>477</v>
      </c>
      <c r="BA711" s="33">
        <f t="shared" si="298"/>
        <v>2444</v>
      </c>
    </row>
    <row r="712" spans="1:55" ht="14.25" x14ac:dyDescent="0.15">
      <c r="A712" s="184" t="s">
        <v>458</v>
      </c>
      <c r="B712" s="34"/>
      <c r="C712" s="35"/>
      <c r="D712" s="35"/>
      <c r="E712" s="35">
        <v>1</v>
      </c>
      <c r="F712" s="35"/>
      <c r="G712" s="36">
        <f t="shared" si="284"/>
        <v>1</v>
      </c>
      <c r="H712" s="34"/>
      <c r="I712" s="35"/>
      <c r="J712" s="35"/>
      <c r="K712" s="35"/>
      <c r="L712" s="35"/>
      <c r="M712" s="36">
        <f t="shared" si="285"/>
        <v>0</v>
      </c>
      <c r="N712" s="39"/>
      <c r="O712" s="56"/>
      <c r="P712" s="56"/>
      <c r="Q712" s="56"/>
      <c r="R712" s="71"/>
      <c r="S712" s="16">
        <f t="shared" si="286"/>
        <v>0</v>
      </c>
      <c r="T712" s="39"/>
      <c r="U712" s="56"/>
      <c r="V712" s="56"/>
      <c r="W712" s="56"/>
      <c r="X712" s="71"/>
      <c r="Y712" s="16">
        <f t="shared" si="287"/>
        <v>0</v>
      </c>
      <c r="Z712" s="16">
        <f t="shared" si="288"/>
        <v>1</v>
      </c>
      <c r="AA712" s="83">
        <v>44408</v>
      </c>
      <c r="AB712" s="21" t="s">
        <v>457</v>
      </c>
      <c r="AC712" s="14"/>
      <c r="AD712" s="15">
        <v>3</v>
      </c>
      <c r="AE712" s="15"/>
      <c r="AF712" s="15"/>
      <c r="AG712" s="15"/>
      <c r="AH712" s="24">
        <f t="shared" si="300"/>
        <v>3</v>
      </c>
      <c r="AI712" s="14"/>
      <c r="AJ712" s="15">
        <v>3</v>
      </c>
      <c r="AK712" s="15"/>
      <c r="AL712" s="15"/>
      <c r="AM712" s="15"/>
      <c r="AN712" s="24">
        <f t="shared" si="301"/>
        <v>3</v>
      </c>
      <c r="AO712" s="15"/>
      <c r="AP712" s="55">
        <v>3</v>
      </c>
      <c r="AQ712" s="55"/>
      <c r="AR712" s="55"/>
      <c r="AS712" s="67"/>
      <c r="AT712" s="24">
        <f t="shared" si="302"/>
        <v>3</v>
      </c>
      <c r="AU712" s="15"/>
      <c r="AV712" s="55">
        <v>3</v>
      </c>
      <c r="AW712" s="55"/>
      <c r="AX712" s="55"/>
      <c r="AY712" s="67"/>
      <c r="AZ712" s="24">
        <f t="shared" si="299"/>
        <v>3</v>
      </c>
      <c r="BA712" s="24">
        <f t="shared" si="298"/>
        <v>12</v>
      </c>
      <c r="BB712" s="83">
        <v>44408</v>
      </c>
    </row>
    <row r="713" spans="1:55" ht="14.25" x14ac:dyDescent="0.15">
      <c r="A713" s="23" t="s">
        <v>47</v>
      </c>
      <c r="B713" s="14"/>
      <c r="C713" s="15"/>
      <c r="D713" s="15"/>
      <c r="E713" s="15"/>
      <c r="F713" s="15"/>
      <c r="G713" s="24">
        <f t="shared" si="284"/>
        <v>0</v>
      </c>
      <c r="H713" s="14">
        <v>1</v>
      </c>
      <c r="I713" s="15"/>
      <c r="J713" s="15"/>
      <c r="K713" s="15"/>
      <c r="L713" s="15"/>
      <c r="M713" s="24">
        <f t="shared" si="285"/>
        <v>1</v>
      </c>
      <c r="N713" s="15"/>
      <c r="O713" s="55"/>
      <c r="P713" s="55"/>
      <c r="Q713" s="55"/>
      <c r="R713" s="67"/>
      <c r="S713" s="24">
        <f t="shared" si="286"/>
        <v>0</v>
      </c>
      <c r="T713" s="15"/>
      <c r="U713" s="55"/>
      <c r="V713" s="55"/>
      <c r="W713" s="55"/>
      <c r="X713" s="67"/>
      <c r="Y713" s="24">
        <f t="shared" si="287"/>
        <v>0</v>
      </c>
      <c r="Z713" s="24">
        <f t="shared" si="288"/>
        <v>1</v>
      </c>
      <c r="AA713" s="83">
        <v>44411</v>
      </c>
      <c r="AB713" s="10" t="s">
        <v>30</v>
      </c>
      <c r="AC713" s="41"/>
      <c r="AD713" s="42"/>
      <c r="AE713" s="42"/>
      <c r="AF713" s="42">
        <v>3</v>
      </c>
      <c r="AG713" s="42"/>
      <c r="AH713" s="37">
        <f t="shared" ref="AH713" si="303">SUM(AC713:AG713)</f>
        <v>3</v>
      </c>
      <c r="AI713" s="41">
        <v>3</v>
      </c>
      <c r="AJ713" s="42"/>
      <c r="AK713" s="42"/>
      <c r="AL713" s="42"/>
      <c r="AM713" s="42"/>
      <c r="AN713" s="114">
        <f t="shared" ref="AN713" si="304">SUM(AI713:AM713)</f>
        <v>3</v>
      </c>
      <c r="AO713" s="41"/>
      <c r="AP713" s="53"/>
      <c r="AQ713" s="53"/>
      <c r="AR713" s="53">
        <v>3</v>
      </c>
      <c r="AS713" s="72"/>
      <c r="AT713" s="24">
        <f t="shared" ref="AT713" si="305">SUM(AO713:AS713)</f>
        <v>3</v>
      </c>
      <c r="AU713" s="42">
        <v>3</v>
      </c>
      <c r="AV713" s="53"/>
      <c r="AW713" s="53"/>
      <c r="AX713" s="53">
        <v>3</v>
      </c>
      <c r="AY713" s="72">
        <v>3</v>
      </c>
      <c r="AZ713" s="24">
        <f t="shared" ref="AZ713" si="306">SUM(AU713:AY713)</f>
        <v>9</v>
      </c>
      <c r="BA713" s="24">
        <f t="shared" si="298"/>
        <v>18</v>
      </c>
      <c r="BB713" s="83">
        <v>44411</v>
      </c>
    </row>
    <row r="714" spans="1:55" ht="14.25" x14ac:dyDescent="0.15">
      <c r="A714" s="23" t="s">
        <v>48</v>
      </c>
      <c r="B714" s="41"/>
      <c r="C714" s="42">
        <v>1</v>
      </c>
      <c r="D714" s="42"/>
      <c r="E714" s="42"/>
      <c r="F714" s="42"/>
      <c r="G714" s="43">
        <f t="shared" si="284"/>
        <v>1</v>
      </c>
      <c r="H714" s="41"/>
      <c r="I714" s="42"/>
      <c r="J714" s="42"/>
      <c r="K714" s="42"/>
      <c r="L714" s="42"/>
      <c r="M714" s="43">
        <f t="shared" si="285"/>
        <v>0</v>
      </c>
      <c r="N714" s="42"/>
      <c r="O714" s="53">
        <v>1</v>
      </c>
      <c r="P714" s="53"/>
      <c r="Q714" s="53"/>
      <c r="R714" s="72"/>
      <c r="S714" s="24">
        <f t="shared" si="286"/>
        <v>1</v>
      </c>
      <c r="T714" s="42"/>
      <c r="U714" s="53"/>
      <c r="V714" s="53"/>
      <c r="W714" s="53"/>
      <c r="X714" s="72"/>
      <c r="Y714" s="24">
        <f t="shared" si="287"/>
        <v>0</v>
      </c>
      <c r="Z714" s="24">
        <f t="shared" si="288"/>
        <v>2</v>
      </c>
      <c r="AA714" s="83">
        <v>44410</v>
      </c>
      <c r="AB714" s="23" t="s">
        <v>438</v>
      </c>
      <c r="AC714" s="41"/>
      <c r="AD714" s="42"/>
      <c r="AE714" s="42"/>
      <c r="AF714" s="42"/>
      <c r="AG714" s="42"/>
      <c r="AH714" s="43">
        <f t="shared" si="300"/>
        <v>0</v>
      </c>
      <c r="AI714" s="41"/>
      <c r="AJ714" s="42"/>
      <c r="AK714" s="42"/>
      <c r="AL714" s="42"/>
      <c r="AM714" s="42"/>
      <c r="AN714" s="43">
        <f t="shared" si="301"/>
        <v>0</v>
      </c>
      <c r="AO714" s="42"/>
      <c r="AP714" s="53"/>
      <c r="AQ714" s="53">
        <v>1</v>
      </c>
      <c r="AR714" s="53">
        <v>1</v>
      </c>
      <c r="AS714" s="72"/>
      <c r="AT714" s="43">
        <f t="shared" si="302"/>
        <v>2</v>
      </c>
      <c r="AU714" s="42"/>
      <c r="AV714" s="53"/>
      <c r="AW714" s="53"/>
      <c r="AX714" s="53"/>
      <c r="AY714" s="72"/>
      <c r="AZ714" s="43">
        <f t="shared" si="299"/>
        <v>0</v>
      </c>
      <c r="BA714" s="43">
        <f t="shared" si="298"/>
        <v>2</v>
      </c>
      <c r="BB714" s="83">
        <v>44412</v>
      </c>
      <c r="BC714" s="111"/>
    </row>
    <row r="715" spans="1:55" ht="14.25" x14ac:dyDescent="0.15">
      <c r="A715" s="23" t="s">
        <v>48</v>
      </c>
      <c r="B715" s="41"/>
      <c r="C715" s="42"/>
      <c r="D715" s="42">
        <v>1</v>
      </c>
      <c r="E715" s="42"/>
      <c r="F715" s="42"/>
      <c r="G715" s="43">
        <f t="shared" si="284"/>
        <v>1</v>
      </c>
      <c r="H715" s="41"/>
      <c r="I715" s="42"/>
      <c r="J715" s="42"/>
      <c r="K715" s="42"/>
      <c r="L715" s="42"/>
      <c r="M715" s="43">
        <f t="shared" si="285"/>
        <v>0</v>
      </c>
      <c r="N715" s="42"/>
      <c r="O715" s="53"/>
      <c r="P715" s="53"/>
      <c r="Q715" s="53"/>
      <c r="R715" s="72"/>
      <c r="S715" s="24">
        <f t="shared" si="286"/>
        <v>0</v>
      </c>
      <c r="T715" s="42"/>
      <c r="U715" s="53"/>
      <c r="V715" s="53"/>
      <c r="W715" s="53"/>
      <c r="X715" s="72"/>
      <c r="Y715" s="24">
        <f t="shared" si="287"/>
        <v>0</v>
      </c>
      <c r="Z715" s="24">
        <f t="shared" si="288"/>
        <v>1</v>
      </c>
      <c r="AA715" s="83">
        <v>44419</v>
      </c>
      <c r="AB715" s="23" t="s">
        <v>438</v>
      </c>
      <c r="AC715" s="41"/>
      <c r="AD715" s="42"/>
      <c r="AE715" s="42">
        <v>1</v>
      </c>
      <c r="AF715" s="42">
        <v>1</v>
      </c>
      <c r="AG715" s="42">
        <v>1</v>
      </c>
      <c r="AH715" s="43">
        <f t="shared" si="300"/>
        <v>3</v>
      </c>
      <c r="AI715" s="41"/>
      <c r="AJ715" s="42"/>
      <c r="AK715" s="42"/>
      <c r="AL715" s="42"/>
      <c r="AM715" s="42"/>
      <c r="AN715" s="43">
        <f t="shared" si="301"/>
        <v>0</v>
      </c>
      <c r="AO715" s="42"/>
      <c r="AP715" s="53"/>
      <c r="AQ715" s="53"/>
      <c r="AR715" s="53"/>
      <c r="AS715" s="72"/>
      <c r="AT715" s="24">
        <f t="shared" si="302"/>
        <v>0</v>
      </c>
      <c r="AU715" s="42"/>
      <c r="AV715" s="53"/>
      <c r="AW715" s="53"/>
      <c r="AX715" s="53"/>
      <c r="AY715" s="72"/>
      <c r="AZ715" s="24">
        <f t="shared" si="299"/>
        <v>0</v>
      </c>
      <c r="BA715" s="24">
        <f t="shared" si="298"/>
        <v>3</v>
      </c>
      <c r="BB715" s="83">
        <v>44413</v>
      </c>
      <c r="BC715" s="111"/>
    </row>
    <row r="716" spans="1:55" ht="14.25" x14ac:dyDescent="0.15">
      <c r="A716" s="47" t="s">
        <v>459</v>
      </c>
      <c r="B716" s="171"/>
      <c r="C716" s="42"/>
      <c r="D716" s="42"/>
      <c r="E716" s="42"/>
      <c r="F716" s="42"/>
      <c r="G716" s="43">
        <f t="shared" si="284"/>
        <v>0</v>
      </c>
      <c r="H716" s="41"/>
      <c r="I716" s="42"/>
      <c r="J716" s="42"/>
      <c r="K716" s="42"/>
      <c r="L716" s="42"/>
      <c r="M716" s="43">
        <f t="shared" si="285"/>
        <v>0</v>
      </c>
      <c r="N716" s="42"/>
      <c r="O716" s="53"/>
      <c r="P716" s="53">
        <v>2</v>
      </c>
      <c r="Q716" s="53"/>
      <c r="R716" s="72"/>
      <c r="S716" s="24">
        <f t="shared" si="286"/>
        <v>2</v>
      </c>
      <c r="T716" s="42"/>
      <c r="U716" s="53"/>
      <c r="V716" s="53"/>
      <c r="W716" s="53"/>
      <c r="X716" s="72"/>
      <c r="Y716" s="24">
        <f t="shared" si="287"/>
        <v>0</v>
      </c>
      <c r="Z716" s="24">
        <f t="shared" si="288"/>
        <v>2</v>
      </c>
      <c r="AA716" s="83">
        <v>44425</v>
      </c>
      <c r="AB716" s="23" t="s">
        <v>438</v>
      </c>
      <c r="AC716" s="41"/>
      <c r="AD716" s="42"/>
      <c r="AE716" s="42"/>
      <c r="AF716" s="42"/>
      <c r="AG716" s="42"/>
      <c r="AH716" s="43">
        <f t="shared" si="300"/>
        <v>0</v>
      </c>
      <c r="AI716" s="41"/>
      <c r="AJ716" s="42"/>
      <c r="AK716" s="42"/>
      <c r="AL716" s="42"/>
      <c r="AM716" s="42"/>
      <c r="AN716" s="43">
        <f t="shared" si="301"/>
        <v>0</v>
      </c>
      <c r="AO716" s="42"/>
      <c r="AP716" s="53">
        <v>1</v>
      </c>
      <c r="AQ716" s="53"/>
      <c r="AR716" s="53">
        <v>1</v>
      </c>
      <c r="AS716" s="72"/>
      <c r="AT716" s="24">
        <f t="shared" si="302"/>
        <v>2</v>
      </c>
      <c r="AU716" s="42"/>
      <c r="AV716" s="53"/>
      <c r="AW716" s="53"/>
      <c r="AX716" s="53"/>
      <c r="AY716" s="72">
        <v>1</v>
      </c>
      <c r="AZ716" s="24">
        <f t="shared" si="299"/>
        <v>1</v>
      </c>
      <c r="BA716" s="24">
        <f t="shared" si="298"/>
        <v>3</v>
      </c>
      <c r="BB716" s="83">
        <v>44414</v>
      </c>
      <c r="BC716" s="111"/>
    </row>
    <row r="717" spans="1:55" ht="14.25" x14ac:dyDescent="0.15">
      <c r="A717" s="23" t="s">
        <v>48</v>
      </c>
      <c r="B717" s="41"/>
      <c r="C717" s="42"/>
      <c r="D717" s="42"/>
      <c r="E717" s="42"/>
      <c r="F717" s="42">
        <v>1</v>
      </c>
      <c r="G717" s="43">
        <f t="shared" si="284"/>
        <v>1</v>
      </c>
      <c r="H717" s="41"/>
      <c r="I717" s="42"/>
      <c r="J717" s="42"/>
      <c r="K717" s="42"/>
      <c r="L717" s="42"/>
      <c r="M717" s="43">
        <f t="shared" si="285"/>
        <v>0</v>
      </c>
      <c r="N717" s="42"/>
      <c r="O717" s="53"/>
      <c r="P717" s="53"/>
      <c r="Q717" s="53"/>
      <c r="R717" s="72"/>
      <c r="S717" s="24">
        <f t="shared" si="286"/>
        <v>0</v>
      </c>
      <c r="T717" s="42"/>
      <c r="U717" s="53"/>
      <c r="V717" s="53"/>
      <c r="W717" s="53"/>
      <c r="X717" s="72"/>
      <c r="Y717" s="24">
        <f t="shared" si="287"/>
        <v>0</v>
      </c>
      <c r="Z717" s="24">
        <f t="shared" si="288"/>
        <v>1</v>
      </c>
      <c r="AA717" s="83">
        <v>44428</v>
      </c>
      <c r="AB717" s="23" t="s">
        <v>438</v>
      </c>
      <c r="AC717" s="41"/>
      <c r="AD717" s="42"/>
      <c r="AE717" s="42">
        <v>1</v>
      </c>
      <c r="AF717" s="42"/>
      <c r="AG717" s="42">
        <v>3</v>
      </c>
      <c r="AH717" s="43">
        <f t="shared" si="300"/>
        <v>4</v>
      </c>
      <c r="AI717" s="41"/>
      <c r="AJ717" s="42"/>
      <c r="AK717" s="42"/>
      <c r="AL717" s="42"/>
      <c r="AM717" s="42"/>
      <c r="AN717" s="43">
        <f t="shared" si="301"/>
        <v>0</v>
      </c>
      <c r="AO717" s="42"/>
      <c r="AP717" s="53"/>
      <c r="AQ717" s="53"/>
      <c r="AR717" s="53"/>
      <c r="AS717" s="72"/>
      <c r="AT717" s="24">
        <f t="shared" si="302"/>
        <v>0</v>
      </c>
      <c r="AU717" s="42"/>
      <c r="AV717" s="53">
        <v>1</v>
      </c>
      <c r="AW717" s="53"/>
      <c r="AX717" s="53"/>
      <c r="AY717" s="72"/>
      <c r="AZ717" s="24">
        <f t="shared" si="299"/>
        <v>1</v>
      </c>
      <c r="BA717" s="24">
        <f t="shared" si="298"/>
        <v>5</v>
      </c>
      <c r="BB717" s="83">
        <v>44415</v>
      </c>
      <c r="BC717" s="111"/>
    </row>
    <row r="718" spans="1:55" ht="14.25" x14ac:dyDescent="0.15">
      <c r="A718" s="23" t="s">
        <v>438</v>
      </c>
      <c r="B718" s="41"/>
      <c r="C718" s="42"/>
      <c r="D718" s="42"/>
      <c r="E718" s="42"/>
      <c r="F718" s="42"/>
      <c r="G718" s="43">
        <f t="shared" si="284"/>
        <v>0</v>
      </c>
      <c r="H718" s="41"/>
      <c r="I718" s="42"/>
      <c r="J718" s="42"/>
      <c r="K718" s="42"/>
      <c r="L718" s="42"/>
      <c r="M718" s="43">
        <f t="shared" si="285"/>
        <v>0</v>
      </c>
      <c r="N718" s="42"/>
      <c r="O718" s="53"/>
      <c r="P718" s="53"/>
      <c r="Q718" s="53"/>
      <c r="R718" s="72"/>
      <c r="S718" s="24">
        <f t="shared" si="286"/>
        <v>0</v>
      </c>
      <c r="T718" s="42"/>
      <c r="U718" s="53"/>
      <c r="V718" s="53">
        <v>1</v>
      </c>
      <c r="W718" s="53"/>
      <c r="X718" s="72"/>
      <c r="Y718" s="24">
        <f t="shared" si="287"/>
        <v>1</v>
      </c>
      <c r="Z718" s="24">
        <f t="shared" si="288"/>
        <v>1</v>
      </c>
      <c r="AA718" s="83">
        <v>44432</v>
      </c>
      <c r="AB718" s="23" t="s">
        <v>438</v>
      </c>
      <c r="AC718" s="38"/>
      <c r="AD718" s="39"/>
      <c r="AE718" s="39"/>
      <c r="AF718" s="39">
        <v>1</v>
      </c>
      <c r="AG718" s="39">
        <v>4</v>
      </c>
      <c r="AH718" s="43">
        <f t="shared" si="300"/>
        <v>5</v>
      </c>
      <c r="AI718" s="38"/>
      <c r="AJ718" s="39"/>
      <c r="AK718" s="39"/>
      <c r="AL718" s="39"/>
      <c r="AM718" s="39"/>
      <c r="AN718" s="43">
        <f t="shared" si="301"/>
        <v>0</v>
      </c>
      <c r="AO718" s="42"/>
      <c r="AP718" s="53"/>
      <c r="AQ718" s="53"/>
      <c r="AR718" s="53"/>
      <c r="AS718" s="72">
        <v>1</v>
      </c>
      <c r="AT718" s="24">
        <f t="shared" si="302"/>
        <v>1</v>
      </c>
      <c r="AU718" s="42">
        <v>1</v>
      </c>
      <c r="AV718" s="53"/>
      <c r="AW718" s="53"/>
      <c r="AX718" s="53"/>
      <c r="AY718" s="72">
        <v>2</v>
      </c>
      <c r="AZ718" s="24">
        <f t="shared" si="299"/>
        <v>3</v>
      </c>
      <c r="BA718" s="24">
        <f t="shared" si="298"/>
        <v>9</v>
      </c>
      <c r="BB718" s="83">
        <v>44419</v>
      </c>
      <c r="BC718" s="111"/>
    </row>
    <row r="719" spans="1:55" ht="14.25" x14ac:dyDescent="0.15">
      <c r="A719" s="23" t="s">
        <v>438</v>
      </c>
      <c r="B719" s="41"/>
      <c r="C719" s="42"/>
      <c r="D719" s="42"/>
      <c r="E719" s="42"/>
      <c r="F719" s="42"/>
      <c r="G719" s="43">
        <f t="shared" si="284"/>
        <v>0</v>
      </c>
      <c r="H719" s="41"/>
      <c r="I719" s="42"/>
      <c r="J719" s="42"/>
      <c r="K719" s="42"/>
      <c r="L719" s="42"/>
      <c r="M719" s="43">
        <f t="shared" si="285"/>
        <v>0</v>
      </c>
      <c r="N719" s="42">
        <v>1</v>
      </c>
      <c r="O719" s="53"/>
      <c r="P719" s="53"/>
      <c r="Q719" s="53"/>
      <c r="R719" s="72"/>
      <c r="S719" s="24">
        <f t="shared" si="286"/>
        <v>1</v>
      </c>
      <c r="T719" s="42"/>
      <c r="U719" s="53"/>
      <c r="V719" s="53"/>
      <c r="W719" s="53"/>
      <c r="X719" s="72"/>
      <c r="Y719" s="24">
        <f t="shared" si="287"/>
        <v>0</v>
      </c>
      <c r="Z719" s="24">
        <f t="shared" si="288"/>
        <v>1</v>
      </c>
      <c r="AA719" s="83">
        <v>44433</v>
      </c>
      <c r="AB719" s="23" t="s">
        <v>438</v>
      </c>
      <c r="AC719" s="14"/>
      <c r="AD719" s="15">
        <v>1</v>
      </c>
      <c r="AE719" s="15"/>
      <c r="AF719" s="15"/>
      <c r="AG719" s="15">
        <v>1</v>
      </c>
      <c r="AH719" s="24">
        <f t="shared" si="300"/>
        <v>2</v>
      </c>
      <c r="AI719" s="14"/>
      <c r="AJ719" s="15"/>
      <c r="AK719" s="15"/>
      <c r="AL719" s="15"/>
      <c r="AM719" s="15"/>
      <c r="AN719" s="24">
        <f t="shared" si="301"/>
        <v>0</v>
      </c>
      <c r="AO719" s="15"/>
      <c r="AP719" s="55"/>
      <c r="AQ719" s="55"/>
      <c r="AR719" s="55"/>
      <c r="AS719" s="67"/>
      <c r="AT719" s="24">
        <f t="shared" si="302"/>
        <v>0</v>
      </c>
      <c r="AU719" s="15"/>
      <c r="AV719" s="55"/>
      <c r="AW719" s="55"/>
      <c r="AX719" s="55"/>
      <c r="AY719" s="67">
        <v>1</v>
      </c>
      <c r="AZ719" s="24">
        <f t="shared" si="299"/>
        <v>1</v>
      </c>
      <c r="BA719" s="24">
        <f t="shared" si="298"/>
        <v>3</v>
      </c>
      <c r="BB719" s="83">
        <v>44420</v>
      </c>
      <c r="BC719" s="111"/>
    </row>
    <row r="720" spans="1:55" ht="14.25" x14ac:dyDescent="0.15">
      <c r="A720" s="23" t="s">
        <v>48</v>
      </c>
      <c r="B720" s="41"/>
      <c r="C720" s="42"/>
      <c r="D720" s="42"/>
      <c r="E720" s="42"/>
      <c r="F720" s="42"/>
      <c r="G720" s="43">
        <f t="shared" si="284"/>
        <v>0</v>
      </c>
      <c r="H720" s="41">
        <v>1</v>
      </c>
      <c r="I720" s="42"/>
      <c r="J720" s="42"/>
      <c r="K720" s="42"/>
      <c r="L720" s="42"/>
      <c r="M720" s="43">
        <f t="shared" si="285"/>
        <v>1</v>
      </c>
      <c r="N720" s="42"/>
      <c r="O720" s="53"/>
      <c r="P720" s="53"/>
      <c r="Q720" s="53"/>
      <c r="R720" s="72"/>
      <c r="S720" s="24">
        <f t="shared" si="286"/>
        <v>0</v>
      </c>
      <c r="T720" s="42"/>
      <c r="U720" s="53"/>
      <c r="V720" s="53"/>
      <c r="W720" s="53"/>
      <c r="X720" s="72"/>
      <c r="Y720" s="24">
        <f t="shared" si="287"/>
        <v>0</v>
      </c>
      <c r="Z720" s="24">
        <f t="shared" si="288"/>
        <v>1</v>
      </c>
      <c r="AA720" s="93">
        <v>44432</v>
      </c>
      <c r="AB720" s="180" t="s">
        <v>460</v>
      </c>
      <c r="AC720" s="41"/>
      <c r="AD720" s="42"/>
      <c r="AE720" s="42"/>
      <c r="AF720" s="42"/>
      <c r="AG720" s="42"/>
      <c r="AH720" s="43">
        <f t="shared" si="300"/>
        <v>0</v>
      </c>
      <c r="AI720" s="41">
        <v>2</v>
      </c>
      <c r="AJ720" s="42"/>
      <c r="AK720" s="42"/>
      <c r="AL720" s="42"/>
      <c r="AM720" s="42"/>
      <c r="AN720" s="43">
        <f t="shared" si="301"/>
        <v>2</v>
      </c>
      <c r="AO720" s="42"/>
      <c r="AP720" s="53"/>
      <c r="AQ720" s="53"/>
      <c r="AR720" s="53"/>
      <c r="AS720" s="72"/>
      <c r="AT720" s="24">
        <f t="shared" si="302"/>
        <v>0</v>
      </c>
      <c r="AU720" s="42"/>
      <c r="AV720" s="53"/>
      <c r="AW720" s="53"/>
      <c r="AX720" s="53"/>
      <c r="AY720" s="72"/>
      <c r="AZ720" s="24">
        <f t="shared" si="299"/>
        <v>0</v>
      </c>
      <c r="BA720" s="24">
        <f t="shared" si="298"/>
        <v>2</v>
      </c>
      <c r="BB720" s="83">
        <v>44432</v>
      </c>
      <c r="BC720" s="111"/>
    </row>
    <row r="721" spans="1:55" ht="14.25" x14ac:dyDescent="0.15">
      <c r="A721" s="23" t="s">
        <v>438</v>
      </c>
      <c r="B721" s="44"/>
      <c r="C721" s="45"/>
      <c r="D721" s="45"/>
      <c r="E721" s="45"/>
      <c r="F721" s="45"/>
      <c r="G721" s="43">
        <f t="shared" si="284"/>
        <v>0</v>
      </c>
      <c r="H721" s="44"/>
      <c r="I721" s="45"/>
      <c r="J721" s="45"/>
      <c r="K721" s="45"/>
      <c r="L721" s="45"/>
      <c r="M721" s="43">
        <f t="shared" si="285"/>
        <v>0</v>
      </c>
      <c r="N721" s="42"/>
      <c r="O721" s="53"/>
      <c r="P721" s="53"/>
      <c r="Q721" s="53"/>
      <c r="R721" s="72"/>
      <c r="S721" s="24">
        <f t="shared" si="286"/>
        <v>0</v>
      </c>
      <c r="T721" s="42"/>
      <c r="U721" s="53">
        <v>1</v>
      </c>
      <c r="V721" s="53"/>
      <c r="W721" s="53"/>
      <c r="X721" s="72"/>
      <c r="Y721" s="24">
        <f t="shared" si="287"/>
        <v>1</v>
      </c>
      <c r="Z721" s="24">
        <f t="shared" si="288"/>
        <v>1</v>
      </c>
      <c r="AA721" s="83">
        <v>44435</v>
      </c>
      <c r="AB721" s="180" t="s">
        <v>461</v>
      </c>
      <c r="AC721" s="44"/>
      <c r="AD721" s="45"/>
      <c r="AE721" s="45">
        <v>2</v>
      </c>
      <c r="AF721" s="45"/>
      <c r="AG721" s="45"/>
      <c r="AH721" s="43">
        <f t="shared" si="300"/>
        <v>2</v>
      </c>
      <c r="AI721" s="44"/>
      <c r="AJ721" s="45"/>
      <c r="AK721" s="45"/>
      <c r="AL721" s="45"/>
      <c r="AM721" s="45"/>
      <c r="AN721" s="43">
        <f t="shared" si="301"/>
        <v>0</v>
      </c>
      <c r="AO721" s="42"/>
      <c r="AP721" s="53"/>
      <c r="AQ721" s="53"/>
      <c r="AR721" s="53"/>
      <c r="AS721" s="72"/>
      <c r="AT721" s="24">
        <f t="shared" si="302"/>
        <v>0</v>
      </c>
      <c r="AU721" s="42"/>
      <c r="AV721" s="53"/>
      <c r="AW721" s="53"/>
      <c r="AX721" s="53"/>
      <c r="AY721" s="72"/>
      <c r="AZ721" s="24">
        <f t="shared" si="299"/>
        <v>0</v>
      </c>
      <c r="BA721" s="24">
        <f t="shared" si="298"/>
        <v>2</v>
      </c>
      <c r="BB721" s="83">
        <v>44432</v>
      </c>
      <c r="BC721" s="111"/>
    </row>
    <row r="722" spans="1:55" ht="14.25" x14ac:dyDescent="0.15">
      <c r="A722" s="23" t="s">
        <v>438</v>
      </c>
      <c r="B722" s="41"/>
      <c r="C722" s="42"/>
      <c r="D722" s="42"/>
      <c r="E722" s="42"/>
      <c r="F722" s="42">
        <v>1</v>
      </c>
      <c r="G722" s="43">
        <f t="shared" si="284"/>
        <v>1</v>
      </c>
      <c r="H722" s="41"/>
      <c r="I722" s="42"/>
      <c r="J722" s="42"/>
      <c r="K722" s="42"/>
      <c r="L722" s="42"/>
      <c r="M722" s="43">
        <f t="shared" si="285"/>
        <v>0</v>
      </c>
      <c r="N722" s="42"/>
      <c r="O722" s="53"/>
      <c r="P722" s="53"/>
      <c r="Q722" s="53"/>
      <c r="R722" s="72"/>
      <c r="S722" s="24">
        <f t="shared" si="286"/>
        <v>0</v>
      </c>
      <c r="T722" s="42"/>
      <c r="U722" s="53"/>
      <c r="V722" s="53"/>
      <c r="W722" s="53"/>
      <c r="X722" s="72"/>
      <c r="Y722" s="24">
        <f t="shared" si="287"/>
        <v>0</v>
      </c>
      <c r="Z722" s="24">
        <f t="shared" si="288"/>
        <v>1</v>
      </c>
      <c r="AA722" s="83">
        <v>44440</v>
      </c>
      <c r="AB722" s="23" t="s">
        <v>438</v>
      </c>
      <c r="AC722" s="41"/>
      <c r="AD722" s="42"/>
      <c r="AE722" s="42">
        <v>1</v>
      </c>
      <c r="AF722" s="42"/>
      <c r="AG722" s="42"/>
      <c r="AH722" s="43">
        <f t="shared" si="300"/>
        <v>1</v>
      </c>
      <c r="AI722" s="41"/>
      <c r="AJ722" s="42"/>
      <c r="AK722" s="42"/>
      <c r="AL722" s="42"/>
      <c r="AM722" s="42"/>
      <c r="AN722" s="43">
        <f t="shared" si="301"/>
        <v>0</v>
      </c>
      <c r="AO722" s="42"/>
      <c r="AP722" s="53"/>
      <c r="AQ722" s="53"/>
      <c r="AR722" s="53"/>
      <c r="AS722" s="72"/>
      <c r="AT722" s="24">
        <f t="shared" si="302"/>
        <v>0</v>
      </c>
      <c r="AU722" s="42"/>
      <c r="AV722" s="53"/>
      <c r="AW722" s="53">
        <v>1</v>
      </c>
      <c r="AX722" s="53"/>
      <c r="AY722" s="72"/>
      <c r="AZ722" s="24">
        <f t="shared" si="299"/>
        <v>1</v>
      </c>
      <c r="BA722" s="24">
        <f t="shared" si="298"/>
        <v>2</v>
      </c>
      <c r="BB722" s="83">
        <v>44427</v>
      </c>
      <c r="BC722" s="111"/>
    </row>
    <row r="723" spans="1:55" ht="14.25" x14ac:dyDescent="0.15">
      <c r="A723" s="23" t="s">
        <v>48</v>
      </c>
      <c r="B723" s="41"/>
      <c r="C723" s="42"/>
      <c r="D723" s="42"/>
      <c r="E723" s="42"/>
      <c r="F723" s="42"/>
      <c r="G723" s="43">
        <f t="shared" si="284"/>
        <v>0</v>
      </c>
      <c r="H723" s="41"/>
      <c r="I723" s="42"/>
      <c r="J723" s="42"/>
      <c r="K723" s="42">
        <v>1</v>
      </c>
      <c r="L723" s="42"/>
      <c r="M723" s="43">
        <f t="shared" si="285"/>
        <v>1</v>
      </c>
      <c r="N723" s="42"/>
      <c r="O723" s="53"/>
      <c r="P723" s="53"/>
      <c r="Q723" s="53"/>
      <c r="R723" s="72"/>
      <c r="S723" s="24">
        <f t="shared" si="286"/>
        <v>0</v>
      </c>
      <c r="T723" s="42"/>
      <c r="U723" s="53"/>
      <c r="V723" s="53"/>
      <c r="W723" s="53"/>
      <c r="X723" s="72"/>
      <c r="Y723" s="24">
        <f t="shared" si="287"/>
        <v>0</v>
      </c>
      <c r="Z723" s="24">
        <f t="shared" si="288"/>
        <v>1</v>
      </c>
      <c r="AA723" s="83">
        <v>44442</v>
      </c>
      <c r="AB723" s="180" t="s">
        <v>462</v>
      </c>
      <c r="AC723" s="41"/>
      <c r="AD723" s="42"/>
      <c r="AE723" s="42"/>
      <c r="AF723" s="42"/>
      <c r="AG723" s="42"/>
      <c r="AH723" s="43">
        <f t="shared" si="300"/>
        <v>0</v>
      </c>
      <c r="AI723" s="41"/>
      <c r="AJ723" s="42"/>
      <c r="AK723" s="42"/>
      <c r="AL723" s="42"/>
      <c r="AM723" s="42"/>
      <c r="AN723" s="43">
        <f t="shared" si="301"/>
        <v>0</v>
      </c>
      <c r="AO723" s="42"/>
      <c r="AP723" s="53"/>
      <c r="AQ723" s="53"/>
      <c r="AR723" s="53"/>
      <c r="AS723" s="72"/>
      <c r="AT723" s="24">
        <f t="shared" si="302"/>
        <v>0</v>
      </c>
      <c r="AU723" s="42"/>
      <c r="AV723" s="53"/>
      <c r="AW723" s="53">
        <v>2</v>
      </c>
      <c r="AX723" s="53"/>
      <c r="AY723" s="72"/>
      <c r="AZ723" s="24">
        <f t="shared" si="299"/>
        <v>2</v>
      </c>
      <c r="BA723" s="24">
        <f t="shared" si="298"/>
        <v>2</v>
      </c>
      <c r="BB723" s="83">
        <v>44443</v>
      </c>
      <c r="BC723" s="111"/>
    </row>
    <row r="724" spans="1:55" ht="14.25" x14ac:dyDescent="0.15">
      <c r="A724" s="23" t="s">
        <v>48</v>
      </c>
      <c r="B724" s="41"/>
      <c r="C724" s="42"/>
      <c r="D724" s="42"/>
      <c r="E724" s="42"/>
      <c r="F724" s="42"/>
      <c r="G724" s="43">
        <f t="shared" si="284"/>
        <v>0</v>
      </c>
      <c r="H724" s="41"/>
      <c r="I724" s="42"/>
      <c r="J724" s="42"/>
      <c r="K724" s="42"/>
      <c r="L724" s="42">
        <v>1</v>
      </c>
      <c r="M724" s="43">
        <f t="shared" si="285"/>
        <v>1</v>
      </c>
      <c r="N724" s="42"/>
      <c r="O724" s="53"/>
      <c r="P724" s="53"/>
      <c r="Q724" s="53"/>
      <c r="R724" s="72"/>
      <c r="S724" s="24">
        <f t="shared" si="286"/>
        <v>0</v>
      </c>
      <c r="T724" s="42"/>
      <c r="U724" s="53"/>
      <c r="V724" s="53"/>
      <c r="W724" s="53"/>
      <c r="X724" s="72"/>
      <c r="Y724" s="24">
        <f t="shared" si="287"/>
        <v>0</v>
      </c>
      <c r="Z724" s="24">
        <f t="shared" si="288"/>
        <v>1</v>
      </c>
      <c r="AA724" s="83">
        <v>44445</v>
      </c>
      <c r="AB724" s="10" t="s">
        <v>30</v>
      </c>
      <c r="AC724" s="14"/>
      <c r="AD724" s="15"/>
      <c r="AE724" s="15"/>
      <c r="AF724" s="15"/>
      <c r="AG724" s="15"/>
      <c r="AH724" s="24">
        <f t="shared" ref="AH724" si="307">SUM(AC724:AG724)</f>
        <v>0</v>
      </c>
      <c r="AI724" s="14"/>
      <c r="AJ724" s="15"/>
      <c r="AK724" s="15"/>
      <c r="AL724" s="15"/>
      <c r="AM724" s="15"/>
      <c r="AN724" s="185">
        <f t="shared" ref="AN724" si="308">SUM(AI724:AM724)</f>
        <v>0</v>
      </c>
      <c r="AO724" s="14">
        <v>3</v>
      </c>
      <c r="AP724" s="55"/>
      <c r="AQ724" s="55">
        <v>3</v>
      </c>
      <c r="AR724" s="55"/>
      <c r="AS724" s="67"/>
      <c r="AT724" s="24">
        <f t="shared" ref="AT724" si="309">SUM(AO724:AS724)</f>
        <v>6</v>
      </c>
      <c r="AU724" s="15"/>
      <c r="AV724" s="55"/>
      <c r="AW724" s="55">
        <v>3</v>
      </c>
      <c r="AX724" s="55"/>
      <c r="AY724" s="67"/>
      <c r="AZ724" s="24">
        <f t="shared" ref="AZ724" si="310">SUM(AU724:AY724)</f>
        <v>3</v>
      </c>
      <c r="BA724" s="24">
        <f t="shared" si="298"/>
        <v>9</v>
      </c>
      <c r="BB724" s="83">
        <v>44438</v>
      </c>
      <c r="BC724" s="111"/>
    </row>
    <row r="725" spans="1:55" ht="14.25" x14ac:dyDescent="0.15">
      <c r="A725" s="23" t="s">
        <v>438</v>
      </c>
      <c r="B725" s="38"/>
      <c r="C725" s="39"/>
      <c r="D725" s="39"/>
      <c r="E725" s="39">
        <v>1</v>
      </c>
      <c r="F725" s="39"/>
      <c r="G725" s="37">
        <f t="shared" si="284"/>
        <v>1</v>
      </c>
      <c r="H725" s="38"/>
      <c r="I725" s="39"/>
      <c r="J725" s="39"/>
      <c r="K725" s="39"/>
      <c r="L725" s="39"/>
      <c r="M725" s="37">
        <f t="shared" si="285"/>
        <v>0</v>
      </c>
      <c r="N725" s="42"/>
      <c r="O725" s="53"/>
      <c r="P725" s="53"/>
      <c r="Q725" s="53"/>
      <c r="R725" s="72"/>
      <c r="S725" s="24">
        <f t="shared" si="286"/>
        <v>0</v>
      </c>
      <c r="T725" s="42"/>
      <c r="U725" s="53"/>
      <c r="V725" s="53"/>
      <c r="W725" s="53"/>
      <c r="X725" s="72"/>
      <c r="Y725" s="24">
        <f t="shared" si="287"/>
        <v>0</v>
      </c>
      <c r="Z725" s="24">
        <f t="shared" si="288"/>
        <v>1</v>
      </c>
      <c r="AA725" s="83">
        <v>44447</v>
      </c>
      <c r="AB725" s="23" t="s">
        <v>438</v>
      </c>
      <c r="AC725" s="38"/>
      <c r="AD725" s="39"/>
      <c r="AE725" s="39"/>
      <c r="AF725" s="39">
        <v>1</v>
      </c>
      <c r="AG725" s="39">
        <v>1</v>
      </c>
      <c r="AH725" s="37">
        <f t="shared" si="300"/>
        <v>2</v>
      </c>
      <c r="AI725" s="38"/>
      <c r="AJ725" s="39"/>
      <c r="AK725" s="39"/>
      <c r="AL725" s="39"/>
      <c r="AM725" s="39"/>
      <c r="AN725" s="37">
        <f t="shared" si="301"/>
        <v>0</v>
      </c>
      <c r="AO725" s="39"/>
      <c r="AP725" s="56"/>
      <c r="AQ725" s="56"/>
      <c r="AR725" s="56"/>
      <c r="AS725" s="71"/>
      <c r="AT725" s="16">
        <f t="shared" si="302"/>
        <v>0</v>
      </c>
      <c r="AU725" s="39"/>
      <c r="AV725" s="56">
        <v>1</v>
      </c>
      <c r="AW725" s="56"/>
      <c r="AX725" s="56"/>
      <c r="AY725" s="71"/>
      <c r="AZ725" s="16">
        <f t="shared" si="299"/>
        <v>1</v>
      </c>
      <c r="BA725" s="16">
        <f t="shared" si="298"/>
        <v>3</v>
      </c>
      <c r="BB725" s="83">
        <v>44439</v>
      </c>
      <c r="BC725" s="111"/>
    </row>
    <row r="726" spans="1:55" ht="14.25" x14ac:dyDescent="0.15">
      <c r="A726" s="10" t="s">
        <v>77</v>
      </c>
      <c r="B726" s="41"/>
      <c r="C726" s="42"/>
      <c r="D726" s="42"/>
      <c r="E726" s="42"/>
      <c r="F726" s="42"/>
      <c r="G726" s="43">
        <f t="shared" si="284"/>
        <v>0</v>
      </c>
      <c r="H726" s="41"/>
      <c r="I726" s="42"/>
      <c r="J726" s="42"/>
      <c r="K726" s="42"/>
      <c r="L726" s="42"/>
      <c r="M726" s="43">
        <f t="shared" si="285"/>
        <v>0</v>
      </c>
      <c r="N726" s="42"/>
      <c r="O726" s="53"/>
      <c r="P726" s="53">
        <v>-1</v>
      </c>
      <c r="Q726" s="53"/>
      <c r="R726" s="72"/>
      <c r="S726" s="24">
        <f t="shared" si="286"/>
        <v>-1</v>
      </c>
      <c r="T726" s="42"/>
      <c r="U726" s="53"/>
      <c r="V726" s="53"/>
      <c r="W726" s="53"/>
      <c r="X726" s="72">
        <v>-1</v>
      </c>
      <c r="Y726" s="24">
        <f t="shared" si="287"/>
        <v>-1</v>
      </c>
      <c r="Z726" s="24">
        <f t="shared" si="288"/>
        <v>-2</v>
      </c>
      <c r="AA726" s="83">
        <v>44447</v>
      </c>
      <c r="AB726" s="23" t="s">
        <v>438</v>
      </c>
      <c r="AC726" s="41"/>
      <c r="AD726" s="42"/>
      <c r="AE726" s="42">
        <v>1</v>
      </c>
      <c r="AF726" s="42"/>
      <c r="AG726" s="42"/>
      <c r="AH726" s="43">
        <f t="shared" si="300"/>
        <v>1</v>
      </c>
      <c r="AI726" s="41"/>
      <c r="AJ726" s="42"/>
      <c r="AK726" s="42"/>
      <c r="AL726" s="42"/>
      <c r="AM726" s="42"/>
      <c r="AN726" s="43">
        <f t="shared" si="301"/>
        <v>0</v>
      </c>
      <c r="AO726" s="42"/>
      <c r="AP726" s="53"/>
      <c r="AQ726" s="53"/>
      <c r="AR726" s="53"/>
      <c r="AS726" s="72"/>
      <c r="AT726" s="24">
        <f t="shared" si="302"/>
        <v>0</v>
      </c>
      <c r="AU726" s="42"/>
      <c r="AV726" s="53"/>
      <c r="AW726" s="53"/>
      <c r="AX726" s="53"/>
      <c r="AY726" s="72"/>
      <c r="AZ726" s="24">
        <f t="shared" si="299"/>
        <v>0</v>
      </c>
      <c r="BA726" s="24">
        <f t="shared" si="298"/>
        <v>1</v>
      </c>
      <c r="BB726" s="83">
        <v>44442</v>
      </c>
      <c r="BC726" s="111"/>
    </row>
    <row r="727" spans="1:55" ht="14.25" x14ac:dyDescent="0.15">
      <c r="A727" s="23" t="s">
        <v>48</v>
      </c>
      <c r="B727" s="14"/>
      <c r="C727" s="15"/>
      <c r="D727" s="15"/>
      <c r="E727" s="15"/>
      <c r="F727" s="15"/>
      <c r="G727" s="24">
        <f t="shared" si="284"/>
        <v>0</v>
      </c>
      <c r="H727" s="14"/>
      <c r="I727" s="15"/>
      <c r="J727" s="15"/>
      <c r="K727" s="15">
        <v>1</v>
      </c>
      <c r="L727" s="15"/>
      <c r="M727" s="24">
        <f t="shared" si="285"/>
        <v>1</v>
      </c>
      <c r="N727" s="15"/>
      <c r="O727" s="55"/>
      <c r="P727" s="55"/>
      <c r="Q727" s="55"/>
      <c r="R727" s="67"/>
      <c r="S727" s="24">
        <f t="shared" si="286"/>
        <v>0</v>
      </c>
      <c r="T727" s="15"/>
      <c r="U727" s="55"/>
      <c r="V727" s="55"/>
      <c r="W727" s="55"/>
      <c r="X727" s="67"/>
      <c r="Y727" s="24">
        <f t="shared" si="287"/>
        <v>0</v>
      </c>
      <c r="Z727" s="24">
        <f t="shared" si="288"/>
        <v>1</v>
      </c>
      <c r="AA727" s="83">
        <v>44447</v>
      </c>
      <c r="AB727" s="180" t="s">
        <v>463</v>
      </c>
      <c r="AC727" s="41"/>
      <c r="AD727" s="42"/>
      <c r="AE727" s="42"/>
      <c r="AF727" s="42">
        <v>2</v>
      </c>
      <c r="AG727" s="42"/>
      <c r="AH727" s="43">
        <f t="shared" si="300"/>
        <v>2</v>
      </c>
      <c r="AI727" s="41"/>
      <c r="AJ727" s="42"/>
      <c r="AK727" s="42"/>
      <c r="AL727" s="42"/>
      <c r="AM727" s="42"/>
      <c r="AN727" s="43">
        <f t="shared" si="301"/>
        <v>0</v>
      </c>
      <c r="AO727" s="42"/>
      <c r="AP727" s="53"/>
      <c r="AQ727" s="53"/>
      <c r="AR727" s="53"/>
      <c r="AS727" s="72"/>
      <c r="AT727" s="24">
        <f t="shared" si="302"/>
        <v>0</v>
      </c>
      <c r="AU727" s="42"/>
      <c r="AV727" s="53"/>
      <c r="AW727" s="53"/>
      <c r="AX727" s="53"/>
      <c r="AY727" s="72"/>
      <c r="AZ727" s="24">
        <f t="shared" si="299"/>
        <v>0</v>
      </c>
      <c r="BA727" s="24">
        <f t="shared" si="298"/>
        <v>2</v>
      </c>
      <c r="BB727" s="83">
        <v>44452</v>
      </c>
      <c r="BC727" s="111"/>
    </row>
    <row r="728" spans="1:55" ht="14.25" x14ac:dyDescent="0.15">
      <c r="A728" s="23" t="s">
        <v>438</v>
      </c>
      <c r="B728" s="14"/>
      <c r="C728" s="15"/>
      <c r="D728" s="15"/>
      <c r="E728" s="15"/>
      <c r="F728" s="15"/>
      <c r="G728" s="24">
        <f t="shared" si="284"/>
        <v>0</v>
      </c>
      <c r="H728" s="14"/>
      <c r="I728" s="15"/>
      <c r="J728" s="15"/>
      <c r="K728" s="15"/>
      <c r="L728" s="15"/>
      <c r="M728" s="24">
        <f t="shared" si="285"/>
        <v>0</v>
      </c>
      <c r="N728" s="15"/>
      <c r="O728" s="55"/>
      <c r="P728" s="55"/>
      <c r="Q728" s="55">
        <v>1</v>
      </c>
      <c r="R728" s="67"/>
      <c r="S728" s="24">
        <f t="shared" si="286"/>
        <v>1</v>
      </c>
      <c r="T728" s="15"/>
      <c r="U728" s="55"/>
      <c r="V728" s="55"/>
      <c r="W728" s="55"/>
      <c r="X728" s="67"/>
      <c r="Y728" s="24">
        <f t="shared" si="287"/>
        <v>0</v>
      </c>
      <c r="Z728" s="24">
        <f t="shared" si="288"/>
        <v>1</v>
      </c>
      <c r="AA728" s="83">
        <v>44452</v>
      </c>
      <c r="AB728" s="180" t="s">
        <v>464</v>
      </c>
      <c r="AC728" s="14">
        <v>2</v>
      </c>
      <c r="AD728" s="15"/>
      <c r="AE728" s="15"/>
      <c r="AF728" s="15"/>
      <c r="AG728" s="15"/>
      <c r="AH728" s="24">
        <f t="shared" si="300"/>
        <v>2</v>
      </c>
      <c r="AI728" s="14"/>
      <c r="AJ728" s="15"/>
      <c r="AK728" s="15"/>
      <c r="AL728" s="15"/>
      <c r="AM728" s="15"/>
      <c r="AN728" s="24">
        <f t="shared" si="301"/>
        <v>0</v>
      </c>
      <c r="AO728" s="15"/>
      <c r="AP728" s="55"/>
      <c r="AQ728" s="55"/>
      <c r="AR728" s="55"/>
      <c r="AS728" s="67"/>
      <c r="AT728" s="24">
        <f t="shared" si="302"/>
        <v>0</v>
      </c>
      <c r="AU728" s="15"/>
      <c r="AV728" s="55"/>
      <c r="AW728" s="55"/>
      <c r="AX728" s="55"/>
      <c r="AY728" s="67"/>
      <c r="AZ728" s="24">
        <f t="shared" si="299"/>
        <v>0</v>
      </c>
      <c r="BA728" s="24">
        <f t="shared" si="298"/>
        <v>2</v>
      </c>
      <c r="BB728" s="83">
        <v>44454</v>
      </c>
      <c r="BC728" s="111"/>
    </row>
    <row r="729" spans="1:55" ht="14.25" x14ac:dyDescent="0.15">
      <c r="A729" s="23" t="s">
        <v>48</v>
      </c>
      <c r="B729" s="14"/>
      <c r="C729" s="15"/>
      <c r="D729" s="15"/>
      <c r="E729" s="15"/>
      <c r="F729" s="15"/>
      <c r="G729" s="24">
        <f t="shared" si="284"/>
        <v>0</v>
      </c>
      <c r="H729" s="14">
        <v>1</v>
      </c>
      <c r="I729" s="15"/>
      <c r="J729" s="15"/>
      <c r="K729" s="15"/>
      <c r="L729" s="15"/>
      <c r="M729" s="24">
        <f t="shared" si="285"/>
        <v>1</v>
      </c>
      <c r="N729" s="15"/>
      <c r="O729" s="55"/>
      <c r="P729" s="55"/>
      <c r="Q729" s="55"/>
      <c r="R729" s="67"/>
      <c r="S729" s="24">
        <f t="shared" si="286"/>
        <v>0</v>
      </c>
      <c r="T729" s="15"/>
      <c r="U729" s="55"/>
      <c r="V729" s="55"/>
      <c r="W729" s="55"/>
      <c r="X729" s="67"/>
      <c r="Y729" s="24">
        <f t="shared" si="287"/>
        <v>0</v>
      </c>
      <c r="Z729" s="24">
        <f t="shared" si="288"/>
        <v>1</v>
      </c>
      <c r="AA729" s="83">
        <v>44449</v>
      </c>
      <c r="AB729" s="180" t="s">
        <v>465</v>
      </c>
      <c r="AC729" s="14"/>
      <c r="AD729" s="15"/>
      <c r="AE729" s="15"/>
      <c r="AF729" s="15"/>
      <c r="AG729" s="15"/>
      <c r="AH729" s="24">
        <f t="shared" si="300"/>
        <v>0</v>
      </c>
      <c r="AI729" s="14"/>
      <c r="AJ729" s="15"/>
      <c r="AK729" s="15"/>
      <c r="AL729" s="15"/>
      <c r="AM729" s="15"/>
      <c r="AN729" s="24">
        <f t="shared" si="301"/>
        <v>0</v>
      </c>
      <c r="AO729" s="15"/>
      <c r="AP729" s="55"/>
      <c r="AQ729" s="55"/>
      <c r="AR729" s="55"/>
      <c r="AS729" s="67"/>
      <c r="AT729" s="24">
        <f t="shared" si="302"/>
        <v>0</v>
      </c>
      <c r="AU729" s="15"/>
      <c r="AV729" s="55"/>
      <c r="AW729" s="55"/>
      <c r="AX729" s="55">
        <v>2</v>
      </c>
      <c r="AY729" s="67"/>
      <c r="AZ729" s="24">
        <f t="shared" si="299"/>
        <v>2</v>
      </c>
      <c r="BA729" s="24">
        <f t="shared" si="298"/>
        <v>2</v>
      </c>
      <c r="BB729" s="83">
        <v>44454</v>
      </c>
      <c r="BC729" s="111"/>
    </row>
    <row r="730" spans="1:55" ht="14.25" x14ac:dyDescent="0.15">
      <c r="A730" s="23" t="s">
        <v>48</v>
      </c>
      <c r="B730" s="14"/>
      <c r="C730" s="15"/>
      <c r="D730" s="15"/>
      <c r="E730" s="15"/>
      <c r="F730" s="15">
        <v>1</v>
      </c>
      <c r="G730" s="24">
        <f t="shared" si="284"/>
        <v>1</v>
      </c>
      <c r="H730" s="14"/>
      <c r="I730" s="15"/>
      <c r="J730" s="15"/>
      <c r="K730" s="15"/>
      <c r="L730" s="15"/>
      <c r="M730" s="24">
        <f t="shared" si="285"/>
        <v>0</v>
      </c>
      <c r="N730" s="15"/>
      <c r="O730" s="55"/>
      <c r="P730" s="55"/>
      <c r="Q730" s="55"/>
      <c r="R730" s="67">
        <v>1</v>
      </c>
      <c r="S730" s="24">
        <f t="shared" si="286"/>
        <v>1</v>
      </c>
      <c r="T730" s="15"/>
      <c r="U730" s="55"/>
      <c r="V730" s="55"/>
      <c r="W730" s="55"/>
      <c r="X730" s="67"/>
      <c r="Y730" s="24">
        <f t="shared" si="287"/>
        <v>0</v>
      </c>
      <c r="Z730" s="24">
        <f t="shared" si="288"/>
        <v>2</v>
      </c>
      <c r="AA730" s="83">
        <v>44452</v>
      </c>
      <c r="AB730" s="180" t="s">
        <v>467</v>
      </c>
      <c r="AC730" s="14"/>
      <c r="AD730" s="15"/>
      <c r="AE730" s="15"/>
      <c r="AF730" s="15"/>
      <c r="AG730" s="15"/>
      <c r="AH730" s="24">
        <f t="shared" si="300"/>
        <v>0</v>
      </c>
      <c r="AI730" s="14"/>
      <c r="AJ730" s="15"/>
      <c r="AK730" s="15"/>
      <c r="AL730" s="15"/>
      <c r="AM730" s="15"/>
      <c r="AN730" s="24">
        <f t="shared" si="301"/>
        <v>0</v>
      </c>
      <c r="AO730" s="15"/>
      <c r="AP730" s="55">
        <v>2</v>
      </c>
      <c r="AQ730" s="55"/>
      <c r="AR730" s="55"/>
      <c r="AS730" s="67"/>
      <c r="AT730" s="24">
        <f t="shared" si="302"/>
        <v>2</v>
      </c>
      <c r="AU730" s="15"/>
      <c r="AV730" s="55"/>
      <c r="AW730" s="55"/>
      <c r="AX730" s="55"/>
      <c r="AY730" s="67"/>
      <c r="AZ730" s="24">
        <f t="shared" si="299"/>
        <v>0</v>
      </c>
      <c r="BA730" s="24">
        <f t="shared" si="298"/>
        <v>2</v>
      </c>
      <c r="BB730" s="83">
        <v>44468</v>
      </c>
      <c r="BC730" s="111"/>
    </row>
    <row r="731" spans="1:55" ht="14.25" x14ac:dyDescent="0.15">
      <c r="A731" s="23" t="s">
        <v>466</v>
      </c>
      <c r="B731" s="14">
        <v>-1</v>
      </c>
      <c r="C731" s="15"/>
      <c r="D731" s="15"/>
      <c r="E731" s="15"/>
      <c r="F731" s="15">
        <v>-2</v>
      </c>
      <c r="G731" s="24">
        <f t="shared" si="284"/>
        <v>-3</v>
      </c>
      <c r="H731" s="14"/>
      <c r="I731" s="15">
        <v>-1</v>
      </c>
      <c r="J731" s="15"/>
      <c r="K731" s="15"/>
      <c r="L731" s="15"/>
      <c r="M731" s="24">
        <f t="shared" si="285"/>
        <v>-1</v>
      </c>
      <c r="N731" s="15">
        <v>-3</v>
      </c>
      <c r="O731" s="55">
        <v>-1</v>
      </c>
      <c r="P731" s="55"/>
      <c r="Q731" s="55">
        <v>-1</v>
      </c>
      <c r="R731" s="67"/>
      <c r="S731" s="24">
        <f t="shared" si="286"/>
        <v>-5</v>
      </c>
      <c r="T731" s="15"/>
      <c r="U731" s="55"/>
      <c r="V731" s="55">
        <v>-3</v>
      </c>
      <c r="W731" s="55"/>
      <c r="X731" s="67"/>
      <c r="Y731" s="24">
        <f t="shared" si="287"/>
        <v>-3</v>
      </c>
      <c r="Z731" s="24">
        <f t="shared" si="288"/>
        <v>-12</v>
      </c>
      <c r="AA731" s="83">
        <v>44454</v>
      </c>
      <c r="AB731" s="180" t="s">
        <v>470</v>
      </c>
      <c r="AC731" s="14"/>
      <c r="AD731" s="15"/>
      <c r="AE731" s="15"/>
      <c r="AF731" s="15"/>
      <c r="AG731" s="15"/>
      <c r="AH731" s="24">
        <f t="shared" si="300"/>
        <v>0</v>
      </c>
      <c r="AI731" s="14"/>
      <c r="AJ731" s="15"/>
      <c r="AK731" s="15"/>
      <c r="AL731" s="15"/>
      <c r="AM731" s="15"/>
      <c r="AN731" s="24">
        <f t="shared" si="301"/>
        <v>0</v>
      </c>
      <c r="AO731" s="15"/>
      <c r="AP731" s="55"/>
      <c r="AQ731" s="55">
        <v>2</v>
      </c>
      <c r="AR731" s="55"/>
      <c r="AS731" s="67"/>
      <c r="AT731" s="24">
        <f t="shared" si="302"/>
        <v>2</v>
      </c>
      <c r="AU731" s="15"/>
      <c r="AV731" s="55"/>
      <c r="AW731" s="55"/>
      <c r="AX731" s="55"/>
      <c r="AY731" s="67"/>
      <c r="AZ731" s="24">
        <f t="shared" si="299"/>
        <v>0</v>
      </c>
      <c r="BA731" s="24">
        <f t="shared" si="298"/>
        <v>2</v>
      </c>
      <c r="BB731" s="83">
        <v>44474</v>
      </c>
    </row>
    <row r="732" spans="1:55" ht="14.25" x14ac:dyDescent="0.15">
      <c r="A732" s="23" t="s">
        <v>438</v>
      </c>
      <c r="B732" s="14"/>
      <c r="C732" s="15"/>
      <c r="D732" s="15"/>
      <c r="E732" s="15"/>
      <c r="F732" s="15"/>
      <c r="G732" s="24">
        <f t="shared" si="284"/>
        <v>0</v>
      </c>
      <c r="H732" s="14"/>
      <c r="I732" s="15"/>
      <c r="J732" s="15"/>
      <c r="K732" s="15"/>
      <c r="L732" s="15"/>
      <c r="M732" s="24">
        <f t="shared" si="285"/>
        <v>0</v>
      </c>
      <c r="N732" s="15"/>
      <c r="O732" s="55"/>
      <c r="P732" s="55"/>
      <c r="Q732" s="55"/>
      <c r="R732" s="67">
        <v>1</v>
      </c>
      <c r="S732" s="24">
        <f t="shared" si="286"/>
        <v>1</v>
      </c>
      <c r="T732" s="15"/>
      <c r="U732" s="55"/>
      <c r="V732" s="55"/>
      <c r="W732" s="55"/>
      <c r="X732" s="67"/>
      <c r="Y732" s="24">
        <f t="shared" si="287"/>
        <v>0</v>
      </c>
      <c r="Z732" s="24">
        <f t="shared" si="288"/>
        <v>1</v>
      </c>
      <c r="AA732" s="83">
        <v>44457</v>
      </c>
      <c r="AB732" s="180"/>
      <c r="AC732" s="14"/>
      <c r="AD732" s="15"/>
      <c r="AE732" s="15"/>
      <c r="AF732" s="15"/>
      <c r="AG732" s="15"/>
      <c r="AH732" s="24">
        <f t="shared" si="300"/>
        <v>0</v>
      </c>
      <c r="AI732" s="14"/>
      <c r="AJ732" s="15"/>
      <c r="AK732" s="15"/>
      <c r="AL732" s="15"/>
      <c r="AM732" s="15"/>
      <c r="AN732" s="24">
        <f t="shared" si="301"/>
        <v>0</v>
      </c>
      <c r="AO732" s="15"/>
      <c r="AP732" s="55"/>
      <c r="AQ732" s="55"/>
      <c r="AR732" s="55"/>
      <c r="AS732" s="67"/>
      <c r="AT732" s="24">
        <f t="shared" si="302"/>
        <v>0</v>
      </c>
      <c r="AU732" s="15"/>
      <c r="AV732" s="55"/>
      <c r="AW732" s="55"/>
      <c r="AX732" s="55"/>
      <c r="AY732" s="67"/>
      <c r="AZ732" s="24">
        <f t="shared" si="299"/>
        <v>0</v>
      </c>
      <c r="BA732" s="24">
        <f t="shared" si="298"/>
        <v>0</v>
      </c>
      <c r="BB732" s="83"/>
    </row>
    <row r="733" spans="1:55" ht="14.25" x14ac:dyDescent="0.15">
      <c r="A733" s="23" t="s">
        <v>48</v>
      </c>
      <c r="B733" s="44"/>
      <c r="C733" s="45"/>
      <c r="D733" s="45">
        <v>1</v>
      </c>
      <c r="E733" s="45"/>
      <c r="F733" s="45"/>
      <c r="G733" s="43">
        <f t="shared" si="284"/>
        <v>1</v>
      </c>
      <c r="H733" s="44"/>
      <c r="I733" s="45"/>
      <c r="J733" s="45"/>
      <c r="K733" s="45"/>
      <c r="L733" s="45"/>
      <c r="M733" s="43">
        <f t="shared" si="285"/>
        <v>0</v>
      </c>
      <c r="N733" s="42"/>
      <c r="O733" s="53"/>
      <c r="P733" s="53"/>
      <c r="Q733" s="53"/>
      <c r="R733" s="72"/>
      <c r="S733" s="24">
        <f t="shared" si="286"/>
        <v>0</v>
      </c>
      <c r="T733" s="42"/>
      <c r="U733" s="53"/>
      <c r="V733" s="53">
        <v>1</v>
      </c>
      <c r="W733" s="53"/>
      <c r="X733" s="72"/>
      <c r="Y733" s="24">
        <f t="shared" si="287"/>
        <v>1</v>
      </c>
      <c r="Z733" s="24">
        <f t="shared" si="288"/>
        <v>2</v>
      </c>
      <c r="AA733" s="83">
        <v>44456</v>
      </c>
      <c r="AB733" s="47"/>
      <c r="AC733" s="14"/>
      <c r="AD733" s="15"/>
      <c r="AE733" s="15"/>
      <c r="AF733" s="15"/>
      <c r="AG733" s="15"/>
      <c r="AH733" s="24">
        <f t="shared" si="300"/>
        <v>0</v>
      </c>
      <c r="AI733" s="14"/>
      <c r="AJ733" s="15"/>
      <c r="AK733" s="15"/>
      <c r="AL733" s="15"/>
      <c r="AM733" s="15"/>
      <c r="AN733" s="24">
        <f t="shared" si="301"/>
        <v>0</v>
      </c>
      <c r="AO733" s="15"/>
      <c r="AP733" s="55"/>
      <c r="AQ733" s="55"/>
      <c r="AR733" s="55"/>
      <c r="AS733" s="67"/>
      <c r="AT733" s="24">
        <f t="shared" si="302"/>
        <v>0</v>
      </c>
      <c r="AU733" s="15"/>
      <c r="AV733" s="55"/>
      <c r="AW733" s="55"/>
      <c r="AX733" s="55"/>
      <c r="AY733" s="67"/>
      <c r="AZ733" s="24">
        <f t="shared" si="299"/>
        <v>0</v>
      </c>
      <c r="BA733" s="24">
        <f t="shared" si="298"/>
        <v>0</v>
      </c>
      <c r="BB733" s="128"/>
    </row>
    <row r="734" spans="1:55" ht="14.25" x14ac:dyDescent="0.15">
      <c r="A734" s="23" t="s">
        <v>440</v>
      </c>
      <c r="B734" s="41"/>
      <c r="C734" s="42">
        <v>1</v>
      </c>
      <c r="D734" s="42"/>
      <c r="E734" s="42"/>
      <c r="F734" s="42"/>
      <c r="G734" s="43">
        <f t="shared" si="284"/>
        <v>1</v>
      </c>
      <c r="H734" s="41">
        <v>1</v>
      </c>
      <c r="I734" s="42"/>
      <c r="J734" s="42"/>
      <c r="K734" s="42"/>
      <c r="L734" s="42">
        <v>2</v>
      </c>
      <c r="M734" s="43">
        <f t="shared" si="285"/>
        <v>3</v>
      </c>
      <c r="N734" s="42">
        <v>3</v>
      </c>
      <c r="O734" s="53">
        <v>1</v>
      </c>
      <c r="P734" s="53"/>
      <c r="Q734" s="53">
        <v>1</v>
      </c>
      <c r="R734" s="72"/>
      <c r="S734" s="24">
        <f t="shared" si="286"/>
        <v>5</v>
      </c>
      <c r="T734" s="42"/>
      <c r="U734" s="53"/>
      <c r="V734" s="53">
        <v>3</v>
      </c>
      <c r="W734" s="53"/>
      <c r="X734" s="72"/>
      <c r="Y734" s="24">
        <f t="shared" si="287"/>
        <v>3</v>
      </c>
      <c r="Z734" s="24">
        <f t="shared" si="288"/>
        <v>12</v>
      </c>
      <c r="AA734" s="83">
        <v>44457</v>
      </c>
      <c r="AB734" s="47"/>
      <c r="AC734" s="14"/>
      <c r="AD734" s="15"/>
      <c r="AE734" s="15"/>
      <c r="AF734" s="15"/>
      <c r="AG734" s="15"/>
      <c r="AH734" s="24">
        <f t="shared" si="300"/>
        <v>0</v>
      </c>
      <c r="AI734" s="14"/>
      <c r="AJ734" s="15"/>
      <c r="AK734" s="15"/>
      <c r="AL734" s="15"/>
      <c r="AM734" s="15"/>
      <c r="AN734" s="24">
        <f t="shared" si="301"/>
        <v>0</v>
      </c>
      <c r="AO734" s="15"/>
      <c r="AP734" s="55"/>
      <c r="AQ734" s="55"/>
      <c r="AR734" s="55"/>
      <c r="AS734" s="67"/>
      <c r="AT734" s="24">
        <f t="shared" si="302"/>
        <v>0</v>
      </c>
      <c r="AU734" s="15"/>
      <c r="AV734" s="55"/>
      <c r="AW734" s="55"/>
      <c r="AX734" s="55"/>
      <c r="AY734" s="67"/>
      <c r="AZ734" s="24">
        <f t="shared" si="299"/>
        <v>0</v>
      </c>
      <c r="BA734" s="24">
        <f t="shared" si="298"/>
        <v>0</v>
      </c>
      <c r="BB734" s="128"/>
    </row>
    <row r="735" spans="1:55" ht="14.25" x14ac:dyDescent="0.15">
      <c r="A735" s="23" t="s">
        <v>468</v>
      </c>
      <c r="B735" s="41"/>
      <c r="C735" s="42"/>
      <c r="D735" s="42">
        <v>1</v>
      </c>
      <c r="E735" s="42"/>
      <c r="F735" s="42"/>
      <c r="G735" s="43">
        <f t="shared" si="284"/>
        <v>1</v>
      </c>
      <c r="H735" s="41"/>
      <c r="I735" s="42"/>
      <c r="J735" s="42"/>
      <c r="K735" s="42"/>
      <c r="L735" s="42"/>
      <c r="M735" s="43">
        <f t="shared" si="285"/>
        <v>0</v>
      </c>
      <c r="N735" s="42"/>
      <c r="O735" s="53"/>
      <c r="P735" s="53"/>
      <c r="Q735" s="53"/>
      <c r="R735" s="72"/>
      <c r="S735" s="24">
        <f t="shared" si="286"/>
        <v>0</v>
      </c>
      <c r="T735" s="42"/>
      <c r="U735" s="53"/>
      <c r="V735" s="53"/>
      <c r="W735" s="53"/>
      <c r="X735" s="72"/>
      <c r="Y735" s="24">
        <f t="shared" si="287"/>
        <v>0</v>
      </c>
      <c r="Z735" s="24">
        <f t="shared" si="288"/>
        <v>1</v>
      </c>
      <c r="AA735" s="83">
        <v>44461</v>
      </c>
      <c r="AB735" s="47"/>
      <c r="AC735" s="14"/>
      <c r="AD735" s="15"/>
      <c r="AE735" s="15"/>
      <c r="AF735" s="15"/>
      <c r="AG735" s="15"/>
      <c r="AH735" s="24">
        <f>SUM(AC735:AG735)</f>
        <v>0</v>
      </c>
      <c r="AI735" s="14"/>
      <c r="AJ735" s="15"/>
      <c r="AK735" s="15"/>
      <c r="AL735" s="15"/>
      <c r="AM735" s="15"/>
      <c r="AN735" s="24">
        <f>SUM(AI735:AM735)</f>
        <v>0</v>
      </c>
      <c r="AO735" s="15"/>
      <c r="AP735" s="55"/>
      <c r="AQ735" s="55"/>
      <c r="AR735" s="55"/>
      <c r="AS735" s="67"/>
      <c r="AT735" s="24">
        <f>SUM(AO735:AS735)</f>
        <v>0</v>
      </c>
      <c r="AU735" s="15"/>
      <c r="AV735" s="55"/>
      <c r="AW735" s="55"/>
      <c r="AX735" s="55"/>
      <c r="AY735" s="67"/>
      <c r="AZ735" s="24">
        <f>SUM(AU735:AY735)</f>
        <v>0</v>
      </c>
      <c r="BA735" s="24">
        <f>AH735+AN735+AT735+AZ735</f>
        <v>0</v>
      </c>
      <c r="BB735" s="128"/>
    </row>
    <row r="736" spans="1:55" ht="14.25" x14ac:dyDescent="0.15">
      <c r="A736" s="23" t="s">
        <v>438</v>
      </c>
      <c r="B736" s="41"/>
      <c r="C736" s="42"/>
      <c r="D736" s="42"/>
      <c r="E736" s="42"/>
      <c r="F736" s="42"/>
      <c r="G736" s="43">
        <f t="shared" si="284"/>
        <v>0</v>
      </c>
      <c r="H736" s="41"/>
      <c r="I736" s="42"/>
      <c r="J736" s="42"/>
      <c r="K736" s="42"/>
      <c r="L736" s="42"/>
      <c r="M736" s="43">
        <f t="shared" si="285"/>
        <v>0</v>
      </c>
      <c r="N736" s="42"/>
      <c r="O736" s="53"/>
      <c r="P736" s="53"/>
      <c r="Q736" s="53"/>
      <c r="R736" s="72"/>
      <c r="S736" s="24">
        <f>SUM(N736:R736)</f>
        <v>0</v>
      </c>
      <c r="T736" s="42"/>
      <c r="U736" s="53"/>
      <c r="V736" s="53">
        <v>1</v>
      </c>
      <c r="W736" s="53"/>
      <c r="X736" s="72"/>
      <c r="Y736" s="24">
        <f>SUM(T736:X736)</f>
        <v>1</v>
      </c>
      <c r="Z736" s="24">
        <f>G736+M736+S736+Y736</f>
        <v>1</v>
      </c>
      <c r="AA736" s="83">
        <v>44462</v>
      </c>
      <c r="AB736" s="47" t="s">
        <v>442</v>
      </c>
      <c r="AC736" s="14"/>
      <c r="AD736" s="15"/>
      <c r="AE736" s="15"/>
      <c r="AF736" s="15"/>
      <c r="AG736" s="15"/>
      <c r="AH736" s="24">
        <f t="shared" ref="AH736:AH737" si="311">SUM(AC736:AG736)</f>
        <v>0</v>
      </c>
      <c r="AI736" s="14"/>
      <c r="AJ736" s="15"/>
      <c r="AK736" s="15"/>
      <c r="AL736" s="15"/>
      <c r="AM736" s="15"/>
      <c r="AN736" s="24">
        <f t="shared" ref="AN736:AN737" si="312">SUM(AI736:AM736)</f>
        <v>0</v>
      </c>
      <c r="AO736" s="15"/>
      <c r="AP736" s="55"/>
      <c r="AQ736" s="55"/>
      <c r="AR736" s="55"/>
      <c r="AS736" s="67"/>
      <c r="AT736" s="24">
        <f t="shared" ref="AT736:AT737" si="313">SUM(AO736:AS736)</f>
        <v>0</v>
      </c>
      <c r="AU736" s="15"/>
      <c r="AV736" s="55"/>
      <c r="AW736" s="55"/>
      <c r="AX736" s="55"/>
      <c r="AY736" s="67"/>
      <c r="AZ736" s="24">
        <f t="shared" ref="AZ736:AZ737" si="314">SUM(AU736:AY736)</f>
        <v>0</v>
      </c>
      <c r="BA736" s="24">
        <f t="shared" ref="BA736:BA737" si="315">AH736+AN736+AT736+AZ736</f>
        <v>0</v>
      </c>
      <c r="BB736" s="128" t="s">
        <v>443</v>
      </c>
    </row>
    <row r="737" spans="1:55" ht="14.25" thickBot="1" x14ac:dyDescent="0.2">
      <c r="A737" s="182"/>
      <c r="B737" s="44"/>
      <c r="C737" s="45"/>
      <c r="D737" s="45"/>
      <c r="E737" s="45"/>
      <c r="F737" s="45"/>
      <c r="G737" s="43">
        <f t="shared" si="284"/>
        <v>0</v>
      </c>
      <c r="H737" s="44"/>
      <c r="I737" s="45"/>
      <c r="J737" s="45"/>
      <c r="K737" s="45"/>
      <c r="L737" s="45"/>
      <c r="M737" s="112">
        <f t="shared" si="285"/>
        <v>0</v>
      </c>
      <c r="N737" s="45"/>
      <c r="O737" s="78"/>
      <c r="P737" s="78"/>
      <c r="Q737" s="78"/>
      <c r="R737" s="79"/>
      <c r="S737" s="113">
        <f>SUM(N737:R737)</f>
        <v>0</v>
      </c>
      <c r="T737" s="45"/>
      <c r="U737" s="78"/>
      <c r="V737" s="78"/>
      <c r="W737" s="78"/>
      <c r="X737" s="79"/>
      <c r="Y737" s="113">
        <f>SUM(T737:X737)</f>
        <v>0</v>
      </c>
      <c r="Z737" s="82">
        <f>G737+M737+S737+Y737</f>
        <v>0</v>
      </c>
      <c r="AB737" s="47" t="s">
        <v>421</v>
      </c>
      <c r="AC737" s="14"/>
      <c r="AD737" s="15"/>
      <c r="AE737" s="15"/>
      <c r="AF737" s="15"/>
      <c r="AG737" s="15"/>
      <c r="AH737" s="24">
        <f t="shared" si="311"/>
        <v>0</v>
      </c>
      <c r="AI737" s="14"/>
      <c r="AJ737" s="15"/>
      <c r="AK737" s="15"/>
      <c r="AL737" s="15"/>
      <c r="AM737" s="15"/>
      <c r="AN737" s="24">
        <f t="shared" si="312"/>
        <v>0</v>
      </c>
      <c r="AO737" s="15"/>
      <c r="AP737" s="55"/>
      <c r="AQ737" s="55"/>
      <c r="AR737" s="55"/>
      <c r="AS737" s="67"/>
      <c r="AT737" s="24">
        <f t="shared" si="313"/>
        <v>0</v>
      </c>
      <c r="AU737" s="15"/>
      <c r="AV737" s="55"/>
      <c r="AW737" s="55"/>
      <c r="AX737" s="55"/>
      <c r="AY737" s="67"/>
      <c r="AZ737" s="24">
        <f t="shared" si="314"/>
        <v>0</v>
      </c>
      <c r="BA737" s="24">
        <f t="shared" si="315"/>
        <v>0</v>
      </c>
      <c r="BB737" s="128" t="s">
        <v>422</v>
      </c>
    </row>
    <row r="738" spans="1:55" ht="15" thickBot="1" x14ac:dyDescent="0.2">
      <c r="A738" s="9" t="s">
        <v>13</v>
      </c>
      <c r="B738" s="25">
        <f>SUM(B712:B737)</f>
        <v>-1</v>
      </c>
      <c r="C738" s="26">
        <f>SUM(C712:C737)</f>
        <v>2</v>
      </c>
      <c r="D738" s="26">
        <f>SUM(D712:D737)</f>
        <v>3</v>
      </c>
      <c r="E738" s="26">
        <f>SUM(E712:E737)</f>
        <v>2</v>
      </c>
      <c r="F738" s="27">
        <f>SUM(F712:F737)</f>
        <v>1</v>
      </c>
      <c r="G738" s="19">
        <f>SUM(B738:F738)</f>
        <v>7</v>
      </c>
      <c r="H738" s="25">
        <f>SUM(H712:H737)</f>
        <v>4</v>
      </c>
      <c r="I738" s="26">
        <f>SUM(I712:I737)</f>
        <v>-1</v>
      </c>
      <c r="J738" s="26">
        <f>SUM(J712:J737)</f>
        <v>0</v>
      </c>
      <c r="K738" s="26">
        <f>SUM(K712:K737)</f>
        <v>2</v>
      </c>
      <c r="L738" s="27">
        <f>SUM(L712:L737)</f>
        <v>3</v>
      </c>
      <c r="M738" s="25">
        <f>SUM(H738:L738)</f>
        <v>8</v>
      </c>
      <c r="N738" s="65">
        <f>SUM(N712:N737)</f>
        <v>1</v>
      </c>
      <c r="O738" s="18">
        <f>SUM(O712:O737)</f>
        <v>1</v>
      </c>
      <c r="P738" s="18">
        <f>SUM(P712:P737)</f>
        <v>1</v>
      </c>
      <c r="Q738" s="18">
        <f>SUM(Q712:Q737)</f>
        <v>1</v>
      </c>
      <c r="R738" s="70">
        <f>SUM(R712:R737)</f>
        <v>2</v>
      </c>
      <c r="S738" s="49">
        <f>SUM(N738:R738)</f>
        <v>6</v>
      </c>
      <c r="T738" s="74">
        <f>SUM(T712:T737)</f>
        <v>0</v>
      </c>
      <c r="U738" s="18">
        <f>SUM(U712:U737)</f>
        <v>1</v>
      </c>
      <c r="V738" s="18">
        <f>SUM(V712:V737)</f>
        <v>3</v>
      </c>
      <c r="W738" s="18">
        <f>SUM(W712:W737)</f>
        <v>0</v>
      </c>
      <c r="X738" s="70">
        <f>SUM(X712:X737)</f>
        <v>-1</v>
      </c>
      <c r="Y738" s="49">
        <f>SUM(T738:X738)</f>
        <v>3</v>
      </c>
      <c r="Z738" s="77">
        <f>G738+M738+S738+Y738</f>
        <v>24</v>
      </c>
      <c r="AB738" s="9" t="s">
        <v>13</v>
      </c>
      <c r="AC738" s="25">
        <f>SUM(AC712:AC737)</f>
        <v>2</v>
      </c>
      <c r="AD738" s="26">
        <f>SUM(AD712:AD737)</f>
        <v>4</v>
      </c>
      <c r="AE738" s="26">
        <f>SUM(AE712:AE737)</f>
        <v>6</v>
      </c>
      <c r="AF738" s="26">
        <f>SUM(AF712:AF737)</f>
        <v>8</v>
      </c>
      <c r="AG738" s="27">
        <f>SUM(AG712:AG737)</f>
        <v>10</v>
      </c>
      <c r="AH738" s="19">
        <f>SUM(AC738:AG738)</f>
        <v>30</v>
      </c>
      <c r="AI738" s="25">
        <f>SUM(AI712:AI737)</f>
        <v>5</v>
      </c>
      <c r="AJ738" s="26">
        <f>SUM(AJ712:AJ737)</f>
        <v>3</v>
      </c>
      <c r="AK738" s="26">
        <f>SUM(AK712:AK737)</f>
        <v>0</v>
      </c>
      <c r="AL738" s="26">
        <f>SUM(AL712:AL737)</f>
        <v>0</v>
      </c>
      <c r="AM738" s="27">
        <f>SUM(AM712:AM737)</f>
        <v>0</v>
      </c>
      <c r="AN738" s="25">
        <f>SUM(AI738:AM738)</f>
        <v>8</v>
      </c>
      <c r="AO738" s="65">
        <f>SUM(AO712:AO737)</f>
        <v>3</v>
      </c>
      <c r="AP738" s="18">
        <f>SUM(AP712:AP737)</f>
        <v>6</v>
      </c>
      <c r="AQ738" s="18">
        <f>SUM(AQ712:AQ737)</f>
        <v>6</v>
      </c>
      <c r="AR738" s="18">
        <f>SUM(AR712:AR737)</f>
        <v>5</v>
      </c>
      <c r="AS738" s="70">
        <f>SUM(AS712:AS737)</f>
        <v>1</v>
      </c>
      <c r="AT738" s="49">
        <f>SUM(AO738:AS738)</f>
        <v>21</v>
      </c>
      <c r="AU738" s="74">
        <f>SUM(AU712:AU737)</f>
        <v>4</v>
      </c>
      <c r="AV738" s="18">
        <f>SUM(AV712:AV737)</f>
        <v>5</v>
      </c>
      <c r="AW738" s="18">
        <f>SUM(AW712:AW737)</f>
        <v>6</v>
      </c>
      <c r="AX738" s="18">
        <f>SUM(AX712:AX737)</f>
        <v>5</v>
      </c>
      <c r="AY738" s="70">
        <f>SUM(AY712:AY737)</f>
        <v>7</v>
      </c>
      <c r="AZ738" s="49">
        <f>SUM(AU738:AY738)</f>
        <v>27</v>
      </c>
      <c r="BA738" s="77">
        <f>AH738+AN738+AT738+AZ738</f>
        <v>86</v>
      </c>
    </row>
    <row r="739" spans="1:55" ht="15" thickBot="1" x14ac:dyDescent="0.2">
      <c r="A739" s="32" t="s">
        <v>14</v>
      </c>
      <c r="B739" s="29">
        <f t="shared" ref="B739:Y739" si="316">B711-B738</f>
        <v>4</v>
      </c>
      <c r="C739" s="30">
        <f t="shared" si="316"/>
        <v>3</v>
      </c>
      <c r="D739" s="30">
        <f t="shared" si="316"/>
        <v>1</v>
      </c>
      <c r="E739" s="30">
        <f t="shared" si="316"/>
        <v>3</v>
      </c>
      <c r="F739" s="31">
        <f t="shared" si="316"/>
        <v>3</v>
      </c>
      <c r="G739" s="31">
        <f t="shared" si="316"/>
        <v>14</v>
      </c>
      <c r="H739" s="29">
        <f t="shared" si="316"/>
        <v>2</v>
      </c>
      <c r="I739" s="30">
        <f t="shared" si="316"/>
        <v>6</v>
      </c>
      <c r="J739" s="30">
        <f t="shared" si="316"/>
        <v>3</v>
      </c>
      <c r="K739" s="30">
        <f t="shared" si="316"/>
        <v>2</v>
      </c>
      <c r="L739" s="31">
        <f t="shared" si="316"/>
        <v>1</v>
      </c>
      <c r="M739" s="66">
        <f t="shared" si="316"/>
        <v>14</v>
      </c>
      <c r="N739" s="29">
        <f t="shared" si="316"/>
        <v>5</v>
      </c>
      <c r="O739" s="30">
        <f t="shared" si="316"/>
        <v>6</v>
      </c>
      <c r="P739" s="30">
        <f t="shared" si="316"/>
        <v>5</v>
      </c>
      <c r="Q739" s="30">
        <f t="shared" si="316"/>
        <v>4</v>
      </c>
      <c r="R739" s="66">
        <f t="shared" si="316"/>
        <v>2</v>
      </c>
      <c r="S739" s="33">
        <f t="shared" si="316"/>
        <v>22</v>
      </c>
      <c r="T739" s="75">
        <f t="shared" si="316"/>
        <v>5</v>
      </c>
      <c r="U739" s="30">
        <f t="shared" si="316"/>
        <v>4</v>
      </c>
      <c r="V739" s="30">
        <f t="shared" si="316"/>
        <v>3</v>
      </c>
      <c r="W739" s="30">
        <f t="shared" si="316"/>
        <v>5</v>
      </c>
      <c r="X739" s="66">
        <f t="shared" si="316"/>
        <v>6</v>
      </c>
      <c r="Y739" s="33">
        <f t="shared" si="316"/>
        <v>23</v>
      </c>
      <c r="Z739" s="77">
        <f>G739+M739+S739+Y739</f>
        <v>73</v>
      </c>
      <c r="AB739" s="32" t="s">
        <v>14</v>
      </c>
      <c r="AC739" s="29">
        <f t="shared" ref="AC739:AZ739" si="317">AC711-AC738</f>
        <v>168</v>
      </c>
      <c r="AD739" s="30">
        <f t="shared" si="317"/>
        <v>128</v>
      </c>
      <c r="AE739" s="30">
        <f t="shared" si="317"/>
        <v>119</v>
      </c>
      <c r="AF739" s="30">
        <f t="shared" si="317"/>
        <v>128</v>
      </c>
      <c r="AG739" s="31">
        <f t="shared" si="317"/>
        <v>94</v>
      </c>
      <c r="AH739" s="31">
        <f t="shared" si="317"/>
        <v>637</v>
      </c>
      <c r="AI739" s="29">
        <f t="shared" si="317"/>
        <v>106</v>
      </c>
      <c r="AJ739" s="30">
        <f t="shared" si="317"/>
        <v>99</v>
      </c>
      <c r="AK739" s="30">
        <f t="shared" si="317"/>
        <v>113</v>
      </c>
      <c r="AL739" s="30">
        <f t="shared" si="317"/>
        <v>94</v>
      </c>
      <c r="AM739" s="31">
        <f t="shared" si="317"/>
        <v>92</v>
      </c>
      <c r="AN739" s="66">
        <f t="shared" si="317"/>
        <v>504</v>
      </c>
      <c r="AO739" s="29">
        <f t="shared" si="317"/>
        <v>168</v>
      </c>
      <c r="AP739" s="30">
        <f t="shared" si="317"/>
        <v>145</v>
      </c>
      <c r="AQ739" s="30">
        <f t="shared" si="317"/>
        <v>139</v>
      </c>
      <c r="AR739" s="30">
        <f t="shared" si="317"/>
        <v>151</v>
      </c>
      <c r="AS739" s="66">
        <f t="shared" si="317"/>
        <v>164</v>
      </c>
      <c r="AT739" s="33">
        <f t="shared" si="317"/>
        <v>767</v>
      </c>
      <c r="AU739" s="75">
        <f t="shared" si="317"/>
        <v>116</v>
      </c>
      <c r="AV739" s="30">
        <f t="shared" si="317"/>
        <v>72</v>
      </c>
      <c r="AW739" s="30">
        <f t="shared" si="317"/>
        <v>73</v>
      </c>
      <c r="AX739" s="30">
        <f t="shared" si="317"/>
        <v>74</v>
      </c>
      <c r="AY739" s="66">
        <f t="shared" si="317"/>
        <v>115</v>
      </c>
      <c r="AZ739" s="33">
        <f t="shared" si="317"/>
        <v>450</v>
      </c>
      <c r="BA739" s="77">
        <f>AH739+AN739+AT739+AZ739</f>
        <v>2358</v>
      </c>
    </row>
    <row r="740" spans="1:55" x14ac:dyDescent="0.15">
      <c r="AC740" s="2">
        <f>AC738+AC699+AC660+AC621+AC582+AC543+AC504+AC465+AC426+AC387+AC350</f>
        <v>182</v>
      </c>
      <c r="AD740" s="2">
        <f t="shared" ref="AD740:BA740" si="318">AD738+AD699+AD660+AD621+AD582+AD543+AD504+AD465+AD426+AD387+AD350</f>
        <v>342</v>
      </c>
      <c r="AE740" s="2">
        <f t="shared" si="318"/>
        <v>368</v>
      </c>
      <c r="AF740" s="2">
        <f t="shared" si="318"/>
        <v>339</v>
      </c>
      <c r="AG740" s="2">
        <f t="shared" si="318"/>
        <v>395</v>
      </c>
      <c r="AH740" s="2">
        <f t="shared" si="318"/>
        <v>1626</v>
      </c>
      <c r="AI740" s="2">
        <f t="shared" si="318"/>
        <v>108</v>
      </c>
      <c r="AJ740" s="2">
        <f t="shared" si="318"/>
        <v>171</v>
      </c>
      <c r="AK740" s="2">
        <f t="shared" si="318"/>
        <v>155</v>
      </c>
      <c r="AL740" s="2">
        <f t="shared" si="318"/>
        <v>159</v>
      </c>
      <c r="AM740" s="2">
        <f t="shared" si="318"/>
        <v>162</v>
      </c>
      <c r="AN740" s="2">
        <f t="shared" si="318"/>
        <v>755</v>
      </c>
      <c r="AO740" s="2">
        <f t="shared" si="318"/>
        <v>109</v>
      </c>
      <c r="AP740" s="2">
        <f t="shared" si="318"/>
        <v>174</v>
      </c>
      <c r="AQ740" s="2">
        <f t="shared" si="318"/>
        <v>132</v>
      </c>
      <c r="AR740" s="2">
        <f t="shared" si="318"/>
        <v>139</v>
      </c>
      <c r="AS740" s="2">
        <f t="shared" si="318"/>
        <v>151</v>
      </c>
      <c r="AT740" s="2">
        <f t="shared" si="318"/>
        <v>705</v>
      </c>
      <c r="AU740" s="2">
        <f t="shared" si="318"/>
        <v>80</v>
      </c>
      <c r="AV740" s="2">
        <f t="shared" si="318"/>
        <v>166</v>
      </c>
      <c r="AW740" s="2">
        <f t="shared" si="318"/>
        <v>159</v>
      </c>
      <c r="AX740" s="2">
        <f t="shared" si="318"/>
        <v>155</v>
      </c>
      <c r="AY740" s="2">
        <f t="shared" si="318"/>
        <v>164</v>
      </c>
      <c r="AZ740" s="2">
        <f t="shared" si="318"/>
        <v>724</v>
      </c>
      <c r="BA740" s="2">
        <f t="shared" si="318"/>
        <v>1953</v>
      </c>
    </row>
    <row r="742" spans="1:55" ht="19.5" thickBot="1" x14ac:dyDescent="0.25">
      <c r="A742" s="1" t="s">
        <v>15</v>
      </c>
      <c r="AB742" s="1" t="s">
        <v>16</v>
      </c>
    </row>
    <row r="743" spans="1:55" ht="15" thickBot="1" x14ac:dyDescent="0.2">
      <c r="A743" s="4"/>
      <c r="B743" s="245" t="s">
        <v>17</v>
      </c>
      <c r="C743" s="246"/>
      <c r="D743" s="246"/>
      <c r="E743" s="246"/>
      <c r="F743" s="246"/>
      <c r="G743" s="247"/>
      <c r="H743" s="245" t="s">
        <v>18</v>
      </c>
      <c r="I743" s="246"/>
      <c r="J743" s="246"/>
      <c r="K743" s="246"/>
      <c r="L743" s="246"/>
      <c r="M743" s="247"/>
      <c r="N743" s="248" t="s">
        <v>27</v>
      </c>
      <c r="O743" s="249"/>
      <c r="P743" s="249"/>
      <c r="Q743" s="249"/>
      <c r="R743" s="249"/>
      <c r="S743" s="250"/>
      <c r="T743" s="248" t="s">
        <v>28</v>
      </c>
      <c r="U743" s="249"/>
      <c r="V743" s="249"/>
      <c r="W743" s="249"/>
      <c r="X743" s="249"/>
      <c r="Y743" s="250"/>
      <c r="Z743" s="251" t="s">
        <v>1</v>
      </c>
      <c r="AB743" s="4"/>
      <c r="AC743" s="253" t="s">
        <v>17</v>
      </c>
      <c r="AD743" s="249"/>
      <c r="AE743" s="249"/>
      <c r="AF743" s="249"/>
      <c r="AG743" s="249"/>
      <c r="AH743" s="250"/>
      <c r="AI743" s="248" t="s">
        <v>18</v>
      </c>
      <c r="AJ743" s="249"/>
      <c r="AK743" s="249"/>
      <c r="AL743" s="249"/>
      <c r="AM743" s="249"/>
      <c r="AN743" s="250"/>
      <c r="AO743" s="248" t="s">
        <v>27</v>
      </c>
      <c r="AP743" s="249"/>
      <c r="AQ743" s="249"/>
      <c r="AR743" s="249"/>
      <c r="AS743" s="249"/>
      <c r="AT743" s="250"/>
      <c r="AU743" s="248" t="s">
        <v>28</v>
      </c>
      <c r="AV743" s="249"/>
      <c r="AW743" s="249"/>
      <c r="AX743" s="249"/>
      <c r="AY743" s="249"/>
      <c r="AZ743" s="250"/>
      <c r="BA743" s="243" t="s">
        <v>1</v>
      </c>
    </row>
    <row r="744" spans="1:55" ht="15" thickBot="1" x14ac:dyDescent="0.2">
      <c r="A744" s="9" t="s">
        <v>2</v>
      </c>
      <c r="B744" s="6" t="s">
        <v>3</v>
      </c>
      <c r="C744" s="7" t="s">
        <v>4</v>
      </c>
      <c r="D744" s="7" t="s">
        <v>5</v>
      </c>
      <c r="E744" s="48" t="s">
        <v>20</v>
      </c>
      <c r="F744" s="8" t="s">
        <v>21</v>
      </c>
      <c r="G744" s="5" t="s">
        <v>6</v>
      </c>
      <c r="H744" s="6" t="s">
        <v>3</v>
      </c>
      <c r="I744" s="7" t="s">
        <v>4</v>
      </c>
      <c r="J744" s="7" t="s">
        <v>5</v>
      </c>
      <c r="K744" s="48" t="s">
        <v>20</v>
      </c>
      <c r="L744" s="8" t="s">
        <v>21</v>
      </c>
      <c r="M744" s="5" t="s">
        <v>6</v>
      </c>
      <c r="N744" s="6" t="s">
        <v>3</v>
      </c>
      <c r="O744" s="7" t="s">
        <v>4</v>
      </c>
      <c r="P744" s="7" t="s">
        <v>5</v>
      </c>
      <c r="Q744" s="48" t="s">
        <v>20</v>
      </c>
      <c r="R744" s="8" t="s">
        <v>21</v>
      </c>
      <c r="S744" s="5" t="s">
        <v>6</v>
      </c>
      <c r="T744" s="7" t="s">
        <v>3</v>
      </c>
      <c r="U744" s="7" t="s">
        <v>4</v>
      </c>
      <c r="V744" s="7" t="s">
        <v>5</v>
      </c>
      <c r="W744" s="48" t="s">
        <v>20</v>
      </c>
      <c r="X744" s="109" t="s">
        <v>21</v>
      </c>
      <c r="Y744" s="62" t="s">
        <v>6</v>
      </c>
      <c r="Z744" s="252"/>
      <c r="AB744" s="9" t="s">
        <v>2</v>
      </c>
      <c r="AC744" s="6" t="s">
        <v>3</v>
      </c>
      <c r="AD744" s="7" t="s">
        <v>4</v>
      </c>
      <c r="AE744" s="7" t="s">
        <v>5</v>
      </c>
      <c r="AF744" s="48" t="s">
        <v>20</v>
      </c>
      <c r="AG744" s="8" t="s">
        <v>21</v>
      </c>
      <c r="AH744" s="5" t="s">
        <v>6</v>
      </c>
      <c r="AI744" s="6" t="s">
        <v>3</v>
      </c>
      <c r="AJ744" s="7" t="s">
        <v>4</v>
      </c>
      <c r="AK744" s="7" t="s">
        <v>5</v>
      </c>
      <c r="AL744" s="48" t="s">
        <v>20</v>
      </c>
      <c r="AM744" s="8" t="s">
        <v>21</v>
      </c>
      <c r="AN744" s="5" t="s">
        <v>6</v>
      </c>
      <c r="AO744" s="6" t="s">
        <v>3</v>
      </c>
      <c r="AP744" s="7" t="s">
        <v>4</v>
      </c>
      <c r="AQ744" s="7" t="s">
        <v>5</v>
      </c>
      <c r="AR744" s="48" t="s">
        <v>20</v>
      </c>
      <c r="AS744" s="8" t="s">
        <v>21</v>
      </c>
      <c r="AT744" s="5" t="s">
        <v>6</v>
      </c>
      <c r="AU744" s="7" t="s">
        <v>3</v>
      </c>
      <c r="AV744" s="7" t="s">
        <v>4</v>
      </c>
      <c r="AW744" s="7" t="s">
        <v>5</v>
      </c>
      <c r="AX744" s="48" t="s">
        <v>20</v>
      </c>
      <c r="AY744" s="109" t="s">
        <v>21</v>
      </c>
      <c r="AZ744" s="62" t="s">
        <v>6</v>
      </c>
      <c r="BA744" s="244"/>
    </row>
    <row r="745" spans="1:55" ht="14.25" x14ac:dyDescent="0.15">
      <c r="A745" s="103" t="s">
        <v>43</v>
      </c>
      <c r="B745" s="104">
        <f>B739</f>
        <v>4</v>
      </c>
      <c r="C745" s="105">
        <f>C739</f>
        <v>3</v>
      </c>
      <c r="D745" s="105">
        <f>D739</f>
        <v>1</v>
      </c>
      <c r="E745" s="105">
        <f>E739</f>
        <v>3</v>
      </c>
      <c r="F745" s="105">
        <f>F739</f>
        <v>3</v>
      </c>
      <c r="G745" s="106">
        <f t="shared" ref="G745:G776" si="319">SUM(B745:F745)</f>
        <v>14</v>
      </c>
      <c r="H745" s="104">
        <f>H739</f>
        <v>2</v>
      </c>
      <c r="I745" s="105">
        <f>I739</f>
        <v>6</v>
      </c>
      <c r="J745" s="105">
        <f>J739</f>
        <v>3</v>
      </c>
      <c r="K745" s="105">
        <f>K739</f>
        <v>2</v>
      </c>
      <c r="L745" s="105">
        <f>L739</f>
        <v>1</v>
      </c>
      <c r="M745" s="107">
        <f t="shared" ref="M745:M776" si="320">SUM(H745:L745)</f>
        <v>14</v>
      </c>
      <c r="N745" s="104">
        <f>N739</f>
        <v>5</v>
      </c>
      <c r="O745" s="105">
        <f>O739</f>
        <v>6</v>
      </c>
      <c r="P745" s="105">
        <f>P739</f>
        <v>5</v>
      </c>
      <c r="Q745" s="105">
        <f>Q739</f>
        <v>4</v>
      </c>
      <c r="R745" s="105">
        <f>R739</f>
        <v>2</v>
      </c>
      <c r="S745" s="108">
        <f t="shared" ref="S745:S774" si="321">SUM(N745:R745)</f>
        <v>22</v>
      </c>
      <c r="T745" s="104">
        <f>T739</f>
        <v>5</v>
      </c>
      <c r="U745" s="105">
        <f>U739</f>
        <v>4</v>
      </c>
      <c r="V745" s="105">
        <f>V739</f>
        <v>3</v>
      </c>
      <c r="W745" s="105">
        <f>W739</f>
        <v>5</v>
      </c>
      <c r="X745" s="105">
        <f>X739</f>
        <v>6</v>
      </c>
      <c r="Y745" s="106">
        <f t="shared" ref="Y745:Y774" si="322">SUM(T745:X745)</f>
        <v>23</v>
      </c>
      <c r="Z745" s="106">
        <f t="shared" ref="Z745:Z774" si="323">G745+M745+S745+Y745</f>
        <v>73</v>
      </c>
      <c r="AB745" s="103" t="s">
        <v>43</v>
      </c>
      <c r="AC745" s="104">
        <f>AC739</f>
        <v>168</v>
      </c>
      <c r="AD745" s="105">
        <f>AD739</f>
        <v>128</v>
      </c>
      <c r="AE745" s="105">
        <f>AE739</f>
        <v>119</v>
      </c>
      <c r="AF745" s="105">
        <f>AF739</f>
        <v>128</v>
      </c>
      <c r="AG745" s="105">
        <f>AG739</f>
        <v>94</v>
      </c>
      <c r="AH745" s="106">
        <f>SUM(AC745:AG745)</f>
        <v>637</v>
      </c>
      <c r="AI745" s="104">
        <f>AI739</f>
        <v>106</v>
      </c>
      <c r="AJ745" s="105">
        <f>AJ739</f>
        <v>99</v>
      </c>
      <c r="AK745" s="105">
        <f>AK739</f>
        <v>113</v>
      </c>
      <c r="AL745" s="105">
        <f>AL739</f>
        <v>94</v>
      </c>
      <c r="AM745" s="105">
        <f>AM739</f>
        <v>92</v>
      </c>
      <c r="AN745" s="107">
        <f>SUM(AI745:AM745)</f>
        <v>504</v>
      </c>
      <c r="AO745" s="104">
        <f>AO739</f>
        <v>168</v>
      </c>
      <c r="AP745" s="105">
        <f>AP739</f>
        <v>145</v>
      </c>
      <c r="AQ745" s="105">
        <f>AQ739</f>
        <v>139</v>
      </c>
      <c r="AR745" s="105">
        <f>AR739</f>
        <v>151</v>
      </c>
      <c r="AS745" s="105">
        <f>AS739</f>
        <v>164</v>
      </c>
      <c r="AT745" s="108">
        <f>SUM(AO745:AS745)</f>
        <v>767</v>
      </c>
      <c r="AU745" s="104">
        <f>AU739</f>
        <v>116</v>
      </c>
      <c r="AV745" s="105">
        <f>AV739</f>
        <v>72</v>
      </c>
      <c r="AW745" s="105">
        <f>AW739</f>
        <v>73</v>
      </c>
      <c r="AX745" s="105">
        <f>AX739</f>
        <v>74</v>
      </c>
      <c r="AY745" s="105">
        <f>AY739</f>
        <v>115</v>
      </c>
      <c r="AZ745" s="106">
        <f>SUM(AU745:AY745)</f>
        <v>450</v>
      </c>
      <c r="BA745" s="106">
        <f>AH745+AN745+AT745+AZ745</f>
        <v>2358</v>
      </c>
    </row>
    <row r="746" spans="1:55" ht="14.25" x14ac:dyDescent="0.15">
      <c r="A746" s="10" t="s">
        <v>469</v>
      </c>
      <c r="B746" s="14"/>
      <c r="C746" s="15"/>
      <c r="D746" s="15"/>
      <c r="E746" s="15"/>
      <c r="F746" s="15"/>
      <c r="G746" s="16">
        <f t="shared" si="319"/>
        <v>0</v>
      </c>
      <c r="H746" s="14"/>
      <c r="I746" s="15"/>
      <c r="J746" s="15"/>
      <c r="K746" s="15"/>
      <c r="L746" s="15"/>
      <c r="M746" s="57">
        <f t="shared" si="320"/>
        <v>0</v>
      </c>
      <c r="N746" s="14"/>
      <c r="O746" s="55"/>
      <c r="P746" s="55">
        <v>1</v>
      </c>
      <c r="Q746" s="55"/>
      <c r="R746" s="67"/>
      <c r="S746" s="24">
        <f t="shared" si="321"/>
        <v>1</v>
      </c>
      <c r="T746" s="15"/>
      <c r="U746" s="55"/>
      <c r="V746" s="55"/>
      <c r="W746" s="55"/>
      <c r="X746" s="67"/>
      <c r="Y746" s="24">
        <f t="shared" si="322"/>
        <v>0</v>
      </c>
      <c r="Z746" s="24">
        <f t="shared" si="323"/>
        <v>1</v>
      </c>
      <c r="AA746" s="83">
        <v>44461</v>
      </c>
      <c r="AB746" s="10" t="s">
        <v>126</v>
      </c>
      <c r="AC746" s="14"/>
      <c r="AD746" s="15"/>
      <c r="AE746" s="15"/>
      <c r="AF746" s="15"/>
      <c r="AG746" s="15"/>
      <c r="AH746" s="24">
        <f t="shared" ref="AH746" si="324">SUM(AC746:AG746)</f>
        <v>0</v>
      </c>
      <c r="AI746" s="14"/>
      <c r="AJ746" s="15"/>
      <c r="AK746" s="15"/>
      <c r="AL746" s="15"/>
      <c r="AM746" s="15"/>
      <c r="AN746" s="24">
        <f t="shared" ref="AN746" si="325">SUM(AI746:AM746)</f>
        <v>0</v>
      </c>
      <c r="AO746" s="15"/>
      <c r="AP746" s="55">
        <v>1</v>
      </c>
      <c r="AQ746" s="55">
        <v>1</v>
      </c>
      <c r="AR746" s="55"/>
      <c r="AS746" s="67"/>
      <c r="AT746" s="24">
        <f t="shared" ref="AT746" si="326">SUM(AO746:AS746)</f>
        <v>2</v>
      </c>
      <c r="AU746" s="15"/>
      <c r="AV746" s="55"/>
      <c r="AW746" s="55"/>
      <c r="AX746" s="55"/>
      <c r="AY746" s="67"/>
      <c r="AZ746" s="24">
        <f t="shared" ref="AZ746" si="327">SUM(AU746:AY746)</f>
        <v>0</v>
      </c>
      <c r="BA746" s="24">
        <f t="shared" ref="BA746:BA747" si="328">AH746+AN746+AT746+AZ746</f>
        <v>2</v>
      </c>
      <c r="BB746" s="83">
        <v>44485</v>
      </c>
    </row>
    <row r="747" spans="1:55" ht="14.25" x14ac:dyDescent="0.15">
      <c r="A747" s="10" t="s">
        <v>77</v>
      </c>
      <c r="B747" s="41"/>
      <c r="C747" s="42"/>
      <c r="D747" s="42"/>
      <c r="E747" s="42"/>
      <c r="F747" s="42"/>
      <c r="G747" s="37">
        <f t="shared" si="319"/>
        <v>0</v>
      </c>
      <c r="H747" s="41"/>
      <c r="I747" s="42"/>
      <c r="J747" s="42"/>
      <c r="K747" s="42"/>
      <c r="L747" s="42"/>
      <c r="M747" s="114">
        <f t="shared" si="320"/>
        <v>0</v>
      </c>
      <c r="N747" s="41"/>
      <c r="O747" s="53"/>
      <c r="P747" s="53"/>
      <c r="Q747" s="53"/>
      <c r="R747" s="72"/>
      <c r="S747" s="24">
        <f t="shared" si="321"/>
        <v>0</v>
      </c>
      <c r="T747" s="42"/>
      <c r="U747" s="53"/>
      <c r="V747" s="53"/>
      <c r="W747" s="53"/>
      <c r="X747" s="72"/>
      <c r="Y747" s="24">
        <f t="shared" si="322"/>
        <v>0</v>
      </c>
      <c r="Z747" s="24">
        <f t="shared" si="323"/>
        <v>0</v>
      </c>
      <c r="AA747" s="83">
        <v>44468</v>
      </c>
      <c r="AB747" s="10" t="s">
        <v>126</v>
      </c>
      <c r="AC747" s="14"/>
      <c r="AD747" s="15"/>
      <c r="AE747" s="15"/>
      <c r="AF747" s="15"/>
      <c r="AG747" s="15"/>
      <c r="AH747" s="24">
        <f t="shared" ref="AH747" si="329">SUM(AC747:AG747)</f>
        <v>0</v>
      </c>
      <c r="AI747" s="14"/>
      <c r="AJ747" s="15"/>
      <c r="AK747" s="15"/>
      <c r="AL747" s="15"/>
      <c r="AM747" s="15"/>
      <c r="AN747" s="24">
        <f t="shared" ref="AN747" si="330">SUM(AI747:AM747)</f>
        <v>0</v>
      </c>
      <c r="AO747" s="15"/>
      <c r="AP747" s="55">
        <v>3</v>
      </c>
      <c r="AQ747" s="55">
        <v>3</v>
      </c>
      <c r="AR747" s="55"/>
      <c r="AS747" s="67"/>
      <c r="AT747" s="24">
        <f t="shared" ref="AT747" si="331">SUM(AO747:AS747)</f>
        <v>6</v>
      </c>
      <c r="AU747" s="15"/>
      <c r="AV747" s="55"/>
      <c r="AW747" s="55"/>
      <c r="AX747" s="55"/>
      <c r="AY747" s="67"/>
      <c r="AZ747" s="24">
        <f t="shared" ref="AZ747" si="332">SUM(AU747:AY747)</f>
        <v>0</v>
      </c>
      <c r="BA747" s="24">
        <f t="shared" si="328"/>
        <v>6</v>
      </c>
      <c r="BB747" s="83">
        <v>44499</v>
      </c>
    </row>
    <row r="748" spans="1:55" ht="14.25" x14ac:dyDescent="0.15">
      <c r="A748" s="10" t="s">
        <v>181</v>
      </c>
      <c r="B748" s="14"/>
      <c r="C748" s="15"/>
      <c r="D748" s="15">
        <v>3</v>
      </c>
      <c r="E748" s="15"/>
      <c r="F748" s="15"/>
      <c r="G748" s="16">
        <f t="shared" si="319"/>
        <v>3</v>
      </c>
      <c r="H748" s="14"/>
      <c r="I748" s="15"/>
      <c r="J748" s="15"/>
      <c r="K748" s="15"/>
      <c r="L748" s="15">
        <v>3</v>
      </c>
      <c r="M748" s="57">
        <f t="shared" si="320"/>
        <v>3</v>
      </c>
      <c r="N748" s="14"/>
      <c r="O748" s="55"/>
      <c r="P748" s="55"/>
      <c r="Q748" s="55"/>
      <c r="R748" s="67"/>
      <c r="S748" s="24">
        <f t="shared" si="321"/>
        <v>0</v>
      </c>
      <c r="T748" s="15"/>
      <c r="U748" s="55"/>
      <c r="V748" s="55"/>
      <c r="W748" s="55"/>
      <c r="X748" s="67"/>
      <c r="Y748" s="24">
        <f t="shared" si="322"/>
        <v>0</v>
      </c>
      <c r="Z748" s="24">
        <f t="shared" si="323"/>
        <v>6</v>
      </c>
      <c r="AA748" s="83">
        <v>44474</v>
      </c>
      <c r="AB748" s="10" t="s">
        <v>181</v>
      </c>
      <c r="AC748" s="41"/>
      <c r="AD748" s="42"/>
      <c r="AE748" s="42"/>
      <c r="AF748" s="42"/>
      <c r="AG748" s="42"/>
      <c r="AH748" s="43">
        <f t="shared" ref="AH748" si="333">SUM(AC748:AG748)</f>
        <v>0</v>
      </c>
      <c r="AI748" s="41"/>
      <c r="AJ748" s="42"/>
      <c r="AK748" s="42"/>
      <c r="AL748" s="42"/>
      <c r="AM748" s="42"/>
      <c r="AN748" s="43">
        <f t="shared" ref="AN748" si="334">SUM(AI748:AM748)</f>
        <v>0</v>
      </c>
      <c r="AO748" s="42"/>
      <c r="AP748" s="53"/>
      <c r="AQ748" s="53"/>
      <c r="AR748" s="53"/>
      <c r="AS748" s="72"/>
      <c r="AT748" s="24">
        <f t="shared" ref="AT748" si="335">SUM(AO748:AS748)</f>
        <v>0</v>
      </c>
      <c r="AU748" s="42"/>
      <c r="AV748" s="53"/>
      <c r="AW748" s="53"/>
      <c r="AX748" s="53"/>
      <c r="AY748" s="72"/>
      <c r="AZ748" s="24">
        <f t="shared" ref="AZ748:AZ773" si="336">SUM(AU748:AY748)</f>
        <v>0</v>
      </c>
      <c r="BA748" s="24">
        <f t="shared" ref="BA748:BA773" si="337">AH748+AN748+AT748+AZ748</f>
        <v>0</v>
      </c>
      <c r="BB748" s="83"/>
    </row>
    <row r="749" spans="1:55" ht="15" thickBot="1" x14ac:dyDescent="0.2">
      <c r="A749" s="10" t="s">
        <v>77</v>
      </c>
      <c r="B749" s="14"/>
      <c r="C749" s="15"/>
      <c r="D749" s="15"/>
      <c r="E749" s="15">
        <v>1</v>
      </c>
      <c r="F749" s="15"/>
      <c r="G749" s="16">
        <f t="shared" si="319"/>
        <v>1</v>
      </c>
      <c r="H749" s="14"/>
      <c r="I749" s="15"/>
      <c r="J749" s="15"/>
      <c r="K749" s="15"/>
      <c r="L749" s="15"/>
      <c r="M749" s="57">
        <f t="shared" si="320"/>
        <v>0</v>
      </c>
      <c r="N749" s="63"/>
      <c r="O749" s="64"/>
      <c r="P749" s="64"/>
      <c r="Q749" s="64"/>
      <c r="R749" s="69"/>
      <c r="S749" s="82">
        <f t="shared" si="321"/>
        <v>0</v>
      </c>
      <c r="T749" s="73"/>
      <c r="U749" s="64"/>
      <c r="V749" s="64"/>
      <c r="W749" s="64"/>
      <c r="X749" s="69"/>
      <c r="Y749" s="82">
        <f t="shared" si="322"/>
        <v>0</v>
      </c>
      <c r="Z749" s="82">
        <f t="shared" si="323"/>
        <v>1</v>
      </c>
      <c r="AA749" s="83">
        <v>44482</v>
      </c>
      <c r="AB749" s="10" t="s">
        <v>181</v>
      </c>
      <c r="AC749" s="14"/>
      <c r="AD749" s="15"/>
      <c r="AE749" s="15"/>
      <c r="AF749" s="15"/>
      <c r="AG749" s="15"/>
      <c r="AH749" s="178">
        <f>SUM(AC749:AG749)</f>
        <v>0</v>
      </c>
      <c r="AI749" s="14"/>
      <c r="AJ749" s="15"/>
      <c r="AK749" s="15"/>
      <c r="AL749" s="15"/>
      <c r="AM749" s="15"/>
      <c r="AN749" s="178">
        <f>SUM(AI749:AM749)</f>
        <v>0</v>
      </c>
      <c r="AO749" s="63"/>
      <c r="AP749" s="64"/>
      <c r="AQ749" s="64"/>
      <c r="AR749" s="64"/>
      <c r="AS749" s="69"/>
      <c r="AT749" s="178">
        <f>SUM(AO749:AS749)</f>
        <v>0</v>
      </c>
      <c r="AU749" s="73"/>
      <c r="AV749" s="64"/>
      <c r="AW749" s="64"/>
      <c r="AX749" s="64"/>
      <c r="AY749" s="69"/>
      <c r="AZ749" s="178">
        <f t="shared" si="336"/>
        <v>0</v>
      </c>
      <c r="BA749" s="178">
        <f t="shared" si="337"/>
        <v>0</v>
      </c>
    </row>
    <row r="750" spans="1:55" ht="15" thickBot="1" x14ac:dyDescent="0.2">
      <c r="A750" s="4" t="s">
        <v>12</v>
      </c>
      <c r="B750" s="17">
        <f>SUM(B745:B749)</f>
        <v>4</v>
      </c>
      <c r="C750" s="18">
        <f>SUM(C745:C749)</f>
        <v>3</v>
      </c>
      <c r="D750" s="18">
        <f>SUM(D745:D749)</f>
        <v>4</v>
      </c>
      <c r="E750" s="18">
        <f>SUM(E745:E749)</f>
        <v>4</v>
      </c>
      <c r="F750" s="18">
        <f>SUM(F745:F749)</f>
        <v>3</v>
      </c>
      <c r="G750" s="19">
        <f t="shared" si="319"/>
        <v>18</v>
      </c>
      <c r="H750" s="17">
        <f>SUM(H745:H749)</f>
        <v>2</v>
      </c>
      <c r="I750" s="18">
        <f>SUM(I745:I749)</f>
        <v>6</v>
      </c>
      <c r="J750" s="18">
        <f>SUM(J745:J749)</f>
        <v>3</v>
      </c>
      <c r="K750" s="18">
        <f>SUM(K745:K749)</f>
        <v>2</v>
      </c>
      <c r="L750" s="18">
        <f>SUM(L745:L749)</f>
        <v>4</v>
      </c>
      <c r="M750" s="25">
        <f t="shared" si="320"/>
        <v>17</v>
      </c>
      <c r="N750" s="65">
        <f>SUM(N745:N749)</f>
        <v>5</v>
      </c>
      <c r="O750" s="18">
        <f>SUM(O745:O749)</f>
        <v>6</v>
      </c>
      <c r="P750" s="18">
        <f>SUM(P745:P749)</f>
        <v>6</v>
      </c>
      <c r="Q750" s="18">
        <f>SUM(Q745:Q749)</f>
        <v>4</v>
      </c>
      <c r="R750" s="70">
        <f>SUM(R745:R749)</f>
        <v>2</v>
      </c>
      <c r="S750" s="49">
        <f t="shared" si="321"/>
        <v>23</v>
      </c>
      <c r="T750" s="74">
        <f>SUM(T745:T749)</f>
        <v>5</v>
      </c>
      <c r="U750" s="18">
        <f>SUM(U745:U749)</f>
        <v>4</v>
      </c>
      <c r="V750" s="18">
        <f>SUM(V745:V749)</f>
        <v>3</v>
      </c>
      <c r="W750" s="18">
        <f>SUM(W745:W749)</f>
        <v>5</v>
      </c>
      <c r="X750" s="70">
        <f>SUM(X745:X749)</f>
        <v>6</v>
      </c>
      <c r="Y750" s="49">
        <f t="shared" si="322"/>
        <v>23</v>
      </c>
      <c r="Z750" s="33">
        <f t="shared" si="323"/>
        <v>81</v>
      </c>
      <c r="AB750" s="4" t="s">
        <v>12</v>
      </c>
      <c r="AC750" s="17">
        <f>SUM(AC745:AC749)</f>
        <v>168</v>
      </c>
      <c r="AD750" s="18">
        <f>SUM(AD745:AD749)</f>
        <v>128</v>
      </c>
      <c r="AE750" s="18">
        <f>SUM(AE745:AE749)</f>
        <v>119</v>
      </c>
      <c r="AF750" s="18">
        <f>SUM(AF745:AF749)</f>
        <v>128</v>
      </c>
      <c r="AG750" s="18">
        <f>SUM(AG745:AG749)</f>
        <v>94</v>
      </c>
      <c r="AH750" s="148">
        <f t="shared" ref="AH750:AH773" si="338">SUM(AC750:AG750)</f>
        <v>637</v>
      </c>
      <c r="AI750" s="17">
        <f>SUM(AI745:AI749)</f>
        <v>106</v>
      </c>
      <c r="AJ750" s="18">
        <f>SUM(AJ745:AJ749)</f>
        <v>99</v>
      </c>
      <c r="AK750" s="18">
        <f>SUM(AK745:AK749)</f>
        <v>113</v>
      </c>
      <c r="AL750" s="18">
        <f>SUM(AL745:AL749)</f>
        <v>94</v>
      </c>
      <c r="AM750" s="18">
        <f>SUM(AM745:AM749)</f>
        <v>92</v>
      </c>
      <c r="AN750" s="148">
        <f t="shared" ref="AN750:AN773" si="339">SUM(AI750:AM750)</f>
        <v>504</v>
      </c>
      <c r="AO750" s="65">
        <f>SUM(AO745:AO749)</f>
        <v>168</v>
      </c>
      <c r="AP750" s="18">
        <f>SUM(AP745:AP749)</f>
        <v>149</v>
      </c>
      <c r="AQ750" s="18">
        <f>SUM(AQ745:AQ749)</f>
        <v>143</v>
      </c>
      <c r="AR750" s="18">
        <f>SUM(AR745:AR749)</f>
        <v>151</v>
      </c>
      <c r="AS750" s="70">
        <f>SUM(AS745:AS749)</f>
        <v>164</v>
      </c>
      <c r="AT750" s="49">
        <f t="shared" ref="AT750:AT773" si="340">SUM(AO750:AS750)</f>
        <v>775</v>
      </c>
      <c r="AU750" s="74">
        <f>SUM(AU745:AU749)</f>
        <v>116</v>
      </c>
      <c r="AV750" s="18">
        <f>SUM(AV745:AV749)</f>
        <v>72</v>
      </c>
      <c r="AW750" s="18">
        <f>SUM(AW745:AW749)</f>
        <v>73</v>
      </c>
      <c r="AX750" s="18">
        <f>SUM(AX745:AX749)</f>
        <v>74</v>
      </c>
      <c r="AY750" s="70">
        <f>SUM(AY745:AY749)</f>
        <v>115</v>
      </c>
      <c r="AZ750" s="49">
        <f t="shared" si="336"/>
        <v>450</v>
      </c>
      <c r="BA750" s="33">
        <f t="shared" si="337"/>
        <v>2366</v>
      </c>
    </row>
    <row r="751" spans="1:55" ht="14.25" x14ac:dyDescent="0.15">
      <c r="A751" s="23" t="s">
        <v>48</v>
      </c>
      <c r="B751" s="34"/>
      <c r="C751" s="35"/>
      <c r="D751" s="35"/>
      <c r="E751" s="35"/>
      <c r="F751" s="35"/>
      <c r="G751" s="36">
        <f t="shared" si="319"/>
        <v>0</v>
      </c>
      <c r="H751" s="34"/>
      <c r="I751" s="35"/>
      <c r="J751" s="35">
        <v>1</v>
      </c>
      <c r="K751" s="35"/>
      <c r="L751" s="35"/>
      <c r="M751" s="36">
        <f t="shared" si="320"/>
        <v>1</v>
      </c>
      <c r="N751" s="39"/>
      <c r="O751" s="56"/>
      <c r="P751" s="56"/>
      <c r="Q751" s="56">
        <v>1</v>
      </c>
      <c r="R751" s="71"/>
      <c r="S751" s="16">
        <f t="shared" si="321"/>
        <v>1</v>
      </c>
      <c r="T751" s="39"/>
      <c r="U751" s="56"/>
      <c r="V751" s="56"/>
      <c r="W751" s="56"/>
      <c r="X751" s="71"/>
      <c r="Y751" s="16">
        <f t="shared" si="322"/>
        <v>0</v>
      </c>
      <c r="Z751" s="16">
        <f t="shared" si="323"/>
        <v>2</v>
      </c>
      <c r="AA751" s="83">
        <v>44463</v>
      </c>
      <c r="AB751" s="23" t="s">
        <v>438</v>
      </c>
      <c r="AC751" s="14"/>
      <c r="AD751" s="15"/>
      <c r="AE751" s="15">
        <v>1</v>
      </c>
      <c r="AF751" s="15"/>
      <c r="AG751" s="15"/>
      <c r="AH751" s="24">
        <f t="shared" si="338"/>
        <v>1</v>
      </c>
      <c r="AI751" s="14"/>
      <c r="AJ751" s="15"/>
      <c r="AK751" s="15"/>
      <c r="AL751" s="15"/>
      <c r="AM751" s="15"/>
      <c r="AN751" s="24">
        <f t="shared" si="339"/>
        <v>0</v>
      </c>
      <c r="AO751" s="15"/>
      <c r="AP751" s="55"/>
      <c r="AQ751" s="55"/>
      <c r="AR751" s="55"/>
      <c r="AS751" s="67"/>
      <c r="AT751" s="24">
        <f t="shared" si="340"/>
        <v>0</v>
      </c>
      <c r="AU751" s="15"/>
      <c r="AV751" s="55"/>
      <c r="AW751" s="55"/>
      <c r="AX751" s="55"/>
      <c r="AY751" s="67"/>
      <c r="AZ751" s="24">
        <f t="shared" si="336"/>
        <v>0</v>
      </c>
      <c r="BA751" s="24">
        <f t="shared" si="337"/>
        <v>1</v>
      </c>
      <c r="BB751" s="83">
        <v>44467</v>
      </c>
    </row>
    <row r="752" spans="1:55" ht="14.25" x14ac:dyDescent="0.15">
      <c r="A752" s="23" t="s">
        <v>48</v>
      </c>
      <c r="B752" s="14"/>
      <c r="C752" s="15"/>
      <c r="D752" s="15"/>
      <c r="E752" s="15">
        <v>1</v>
      </c>
      <c r="F752" s="15"/>
      <c r="G752" s="24">
        <f t="shared" si="319"/>
        <v>1</v>
      </c>
      <c r="H752" s="14"/>
      <c r="I752" s="15"/>
      <c r="J752" s="15"/>
      <c r="K752" s="15"/>
      <c r="L752" s="15"/>
      <c r="M752" s="24">
        <f t="shared" si="320"/>
        <v>0</v>
      </c>
      <c r="N752" s="15"/>
      <c r="O752" s="55"/>
      <c r="P752" s="55"/>
      <c r="Q752" s="55"/>
      <c r="R752" s="67"/>
      <c r="S752" s="24">
        <f t="shared" si="321"/>
        <v>0</v>
      </c>
      <c r="T752" s="15"/>
      <c r="U752" s="55"/>
      <c r="V752" s="55"/>
      <c r="W752" s="55"/>
      <c r="X752" s="67"/>
      <c r="Y752" s="24">
        <f t="shared" si="322"/>
        <v>0</v>
      </c>
      <c r="Z752" s="24">
        <f t="shared" si="323"/>
        <v>1</v>
      </c>
      <c r="AA752" s="83">
        <v>44466</v>
      </c>
      <c r="AB752" s="10" t="s">
        <v>126</v>
      </c>
      <c r="AC752" s="14"/>
      <c r="AD752" s="15"/>
      <c r="AE752" s="15">
        <v>3</v>
      </c>
      <c r="AF752" s="15"/>
      <c r="AG752" s="15"/>
      <c r="AH752" s="16">
        <f t="shared" ref="AH752" si="341">SUM(AC752:AG752)</f>
        <v>3</v>
      </c>
      <c r="AI752" s="14"/>
      <c r="AJ752" s="15"/>
      <c r="AK752" s="15"/>
      <c r="AL752" s="15"/>
      <c r="AM752" s="15">
        <v>3</v>
      </c>
      <c r="AN752" s="57">
        <f t="shared" ref="AN752" si="342">SUM(AI752:AM752)</f>
        <v>3</v>
      </c>
      <c r="AO752" s="14"/>
      <c r="AP752" s="55"/>
      <c r="AQ752" s="55"/>
      <c r="AR752" s="55"/>
      <c r="AS752" s="67"/>
      <c r="AT752" s="24">
        <f t="shared" ref="AT752" si="343">SUM(AO752:AS752)</f>
        <v>0</v>
      </c>
      <c r="AU752" s="15"/>
      <c r="AV752" s="55"/>
      <c r="AW752" s="55"/>
      <c r="AX752" s="55"/>
      <c r="AY752" s="67"/>
      <c r="AZ752" s="24">
        <f t="shared" ref="AZ752" si="344">SUM(AU752:AY752)</f>
        <v>0</v>
      </c>
      <c r="BA752" s="24">
        <f t="shared" si="337"/>
        <v>6</v>
      </c>
      <c r="BB752" s="83">
        <v>44474</v>
      </c>
      <c r="BC752" s="111"/>
    </row>
    <row r="753" spans="1:54" ht="14.25" x14ac:dyDescent="0.15">
      <c r="A753" s="23" t="s">
        <v>438</v>
      </c>
      <c r="B753" s="41"/>
      <c r="C753" s="42"/>
      <c r="D753" s="42"/>
      <c r="E753" s="42"/>
      <c r="F753" s="42"/>
      <c r="G753" s="43">
        <f t="shared" si="319"/>
        <v>0</v>
      </c>
      <c r="H753" s="41"/>
      <c r="I753" s="42"/>
      <c r="J753" s="42"/>
      <c r="K753" s="42"/>
      <c r="L753" s="42"/>
      <c r="M753" s="43">
        <f t="shared" si="320"/>
        <v>0</v>
      </c>
      <c r="N753" s="42"/>
      <c r="O753" s="53"/>
      <c r="P753" s="53"/>
      <c r="Q753" s="53"/>
      <c r="R753" s="72"/>
      <c r="S753" s="24">
        <f t="shared" si="321"/>
        <v>0</v>
      </c>
      <c r="T753" s="42"/>
      <c r="U753" s="53">
        <v>1</v>
      </c>
      <c r="V753" s="53"/>
      <c r="W753" s="53"/>
      <c r="X753" s="72"/>
      <c r="Y753" s="24">
        <f t="shared" si="322"/>
        <v>1</v>
      </c>
      <c r="Z753" s="24">
        <f t="shared" si="323"/>
        <v>1</v>
      </c>
      <c r="AA753" s="83">
        <v>44471</v>
      </c>
      <c r="AB753" s="10" t="s">
        <v>126</v>
      </c>
      <c r="AC753" s="41"/>
      <c r="AD753" s="42"/>
      <c r="AE753" s="42"/>
      <c r="AF753" s="42"/>
      <c r="AG753" s="42"/>
      <c r="AH753" s="43">
        <f t="shared" si="338"/>
        <v>0</v>
      </c>
      <c r="AI753" s="41">
        <v>3</v>
      </c>
      <c r="AJ753" s="42"/>
      <c r="AK753" s="42"/>
      <c r="AL753" s="42"/>
      <c r="AM753" s="42"/>
      <c r="AN753" s="43">
        <f t="shared" si="339"/>
        <v>3</v>
      </c>
      <c r="AO753" s="42"/>
      <c r="AP753" s="53"/>
      <c r="AQ753" s="53">
        <v>1</v>
      </c>
      <c r="AR753" s="53"/>
      <c r="AS753" s="72"/>
      <c r="AT753" s="43">
        <f t="shared" si="340"/>
        <v>1</v>
      </c>
      <c r="AU753" s="42"/>
      <c r="AV753" s="53"/>
      <c r="AW753" s="53"/>
      <c r="AX753" s="53"/>
      <c r="AY753" s="72"/>
      <c r="AZ753" s="43">
        <f t="shared" si="336"/>
        <v>0</v>
      </c>
      <c r="BA753" s="43">
        <f t="shared" si="337"/>
        <v>4</v>
      </c>
      <c r="BB753" s="83">
        <v>44485</v>
      </c>
    </row>
    <row r="754" spans="1:54" ht="14.25" x14ac:dyDescent="0.15">
      <c r="A754" s="23" t="s">
        <v>48</v>
      </c>
      <c r="B754" s="41"/>
      <c r="C754" s="42"/>
      <c r="D754" s="42"/>
      <c r="E754" s="42"/>
      <c r="F754" s="42"/>
      <c r="G754" s="43">
        <f t="shared" si="319"/>
        <v>0</v>
      </c>
      <c r="H754" s="41"/>
      <c r="I754" s="42"/>
      <c r="J754" s="42"/>
      <c r="K754" s="42"/>
      <c r="L754" s="42"/>
      <c r="M754" s="43">
        <f t="shared" si="320"/>
        <v>0</v>
      </c>
      <c r="N754" s="42">
        <v>1</v>
      </c>
      <c r="O754" s="53"/>
      <c r="P754" s="53"/>
      <c r="Q754" s="53"/>
      <c r="R754" s="72"/>
      <c r="S754" s="24">
        <f t="shared" si="321"/>
        <v>1</v>
      </c>
      <c r="T754" s="42"/>
      <c r="U754" s="53"/>
      <c r="V754" s="53"/>
      <c r="W754" s="53"/>
      <c r="X754" s="72"/>
      <c r="Y754" s="24">
        <f t="shared" si="322"/>
        <v>0</v>
      </c>
      <c r="Z754" s="24">
        <f t="shared" si="323"/>
        <v>1</v>
      </c>
      <c r="AA754" s="83">
        <v>44473</v>
      </c>
      <c r="AB754" s="180" t="s">
        <v>482</v>
      </c>
      <c r="AC754" s="41"/>
      <c r="AD754" s="42">
        <v>1</v>
      </c>
      <c r="AE754" s="42"/>
      <c r="AF754" s="42"/>
      <c r="AG754" s="42"/>
      <c r="AH754" s="43">
        <f t="shared" si="338"/>
        <v>1</v>
      </c>
      <c r="AI754" s="41"/>
      <c r="AJ754" s="42"/>
      <c r="AK754" s="42"/>
      <c r="AL754" s="42"/>
      <c r="AM754" s="42"/>
      <c r="AN754" s="43">
        <f t="shared" si="339"/>
        <v>0</v>
      </c>
      <c r="AO754" s="42"/>
      <c r="AP754" s="53"/>
      <c r="AQ754" s="53"/>
      <c r="AR754" s="53"/>
      <c r="AS754" s="72"/>
      <c r="AT754" s="24">
        <f t="shared" si="340"/>
        <v>0</v>
      </c>
      <c r="AU754" s="42"/>
      <c r="AV754" s="53"/>
      <c r="AW754" s="53"/>
      <c r="AX754" s="53"/>
      <c r="AY754" s="72"/>
      <c r="AZ754" s="24">
        <f t="shared" si="336"/>
        <v>0</v>
      </c>
      <c r="BA754" s="24">
        <f t="shared" si="337"/>
        <v>1</v>
      </c>
      <c r="BB754" s="83">
        <v>44495</v>
      </c>
    </row>
    <row r="755" spans="1:54" ht="14.25" x14ac:dyDescent="0.15">
      <c r="A755" s="23" t="s">
        <v>438</v>
      </c>
      <c r="B755" s="171"/>
      <c r="C755" s="42"/>
      <c r="D755" s="42"/>
      <c r="E755" s="42"/>
      <c r="F755" s="42"/>
      <c r="G755" s="43">
        <f t="shared" si="319"/>
        <v>0</v>
      </c>
      <c r="H755" s="41"/>
      <c r="I755" s="42"/>
      <c r="J755" s="42"/>
      <c r="K755" s="42"/>
      <c r="L755" s="42"/>
      <c r="M755" s="43">
        <f t="shared" si="320"/>
        <v>0</v>
      </c>
      <c r="N755" s="42"/>
      <c r="O755" s="53"/>
      <c r="P755" s="53"/>
      <c r="Q755" s="53"/>
      <c r="R755" s="72"/>
      <c r="S755" s="24">
        <f t="shared" si="321"/>
        <v>0</v>
      </c>
      <c r="T755" s="42"/>
      <c r="U755" s="53">
        <v>1</v>
      </c>
      <c r="V755" s="53"/>
      <c r="W755" s="53"/>
      <c r="X755" s="72"/>
      <c r="Y755" s="24">
        <f t="shared" si="322"/>
        <v>1</v>
      </c>
      <c r="Z755" s="24">
        <f t="shared" si="323"/>
        <v>1</v>
      </c>
      <c r="AA755" s="83">
        <v>44475</v>
      </c>
      <c r="AB755" s="180" t="s">
        <v>483</v>
      </c>
      <c r="AC755" s="41"/>
      <c r="AD755" s="42"/>
      <c r="AE755" s="42"/>
      <c r="AF755" s="42"/>
      <c r="AG755" s="42">
        <v>2</v>
      </c>
      <c r="AH755" s="43">
        <f t="shared" si="338"/>
        <v>2</v>
      </c>
      <c r="AI755" s="41"/>
      <c r="AJ755" s="42"/>
      <c r="AK755" s="42"/>
      <c r="AL755" s="42"/>
      <c r="AM755" s="42"/>
      <c r="AN755" s="43">
        <f t="shared" si="339"/>
        <v>0</v>
      </c>
      <c r="AO755" s="42"/>
      <c r="AP755" s="53"/>
      <c r="AQ755" s="53"/>
      <c r="AR755" s="53"/>
      <c r="AS755" s="72"/>
      <c r="AT755" s="24">
        <f t="shared" si="340"/>
        <v>0</v>
      </c>
      <c r="AU755" s="42"/>
      <c r="AV755" s="53"/>
      <c r="AW755" s="53"/>
      <c r="AX755" s="53"/>
      <c r="AY755" s="72"/>
      <c r="AZ755" s="24">
        <f t="shared" si="336"/>
        <v>0</v>
      </c>
      <c r="BA755" s="24">
        <f t="shared" si="337"/>
        <v>2</v>
      </c>
      <c r="BB755" s="83">
        <v>44503</v>
      </c>
    </row>
    <row r="756" spans="1:54" ht="14.25" x14ac:dyDescent="0.15">
      <c r="A756" s="23" t="s">
        <v>476</v>
      </c>
      <c r="B756" s="41"/>
      <c r="C756" s="42"/>
      <c r="D756" s="42"/>
      <c r="E756" s="42"/>
      <c r="F756" s="42"/>
      <c r="G756" s="43">
        <f t="shared" si="319"/>
        <v>0</v>
      </c>
      <c r="H756" s="41"/>
      <c r="I756" s="42"/>
      <c r="J756" s="42"/>
      <c r="K756" s="42"/>
      <c r="L756" s="42"/>
      <c r="M756" s="43">
        <f t="shared" si="320"/>
        <v>0</v>
      </c>
      <c r="N756" s="42"/>
      <c r="O756" s="53"/>
      <c r="P756" s="53"/>
      <c r="Q756" s="53"/>
      <c r="R756" s="72"/>
      <c r="S756" s="24">
        <f t="shared" si="321"/>
        <v>0</v>
      </c>
      <c r="T756" s="42"/>
      <c r="U756" s="53"/>
      <c r="V756" s="53"/>
      <c r="W756" s="53"/>
      <c r="X756" s="72"/>
      <c r="Y756" s="24">
        <f t="shared" si="322"/>
        <v>0</v>
      </c>
      <c r="Z756" s="24">
        <f t="shared" si="323"/>
        <v>0</v>
      </c>
      <c r="AA756" s="83">
        <v>44474</v>
      </c>
      <c r="AB756" s="10" t="s">
        <v>126</v>
      </c>
      <c r="AC756" s="41"/>
      <c r="AD756" s="42"/>
      <c r="AE756" s="42"/>
      <c r="AF756" s="42"/>
      <c r="AG756" s="42"/>
      <c r="AH756" s="43">
        <f t="shared" ref="AH756" si="345">SUM(AC756:AG756)</f>
        <v>0</v>
      </c>
      <c r="AI756" s="41"/>
      <c r="AJ756" s="42"/>
      <c r="AK756" s="42">
        <v>3</v>
      </c>
      <c r="AL756" s="42"/>
      <c r="AM756" s="42"/>
      <c r="AN756" s="43">
        <f t="shared" ref="AN756" si="346">SUM(AI756:AM756)</f>
        <v>3</v>
      </c>
      <c r="AO756" s="42"/>
      <c r="AP756" s="53"/>
      <c r="AQ756" s="53"/>
      <c r="AR756" s="53"/>
      <c r="AS756" s="72">
        <v>3</v>
      </c>
      <c r="AT756" s="24">
        <f>SUM(AO756:AS756)</f>
        <v>3</v>
      </c>
      <c r="AU756" s="42"/>
      <c r="AV756" s="53"/>
      <c r="AW756" s="53"/>
      <c r="AX756" s="53"/>
      <c r="AY756" s="72"/>
      <c r="AZ756" s="24">
        <f>SUM(AU756:AY756)</f>
        <v>0</v>
      </c>
      <c r="BA756" s="24">
        <f>AH756+AN756+AT756+AZ756</f>
        <v>6</v>
      </c>
      <c r="BB756" s="83">
        <v>44505</v>
      </c>
    </row>
    <row r="757" spans="1:54" ht="14.25" x14ac:dyDescent="0.15">
      <c r="A757" s="23" t="s">
        <v>48</v>
      </c>
      <c r="B757" s="41">
        <v>1</v>
      </c>
      <c r="C757" s="42"/>
      <c r="D757" s="42"/>
      <c r="E757" s="42"/>
      <c r="F757" s="42"/>
      <c r="G757" s="43">
        <f t="shared" si="319"/>
        <v>1</v>
      </c>
      <c r="H757" s="41"/>
      <c r="I757" s="42"/>
      <c r="J757" s="42"/>
      <c r="K757" s="42"/>
      <c r="L757" s="42"/>
      <c r="M757" s="43">
        <f t="shared" si="320"/>
        <v>0</v>
      </c>
      <c r="N757" s="42"/>
      <c r="O757" s="53"/>
      <c r="P757" s="53"/>
      <c r="Q757" s="53"/>
      <c r="R757" s="72"/>
      <c r="S757" s="24">
        <f t="shared" si="321"/>
        <v>0</v>
      </c>
      <c r="T757" s="42"/>
      <c r="U757" s="53"/>
      <c r="V757" s="53"/>
      <c r="W757" s="53"/>
      <c r="X757" s="72"/>
      <c r="Y757" s="24">
        <f t="shared" si="322"/>
        <v>0</v>
      </c>
      <c r="Z757" s="24">
        <f t="shared" si="323"/>
        <v>1</v>
      </c>
      <c r="AA757" s="83">
        <v>44475</v>
      </c>
      <c r="AB757" s="23"/>
      <c r="AC757" s="38"/>
      <c r="AD757" s="39"/>
      <c r="AE757" s="39"/>
      <c r="AF757" s="39"/>
      <c r="AG757" s="39"/>
      <c r="AH757" s="43">
        <f t="shared" si="338"/>
        <v>0</v>
      </c>
      <c r="AI757" s="38"/>
      <c r="AJ757" s="39"/>
      <c r="AK757" s="39"/>
      <c r="AL757" s="39"/>
      <c r="AM757" s="39"/>
      <c r="AN757" s="43">
        <f t="shared" si="339"/>
        <v>0</v>
      </c>
      <c r="AO757" s="42"/>
      <c r="AP757" s="53"/>
      <c r="AQ757" s="53"/>
      <c r="AR757" s="53"/>
      <c r="AS757" s="72"/>
      <c r="AT757" s="24">
        <f t="shared" si="340"/>
        <v>0</v>
      </c>
      <c r="AU757" s="42"/>
      <c r="AV757" s="53"/>
      <c r="AW757" s="53"/>
      <c r="AX757" s="53"/>
      <c r="AY757" s="72"/>
      <c r="AZ757" s="24">
        <f t="shared" si="336"/>
        <v>0</v>
      </c>
      <c r="BA757" s="24">
        <f t="shared" si="337"/>
        <v>0</v>
      </c>
      <c r="BB757" s="83"/>
    </row>
    <row r="758" spans="1:54" ht="14.25" x14ac:dyDescent="0.15">
      <c r="A758" s="23" t="s">
        <v>438</v>
      </c>
      <c r="B758" s="41"/>
      <c r="C758" s="42"/>
      <c r="D758" s="42"/>
      <c r="E758" s="42"/>
      <c r="F758" s="42"/>
      <c r="G758" s="43">
        <f t="shared" si="319"/>
        <v>0</v>
      </c>
      <c r="H758" s="41"/>
      <c r="I758" s="42"/>
      <c r="J758" s="42"/>
      <c r="K758" s="42"/>
      <c r="L758" s="42"/>
      <c r="M758" s="43">
        <f t="shared" si="320"/>
        <v>0</v>
      </c>
      <c r="N758" s="42"/>
      <c r="O758" s="53"/>
      <c r="P758" s="53"/>
      <c r="Q758" s="53"/>
      <c r="R758" s="72"/>
      <c r="S758" s="24">
        <f t="shared" si="321"/>
        <v>0</v>
      </c>
      <c r="T758" s="42">
        <v>1</v>
      </c>
      <c r="U758" s="53"/>
      <c r="V758" s="53"/>
      <c r="W758" s="53"/>
      <c r="X758" s="72"/>
      <c r="Y758" s="24">
        <f t="shared" si="322"/>
        <v>1</v>
      </c>
      <c r="Z758" s="24">
        <f t="shared" si="323"/>
        <v>1</v>
      </c>
      <c r="AA758" s="83">
        <v>44477</v>
      </c>
      <c r="AB758" s="23"/>
      <c r="AC758" s="14"/>
      <c r="AD758" s="15"/>
      <c r="AE758" s="15"/>
      <c r="AF758" s="15"/>
      <c r="AG758" s="15"/>
      <c r="AH758" s="24">
        <f t="shared" si="338"/>
        <v>0</v>
      </c>
      <c r="AI758" s="14"/>
      <c r="AJ758" s="15"/>
      <c r="AK758" s="15"/>
      <c r="AL758" s="15"/>
      <c r="AM758" s="15"/>
      <c r="AN758" s="24">
        <f t="shared" si="339"/>
        <v>0</v>
      </c>
      <c r="AO758" s="15"/>
      <c r="AP758" s="55"/>
      <c r="AQ758" s="55"/>
      <c r="AR758" s="55"/>
      <c r="AS758" s="67"/>
      <c r="AT758" s="24">
        <f t="shared" si="340"/>
        <v>0</v>
      </c>
      <c r="AU758" s="15"/>
      <c r="AV758" s="55"/>
      <c r="AW758" s="55"/>
      <c r="AX758" s="55"/>
      <c r="AY758" s="67"/>
      <c r="AZ758" s="24">
        <f t="shared" si="336"/>
        <v>0</v>
      </c>
      <c r="BA758" s="24">
        <f t="shared" si="337"/>
        <v>0</v>
      </c>
      <c r="BB758" s="83"/>
    </row>
    <row r="759" spans="1:54" ht="14.25" x14ac:dyDescent="0.15">
      <c r="A759" s="23" t="s">
        <v>48</v>
      </c>
      <c r="B759" s="41"/>
      <c r="C759" s="42"/>
      <c r="D759" s="42"/>
      <c r="E759" s="42"/>
      <c r="F759" s="42"/>
      <c r="G759" s="43">
        <f t="shared" si="319"/>
        <v>0</v>
      </c>
      <c r="H759" s="41"/>
      <c r="I759" s="42">
        <v>1</v>
      </c>
      <c r="J759" s="42"/>
      <c r="K759" s="42"/>
      <c r="L759" s="42"/>
      <c r="M759" s="43">
        <f t="shared" si="320"/>
        <v>1</v>
      </c>
      <c r="N759" s="42"/>
      <c r="O759" s="53"/>
      <c r="P759" s="53"/>
      <c r="Q759" s="53"/>
      <c r="R759" s="72"/>
      <c r="S759" s="24">
        <f t="shared" si="321"/>
        <v>0</v>
      </c>
      <c r="T759" s="42"/>
      <c r="U759" s="53"/>
      <c r="V759" s="53"/>
      <c r="W759" s="53"/>
      <c r="X759" s="72"/>
      <c r="Y759" s="24">
        <f t="shared" si="322"/>
        <v>0</v>
      </c>
      <c r="Z759" s="24">
        <f t="shared" si="323"/>
        <v>1</v>
      </c>
      <c r="AA759" s="93">
        <v>44477</v>
      </c>
      <c r="AB759" s="180"/>
      <c r="AC759" s="41"/>
      <c r="AD759" s="42"/>
      <c r="AE759" s="42"/>
      <c r="AF759" s="42"/>
      <c r="AG759" s="42"/>
      <c r="AH759" s="43">
        <f t="shared" si="338"/>
        <v>0</v>
      </c>
      <c r="AI759" s="41"/>
      <c r="AJ759" s="42"/>
      <c r="AK759" s="42"/>
      <c r="AL759" s="42"/>
      <c r="AM759" s="42"/>
      <c r="AN759" s="43">
        <f t="shared" si="339"/>
        <v>0</v>
      </c>
      <c r="AO759" s="42"/>
      <c r="AP759" s="53"/>
      <c r="AQ759" s="53"/>
      <c r="AR759" s="53"/>
      <c r="AS759" s="72"/>
      <c r="AT759" s="24">
        <f t="shared" si="340"/>
        <v>0</v>
      </c>
      <c r="AU759" s="42"/>
      <c r="AV759" s="53"/>
      <c r="AW759" s="53"/>
      <c r="AX759" s="53"/>
      <c r="AY759" s="72"/>
      <c r="AZ759" s="24">
        <f t="shared" si="336"/>
        <v>0</v>
      </c>
      <c r="BA759" s="24">
        <f t="shared" si="337"/>
        <v>0</v>
      </c>
      <c r="BB759" s="83"/>
    </row>
    <row r="760" spans="1:54" ht="14.25" x14ac:dyDescent="0.15">
      <c r="A760" s="23" t="s">
        <v>438</v>
      </c>
      <c r="B760" s="44"/>
      <c r="C760" s="45"/>
      <c r="D760" s="45"/>
      <c r="E760" s="45"/>
      <c r="F760" s="45"/>
      <c r="G760" s="43">
        <f t="shared" si="319"/>
        <v>0</v>
      </c>
      <c r="H760" s="44"/>
      <c r="I760" s="45"/>
      <c r="J760" s="45"/>
      <c r="K760" s="45"/>
      <c r="L760" s="45"/>
      <c r="M760" s="43">
        <f t="shared" si="320"/>
        <v>0</v>
      </c>
      <c r="N760" s="42"/>
      <c r="O760" s="53"/>
      <c r="P760" s="53"/>
      <c r="Q760" s="53"/>
      <c r="R760" s="72"/>
      <c r="S760" s="24">
        <f t="shared" si="321"/>
        <v>0</v>
      </c>
      <c r="T760" s="42"/>
      <c r="U760" s="53"/>
      <c r="V760" s="53"/>
      <c r="W760" s="53">
        <v>1</v>
      </c>
      <c r="X760" s="72"/>
      <c r="Y760" s="24">
        <f t="shared" si="322"/>
        <v>1</v>
      </c>
      <c r="Z760" s="24">
        <f t="shared" si="323"/>
        <v>1</v>
      </c>
      <c r="AA760" s="83">
        <v>44481</v>
      </c>
      <c r="AB760" s="180"/>
      <c r="AC760" s="44"/>
      <c r="AD760" s="45"/>
      <c r="AE760" s="45"/>
      <c r="AF760" s="45"/>
      <c r="AG760" s="45"/>
      <c r="AH760" s="43">
        <f t="shared" si="338"/>
        <v>0</v>
      </c>
      <c r="AI760" s="44"/>
      <c r="AJ760" s="45"/>
      <c r="AK760" s="45"/>
      <c r="AL760" s="45"/>
      <c r="AM760" s="45"/>
      <c r="AN760" s="43">
        <f t="shared" si="339"/>
        <v>0</v>
      </c>
      <c r="AO760" s="42"/>
      <c r="AP760" s="53"/>
      <c r="AQ760" s="53"/>
      <c r="AR760" s="53"/>
      <c r="AS760" s="72"/>
      <c r="AT760" s="24">
        <f t="shared" si="340"/>
        <v>0</v>
      </c>
      <c r="AU760" s="42"/>
      <c r="AV760" s="53"/>
      <c r="AW760" s="53"/>
      <c r="AX760" s="53"/>
      <c r="AY760" s="72"/>
      <c r="AZ760" s="24">
        <f t="shared" si="336"/>
        <v>0</v>
      </c>
      <c r="BA760" s="24">
        <f t="shared" si="337"/>
        <v>0</v>
      </c>
      <c r="BB760" s="83"/>
    </row>
    <row r="761" spans="1:54" ht="14.25" x14ac:dyDescent="0.15">
      <c r="A761" s="23" t="s">
        <v>438</v>
      </c>
      <c r="B761" s="41"/>
      <c r="C761" s="42">
        <v>1</v>
      </c>
      <c r="D761" s="42"/>
      <c r="E761" s="42"/>
      <c r="F761" s="42"/>
      <c r="G761" s="43">
        <f t="shared" si="319"/>
        <v>1</v>
      </c>
      <c r="H761" s="41"/>
      <c r="I761" s="42"/>
      <c r="J761" s="42"/>
      <c r="K761" s="42"/>
      <c r="L761" s="42"/>
      <c r="M761" s="43">
        <f t="shared" si="320"/>
        <v>0</v>
      </c>
      <c r="N761" s="42"/>
      <c r="O761" s="53"/>
      <c r="P761" s="53"/>
      <c r="Q761" s="53"/>
      <c r="R761" s="72"/>
      <c r="S761" s="24">
        <f t="shared" si="321"/>
        <v>0</v>
      </c>
      <c r="T761" s="42"/>
      <c r="U761" s="53"/>
      <c r="V761" s="53"/>
      <c r="W761" s="53"/>
      <c r="X761" s="72"/>
      <c r="Y761" s="24">
        <f t="shared" si="322"/>
        <v>0</v>
      </c>
      <c r="Z761" s="24">
        <f t="shared" si="323"/>
        <v>1</v>
      </c>
      <c r="AA761" s="83">
        <v>44482</v>
      </c>
      <c r="AB761" s="23"/>
      <c r="AC761" s="41"/>
      <c r="AD761" s="42"/>
      <c r="AE761" s="42"/>
      <c r="AF761" s="42"/>
      <c r="AG761" s="42"/>
      <c r="AH761" s="43">
        <f t="shared" si="338"/>
        <v>0</v>
      </c>
      <c r="AI761" s="41"/>
      <c r="AJ761" s="42"/>
      <c r="AK761" s="42"/>
      <c r="AL761" s="42"/>
      <c r="AM761" s="42"/>
      <c r="AN761" s="43">
        <f t="shared" si="339"/>
        <v>0</v>
      </c>
      <c r="AO761" s="42"/>
      <c r="AP761" s="53"/>
      <c r="AQ761" s="53"/>
      <c r="AR761" s="53"/>
      <c r="AS761" s="72"/>
      <c r="AT761" s="24">
        <f t="shared" si="340"/>
        <v>0</v>
      </c>
      <c r="AU761" s="42"/>
      <c r="AV761" s="53"/>
      <c r="AW761" s="53"/>
      <c r="AX761" s="53"/>
      <c r="AY761" s="72"/>
      <c r="AZ761" s="24">
        <f t="shared" si="336"/>
        <v>0</v>
      </c>
      <c r="BA761" s="24">
        <f t="shared" si="337"/>
        <v>0</v>
      </c>
      <c r="BB761" s="83"/>
    </row>
    <row r="762" spans="1:54" ht="14.25" x14ac:dyDescent="0.15">
      <c r="A762" s="23" t="s">
        <v>48</v>
      </c>
      <c r="B762" s="41"/>
      <c r="C762" s="42"/>
      <c r="D762" s="42">
        <v>1</v>
      </c>
      <c r="E762" s="42"/>
      <c r="F762" s="42"/>
      <c r="G762" s="43">
        <f t="shared" si="319"/>
        <v>1</v>
      </c>
      <c r="H762" s="41"/>
      <c r="I762" s="42"/>
      <c r="J762" s="42"/>
      <c r="K762" s="42"/>
      <c r="L762" s="42"/>
      <c r="M762" s="43">
        <f t="shared" si="320"/>
        <v>0</v>
      </c>
      <c r="N762" s="42"/>
      <c r="O762" s="53"/>
      <c r="P762" s="53"/>
      <c r="Q762" s="53"/>
      <c r="R762" s="72"/>
      <c r="S762" s="24">
        <f t="shared" si="321"/>
        <v>0</v>
      </c>
      <c r="T762" s="42"/>
      <c r="U762" s="53"/>
      <c r="V762" s="53"/>
      <c r="W762" s="53"/>
      <c r="X762" s="72"/>
      <c r="Y762" s="24">
        <f t="shared" si="322"/>
        <v>0</v>
      </c>
      <c r="Z762" s="24">
        <f t="shared" si="323"/>
        <v>1</v>
      </c>
      <c r="AA762" s="83">
        <v>44481</v>
      </c>
      <c r="AB762" s="180"/>
      <c r="AC762" s="41"/>
      <c r="AD762" s="42"/>
      <c r="AE762" s="42"/>
      <c r="AF762" s="42"/>
      <c r="AG762" s="42"/>
      <c r="AH762" s="43">
        <f t="shared" si="338"/>
        <v>0</v>
      </c>
      <c r="AI762" s="41"/>
      <c r="AJ762" s="42"/>
      <c r="AK762" s="42"/>
      <c r="AL762" s="42"/>
      <c r="AM762" s="42"/>
      <c r="AN762" s="43">
        <f t="shared" si="339"/>
        <v>0</v>
      </c>
      <c r="AO762" s="42"/>
      <c r="AP762" s="53"/>
      <c r="AQ762" s="53"/>
      <c r="AR762" s="53"/>
      <c r="AS762" s="72"/>
      <c r="AT762" s="24">
        <f t="shared" si="340"/>
        <v>0</v>
      </c>
      <c r="AU762" s="42"/>
      <c r="AV762" s="53"/>
      <c r="AW762" s="53"/>
      <c r="AX762" s="53"/>
      <c r="AY762" s="72"/>
      <c r="AZ762" s="24">
        <f t="shared" si="336"/>
        <v>0</v>
      </c>
      <c r="BA762" s="24">
        <f t="shared" si="337"/>
        <v>0</v>
      </c>
      <c r="BB762" s="83"/>
    </row>
    <row r="763" spans="1:54" ht="14.25" x14ac:dyDescent="0.15">
      <c r="A763" s="158" t="s">
        <v>477</v>
      </c>
      <c r="B763" s="41">
        <v>1</v>
      </c>
      <c r="C763" s="42"/>
      <c r="D763" s="42"/>
      <c r="E763" s="42"/>
      <c r="F763" s="42"/>
      <c r="G763" s="43">
        <f t="shared" si="319"/>
        <v>1</v>
      </c>
      <c r="H763" s="41">
        <v>1</v>
      </c>
      <c r="I763" s="42"/>
      <c r="J763" s="42"/>
      <c r="K763" s="42"/>
      <c r="L763" s="42"/>
      <c r="M763" s="43">
        <f t="shared" si="320"/>
        <v>1</v>
      </c>
      <c r="N763" s="42"/>
      <c r="O763" s="53"/>
      <c r="P763" s="53"/>
      <c r="Q763" s="53"/>
      <c r="R763" s="72"/>
      <c r="S763" s="24">
        <f t="shared" si="321"/>
        <v>0</v>
      </c>
      <c r="T763" s="42"/>
      <c r="U763" s="53"/>
      <c r="V763" s="53"/>
      <c r="W763" s="53"/>
      <c r="X763" s="72"/>
      <c r="Y763" s="24">
        <f t="shared" si="322"/>
        <v>0</v>
      </c>
      <c r="Z763" s="24">
        <f t="shared" si="323"/>
        <v>2</v>
      </c>
      <c r="AA763" s="83">
        <v>44483</v>
      </c>
      <c r="AB763" s="10"/>
      <c r="AC763" s="14"/>
      <c r="AD763" s="15"/>
      <c r="AE763" s="15"/>
      <c r="AF763" s="15"/>
      <c r="AG763" s="15"/>
      <c r="AH763" s="24">
        <f t="shared" si="338"/>
        <v>0</v>
      </c>
      <c r="AI763" s="14"/>
      <c r="AJ763" s="15"/>
      <c r="AK763" s="15"/>
      <c r="AL763" s="15"/>
      <c r="AM763" s="15"/>
      <c r="AN763" s="185">
        <f t="shared" si="339"/>
        <v>0</v>
      </c>
      <c r="AO763" s="14"/>
      <c r="AP763" s="55"/>
      <c r="AQ763" s="55"/>
      <c r="AR763" s="55"/>
      <c r="AS763" s="67"/>
      <c r="AT763" s="24">
        <f t="shared" si="340"/>
        <v>0</v>
      </c>
      <c r="AU763" s="15"/>
      <c r="AV763" s="55"/>
      <c r="AW763" s="55"/>
      <c r="AX763" s="55"/>
      <c r="AY763" s="67"/>
      <c r="AZ763" s="24">
        <f t="shared" si="336"/>
        <v>0</v>
      </c>
      <c r="BA763" s="24">
        <f t="shared" si="337"/>
        <v>0</v>
      </c>
      <c r="BB763" s="83"/>
    </row>
    <row r="764" spans="1:54" ht="14.25" x14ac:dyDescent="0.15">
      <c r="A764" s="23" t="s">
        <v>478</v>
      </c>
      <c r="B764" s="38"/>
      <c r="C764" s="39"/>
      <c r="D764" s="39">
        <v>-1</v>
      </c>
      <c r="E764" s="39"/>
      <c r="F764" s="39"/>
      <c r="G764" s="37">
        <f t="shared" si="319"/>
        <v>-1</v>
      </c>
      <c r="H764" s="38"/>
      <c r="I764" s="39"/>
      <c r="J764" s="39"/>
      <c r="K764" s="39"/>
      <c r="L764" s="39"/>
      <c r="M764" s="37">
        <f t="shared" si="320"/>
        <v>0</v>
      </c>
      <c r="N764" s="42"/>
      <c r="O764" s="53">
        <v>-1</v>
      </c>
      <c r="P764" s="53">
        <v>-1</v>
      </c>
      <c r="Q764" s="53"/>
      <c r="R764" s="72"/>
      <c r="S764" s="24">
        <f t="shared" si="321"/>
        <v>-2</v>
      </c>
      <c r="T764" s="42"/>
      <c r="U764" s="53"/>
      <c r="V764" s="53"/>
      <c r="W764" s="53"/>
      <c r="X764" s="72"/>
      <c r="Y764" s="24">
        <f t="shared" si="322"/>
        <v>0</v>
      </c>
      <c r="Z764" s="24">
        <f t="shared" si="323"/>
        <v>-3</v>
      </c>
      <c r="AA764" s="83">
        <v>44483</v>
      </c>
      <c r="AB764" s="23"/>
      <c r="AC764" s="38"/>
      <c r="AD764" s="39"/>
      <c r="AE764" s="39"/>
      <c r="AF764" s="39"/>
      <c r="AG764" s="39"/>
      <c r="AH764" s="37">
        <f t="shared" si="338"/>
        <v>0</v>
      </c>
      <c r="AI764" s="38"/>
      <c r="AJ764" s="39"/>
      <c r="AK764" s="39"/>
      <c r="AL764" s="39"/>
      <c r="AM764" s="39"/>
      <c r="AN764" s="37">
        <f t="shared" si="339"/>
        <v>0</v>
      </c>
      <c r="AO764" s="39"/>
      <c r="AP764" s="56"/>
      <c r="AQ764" s="56"/>
      <c r="AR764" s="56"/>
      <c r="AS764" s="71"/>
      <c r="AT764" s="16">
        <f t="shared" si="340"/>
        <v>0</v>
      </c>
      <c r="AU764" s="39"/>
      <c r="AV764" s="56"/>
      <c r="AW764" s="56"/>
      <c r="AX764" s="56"/>
      <c r="AY764" s="71"/>
      <c r="AZ764" s="16">
        <f t="shared" si="336"/>
        <v>0</v>
      </c>
      <c r="BA764" s="16">
        <f t="shared" si="337"/>
        <v>0</v>
      </c>
      <c r="BB764" s="83"/>
    </row>
    <row r="765" spans="1:54" ht="14.25" x14ac:dyDescent="0.15">
      <c r="A765" s="10" t="s">
        <v>479</v>
      </c>
      <c r="B765" s="41"/>
      <c r="C765" s="42"/>
      <c r="D765" s="42">
        <v>1</v>
      </c>
      <c r="E765" s="42"/>
      <c r="F765" s="42"/>
      <c r="G765" s="43">
        <f t="shared" si="319"/>
        <v>1</v>
      </c>
      <c r="H765" s="41"/>
      <c r="I765" s="42"/>
      <c r="J765" s="42"/>
      <c r="K765" s="42"/>
      <c r="L765" s="42"/>
      <c r="M765" s="43">
        <f t="shared" si="320"/>
        <v>0</v>
      </c>
      <c r="N765" s="42"/>
      <c r="O765" s="53"/>
      <c r="P765" s="53"/>
      <c r="Q765" s="53"/>
      <c r="R765" s="72"/>
      <c r="S765" s="24">
        <f t="shared" si="321"/>
        <v>0</v>
      </c>
      <c r="T765" s="42"/>
      <c r="U765" s="53"/>
      <c r="V765" s="53"/>
      <c r="W765" s="53"/>
      <c r="X765" s="72"/>
      <c r="Y765" s="24">
        <f t="shared" si="322"/>
        <v>0</v>
      </c>
      <c r="Z765" s="24">
        <f t="shared" si="323"/>
        <v>1</v>
      </c>
      <c r="AA765" s="83">
        <v>44483</v>
      </c>
      <c r="AB765" s="23"/>
      <c r="AC765" s="41"/>
      <c r="AD765" s="42"/>
      <c r="AE765" s="42"/>
      <c r="AF765" s="42"/>
      <c r="AG765" s="42"/>
      <c r="AH765" s="43">
        <f t="shared" si="338"/>
        <v>0</v>
      </c>
      <c r="AI765" s="41"/>
      <c r="AJ765" s="42"/>
      <c r="AK765" s="42"/>
      <c r="AL765" s="42"/>
      <c r="AM765" s="42"/>
      <c r="AN765" s="43">
        <f t="shared" si="339"/>
        <v>0</v>
      </c>
      <c r="AO765" s="42"/>
      <c r="AP765" s="53"/>
      <c r="AQ765" s="53"/>
      <c r="AR765" s="53"/>
      <c r="AS765" s="72"/>
      <c r="AT765" s="24">
        <f t="shared" si="340"/>
        <v>0</v>
      </c>
      <c r="AU765" s="42"/>
      <c r="AV765" s="53"/>
      <c r="AW765" s="53"/>
      <c r="AX765" s="53"/>
      <c r="AY765" s="72"/>
      <c r="AZ765" s="24">
        <f t="shared" si="336"/>
        <v>0</v>
      </c>
      <c r="BA765" s="24">
        <f t="shared" si="337"/>
        <v>0</v>
      </c>
      <c r="BB765" s="83"/>
    </row>
    <row r="766" spans="1:54" ht="14.25" x14ac:dyDescent="0.15">
      <c r="A766" s="23" t="s">
        <v>480</v>
      </c>
      <c r="B766" s="14"/>
      <c r="C766" s="15"/>
      <c r="D766" s="15"/>
      <c r="E766" s="15"/>
      <c r="F766" s="15"/>
      <c r="G766" s="24">
        <f t="shared" si="319"/>
        <v>0</v>
      </c>
      <c r="H766" s="14">
        <v>-3</v>
      </c>
      <c r="I766" s="15"/>
      <c r="J766" s="15"/>
      <c r="K766" s="15"/>
      <c r="L766" s="15"/>
      <c r="M766" s="24">
        <f t="shared" si="320"/>
        <v>-3</v>
      </c>
      <c r="N766" s="15"/>
      <c r="O766" s="55"/>
      <c r="P766" s="55">
        <v>-1</v>
      </c>
      <c r="Q766" s="55"/>
      <c r="R766" s="67"/>
      <c r="S766" s="24">
        <f t="shared" si="321"/>
        <v>-1</v>
      </c>
      <c r="T766" s="15"/>
      <c r="U766" s="55"/>
      <c r="V766" s="55"/>
      <c r="W766" s="55"/>
      <c r="X766" s="67"/>
      <c r="Y766" s="24">
        <f t="shared" si="322"/>
        <v>0</v>
      </c>
      <c r="Z766" s="24">
        <f t="shared" si="323"/>
        <v>-4</v>
      </c>
      <c r="AA766" s="83">
        <v>44485</v>
      </c>
      <c r="AB766" s="180"/>
      <c r="AC766" s="41"/>
      <c r="AD766" s="42"/>
      <c r="AE766" s="42"/>
      <c r="AF766" s="42"/>
      <c r="AG766" s="42"/>
      <c r="AH766" s="43">
        <f t="shared" si="338"/>
        <v>0</v>
      </c>
      <c r="AI766" s="41"/>
      <c r="AJ766" s="42"/>
      <c r="AK766" s="42"/>
      <c r="AL766" s="42"/>
      <c r="AM766" s="42"/>
      <c r="AN766" s="43">
        <f t="shared" si="339"/>
        <v>0</v>
      </c>
      <c r="AO766" s="42"/>
      <c r="AP766" s="53"/>
      <c r="AQ766" s="53"/>
      <c r="AR766" s="53"/>
      <c r="AS766" s="72"/>
      <c r="AT766" s="24">
        <f t="shared" si="340"/>
        <v>0</v>
      </c>
      <c r="AU766" s="42"/>
      <c r="AV766" s="53"/>
      <c r="AW766" s="53"/>
      <c r="AX766" s="53"/>
      <c r="AY766" s="72"/>
      <c r="AZ766" s="24">
        <f t="shared" si="336"/>
        <v>0</v>
      </c>
      <c r="BA766" s="24">
        <f t="shared" si="337"/>
        <v>0</v>
      </c>
      <c r="BB766" s="83"/>
    </row>
    <row r="767" spans="1:54" ht="14.25" x14ac:dyDescent="0.15">
      <c r="A767" s="23" t="s">
        <v>481</v>
      </c>
      <c r="B767" s="14"/>
      <c r="C767" s="15"/>
      <c r="D767" s="15"/>
      <c r="E767" s="15"/>
      <c r="F767" s="15"/>
      <c r="G767" s="24">
        <f t="shared" si="319"/>
        <v>0</v>
      </c>
      <c r="H767" s="14"/>
      <c r="I767" s="15"/>
      <c r="J767" s="15"/>
      <c r="K767" s="15"/>
      <c r="L767" s="15"/>
      <c r="M767" s="24">
        <f t="shared" si="320"/>
        <v>0</v>
      </c>
      <c r="N767" s="15"/>
      <c r="O767" s="55">
        <v>1</v>
      </c>
      <c r="P767" s="55">
        <v>1</v>
      </c>
      <c r="Q767" s="55"/>
      <c r="R767" s="67"/>
      <c r="S767" s="24">
        <f t="shared" si="321"/>
        <v>2</v>
      </c>
      <c r="T767" s="15"/>
      <c r="U767" s="55"/>
      <c r="V767" s="55"/>
      <c r="W767" s="55"/>
      <c r="X767" s="67"/>
      <c r="Y767" s="24">
        <f t="shared" si="322"/>
        <v>0</v>
      </c>
      <c r="Z767" s="24">
        <f t="shared" si="323"/>
        <v>2</v>
      </c>
      <c r="AA767" s="83">
        <v>44485</v>
      </c>
      <c r="AB767" s="180"/>
      <c r="AC767" s="14"/>
      <c r="AD767" s="15"/>
      <c r="AE767" s="15"/>
      <c r="AF767" s="15"/>
      <c r="AG767" s="15"/>
      <c r="AH767" s="24">
        <f t="shared" si="338"/>
        <v>0</v>
      </c>
      <c r="AI767" s="14"/>
      <c r="AJ767" s="15"/>
      <c r="AK767" s="15"/>
      <c r="AL767" s="15"/>
      <c r="AM767" s="15"/>
      <c r="AN767" s="24">
        <f t="shared" si="339"/>
        <v>0</v>
      </c>
      <c r="AO767" s="15"/>
      <c r="AP767" s="55"/>
      <c r="AQ767" s="55"/>
      <c r="AR767" s="55"/>
      <c r="AS767" s="67"/>
      <c r="AT767" s="24">
        <f t="shared" si="340"/>
        <v>0</v>
      </c>
      <c r="AU767" s="15"/>
      <c r="AV767" s="55"/>
      <c r="AW767" s="55"/>
      <c r="AX767" s="55"/>
      <c r="AY767" s="67"/>
      <c r="AZ767" s="24">
        <f t="shared" si="336"/>
        <v>0</v>
      </c>
      <c r="BA767" s="24">
        <f t="shared" si="337"/>
        <v>0</v>
      </c>
      <c r="BB767" s="83"/>
    </row>
    <row r="768" spans="1:54" ht="14.25" x14ac:dyDescent="0.15">
      <c r="A768" s="23" t="s">
        <v>48</v>
      </c>
      <c r="B768" s="14"/>
      <c r="C768" s="15"/>
      <c r="D768" s="15"/>
      <c r="E768" s="15"/>
      <c r="F768" s="15"/>
      <c r="G768" s="24">
        <f t="shared" si="319"/>
        <v>0</v>
      </c>
      <c r="H768" s="14"/>
      <c r="I768" s="15"/>
      <c r="J768" s="15"/>
      <c r="K768" s="15"/>
      <c r="L768" s="15"/>
      <c r="M768" s="24">
        <f t="shared" si="320"/>
        <v>0</v>
      </c>
      <c r="N768" s="15"/>
      <c r="O768" s="55"/>
      <c r="P768" s="55"/>
      <c r="Q768" s="55">
        <v>1</v>
      </c>
      <c r="R768" s="67"/>
      <c r="S768" s="24">
        <f t="shared" si="321"/>
        <v>1</v>
      </c>
      <c r="T768" s="15"/>
      <c r="U768" s="55"/>
      <c r="V768" s="55"/>
      <c r="W768" s="55"/>
      <c r="X768" s="67"/>
      <c r="Y768" s="24">
        <f t="shared" si="322"/>
        <v>0</v>
      </c>
      <c r="Z768" s="24">
        <f t="shared" si="323"/>
        <v>1</v>
      </c>
      <c r="AA768" s="83">
        <v>44494</v>
      </c>
      <c r="AB768" s="180"/>
      <c r="AC768" s="14"/>
      <c r="AD768" s="15"/>
      <c r="AE768" s="15"/>
      <c r="AF768" s="15"/>
      <c r="AG768" s="15"/>
      <c r="AH768" s="24">
        <f t="shared" si="338"/>
        <v>0</v>
      </c>
      <c r="AI768" s="14"/>
      <c r="AJ768" s="15"/>
      <c r="AK768" s="15"/>
      <c r="AL768" s="15"/>
      <c r="AM768" s="15"/>
      <c r="AN768" s="24">
        <f t="shared" si="339"/>
        <v>0</v>
      </c>
      <c r="AO768" s="15"/>
      <c r="AP768" s="55"/>
      <c r="AQ768" s="55"/>
      <c r="AR768" s="55"/>
      <c r="AS768" s="67"/>
      <c r="AT768" s="24">
        <f t="shared" si="340"/>
        <v>0</v>
      </c>
      <c r="AU768" s="15"/>
      <c r="AV768" s="55"/>
      <c r="AW768" s="55"/>
      <c r="AX768" s="55"/>
      <c r="AY768" s="67"/>
      <c r="AZ768" s="24">
        <f t="shared" si="336"/>
        <v>0</v>
      </c>
      <c r="BA768" s="24">
        <f t="shared" si="337"/>
        <v>0</v>
      </c>
      <c r="BB768" s="83"/>
    </row>
    <row r="769" spans="1:54" ht="14.25" x14ac:dyDescent="0.15">
      <c r="A769" s="23" t="s">
        <v>48</v>
      </c>
      <c r="B769" s="14"/>
      <c r="C769" s="15"/>
      <c r="D769" s="15"/>
      <c r="E769" s="15"/>
      <c r="F769" s="15"/>
      <c r="G769" s="24">
        <f t="shared" si="319"/>
        <v>0</v>
      </c>
      <c r="H769" s="14"/>
      <c r="I769" s="15"/>
      <c r="J769" s="15"/>
      <c r="K769" s="15"/>
      <c r="L769" s="15"/>
      <c r="M769" s="24">
        <f t="shared" si="320"/>
        <v>0</v>
      </c>
      <c r="N769" s="15">
        <v>1</v>
      </c>
      <c r="O769" s="55"/>
      <c r="P769" s="55"/>
      <c r="Q769" s="55"/>
      <c r="R769" s="67"/>
      <c r="S769" s="24">
        <f t="shared" si="321"/>
        <v>1</v>
      </c>
      <c r="T769" s="15"/>
      <c r="U769" s="55"/>
      <c r="V769" s="55"/>
      <c r="W769" s="55"/>
      <c r="X769" s="67"/>
      <c r="Y769" s="24">
        <f t="shared" si="322"/>
        <v>0</v>
      </c>
      <c r="Z769" s="24">
        <f t="shared" si="323"/>
        <v>1</v>
      </c>
      <c r="AA769" s="83">
        <v>44495</v>
      </c>
      <c r="AB769" s="180"/>
      <c r="AC769" s="14"/>
      <c r="AD769" s="15"/>
      <c r="AE769" s="15"/>
      <c r="AF769" s="15"/>
      <c r="AG769" s="15"/>
      <c r="AH769" s="24">
        <f t="shared" si="338"/>
        <v>0</v>
      </c>
      <c r="AI769" s="14"/>
      <c r="AJ769" s="15"/>
      <c r="AK769" s="15"/>
      <c r="AL769" s="15"/>
      <c r="AM769" s="15"/>
      <c r="AN769" s="24">
        <f t="shared" si="339"/>
        <v>0</v>
      </c>
      <c r="AO769" s="15"/>
      <c r="AP769" s="55"/>
      <c r="AQ769" s="55"/>
      <c r="AR769" s="55"/>
      <c r="AS769" s="67"/>
      <c r="AT769" s="24">
        <f t="shared" si="340"/>
        <v>0</v>
      </c>
      <c r="AU769" s="15"/>
      <c r="AV769" s="55"/>
      <c r="AW769" s="55"/>
      <c r="AX769" s="55"/>
      <c r="AY769" s="67"/>
      <c r="AZ769" s="24">
        <f t="shared" si="336"/>
        <v>0</v>
      </c>
      <c r="BA769" s="24">
        <f t="shared" si="337"/>
        <v>0</v>
      </c>
      <c r="BB769" s="83"/>
    </row>
    <row r="770" spans="1:54" ht="14.25" x14ac:dyDescent="0.15">
      <c r="A770" s="23" t="s">
        <v>440</v>
      </c>
      <c r="B770" s="14"/>
      <c r="C770" s="15"/>
      <c r="D770" s="15"/>
      <c r="E770" s="15"/>
      <c r="F770" s="15"/>
      <c r="G770" s="24">
        <f t="shared" si="319"/>
        <v>0</v>
      </c>
      <c r="H770" s="14"/>
      <c r="I770" s="15"/>
      <c r="J770" s="15"/>
      <c r="K770" s="15"/>
      <c r="L770" s="15"/>
      <c r="M770" s="24">
        <f t="shared" si="320"/>
        <v>0</v>
      </c>
      <c r="N770" s="15"/>
      <c r="O770" s="55">
        <v>3</v>
      </c>
      <c r="P770" s="55">
        <v>3</v>
      </c>
      <c r="Q770" s="55"/>
      <c r="R770" s="67"/>
      <c r="S770" s="24">
        <f t="shared" si="321"/>
        <v>6</v>
      </c>
      <c r="T770" s="15"/>
      <c r="U770" s="55"/>
      <c r="V770" s="55"/>
      <c r="W770" s="55"/>
      <c r="X770" s="67"/>
      <c r="Y770" s="24">
        <f t="shared" si="322"/>
        <v>0</v>
      </c>
      <c r="Z770" s="24">
        <f t="shared" si="323"/>
        <v>6</v>
      </c>
      <c r="AA770" s="83">
        <v>44499</v>
      </c>
      <c r="AB770" s="21"/>
      <c r="AC770" s="14"/>
      <c r="AD770" s="15"/>
      <c r="AE770" s="15"/>
      <c r="AF770" s="15"/>
      <c r="AG770" s="15"/>
      <c r="AH770" s="24">
        <f t="shared" si="338"/>
        <v>0</v>
      </c>
      <c r="AI770" s="14"/>
      <c r="AJ770" s="15"/>
      <c r="AK770" s="15"/>
      <c r="AL770" s="15"/>
      <c r="AM770" s="15"/>
      <c r="AN770" s="24">
        <f t="shared" si="339"/>
        <v>0</v>
      </c>
      <c r="AO770" s="15"/>
      <c r="AP770" s="55"/>
      <c r="AQ770" s="55"/>
      <c r="AR770" s="55"/>
      <c r="AS770" s="67"/>
      <c r="AT770" s="24">
        <f t="shared" si="340"/>
        <v>0</v>
      </c>
      <c r="AU770" s="15"/>
      <c r="AV770" s="55"/>
      <c r="AW770" s="55"/>
      <c r="AX770" s="55"/>
      <c r="AY770" s="67"/>
      <c r="AZ770" s="24">
        <f t="shared" si="336"/>
        <v>0</v>
      </c>
      <c r="BA770" s="24">
        <f t="shared" si="337"/>
        <v>0</v>
      </c>
      <c r="BB770" s="83"/>
    </row>
    <row r="771" spans="1:54" ht="14.25" x14ac:dyDescent="0.15">
      <c r="A771" s="23" t="s">
        <v>48</v>
      </c>
      <c r="B771" s="14"/>
      <c r="C771" s="15"/>
      <c r="D771" s="15"/>
      <c r="E771" s="15"/>
      <c r="F771" s="15"/>
      <c r="G771" s="24">
        <f t="shared" si="319"/>
        <v>0</v>
      </c>
      <c r="H771" s="14"/>
      <c r="I771" s="15"/>
      <c r="J771" s="15">
        <v>1</v>
      </c>
      <c r="K771" s="15"/>
      <c r="L771" s="15"/>
      <c r="M771" s="24">
        <f t="shared" si="320"/>
        <v>1</v>
      </c>
      <c r="N771" s="15"/>
      <c r="O771" s="55"/>
      <c r="P771" s="55"/>
      <c r="Q771" s="55"/>
      <c r="R771" s="67"/>
      <c r="S771" s="24">
        <f t="shared" si="321"/>
        <v>0</v>
      </c>
      <c r="T771" s="15"/>
      <c r="U771" s="55"/>
      <c r="V771" s="55"/>
      <c r="W771" s="55"/>
      <c r="X771" s="67"/>
      <c r="Y771" s="24">
        <f t="shared" si="322"/>
        <v>0</v>
      </c>
      <c r="Z771" s="24">
        <f t="shared" si="323"/>
        <v>1</v>
      </c>
      <c r="AA771" s="83">
        <v>44501</v>
      </c>
      <c r="AB771" s="180"/>
      <c r="AC771" s="14"/>
      <c r="AD771" s="15"/>
      <c r="AE771" s="15"/>
      <c r="AF771" s="15"/>
      <c r="AG771" s="15"/>
      <c r="AH771" s="24">
        <f t="shared" si="338"/>
        <v>0</v>
      </c>
      <c r="AI771" s="14"/>
      <c r="AJ771" s="15"/>
      <c r="AK771" s="15"/>
      <c r="AL771" s="15"/>
      <c r="AM771" s="15"/>
      <c r="AN771" s="24">
        <f t="shared" si="339"/>
        <v>0</v>
      </c>
      <c r="AO771" s="15"/>
      <c r="AP771" s="55"/>
      <c r="AQ771" s="55"/>
      <c r="AR771" s="55"/>
      <c r="AS771" s="67"/>
      <c r="AT771" s="24">
        <f t="shared" si="340"/>
        <v>0</v>
      </c>
      <c r="AU771" s="15"/>
      <c r="AV771" s="55"/>
      <c r="AW771" s="55"/>
      <c r="AX771" s="55"/>
      <c r="AY771" s="67"/>
      <c r="AZ771" s="24">
        <f t="shared" si="336"/>
        <v>0</v>
      </c>
      <c r="BA771" s="24">
        <f t="shared" si="337"/>
        <v>0</v>
      </c>
      <c r="BB771" s="83"/>
    </row>
    <row r="772" spans="1:54" ht="14.25" x14ac:dyDescent="0.15">
      <c r="A772" s="23" t="s">
        <v>438</v>
      </c>
      <c r="B772" s="44"/>
      <c r="C772" s="45"/>
      <c r="D772" s="45"/>
      <c r="E772" s="45"/>
      <c r="F772" s="45"/>
      <c r="G772" s="43">
        <f t="shared" si="319"/>
        <v>0</v>
      </c>
      <c r="H772" s="44"/>
      <c r="I772" s="45"/>
      <c r="J772" s="45"/>
      <c r="K772" s="45"/>
      <c r="L772" s="45"/>
      <c r="M772" s="43">
        <f t="shared" si="320"/>
        <v>0</v>
      </c>
      <c r="N772" s="42"/>
      <c r="O772" s="53"/>
      <c r="P772" s="53"/>
      <c r="Q772" s="53"/>
      <c r="R772" s="72"/>
      <c r="S772" s="24">
        <f t="shared" si="321"/>
        <v>0</v>
      </c>
      <c r="T772" s="42"/>
      <c r="U772" s="53"/>
      <c r="V772" s="53"/>
      <c r="W772" s="53">
        <v>1</v>
      </c>
      <c r="X772" s="72"/>
      <c r="Y772" s="24">
        <f t="shared" si="322"/>
        <v>1</v>
      </c>
      <c r="Z772" s="24">
        <f t="shared" si="323"/>
        <v>1</v>
      </c>
      <c r="AA772" s="83">
        <v>44503</v>
      </c>
      <c r="AB772" s="47"/>
      <c r="AC772" s="14"/>
      <c r="AD772" s="15"/>
      <c r="AE772" s="15"/>
      <c r="AF772" s="15"/>
      <c r="AG772" s="15"/>
      <c r="AH772" s="24">
        <f t="shared" si="338"/>
        <v>0</v>
      </c>
      <c r="AI772" s="14"/>
      <c r="AJ772" s="15"/>
      <c r="AK772" s="15"/>
      <c r="AL772" s="15"/>
      <c r="AM772" s="15"/>
      <c r="AN772" s="24">
        <f t="shared" si="339"/>
        <v>0</v>
      </c>
      <c r="AO772" s="15"/>
      <c r="AP772" s="55"/>
      <c r="AQ772" s="55"/>
      <c r="AR772" s="55"/>
      <c r="AS772" s="67"/>
      <c r="AT772" s="24">
        <f t="shared" si="340"/>
        <v>0</v>
      </c>
      <c r="AU772" s="15"/>
      <c r="AV772" s="55"/>
      <c r="AW772" s="55"/>
      <c r="AX772" s="55"/>
      <c r="AY772" s="67"/>
      <c r="AZ772" s="24">
        <f t="shared" si="336"/>
        <v>0</v>
      </c>
      <c r="BA772" s="24">
        <f t="shared" si="337"/>
        <v>0</v>
      </c>
      <c r="BB772" s="128"/>
    </row>
    <row r="773" spans="1:54" ht="14.25" x14ac:dyDescent="0.15">
      <c r="A773" s="23" t="s">
        <v>438</v>
      </c>
      <c r="B773" s="41"/>
      <c r="C773" s="42"/>
      <c r="D773" s="42"/>
      <c r="E773" s="42"/>
      <c r="F773" s="42"/>
      <c r="G773" s="43">
        <f t="shared" si="319"/>
        <v>0</v>
      </c>
      <c r="H773" s="41"/>
      <c r="I773" s="42"/>
      <c r="J773" s="42"/>
      <c r="K773" s="42"/>
      <c r="L773" s="42"/>
      <c r="M773" s="43">
        <f t="shared" si="320"/>
        <v>0</v>
      </c>
      <c r="N773" s="42"/>
      <c r="O773" s="53"/>
      <c r="P773" s="53">
        <v>1</v>
      </c>
      <c r="Q773" s="53"/>
      <c r="R773" s="72">
        <v>1</v>
      </c>
      <c r="S773" s="24">
        <f t="shared" si="321"/>
        <v>2</v>
      </c>
      <c r="T773" s="42"/>
      <c r="U773" s="53"/>
      <c r="V773" s="53"/>
      <c r="W773" s="53"/>
      <c r="X773" s="72"/>
      <c r="Y773" s="24">
        <f t="shared" si="322"/>
        <v>0</v>
      </c>
      <c r="Z773" s="24">
        <f t="shared" si="323"/>
        <v>2</v>
      </c>
      <c r="AA773" s="83">
        <v>44505</v>
      </c>
      <c r="AB773" s="47"/>
      <c r="AC773" s="14"/>
      <c r="AD773" s="15"/>
      <c r="AE773" s="15"/>
      <c r="AF773" s="15"/>
      <c r="AG773" s="15"/>
      <c r="AH773" s="24">
        <f t="shared" si="338"/>
        <v>0</v>
      </c>
      <c r="AI773" s="14"/>
      <c r="AJ773" s="15"/>
      <c r="AK773" s="15"/>
      <c r="AL773" s="15"/>
      <c r="AM773" s="15"/>
      <c r="AN773" s="24">
        <f t="shared" si="339"/>
        <v>0</v>
      </c>
      <c r="AO773" s="15"/>
      <c r="AP773" s="55"/>
      <c r="AQ773" s="55"/>
      <c r="AR773" s="55"/>
      <c r="AS773" s="67"/>
      <c r="AT773" s="24">
        <f t="shared" si="340"/>
        <v>0</v>
      </c>
      <c r="AU773" s="15"/>
      <c r="AV773" s="55"/>
      <c r="AW773" s="55"/>
      <c r="AX773" s="55"/>
      <c r="AY773" s="67"/>
      <c r="AZ773" s="24">
        <f t="shared" si="336"/>
        <v>0</v>
      </c>
      <c r="BA773" s="24">
        <f t="shared" si="337"/>
        <v>0</v>
      </c>
      <c r="BB773" s="128"/>
    </row>
    <row r="774" spans="1:54" ht="14.25" x14ac:dyDescent="0.15">
      <c r="A774" s="23" t="s">
        <v>48</v>
      </c>
      <c r="B774" s="41"/>
      <c r="C774" s="42"/>
      <c r="D774" s="42"/>
      <c r="E774" s="42"/>
      <c r="F774" s="42"/>
      <c r="G774" s="43">
        <f t="shared" si="319"/>
        <v>0</v>
      </c>
      <c r="H774" s="41"/>
      <c r="I774" s="42"/>
      <c r="J774" s="42">
        <v>1</v>
      </c>
      <c r="K774" s="42"/>
      <c r="L774" s="42"/>
      <c r="M774" s="43">
        <f t="shared" si="320"/>
        <v>1</v>
      </c>
      <c r="N774" s="42"/>
      <c r="O774" s="53"/>
      <c r="P774" s="53"/>
      <c r="Q774" s="53"/>
      <c r="R774" s="72"/>
      <c r="S774" s="24">
        <f t="shared" si="321"/>
        <v>0</v>
      </c>
      <c r="T774" s="42"/>
      <c r="U774" s="53"/>
      <c r="V774" s="53"/>
      <c r="W774" s="53"/>
      <c r="X774" s="72"/>
      <c r="Y774" s="24">
        <f t="shared" si="322"/>
        <v>0</v>
      </c>
      <c r="Z774" s="24">
        <f t="shared" si="323"/>
        <v>1</v>
      </c>
      <c r="AA774" s="83">
        <v>44504</v>
      </c>
      <c r="AB774" s="47" t="s">
        <v>416</v>
      </c>
      <c r="AC774" s="14"/>
      <c r="AD774" s="15"/>
      <c r="AE774" s="15"/>
      <c r="AF774" s="15"/>
      <c r="AG774" s="15"/>
      <c r="AH774" s="24">
        <f>SUM(AC774:AG774)</f>
        <v>0</v>
      </c>
      <c r="AI774" s="14"/>
      <c r="AJ774" s="15"/>
      <c r="AK774" s="15"/>
      <c r="AL774" s="15"/>
      <c r="AM774" s="15"/>
      <c r="AN774" s="24">
        <f>SUM(AI774:AM774)</f>
        <v>0</v>
      </c>
      <c r="AO774" s="183"/>
      <c r="AP774" s="186"/>
      <c r="AQ774" s="186"/>
      <c r="AR774" s="186"/>
      <c r="AS774" s="187"/>
      <c r="AT774" s="188">
        <f>SUM(AO774:AS774)</f>
        <v>0</v>
      </c>
      <c r="AU774" s="183"/>
      <c r="AV774" s="186"/>
      <c r="AW774" s="186"/>
      <c r="AX774" s="55"/>
      <c r="AY774" s="187"/>
      <c r="AZ774" s="188">
        <f>SUM(AU774:AY774)</f>
        <v>0</v>
      </c>
      <c r="BA774" s="24">
        <f>AH774+AN774+AT774+AZ774</f>
        <v>0</v>
      </c>
      <c r="BB774" s="128" t="s">
        <v>417</v>
      </c>
    </row>
    <row r="775" spans="1:54" ht="14.25" x14ac:dyDescent="0.15">
      <c r="A775" s="23" t="s">
        <v>42</v>
      </c>
      <c r="B775" s="41"/>
      <c r="C775" s="42"/>
      <c r="D775" s="42"/>
      <c r="E775" s="42"/>
      <c r="F775" s="42"/>
      <c r="G775" s="43">
        <f t="shared" si="319"/>
        <v>0</v>
      </c>
      <c r="H775" s="41"/>
      <c r="I775" s="42"/>
      <c r="J775" s="42">
        <v>-3</v>
      </c>
      <c r="K775" s="42"/>
      <c r="L775" s="42"/>
      <c r="M775" s="43">
        <f t="shared" si="320"/>
        <v>-3</v>
      </c>
      <c r="N775" s="42"/>
      <c r="O775" s="53"/>
      <c r="P775" s="53"/>
      <c r="Q775" s="53"/>
      <c r="R775" s="72">
        <v>-3</v>
      </c>
      <c r="S775" s="24">
        <f>SUM(N775:R775)</f>
        <v>-3</v>
      </c>
      <c r="T775" s="42"/>
      <c r="U775" s="53"/>
      <c r="V775" s="53"/>
      <c r="W775" s="53"/>
      <c r="X775" s="72"/>
      <c r="Y775" s="24">
        <f>SUM(T775:X775)</f>
        <v>0</v>
      </c>
      <c r="Z775" s="24">
        <f>G775+M775+S775+Y775</f>
        <v>-6</v>
      </c>
      <c r="AA775" s="83">
        <v>44505</v>
      </c>
      <c r="AB775" s="47" t="s">
        <v>418</v>
      </c>
      <c r="AC775" s="14"/>
      <c r="AD775" s="15"/>
      <c r="AE775" s="15"/>
      <c r="AF775" s="15"/>
      <c r="AG775" s="15"/>
      <c r="AH775" s="24">
        <f>SUM(AC775:AG775)</f>
        <v>0</v>
      </c>
      <c r="AI775" s="14"/>
      <c r="AJ775" s="15"/>
      <c r="AK775" s="15"/>
      <c r="AL775" s="15"/>
      <c r="AM775" s="15"/>
      <c r="AN775" s="24">
        <f>SUM(AI775:AM775)</f>
        <v>0</v>
      </c>
      <c r="AO775" s="183"/>
      <c r="AP775" s="186"/>
      <c r="AQ775" s="186"/>
      <c r="AR775" s="186"/>
      <c r="AS775" s="187"/>
      <c r="AT775" s="188">
        <f>SUM(AO775:AS775)</f>
        <v>0</v>
      </c>
      <c r="AU775" s="183"/>
      <c r="AV775" s="186"/>
      <c r="AW775" s="186"/>
      <c r="AX775" s="55"/>
      <c r="AY775" s="187"/>
      <c r="AZ775" s="188">
        <f>SUM(AU775:AY775)</f>
        <v>0</v>
      </c>
      <c r="BA775" s="24">
        <f>AH775+AN775+AT775+AZ775</f>
        <v>0</v>
      </c>
      <c r="BB775" s="128" t="s">
        <v>415</v>
      </c>
    </row>
    <row r="776" spans="1:54" ht="15" thickBot="1" x14ac:dyDescent="0.2">
      <c r="A776" s="23" t="s">
        <v>438</v>
      </c>
      <c r="B776" s="44"/>
      <c r="C776" s="45"/>
      <c r="D776" s="45"/>
      <c r="E776" s="45"/>
      <c r="F776" s="45">
        <v>1</v>
      </c>
      <c r="G776" s="43">
        <f t="shared" si="319"/>
        <v>1</v>
      </c>
      <c r="H776" s="44"/>
      <c r="I776" s="45"/>
      <c r="J776" s="45"/>
      <c r="K776" s="45"/>
      <c r="L776" s="45"/>
      <c r="M776" s="112">
        <f t="shared" si="320"/>
        <v>0</v>
      </c>
      <c r="N776" s="45"/>
      <c r="O776" s="78">
        <v>1</v>
      </c>
      <c r="P776" s="78"/>
      <c r="Q776" s="78"/>
      <c r="R776" s="79"/>
      <c r="S776" s="113">
        <f>SUM(N776:R776)</f>
        <v>1</v>
      </c>
      <c r="T776" s="45"/>
      <c r="U776" s="78"/>
      <c r="V776" s="78"/>
      <c r="W776" s="78"/>
      <c r="X776" s="79"/>
      <c r="Y776" s="113">
        <f>SUM(T776:X776)</f>
        <v>0</v>
      </c>
      <c r="Z776" s="82">
        <f>G776+M776+S776+Y776</f>
        <v>2</v>
      </c>
      <c r="AA776" s="83">
        <v>44506</v>
      </c>
      <c r="AB776" s="158" t="s">
        <v>406</v>
      </c>
      <c r="AC776" s="14"/>
      <c r="AD776" s="15"/>
      <c r="AE776" s="15"/>
      <c r="AF776" s="15"/>
      <c r="AG776" s="15"/>
      <c r="AH776" s="24">
        <f>SUM(AC776:AG776)</f>
        <v>0</v>
      </c>
      <c r="AI776" s="14"/>
      <c r="AJ776" s="15"/>
      <c r="AK776" s="15"/>
      <c r="AL776" s="15"/>
      <c r="AM776" s="15"/>
      <c r="AN776" s="24">
        <f>SUM(AI776:AM776)</f>
        <v>0</v>
      </c>
      <c r="AO776" s="15"/>
      <c r="AP776" s="55"/>
      <c r="AQ776" s="55"/>
      <c r="AR776" s="55"/>
      <c r="AS776" s="67"/>
      <c r="AT776" s="24">
        <f>SUM(AO776:AS776)</f>
        <v>0</v>
      </c>
      <c r="AU776" s="15"/>
      <c r="AV776" s="55"/>
      <c r="AW776" s="55"/>
      <c r="AX776" s="55"/>
      <c r="AY776" s="67"/>
      <c r="AZ776" s="24">
        <f>SUM(AU776:AY776)</f>
        <v>0</v>
      </c>
      <c r="BA776" s="24">
        <f>AH776+AN776+AT776+AZ776</f>
        <v>0</v>
      </c>
      <c r="BB776" s="128" t="s">
        <v>407</v>
      </c>
    </row>
    <row r="777" spans="1:54" ht="15" thickBot="1" x14ac:dyDescent="0.2">
      <c r="A777" s="9" t="s">
        <v>13</v>
      </c>
      <c r="B777" s="25">
        <f>SUM(B751:B776)</f>
        <v>2</v>
      </c>
      <c r="C777" s="26">
        <f>SUM(C751:C776)</f>
        <v>1</v>
      </c>
      <c r="D777" s="26">
        <f>SUM(D751:D776)</f>
        <v>1</v>
      </c>
      <c r="E777" s="26">
        <f>SUM(E751:E776)</f>
        <v>1</v>
      </c>
      <c r="F777" s="27">
        <f>SUM(F751:F776)</f>
        <v>1</v>
      </c>
      <c r="G777" s="19">
        <f>SUM(B777:F777)</f>
        <v>6</v>
      </c>
      <c r="H777" s="25">
        <f>SUM(H751:H776)</f>
        <v>-2</v>
      </c>
      <c r="I777" s="26">
        <f>SUM(I751:I776)</f>
        <v>1</v>
      </c>
      <c r="J777" s="26">
        <f>SUM(J751:J776)</f>
        <v>0</v>
      </c>
      <c r="K777" s="26">
        <f>SUM(K751:K776)</f>
        <v>0</v>
      </c>
      <c r="L777" s="27">
        <f>SUM(L751:L776)</f>
        <v>0</v>
      </c>
      <c r="M777" s="25">
        <f>SUM(H777:L777)</f>
        <v>-1</v>
      </c>
      <c r="N777" s="65">
        <f>SUM(N751:N776)</f>
        <v>2</v>
      </c>
      <c r="O777" s="18">
        <f>SUM(O751:O776)</f>
        <v>4</v>
      </c>
      <c r="P777" s="18">
        <f>SUM(P751:P776)</f>
        <v>3</v>
      </c>
      <c r="Q777" s="18">
        <f>SUM(Q751:Q776)</f>
        <v>2</v>
      </c>
      <c r="R777" s="70">
        <f>SUM(R751:R776)</f>
        <v>-2</v>
      </c>
      <c r="S777" s="49">
        <f>SUM(N777:R777)</f>
        <v>9</v>
      </c>
      <c r="T777" s="74">
        <f>SUM(T751:T776)</f>
        <v>1</v>
      </c>
      <c r="U777" s="18">
        <f>SUM(U751:U776)</f>
        <v>2</v>
      </c>
      <c r="V777" s="18">
        <f>SUM(V751:V776)</f>
        <v>0</v>
      </c>
      <c r="W777" s="18">
        <f>SUM(W751:W776)</f>
        <v>2</v>
      </c>
      <c r="X777" s="70">
        <f>SUM(X751:X776)</f>
        <v>0</v>
      </c>
      <c r="Y777" s="49">
        <f>SUM(T777:X777)</f>
        <v>5</v>
      </c>
      <c r="Z777" s="77">
        <f>G777+M777+S777+Y777</f>
        <v>19</v>
      </c>
      <c r="AB777" s="9" t="s">
        <v>13</v>
      </c>
      <c r="AC777" s="25">
        <f>SUM(AC751:AC776)</f>
        <v>0</v>
      </c>
      <c r="AD777" s="26">
        <f>SUM(AD751:AD776)</f>
        <v>1</v>
      </c>
      <c r="AE777" s="26">
        <f>SUM(AE751:AE776)</f>
        <v>4</v>
      </c>
      <c r="AF777" s="26">
        <f>SUM(AF751:AF776)</f>
        <v>0</v>
      </c>
      <c r="AG777" s="27">
        <f>SUM(AG751:AG776)</f>
        <v>2</v>
      </c>
      <c r="AH777" s="19">
        <f>SUM(AC777:AG777)</f>
        <v>7</v>
      </c>
      <c r="AI777" s="25">
        <f>SUM(AI751:AI776)</f>
        <v>3</v>
      </c>
      <c r="AJ777" s="26">
        <f>SUM(AJ751:AJ776)</f>
        <v>0</v>
      </c>
      <c r="AK777" s="26">
        <f>SUM(AK751:AK776)</f>
        <v>3</v>
      </c>
      <c r="AL777" s="26">
        <f>SUM(AL751:AL776)</f>
        <v>0</v>
      </c>
      <c r="AM777" s="27">
        <f>SUM(AM751:AM776)</f>
        <v>3</v>
      </c>
      <c r="AN777" s="25">
        <f>SUM(AI777:AM777)</f>
        <v>9</v>
      </c>
      <c r="AO777" s="65">
        <f>SUM(AO751:AO776)</f>
        <v>0</v>
      </c>
      <c r="AP777" s="18">
        <f>SUM(AP751:AP776)</f>
        <v>0</v>
      </c>
      <c r="AQ777" s="18">
        <f>SUM(AQ751:AQ776)</f>
        <v>1</v>
      </c>
      <c r="AR777" s="18">
        <f>SUM(AR751:AR776)</f>
        <v>0</v>
      </c>
      <c r="AS777" s="70">
        <f>SUM(AS751:AS776)</f>
        <v>3</v>
      </c>
      <c r="AT777" s="49">
        <f>SUM(AO777:AS777)</f>
        <v>4</v>
      </c>
      <c r="AU777" s="74">
        <f>SUM(AU751:AU776)</f>
        <v>0</v>
      </c>
      <c r="AV777" s="18">
        <f>SUM(AV751:AV776)</f>
        <v>0</v>
      </c>
      <c r="AW777" s="18">
        <f>SUM(AW751:AW776)</f>
        <v>0</v>
      </c>
      <c r="AX777" s="18">
        <f>SUM(AX751:AX776)</f>
        <v>0</v>
      </c>
      <c r="AY777" s="70">
        <f>SUM(AY751:AY776)</f>
        <v>0</v>
      </c>
      <c r="AZ777" s="49">
        <f>SUM(AU777:AY777)</f>
        <v>0</v>
      </c>
      <c r="BA777" s="77">
        <f>AH777+AN777+AT777+AZ777</f>
        <v>20</v>
      </c>
    </row>
    <row r="778" spans="1:54" ht="15" thickBot="1" x14ac:dyDescent="0.2">
      <c r="A778" s="32" t="s">
        <v>14</v>
      </c>
      <c r="B778" s="29">
        <f t="shared" ref="B778:Y778" si="347">B750-B777</f>
        <v>2</v>
      </c>
      <c r="C778" s="30">
        <f t="shared" si="347"/>
        <v>2</v>
      </c>
      <c r="D778" s="30">
        <f t="shared" si="347"/>
        <v>3</v>
      </c>
      <c r="E778" s="30">
        <f t="shared" si="347"/>
        <v>3</v>
      </c>
      <c r="F778" s="31">
        <f t="shared" si="347"/>
        <v>2</v>
      </c>
      <c r="G778" s="31">
        <f t="shared" si="347"/>
        <v>12</v>
      </c>
      <c r="H778" s="29">
        <f t="shared" si="347"/>
        <v>4</v>
      </c>
      <c r="I778" s="30">
        <f t="shared" si="347"/>
        <v>5</v>
      </c>
      <c r="J778" s="30">
        <f t="shared" si="347"/>
        <v>3</v>
      </c>
      <c r="K778" s="30">
        <f t="shared" si="347"/>
        <v>2</v>
      </c>
      <c r="L778" s="31">
        <f t="shared" si="347"/>
        <v>4</v>
      </c>
      <c r="M778" s="66">
        <f t="shared" si="347"/>
        <v>18</v>
      </c>
      <c r="N778" s="29">
        <f t="shared" si="347"/>
        <v>3</v>
      </c>
      <c r="O778" s="30">
        <f t="shared" si="347"/>
        <v>2</v>
      </c>
      <c r="P778" s="30">
        <f t="shared" si="347"/>
        <v>3</v>
      </c>
      <c r="Q778" s="30">
        <f t="shared" si="347"/>
        <v>2</v>
      </c>
      <c r="R778" s="66">
        <f t="shared" si="347"/>
        <v>4</v>
      </c>
      <c r="S778" s="33">
        <f t="shared" si="347"/>
        <v>14</v>
      </c>
      <c r="T778" s="75">
        <f t="shared" si="347"/>
        <v>4</v>
      </c>
      <c r="U778" s="30">
        <f t="shared" si="347"/>
        <v>2</v>
      </c>
      <c r="V778" s="30">
        <f t="shared" si="347"/>
        <v>3</v>
      </c>
      <c r="W778" s="30">
        <f t="shared" si="347"/>
        <v>3</v>
      </c>
      <c r="X778" s="66">
        <f t="shared" si="347"/>
        <v>6</v>
      </c>
      <c r="Y778" s="33">
        <f t="shared" si="347"/>
        <v>18</v>
      </c>
      <c r="Z778" s="77">
        <f>G778+M778+S778+Y778</f>
        <v>62</v>
      </c>
      <c r="AB778" s="32" t="s">
        <v>14</v>
      </c>
      <c r="AC778" s="29">
        <f t="shared" ref="AC778:AZ778" si="348">AC750-AC777</f>
        <v>168</v>
      </c>
      <c r="AD778" s="30">
        <f t="shared" si="348"/>
        <v>127</v>
      </c>
      <c r="AE778" s="30">
        <f t="shared" si="348"/>
        <v>115</v>
      </c>
      <c r="AF778" s="30">
        <f t="shared" si="348"/>
        <v>128</v>
      </c>
      <c r="AG778" s="31">
        <f t="shared" si="348"/>
        <v>92</v>
      </c>
      <c r="AH778" s="31">
        <f t="shared" si="348"/>
        <v>630</v>
      </c>
      <c r="AI778" s="29">
        <f t="shared" si="348"/>
        <v>103</v>
      </c>
      <c r="AJ778" s="30">
        <f t="shared" si="348"/>
        <v>99</v>
      </c>
      <c r="AK778" s="30">
        <f t="shared" si="348"/>
        <v>110</v>
      </c>
      <c r="AL778" s="30">
        <f t="shared" si="348"/>
        <v>94</v>
      </c>
      <c r="AM778" s="31">
        <f t="shared" si="348"/>
        <v>89</v>
      </c>
      <c r="AN778" s="66">
        <f t="shared" si="348"/>
        <v>495</v>
      </c>
      <c r="AO778" s="29">
        <f t="shared" si="348"/>
        <v>168</v>
      </c>
      <c r="AP778" s="30">
        <f t="shared" si="348"/>
        <v>149</v>
      </c>
      <c r="AQ778" s="30">
        <f t="shared" si="348"/>
        <v>142</v>
      </c>
      <c r="AR778" s="30">
        <f t="shared" si="348"/>
        <v>151</v>
      </c>
      <c r="AS778" s="66">
        <f t="shared" si="348"/>
        <v>161</v>
      </c>
      <c r="AT778" s="33">
        <f t="shared" si="348"/>
        <v>771</v>
      </c>
      <c r="AU778" s="75">
        <f t="shared" si="348"/>
        <v>116</v>
      </c>
      <c r="AV778" s="30">
        <f t="shared" si="348"/>
        <v>72</v>
      </c>
      <c r="AW778" s="30">
        <f t="shared" si="348"/>
        <v>73</v>
      </c>
      <c r="AX778" s="30">
        <f t="shared" si="348"/>
        <v>74</v>
      </c>
      <c r="AY778" s="66">
        <f t="shared" si="348"/>
        <v>115</v>
      </c>
      <c r="AZ778" s="33">
        <f t="shared" si="348"/>
        <v>450</v>
      </c>
      <c r="BA778" s="77">
        <f>AH778+AN778+AT778+AZ778</f>
        <v>2346</v>
      </c>
    </row>
    <row r="779" spans="1:54" x14ac:dyDescent="0.15">
      <c r="AC779" s="2">
        <f>AC777+AC740</f>
        <v>182</v>
      </c>
      <c r="AD779" s="2">
        <f t="shared" ref="AD779:BA779" si="349">AD777+AD740</f>
        <v>343</v>
      </c>
      <c r="AE779" s="2">
        <f t="shared" si="349"/>
        <v>372</v>
      </c>
      <c r="AF779" s="2">
        <f t="shared" si="349"/>
        <v>339</v>
      </c>
      <c r="AG779" s="2">
        <f t="shared" si="349"/>
        <v>397</v>
      </c>
      <c r="AH779" s="2">
        <f t="shared" si="349"/>
        <v>1633</v>
      </c>
      <c r="AI779" s="2">
        <f t="shared" si="349"/>
        <v>111</v>
      </c>
      <c r="AJ779" s="2">
        <f t="shared" si="349"/>
        <v>171</v>
      </c>
      <c r="AK779" s="2">
        <f t="shared" si="349"/>
        <v>158</v>
      </c>
      <c r="AL779" s="2">
        <f t="shared" si="349"/>
        <v>159</v>
      </c>
      <c r="AM779" s="2">
        <f t="shared" si="349"/>
        <v>165</v>
      </c>
      <c r="AN779" s="2">
        <f t="shared" si="349"/>
        <v>764</v>
      </c>
      <c r="AO779" s="2">
        <f t="shared" si="349"/>
        <v>109</v>
      </c>
      <c r="AP779" s="2">
        <f t="shared" si="349"/>
        <v>174</v>
      </c>
      <c r="AQ779" s="2">
        <f t="shared" si="349"/>
        <v>133</v>
      </c>
      <c r="AR779" s="2">
        <f t="shared" si="349"/>
        <v>139</v>
      </c>
      <c r="AS779" s="2">
        <f t="shared" si="349"/>
        <v>154</v>
      </c>
      <c r="AT779" s="2">
        <f t="shared" si="349"/>
        <v>709</v>
      </c>
      <c r="AU779" s="2">
        <f t="shared" si="349"/>
        <v>80</v>
      </c>
      <c r="AV779" s="2">
        <f t="shared" si="349"/>
        <v>166</v>
      </c>
      <c r="AW779" s="2">
        <f t="shared" si="349"/>
        <v>159</v>
      </c>
      <c r="AX779" s="2">
        <f t="shared" si="349"/>
        <v>155</v>
      </c>
      <c r="AY779" s="2">
        <f t="shared" si="349"/>
        <v>164</v>
      </c>
      <c r="AZ779" s="2">
        <f t="shared" si="349"/>
        <v>724</v>
      </c>
      <c r="BA779" s="2">
        <f t="shared" si="349"/>
        <v>1973</v>
      </c>
    </row>
    <row r="781" spans="1:54" ht="19.5" thickBot="1" x14ac:dyDescent="0.25">
      <c r="A781" s="1" t="s">
        <v>15</v>
      </c>
      <c r="AB781" s="1" t="s">
        <v>16</v>
      </c>
    </row>
    <row r="782" spans="1:54" ht="15" thickBot="1" x14ac:dyDescent="0.2">
      <c r="A782" s="4"/>
      <c r="B782" s="245" t="s">
        <v>17</v>
      </c>
      <c r="C782" s="246"/>
      <c r="D782" s="246"/>
      <c r="E782" s="246"/>
      <c r="F782" s="246"/>
      <c r="G782" s="247"/>
      <c r="H782" s="245" t="s">
        <v>18</v>
      </c>
      <c r="I782" s="246"/>
      <c r="J782" s="246"/>
      <c r="K782" s="246"/>
      <c r="L782" s="246"/>
      <c r="M782" s="247"/>
      <c r="N782" s="248" t="s">
        <v>27</v>
      </c>
      <c r="O782" s="249"/>
      <c r="P782" s="249"/>
      <c r="Q782" s="249"/>
      <c r="R782" s="249"/>
      <c r="S782" s="250"/>
      <c r="T782" s="248" t="s">
        <v>28</v>
      </c>
      <c r="U782" s="249"/>
      <c r="V782" s="249"/>
      <c r="W782" s="249"/>
      <c r="X782" s="249"/>
      <c r="Y782" s="250"/>
      <c r="Z782" s="251" t="s">
        <v>1</v>
      </c>
      <c r="AB782" s="4"/>
      <c r="AC782" s="253" t="s">
        <v>17</v>
      </c>
      <c r="AD782" s="249"/>
      <c r="AE782" s="249"/>
      <c r="AF782" s="249"/>
      <c r="AG782" s="249"/>
      <c r="AH782" s="250"/>
      <c r="AI782" s="248" t="s">
        <v>18</v>
      </c>
      <c r="AJ782" s="249"/>
      <c r="AK782" s="249"/>
      <c r="AL782" s="249"/>
      <c r="AM782" s="249"/>
      <c r="AN782" s="250"/>
      <c r="AO782" s="248" t="s">
        <v>27</v>
      </c>
      <c r="AP782" s="249"/>
      <c r="AQ782" s="249"/>
      <c r="AR782" s="249"/>
      <c r="AS782" s="249"/>
      <c r="AT782" s="250"/>
      <c r="AU782" s="248" t="s">
        <v>28</v>
      </c>
      <c r="AV782" s="249"/>
      <c r="AW782" s="249"/>
      <c r="AX782" s="249"/>
      <c r="AY782" s="249"/>
      <c r="AZ782" s="250"/>
      <c r="BA782" s="243" t="s">
        <v>1</v>
      </c>
    </row>
    <row r="783" spans="1:54" ht="15" thickBot="1" x14ac:dyDescent="0.2">
      <c r="A783" s="9" t="s">
        <v>2</v>
      </c>
      <c r="B783" s="6" t="s">
        <v>3</v>
      </c>
      <c r="C783" s="7" t="s">
        <v>4</v>
      </c>
      <c r="D783" s="7" t="s">
        <v>5</v>
      </c>
      <c r="E783" s="48" t="s">
        <v>20</v>
      </c>
      <c r="F783" s="8" t="s">
        <v>21</v>
      </c>
      <c r="G783" s="5" t="s">
        <v>6</v>
      </c>
      <c r="H783" s="6" t="s">
        <v>3</v>
      </c>
      <c r="I783" s="7" t="s">
        <v>4</v>
      </c>
      <c r="J783" s="7" t="s">
        <v>5</v>
      </c>
      <c r="K783" s="48" t="s">
        <v>20</v>
      </c>
      <c r="L783" s="8" t="s">
        <v>21</v>
      </c>
      <c r="M783" s="5" t="s">
        <v>6</v>
      </c>
      <c r="N783" s="6" t="s">
        <v>3</v>
      </c>
      <c r="O783" s="7" t="s">
        <v>4</v>
      </c>
      <c r="P783" s="7" t="s">
        <v>5</v>
      </c>
      <c r="Q783" s="48" t="s">
        <v>20</v>
      </c>
      <c r="R783" s="8" t="s">
        <v>21</v>
      </c>
      <c r="S783" s="5" t="s">
        <v>6</v>
      </c>
      <c r="T783" s="7" t="s">
        <v>3</v>
      </c>
      <c r="U783" s="7" t="s">
        <v>4</v>
      </c>
      <c r="V783" s="7" t="s">
        <v>5</v>
      </c>
      <c r="W783" s="48" t="s">
        <v>20</v>
      </c>
      <c r="X783" s="109" t="s">
        <v>21</v>
      </c>
      <c r="Y783" s="62" t="s">
        <v>6</v>
      </c>
      <c r="Z783" s="252"/>
      <c r="AB783" s="9" t="s">
        <v>2</v>
      </c>
      <c r="AC783" s="6" t="s">
        <v>3</v>
      </c>
      <c r="AD783" s="7" t="s">
        <v>4</v>
      </c>
      <c r="AE783" s="7" t="s">
        <v>5</v>
      </c>
      <c r="AF783" s="48" t="s">
        <v>20</v>
      </c>
      <c r="AG783" s="8" t="s">
        <v>21</v>
      </c>
      <c r="AH783" s="5" t="s">
        <v>6</v>
      </c>
      <c r="AI783" s="6" t="s">
        <v>3</v>
      </c>
      <c r="AJ783" s="7" t="s">
        <v>4</v>
      </c>
      <c r="AK783" s="7" t="s">
        <v>5</v>
      </c>
      <c r="AL783" s="48" t="s">
        <v>20</v>
      </c>
      <c r="AM783" s="8" t="s">
        <v>21</v>
      </c>
      <c r="AN783" s="5" t="s">
        <v>6</v>
      </c>
      <c r="AO783" s="6" t="s">
        <v>3</v>
      </c>
      <c r="AP783" s="7" t="s">
        <v>4</v>
      </c>
      <c r="AQ783" s="7" t="s">
        <v>5</v>
      </c>
      <c r="AR783" s="48" t="s">
        <v>20</v>
      </c>
      <c r="AS783" s="8" t="s">
        <v>21</v>
      </c>
      <c r="AT783" s="5" t="s">
        <v>6</v>
      </c>
      <c r="AU783" s="7" t="s">
        <v>3</v>
      </c>
      <c r="AV783" s="7" t="s">
        <v>4</v>
      </c>
      <c r="AW783" s="7" t="s">
        <v>5</v>
      </c>
      <c r="AX783" s="48" t="s">
        <v>20</v>
      </c>
      <c r="AY783" s="109" t="s">
        <v>21</v>
      </c>
      <c r="AZ783" s="62" t="s">
        <v>6</v>
      </c>
      <c r="BA783" s="244"/>
    </row>
    <row r="784" spans="1:54" ht="14.25" x14ac:dyDescent="0.15">
      <c r="A784" s="103" t="s">
        <v>43</v>
      </c>
      <c r="B784" s="104">
        <f>B778</f>
        <v>2</v>
      </c>
      <c r="C784" s="105">
        <f>C778</f>
        <v>2</v>
      </c>
      <c r="D784" s="105">
        <f>D778</f>
        <v>3</v>
      </c>
      <c r="E784" s="105">
        <f>E778</f>
        <v>3</v>
      </c>
      <c r="F784" s="105">
        <f>F778</f>
        <v>2</v>
      </c>
      <c r="G784" s="106">
        <f t="shared" ref="G784:G815" si="350">SUM(B784:F784)</f>
        <v>12</v>
      </c>
      <c r="H784" s="104">
        <f>H778</f>
        <v>4</v>
      </c>
      <c r="I784" s="105">
        <f>I778</f>
        <v>5</v>
      </c>
      <c r="J784" s="105">
        <f>J778</f>
        <v>3</v>
      </c>
      <c r="K784" s="105">
        <f>K778</f>
        <v>2</v>
      </c>
      <c r="L784" s="105">
        <f>L778</f>
        <v>4</v>
      </c>
      <c r="M784" s="107">
        <f t="shared" ref="M784:M815" si="351">SUM(H784:L784)</f>
        <v>18</v>
      </c>
      <c r="N784" s="104">
        <f>N778</f>
        <v>3</v>
      </c>
      <c r="O784" s="105">
        <f>O778</f>
        <v>2</v>
      </c>
      <c r="P784" s="105">
        <f>P778</f>
        <v>3</v>
      </c>
      <c r="Q784" s="105">
        <f>Q778</f>
        <v>2</v>
      </c>
      <c r="R784" s="105">
        <f>R778</f>
        <v>4</v>
      </c>
      <c r="S784" s="108">
        <f t="shared" ref="S784:S813" si="352">SUM(N784:R784)</f>
        <v>14</v>
      </c>
      <c r="T784" s="104">
        <f>T778</f>
        <v>4</v>
      </c>
      <c r="U784" s="105">
        <f>U778</f>
        <v>2</v>
      </c>
      <c r="V784" s="105">
        <f>V778</f>
        <v>3</v>
      </c>
      <c r="W784" s="105">
        <f>W778</f>
        <v>3</v>
      </c>
      <c r="X784" s="105">
        <f>X778</f>
        <v>6</v>
      </c>
      <c r="Y784" s="106">
        <f t="shared" ref="Y784:Y813" si="353">SUM(T784:X784)</f>
        <v>18</v>
      </c>
      <c r="Z784" s="106">
        <f t="shared" ref="Z784:Z813" si="354">G784+M784+S784+Y784</f>
        <v>62</v>
      </c>
      <c r="AB784" s="103" t="s">
        <v>43</v>
      </c>
      <c r="AC784" s="104">
        <f>AC778</f>
        <v>168</v>
      </c>
      <c r="AD784" s="105">
        <f>AD778</f>
        <v>127</v>
      </c>
      <c r="AE784" s="105">
        <f>AE778</f>
        <v>115</v>
      </c>
      <c r="AF784" s="105">
        <f>AF778</f>
        <v>128</v>
      </c>
      <c r="AG784" s="105">
        <f>AG778</f>
        <v>92</v>
      </c>
      <c r="AH784" s="106">
        <f>SUM(AC784:AG784)</f>
        <v>630</v>
      </c>
      <c r="AI784" s="104">
        <f>AI778</f>
        <v>103</v>
      </c>
      <c r="AJ784" s="105">
        <f>AJ778</f>
        <v>99</v>
      </c>
      <c r="AK784" s="105">
        <f>AK778</f>
        <v>110</v>
      </c>
      <c r="AL784" s="105">
        <f>AL778</f>
        <v>94</v>
      </c>
      <c r="AM784" s="105">
        <f>AM778</f>
        <v>89</v>
      </c>
      <c r="AN784" s="107">
        <f>SUM(AI784:AM784)</f>
        <v>495</v>
      </c>
      <c r="AO784" s="104">
        <f>AO778</f>
        <v>168</v>
      </c>
      <c r="AP784" s="105">
        <f>AP778</f>
        <v>149</v>
      </c>
      <c r="AQ784" s="105">
        <f>AQ778</f>
        <v>142</v>
      </c>
      <c r="AR784" s="105">
        <f>AR778</f>
        <v>151</v>
      </c>
      <c r="AS784" s="105">
        <f>AS778</f>
        <v>161</v>
      </c>
      <c r="AT784" s="108">
        <f>SUM(AO784:AS784)</f>
        <v>771</v>
      </c>
      <c r="AU784" s="104">
        <f>AU778</f>
        <v>116</v>
      </c>
      <c r="AV784" s="105">
        <f>AV778</f>
        <v>72</v>
      </c>
      <c r="AW784" s="105">
        <f>AW778</f>
        <v>73</v>
      </c>
      <c r="AX784" s="105">
        <f>AX778</f>
        <v>74</v>
      </c>
      <c r="AY784" s="105">
        <f>AY778</f>
        <v>115</v>
      </c>
      <c r="AZ784" s="106">
        <f>SUM(AU784:AY784)</f>
        <v>450</v>
      </c>
      <c r="BA784" s="106">
        <f>AH784+AN784+AT784+AZ784</f>
        <v>2346</v>
      </c>
    </row>
    <row r="785" spans="1:55" ht="14.25" x14ac:dyDescent="0.15">
      <c r="A785" s="10" t="s">
        <v>181</v>
      </c>
      <c r="B785" s="14"/>
      <c r="C785" s="15">
        <v>3</v>
      </c>
      <c r="D785" s="15"/>
      <c r="E785" s="15"/>
      <c r="F785" s="15"/>
      <c r="G785" s="16">
        <f t="shared" si="350"/>
        <v>3</v>
      </c>
      <c r="H785" s="14"/>
      <c r="I785" s="15"/>
      <c r="J785" s="15"/>
      <c r="K785" s="15"/>
      <c r="L785" s="15"/>
      <c r="M785" s="57">
        <f t="shared" si="351"/>
        <v>0</v>
      </c>
      <c r="N785" s="14"/>
      <c r="O785" s="55">
        <v>3</v>
      </c>
      <c r="P785" s="55"/>
      <c r="Q785" s="55"/>
      <c r="R785" s="67"/>
      <c r="S785" s="24">
        <f t="shared" si="352"/>
        <v>3</v>
      </c>
      <c r="T785" s="15"/>
      <c r="U785" s="55"/>
      <c r="V785" s="55"/>
      <c r="W785" s="55"/>
      <c r="X785" s="67"/>
      <c r="Y785" s="24">
        <f t="shared" si="353"/>
        <v>0</v>
      </c>
      <c r="Z785" s="24">
        <f t="shared" si="354"/>
        <v>6</v>
      </c>
      <c r="AA785" s="83">
        <v>44511</v>
      </c>
      <c r="AB785" s="10" t="s">
        <v>181</v>
      </c>
      <c r="AC785" s="41"/>
      <c r="AD785" s="42"/>
      <c r="AE785" s="42"/>
      <c r="AF785" s="42">
        <v>1</v>
      </c>
      <c r="AG785" s="42"/>
      <c r="AH785" s="43">
        <f t="shared" ref="AH785" si="355">SUM(AC785:AG785)</f>
        <v>1</v>
      </c>
      <c r="AI785" s="41">
        <v>1</v>
      </c>
      <c r="AJ785" s="42">
        <v>8</v>
      </c>
      <c r="AK785" s="42"/>
      <c r="AL785" s="42">
        <v>3</v>
      </c>
      <c r="AM785" s="42">
        <v>4</v>
      </c>
      <c r="AN785" s="43">
        <f t="shared" ref="AN785" si="356">SUM(AI785:AM785)</f>
        <v>16</v>
      </c>
      <c r="AO785" s="42"/>
      <c r="AP785" s="53"/>
      <c r="AQ785" s="53">
        <v>1</v>
      </c>
      <c r="AR785" s="53"/>
      <c r="AS785" s="72">
        <v>1</v>
      </c>
      <c r="AT785" s="24">
        <f t="shared" ref="AT785" si="357">SUM(AO785:AS785)</f>
        <v>2</v>
      </c>
      <c r="AU785" s="42">
        <v>3</v>
      </c>
      <c r="AV785" s="53">
        <v>6</v>
      </c>
      <c r="AW785" s="53">
        <v>1</v>
      </c>
      <c r="AX785" s="53"/>
      <c r="AY785" s="72">
        <v>3</v>
      </c>
      <c r="AZ785" s="24">
        <f t="shared" ref="AZ785" si="358">SUM(AU785:AY785)</f>
        <v>13</v>
      </c>
      <c r="BA785" s="24">
        <f t="shared" ref="BA785" si="359">AH785+AN785+AT785+AZ785</f>
        <v>32</v>
      </c>
      <c r="BB785" s="93">
        <v>44548</v>
      </c>
    </row>
    <row r="786" spans="1:55" ht="14.25" x14ac:dyDescent="0.15">
      <c r="A786" s="10" t="s">
        <v>181</v>
      </c>
      <c r="B786" s="41">
        <v>3</v>
      </c>
      <c r="C786" s="42">
        <v>3</v>
      </c>
      <c r="D786" s="42"/>
      <c r="E786" s="42"/>
      <c r="F786" s="42"/>
      <c r="G786" s="37">
        <f t="shared" si="350"/>
        <v>6</v>
      </c>
      <c r="H786" s="41"/>
      <c r="I786" s="42"/>
      <c r="J786" s="42"/>
      <c r="K786" s="42"/>
      <c r="L786" s="42"/>
      <c r="M786" s="114">
        <f t="shared" si="351"/>
        <v>0</v>
      </c>
      <c r="N786" s="41"/>
      <c r="O786" s="53"/>
      <c r="P786" s="53"/>
      <c r="Q786" s="53"/>
      <c r="R786" s="72"/>
      <c r="S786" s="24">
        <f t="shared" si="352"/>
        <v>0</v>
      </c>
      <c r="T786" s="42"/>
      <c r="U786" s="53"/>
      <c r="V786" s="53"/>
      <c r="W786" s="53"/>
      <c r="X786" s="72"/>
      <c r="Y786" s="24">
        <f t="shared" si="353"/>
        <v>0</v>
      </c>
      <c r="Z786" s="24">
        <f t="shared" si="354"/>
        <v>6</v>
      </c>
      <c r="AA786" s="83">
        <v>44512</v>
      </c>
      <c r="AB786" s="10" t="s">
        <v>181</v>
      </c>
      <c r="AC786" s="14"/>
      <c r="AD786" s="15"/>
      <c r="AE786" s="15"/>
      <c r="AF786" s="15"/>
      <c r="AG786" s="15"/>
      <c r="AH786" s="24">
        <v>2</v>
      </c>
      <c r="AI786" s="14"/>
      <c r="AJ786" s="15"/>
      <c r="AK786" s="15"/>
      <c r="AL786" s="15"/>
      <c r="AM786" s="15"/>
      <c r="AN786" s="24">
        <v>1</v>
      </c>
      <c r="AO786" s="14"/>
      <c r="AP786" s="55"/>
      <c r="AQ786" s="55"/>
      <c r="AR786" s="55"/>
      <c r="AS786" s="67"/>
      <c r="AT786" s="24">
        <v>0</v>
      </c>
      <c r="AU786" s="15"/>
      <c r="AV786" s="55"/>
      <c r="AW786" s="55"/>
      <c r="AX786" s="55"/>
      <c r="AY786" s="67"/>
      <c r="AZ786" s="24">
        <v>0</v>
      </c>
      <c r="BA786" s="24">
        <v>3</v>
      </c>
    </row>
    <row r="787" spans="1:55" ht="14.25" x14ac:dyDescent="0.15">
      <c r="A787" s="10" t="s">
        <v>181</v>
      </c>
      <c r="B787" s="14"/>
      <c r="C787" s="15"/>
      <c r="D787" s="15"/>
      <c r="E787" s="15">
        <v>3</v>
      </c>
      <c r="F787" s="15"/>
      <c r="G787" s="16">
        <f t="shared" si="350"/>
        <v>3</v>
      </c>
      <c r="H787" s="14"/>
      <c r="I787" s="15"/>
      <c r="J787" s="15"/>
      <c r="K787" s="15">
        <v>3</v>
      </c>
      <c r="L787" s="15"/>
      <c r="M787" s="57">
        <f t="shared" si="351"/>
        <v>3</v>
      </c>
      <c r="N787" s="14"/>
      <c r="O787" s="55"/>
      <c r="P787" s="55"/>
      <c r="Q787" s="55"/>
      <c r="R787" s="67"/>
      <c r="S787" s="24">
        <f t="shared" si="352"/>
        <v>0</v>
      </c>
      <c r="T787" s="15"/>
      <c r="U787" s="55"/>
      <c r="V787" s="55"/>
      <c r="W787" s="55"/>
      <c r="X787" s="67"/>
      <c r="Y787" s="24">
        <f t="shared" si="353"/>
        <v>0</v>
      </c>
      <c r="Z787" s="24">
        <f t="shared" si="354"/>
        <v>6</v>
      </c>
      <c r="AA787" s="83">
        <v>44530</v>
      </c>
      <c r="AB787" s="10" t="s">
        <v>181</v>
      </c>
      <c r="AC787" s="41"/>
      <c r="AD787" s="42"/>
      <c r="AE787" s="42"/>
      <c r="AF787" s="42"/>
      <c r="AG787" s="42"/>
      <c r="AH787" s="43">
        <f t="shared" ref="AH787" si="360">SUM(AC787:AG787)</f>
        <v>0</v>
      </c>
      <c r="AI787" s="41"/>
      <c r="AJ787" s="42"/>
      <c r="AK787" s="42"/>
      <c r="AL787" s="42"/>
      <c r="AM787" s="42"/>
      <c r="AN787" s="43">
        <f t="shared" ref="AN787" si="361">SUM(AI787:AM787)</f>
        <v>0</v>
      </c>
      <c r="AO787" s="42"/>
      <c r="AP787" s="53"/>
      <c r="AQ787" s="53"/>
      <c r="AR787" s="53"/>
      <c r="AS787" s="72"/>
      <c r="AT787" s="24">
        <f t="shared" ref="AT787" si="362">SUM(AO787:AS787)</f>
        <v>0</v>
      </c>
      <c r="AU787" s="42"/>
      <c r="AV787" s="53"/>
      <c r="AW787" s="53"/>
      <c r="AX787" s="53"/>
      <c r="AY787" s="72"/>
      <c r="AZ787" s="24">
        <f t="shared" ref="AZ787:AZ812" si="363">SUM(AU787:AY787)</f>
        <v>0</v>
      </c>
      <c r="BA787" s="24">
        <f t="shared" ref="BA787:BA812" si="364">AH787+AN787+AT787+AZ787</f>
        <v>0</v>
      </c>
    </row>
    <row r="788" spans="1:55" ht="15" thickBot="1" x14ac:dyDescent="0.2">
      <c r="A788" s="10" t="s">
        <v>181</v>
      </c>
      <c r="B788" s="14"/>
      <c r="C788" s="15"/>
      <c r="D788" s="15"/>
      <c r="E788" s="15"/>
      <c r="F788" s="15"/>
      <c r="G788" s="16">
        <f t="shared" si="350"/>
        <v>0</v>
      </c>
      <c r="H788" s="14"/>
      <c r="I788" s="15"/>
      <c r="J788" s="15"/>
      <c r="K788" s="15"/>
      <c r="L788" s="15"/>
      <c r="M788" s="57">
        <f t="shared" si="351"/>
        <v>0</v>
      </c>
      <c r="N788" s="63"/>
      <c r="O788" s="64"/>
      <c r="P788" s="64"/>
      <c r="Q788" s="64">
        <v>3</v>
      </c>
      <c r="R788" s="69"/>
      <c r="S788" s="82">
        <f t="shared" si="352"/>
        <v>3</v>
      </c>
      <c r="T788" s="73"/>
      <c r="U788" s="64"/>
      <c r="V788" s="64"/>
      <c r="W788" s="64"/>
      <c r="X788" s="69"/>
      <c r="Y788" s="82">
        <f t="shared" si="353"/>
        <v>0</v>
      </c>
      <c r="Z788" s="82">
        <f t="shared" si="354"/>
        <v>3</v>
      </c>
      <c r="AA788" s="83">
        <v>44537</v>
      </c>
      <c r="AB788" s="10" t="s">
        <v>181</v>
      </c>
      <c r="AC788" s="14"/>
      <c r="AD788" s="15"/>
      <c r="AE788" s="15"/>
      <c r="AF788" s="15"/>
      <c r="AG788" s="15"/>
      <c r="AH788" s="178">
        <f>SUM(AC788:AG788)</f>
        <v>0</v>
      </c>
      <c r="AI788" s="14"/>
      <c r="AJ788" s="15"/>
      <c r="AK788" s="15"/>
      <c r="AL788" s="15"/>
      <c r="AM788" s="15"/>
      <c r="AN788" s="178">
        <f>SUM(AI788:AM788)</f>
        <v>0</v>
      </c>
      <c r="AO788" s="63"/>
      <c r="AP788" s="64"/>
      <c r="AQ788" s="64"/>
      <c r="AR788" s="64"/>
      <c r="AS788" s="69"/>
      <c r="AT788" s="178">
        <f>SUM(AO788:AS788)</f>
        <v>0</v>
      </c>
      <c r="AU788" s="73"/>
      <c r="AV788" s="64"/>
      <c r="AW788" s="64"/>
      <c r="AX788" s="64"/>
      <c r="AY788" s="69"/>
      <c r="AZ788" s="178">
        <f t="shared" si="363"/>
        <v>0</v>
      </c>
      <c r="BA788" s="178">
        <f t="shared" si="364"/>
        <v>0</v>
      </c>
    </row>
    <row r="789" spans="1:55" ht="15" thickBot="1" x14ac:dyDescent="0.2">
      <c r="A789" s="4" t="s">
        <v>12</v>
      </c>
      <c r="B789" s="17">
        <f>SUM(B784:B788)</f>
        <v>5</v>
      </c>
      <c r="C789" s="18">
        <f>SUM(C784:C788)</f>
        <v>8</v>
      </c>
      <c r="D789" s="18">
        <f>SUM(D784:D788)</f>
        <v>3</v>
      </c>
      <c r="E789" s="18">
        <f>SUM(E784:E788)</f>
        <v>6</v>
      </c>
      <c r="F789" s="18">
        <f>SUM(F784:F788)</f>
        <v>2</v>
      </c>
      <c r="G789" s="19">
        <f t="shared" si="350"/>
        <v>24</v>
      </c>
      <c r="H789" s="17">
        <f>SUM(H784:H788)</f>
        <v>4</v>
      </c>
      <c r="I789" s="18">
        <f>SUM(I784:I788)</f>
        <v>5</v>
      </c>
      <c r="J789" s="18">
        <f>SUM(J784:J788)</f>
        <v>3</v>
      </c>
      <c r="K789" s="18">
        <f>SUM(K784:K788)</f>
        <v>5</v>
      </c>
      <c r="L789" s="18">
        <f>SUM(L784:L788)</f>
        <v>4</v>
      </c>
      <c r="M789" s="25">
        <f t="shared" si="351"/>
        <v>21</v>
      </c>
      <c r="N789" s="65">
        <f>SUM(N784:N788)</f>
        <v>3</v>
      </c>
      <c r="O789" s="18">
        <f>SUM(O784:O788)</f>
        <v>5</v>
      </c>
      <c r="P789" s="18">
        <f>SUM(P784:P788)</f>
        <v>3</v>
      </c>
      <c r="Q789" s="18">
        <f>SUM(Q784:Q788)</f>
        <v>5</v>
      </c>
      <c r="R789" s="70">
        <f>SUM(R784:R788)</f>
        <v>4</v>
      </c>
      <c r="S789" s="49">
        <f t="shared" si="352"/>
        <v>20</v>
      </c>
      <c r="T789" s="74">
        <f>SUM(T784:T788)</f>
        <v>4</v>
      </c>
      <c r="U789" s="18">
        <f>SUM(U784:U788)</f>
        <v>2</v>
      </c>
      <c r="V789" s="18">
        <f>SUM(V784:V788)</f>
        <v>3</v>
      </c>
      <c r="W789" s="18">
        <f>SUM(W784:W788)</f>
        <v>3</v>
      </c>
      <c r="X789" s="70">
        <f>SUM(X784:X788)</f>
        <v>6</v>
      </c>
      <c r="Y789" s="49">
        <f t="shared" si="353"/>
        <v>18</v>
      </c>
      <c r="Z789" s="33">
        <f t="shared" si="354"/>
        <v>83</v>
      </c>
      <c r="AB789" s="4" t="s">
        <v>12</v>
      </c>
      <c r="AC789" s="17">
        <f>SUM(AC784:AC788)</f>
        <v>168</v>
      </c>
      <c r="AD789" s="18">
        <f>SUM(AD784:AD788)</f>
        <v>127</v>
      </c>
      <c r="AE789" s="18">
        <f>SUM(AE784:AE788)</f>
        <v>115</v>
      </c>
      <c r="AF789" s="18">
        <f>SUM(AF784:AF788)</f>
        <v>129</v>
      </c>
      <c r="AG789" s="18">
        <f>SUM(AG784:AG788)</f>
        <v>92</v>
      </c>
      <c r="AH789" s="148">
        <f t="shared" ref="AH789:AH812" si="365">SUM(AC789:AG789)</f>
        <v>631</v>
      </c>
      <c r="AI789" s="17">
        <f>SUM(AI784:AI788)</f>
        <v>104</v>
      </c>
      <c r="AJ789" s="18">
        <f>SUM(AJ784:AJ788)</f>
        <v>107</v>
      </c>
      <c r="AK789" s="18">
        <f>SUM(AK784:AK788)</f>
        <v>110</v>
      </c>
      <c r="AL789" s="18">
        <f>SUM(AL784:AL788)</f>
        <v>97</v>
      </c>
      <c r="AM789" s="18">
        <f>SUM(AM784:AM788)</f>
        <v>93</v>
      </c>
      <c r="AN789" s="148">
        <f t="shared" ref="AN789:AN812" si="366">SUM(AI789:AM789)</f>
        <v>511</v>
      </c>
      <c r="AO789" s="65">
        <f>SUM(AO784:AO788)</f>
        <v>168</v>
      </c>
      <c r="AP789" s="18">
        <f>SUM(AP784:AP788)</f>
        <v>149</v>
      </c>
      <c r="AQ789" s="18">
        <f>SUM(AQ784:AQ788)</f>
        <v>143</v>
      </c>
      <c r="AR789" s="18">
        <f>SUM(AR784:AR788)</f>
        <v>151</v>
      </c>
      <c r="AS789" s="70">
        <f>SUM(AS784:AS788)</f>
        <v>162</v>
      </c>
      <c r="AT789" s="49">
        <f t="shared" ref="AT789:AT812" si="367">SUM(AO789:AS789)</f>
        <v>773</v>
      </c>
      <c r="AU789" s="74">
        <f>SUM(AU784:AU788)</f>
        <v>119</v>
      </c>
      <c r="AV789" s="18">
        <f>SUM(AV784:AV788)</f>
        <v>78</v>
      </c>
      <c r="AW789" s="18">
        <f>SUM(AW784:AW788)</f>
        <v>74</v>
      </c>
      <c r="AX789" s="18">
        <f>SUM(AX784:AX788)</f>
        <v>74</v>
      </c>
      <c r="AY789" s="70">
        <f>SUM(AY784:AY788)</f>
        <v>118</v>
      </c>
      <c r="AZ789" s="49">
        <f t="shared" si="363"/>
        <v>463</v>
      </c>
      <c r="BA789" s="33">
        <f t="shared" si="364"/>
        <v>2378</v>
      </c>
    </row>
    <row r="790" spans="1:55" ht="14.25" x14ac:dyDescent="0.15">
      <c r="A790" s="23" t="s">
        <v>438</v>
      </c>
      <c r="B790" s="34"/>
      <c r="C790" s="35">
        <v>1</v>
      </c>
      <c r="D790" s="35">
        <v>1</v>
      </c>
      <c r="E790" s="35"/>
      <c r="F790" s="35">
        <v>1</v>
      </c>
      <c r="G790" s="36">
        <f t="shared" si="350"/>
        <v>3</v>
      </c>
      <c r="H790" s="34"/>
      <c r="I790" s="35"/>
      <c r="J790" s="35"/>
      <c r="K790" s="35"/>
      <c r="L790" s="35"/>
      <c r="M790" s="36">
        <f t="shared" si="351"/>
        <v>0</v>
      </c>
      <c r="N790" s="39"/>
      <c r="O790" s="56"/>
      <c r="P790" s="56"/>
      <c r="Q790" s="56"/>
      <c r="R790" s="71"/>
      <c r="S790" s="16">
        <f t="shared" si="352"/>
        <v>0</v>
      </c>
      <c r="T790" s="39"/>
      <c r="U790" s="56"/>
      <c r="V790" s="56">
        <v>1</v>
      </c>
      <c r="W790" s="56"/>
      <c r="X790" s="71"/>
      <c r="Y790" s="16">
        <f t="shared" si="353"/>
        <v>1</v>
      </c>
      <c r="Z790" s="16">
        <f t="shared" si="354"/>
        <v>4</v>
      </c>
      <c r="AA790" s="83">
        <v>44509</v>
      </c>
      <c r="AB790" s="21" t="s">
        <v>484</v>
      </c>
      <c r="AC790" s="14"/>
      <c r="AD790" s="15">
        <v>5</v>
      </c>
      <c r="AE790" s="15">
        <v>5</v>
      </c>
      <c r="AF790" s="15">
        <v>5</v>
      </c>
      <c r="AG790" s="15">
        <v>5</v>
      </c>
      <c r="AH790" s="24">
        <f t="shared" si="365"/>
        <v>20</v>
      </c>
      <c r="AI790" s="14">
        <v>5</v>
      </c>
      <c r="AJ790" s="15">
        <v>5</v>
      </c>
      <c r="AK790" s="15">
        <v>5</v>
      </c>
      <c r="AL790" s="15">
        <v>5</v>
      </c>
      <c r="AM790" s="15">
        <v>5</v>
      </c>
      <c r="AN790" s="24">
        <f t="shared" si="366"/>
        <v>25</v>
      </c>
      <c r="AO790" s="15"/>
      <c r="AP790" s="55"/>
      <c r="AQ790" s="55"/>
      <c r="AR790" s="55"/>
      <c r="AS790" s="67"/>
      <c r="AT790" s="24">
        <f t="shared" si="367"/>
        <v>0</v>
      </c>
      <c r="AU790" s="15"/>
      <c r="AV790" s="55"/>
      <c r="AW790" s="55"/>
      <c r="AX790" s="55"/>
      <c r="AY790" s="67"/>
      <c r="AZ790" s="24">
        <f t="shared" si="363"/>
        <v>0</v>
      </c>
      <c r="BA790" s="24">
        <f t="shared" si="364"/>
        <v>45</v>
      </c>
      <c r="BB790" s="83">
        <v>44516</v>
      </c>
    </row>
    <row r="791" spans="1:55" ht="14.25" x14ac:dyDescent="0.15">
      <c r="A791" s="23" t="s">
        <v>438</v>
      </c>
      <c r="B791" s="14"/>
      <c r="C791" s="15">
        <v>1</v>
      </c>
      <c r="D791" s="15"/>
      <c r="E791" s="15"/>
      <c r="F791" s="15"/>
      <c r="G791" s="24">
        <f t="shared" si="350"/>
        <v>1</v>
      </c>
      <c r="H791" s="14"/>
      <c r="I791" s="15"/>
      <c r="J791" s="15"/>
      <c r="K791" s="15"/>
      <c r="L791" s="15"/>
      <c r="M791" s="24">
        <f t="shared" si="351"/>
        <v>0</v>
      </c>
      <c r="N791" s="15"/>
      <c r="O791" s="55">
        <v>1</v>
      </c>
      <c r="P791" s="55"/>
      <c r="Q791" s="55"/>
      <c r="R791" s="67"/>
      <c r="S791" s="24">
        <f t="shared" si="352"/>
        <v>1</v>
      </c>
      <c r="T791" s="15"/>
      <c r="U791" s="55"/>
      <c r="V791" s="55"/>
      <c r="W791" s="55"/>
      <c r="X791" s="67"/>
      <c r="Y791" s="24">
        <f t="shared" si="353"/>
        <v>0</v>
      </c>
      <c r="Z791" s="24">
        <f t="shared" si="354"/>
        <v>2</v>
      </c>
      <c r="AA791" s="83">
        <v>44511</v>
      </c>
      <c r="AB791" s="10" t="s">
        <v>126</v>
      </c>
      <c r="AC791" s="41"/>
      <c r="AD791" s="42">
        <v>3</v>
      </c>
      <c r="AE791" s="42"/>
      <c r="AF791" s="42"/>
      <c r="AG791" s="42"/>
      <c r="AH791" s="37">
        <f t="shared" ref="AH791" si="368">SUM(AC791:AG791)</f>
        <v>3</v>
      </c>
      <c r="AI791" s="41"/>
      <c r="AJ791" s="42"/>
      <c r="AK791" s="42"/>
      <c r="AL791" s="42"/>
      <c r="AM791" s="42"/>
      <c r="AN791" s="114">
        <f t="shared" ref="AN791" si="369">SUM(AI791:AM791)</f>
        <v>0</v>
      </c>
      <c r="AO791" s="41"/>
      <c r="AP791" s="53">
        <v>3</v>
      </c>
      <c r="AQ791" s="53"/>
      <c r="AR791" s="53"/>
      <c r="AS791" s="72"/>
      <c r="AT791" s="24">
        <f t="shared" ref="AT791" si="370">SUM(AO791:AS791)</f>
        <v>3</v>
      </c>
      <c r="AU791" s="42"/>
      <c r="AV791" s="53"/>
      <c r="AW791" s="53"/>
      <c r="AX791" s="53"/>
      <c r="AY791" s="72"/>
      <c r="AZ791" s="24">
        <f t="shared" ref="AZ791" si="371">SUM(AU791:AY791)</f>
        <v>0</v>
      </c>
      <c r="BA791" s="24">
        <f t="shared" si="364"/>
        <v>6</v>
      </c>
      <c r="BB791" s="83">
        <v>44511</v>
      </c>
    </row>
    <row r="792" spans="1:55" ht="14.25" x14ac:dyDescent="0.15">
      <c r="A792" s="23" t="s">
        <v>438</v>
      </c>
      <c r="B792" s="41"/>
      <c r="C792" s="42">
        <v>2</v>
      </c>
      <c r="D792" s="42"/>
      <c r="E792" s="42"/>
      <c r="F792" s="42"/>
      <c r="G792" s="43">
        <f t="shared" si="350"/>
        <v>2</v>
      </c>
      <c r="H792" s="41"/>
      <c r="I792" s="42"/>
      <c r="J792" s="42"/>
      <c r="K792" s="42"/>
      <c r="L792" s="42"/>
      <c r="M792" s="43">
        <f t="shared" si="351"/>
        <v>0</v>
      </c>
      <c r="N792" s="42"/>
      <c r="O792" s="53"/>
      <c r="P792" s="53"/>
      <c r="Q792" s="53"/>
      <c r="R792" s="72"/>
      <c r="S792" s="24">
        <f t="shared" si="352"/>
        <v>0</v>
      </c>
      <c r="T792" s="42"/>
      <c r="U792" s="53"/>
      <c r="V792" s="53"/>
      <c r="W792" s="53"/>
      <c r="X792" s="72"/>
      <c r="Y792" s="24">
        <f t="shared" si="353"/>
        <v>0</v>
      </c>
      <c r="Z792" s="24">
        <f t="shared" si="354"/>
        <v>2</v>
      </c>
      <c r="AA792" s="83">
        <v>44512</v>
      </c>
      <c r="AB792" s="23" t="s">
        <v>126</v>
      </c>
      <c r="AC792" s="41">
        <v>3</v>
      </c>
      <c r="AD792" s="42">
        <v>3</v>
      </c>
      <c r="AE792" s="42"/>
      <c r="AF792" s="42"/>
      <c r="AG792" s="42"/>
      <c r="AH792" s="43">
        <f t="shared" ref="AH792" si="372">SUM(AC792:AG792)</f>
        <v>6</v>
      </c>
      <c r="AI792" s="41"/>
      <c r="AJ792" s="42"/>
      <c r="AK792" s="42"/>
      <c r="AL792" s="42"/>
      <c r="AM792" s="42"/>
      <c r="AN792" s="43">
        <f t="shared" ref="AN792" si="373">SUM(AI792:AM792)</f>
        <v>0</v>
      </c>
      <c r="AO792" s="42"/>
      <c r="AP792" s="53"/>
      <c r="AQ792" s="53"/>
      <c r="AR792" s="53"/>
      <c r="AS792" s="72"/>
      <c r="AT792" s="43">
        <f t="shared" ref="AT792" si="374">SUM(AO792:AS792)</f>
        <v>0</v>
      </c>
      <c r="AU792" s="42"/>
      <c r="AV792" s="53"/>
      <c r="AW792" s="53"/>
      <c r="AX792" s="53"/>
      <c r="AY792" s="72"/>
      <c r="AZ792" s="43">
        <f t="shared" ref="AZ792" si="375">SUM(AU792:AY792)</f>
        <v>0</v>
      </c>
      <c r="BA792" s="43">
        <f t="shared" si="364"/>
        <v>6</v>
      </c>
      <c r="BB792" s="83">
        <v>44512</v>
      </c>
    </row>
    <row r="793" spans="1:55" ht="14.25" x14ac:dyDescent="0.15">
      <c r="A793" s="23" t="s">
        <v>48</v>
      </c>
      <c r="B793" s="41">
        <v>1</v>
      </c>
      <c r="C793" s="42"/>
      <c r="D793" s="42"/>
      <c r="E793" s="42"/>
      <c r="F793" s="42"/>
      <c r="G793" s="43">
        <f t="shared" si="350"/>
        <v>1</v>
      </c>
      <c r="H793" s="41"/>
      <c r="I793" s="42"/>
      <c r="J793" s="42"/>
      <c r="K793" s="42"/>
      <c r="L793" s="42"/>
      <c r="M793" s="43">
        <f t="shared" si="351"/>
        <v>0</v>
      </c>
      <c r="N793" s="42"/>
      <c r="O793" s="53"/>
      <c r="P793" s="53"/>
      <c r="Q793" s="53"/>
      <c r="R793" s="72"/>
      <c r="S793" s="24">
        <f t="shared" si="352"/>
        <v>0</v>
      </c>
      <c r="T793" s="42"/>
      <c r="U793" s="53"/>
      <c r="V793" s="53"/>
      <c r="W793" s="53"/>
      <c r="X793" s="72"/>
      <c r="Y793" s="24">
        <f t="shared" si="353"/>
        <v>0</v>
      </c>
      <c r="Z793" s="24">
        <f t="shared" si="354"/>
        <v>1</v>
      </c>
      <c r="AA793" s="83">
        <v>44511</v>
      </c>
      <c r="AB793" s="23" t="s">
        <v>126</v>
      </c>
      <c r="AC793" s="41"/>
      <c r="AD793" s="42"/>
      <c r="AE793" s="42"/>
      <c r="AF793" s="42">
        <v>3</v>
      </c>
      <c r="AG793" s="42"/>
      <c r="AH793" s="43">
        <f t="shared" ref="AH793" si="376">SUM(AC793:AG793)</f>
        <v>3</v>
      </c>
      <c r="AI793" s="41"/>
      <c r="AJ793" s="42"/>
      <c r="AK793" s="42"/>
      <c r="AL793" s="42">
        <v>3</v>
      </c>
      <c r="AM793" s="42"/>
      <c r="AN793" s="43">
        <f t="shared" ref="AN793" si="377">SUM(AI793:AM793)</f>
        <v>3</v>
      </c>
      <c r="AO793" s="42"/>
      <c r="AP793" s="53"/>
      <c r="AQ793" s="53"/>
      <c r="AR793" s="53"/>
      <c r="AS793" s="72"/>
      <c r="AT793" s="24">
        <f t="shared" ref="AT793" si="378">SUM(AO793:AS793)</f>
        <v>0</v>
      </c>
      <c r="AU793" s="42"/>
      <c r="AV793" s="53"/>
      <c r="AW793" s="53"/>
      <c r="AX793" s="53"/>
      <c r="AY793" s="72"/>
      <c r="AZ793" s="24">
        <f t="shared" ref="AZ793" si="379">SUM(AU793:AY793)</f>
        <v>0</v>
      </c>
      <c r="BA793" s="24">
        <f t="shared" si="364"/>
        <v>6</v>
      </c>
      <c r="BB793" s="83">
        <v>44530</v>
      </c>
    </row>
    <row r="794" spans="1:55" ht="14.25" x14ac:dyDescent="0.15">
      <c r="A794" s="23" t="s">
        <v>438</v>
      </c>
      <c r="B794" s="171"/>
      <c r="C794" s="42"/>
      <c r="D794" s="42"/>
      <c r="E794" s="42"/>
      <c r="F794" s="42"/>
      <c r="G794" s="43">
        <f t="shared" si="350"/>
        <v>0</v>
      </c>
      <c r="H794" s="41"/>
      <c r="I794" s="42"/>
      <c r="J794" s="42"/>
      <c r="K794" s="42"/>
      <c r="L794" s="42"/>
      <c r="M794" s="43">
        <f t="shared" si="351"/>
        <v>0</v>
      </c>
      <c r="N794" s="42"/>
      <c r="O794" s="53"/>
      <c r="P794" s="53">
        <v>1</v>
      </c>
      <c r="Q794" s="53"/>
      <c r="R794" s="72"/>
      <c r="S794" s="24">
        <f t="shared" si="352"/>
        <v>1</v>
      </c>
      <c r="T794" s="42"/>
      <c r="U794" s="53"/>
      <c r="V794" s="53"/>
      <c r="W794" s="53"/>
      <c r="X794" s="72"/>
      <c r="Y794" s="24">
        <f t="shared" si="353"/>
        <v>0</v>
      </c>
      <c r="Z794" s="24">
        <f t="shared" si="354"/>
        <v>1</v>
      </c>
      <c r="AA794" s="83">
        <v>44518</v>
      </c>
      <c r="AB794" s="23" t="s">
        <v>126</v>
      </c>
      <c r="AC794" s="41"/>
      <c r="AD794" s="42"/>
      <c r="AE794" s="42"/>
      <c r="AF794" s="42"/>
      <c r="AG794" s="42"/>
      <c r="AH794" s="43">
        <f t="shared" ref="AH794" si="380">SUM(AC794:AG794)</f>
        <v>0</v>
      </c>
      <c r="AI794" s="41"/>
      <c r="AJ794" s="42"/>
      <c r="AK794" s="42"/>
      <c r="AL794" s="42"/>
      <c r="AM794" s="42"/>
      <c r="AN794" s="43">
        <f t="shared" ref="AN794" si="381">SUM(AI794:AM794)</f>
        <v>0</v>
      </c>
      <c r="AO794" s="42"/>
      <c r="AP794" s="53"/>
      <c r="AQ794" s="53"/>
      <c r="AR794" s="53">
        <v>3</v>
      </c>
      <c r="AS794" s="72"/>
      <c r="AT794" s="24">
        <f t="shared" ref="AT794" si="382">SUM(AO794:AS794)</f>
        <v>3</v>
      </c>
      <c r="AU794" s="42"/>
      <c r="AV794" s="53"/>
      <c r="AW794" s="53"/>
      <c r="AX794" s="53"/>
      <c r="AY794" s="72"/>
      <c r="AZ794" s="24">
        <f t="shared" ref="AZ794" si="383">SUM(AU794:AY794)</f>
        <v>0</v>
      </c>
      <c r="BA794" s="24">
        <f t="shared" si="364"/>
        <v>3</v>
      </c>
      <c r="BB794" s="83">
        <v>44537</v>
      </c>
      <c r="BC794" s="111"/>
    </row>
    <row r="795" spans="1:55" ht="14.25" x14ac:dyDescent="0.15">
      <c r="A795" s="23" t="s">
        <v>48</v>
      </c>
      <c r="B795" s="41"/>
      <c r="C795" s="42"/>
      <c r="D795" s="42"/>
      <c r="E795" s="42"/>
      <c r="F795" s="42"/>
      <c r="G795" s="43">
        <f t="shared" si="350"/>
        <v>0</v>
      </c>
      <c r="H795" s="41"/>
      <c r="I795" s="42"/>
      <c r="J795" s="42"/>
      <c r="K795" s="42">
        <v>1</v>
      </c>
      <c r="L795" s="42"/>
      <c r="M795" s="43">
        <f t="shared" si="351"/>
        <v>1</v>
      </c>
      <c r="N795" s="42"/>
      <c r="O795" s="53"/>
      <c r="P795" s="53"/>
      <c r="Q795" s="53"/>
      <c r="R795" s="72"/>
      <c r="S795" s="24">
        <f t="shared" si="352"/>
        <v>0</v>
      </c>
      <c r="T795" s="42"/>
      <c r="U795" s="53"/>
      <c r="V795" s="53"/>
      <c r="W795" s="53"/>
      <c r="X795" s="72"/>
      <c r="Y795" s="24">
        <f t="shared" si="353"/>
        <v>0</v>
      </c>
      <c r="Z795" s="24">
        <f t="shared" si="354"/>
        <v>1</v>
      </c>
      <c r="AA795" s="83">
        <v>44520</v>
      </c>
      <c r="AB795" s="23" t="s">
        <v>487</v>
      </c>
      <c r="AC795" s="41">
        <v>5</v>
      </c>
      <c r="AD795" s="42"/>
      <c r="AE795" s="42"/>
      <c r="AF795" s="42"/>
      <c r="AG795" s="42"/>
      <c r="AH795" s="43">
        <f t="shared" si="365"/>
        <v>5</v>
      </c>
      <c r="AI795" s="41"/>
      <c r="AJ795" s="42">
        <v>5</v>
      </c>
      <c r="AK795" s="42"/>
      <c r="AL795" s="42"/>
      <c r="AM795" s="42"/>
      <c r="AN795" s="43">
        <f t="shared" si="366"/>
        <v>5</v>
      </c>
      <c r="AO795" s="42"/>
      <c r="AP795" s="53"/>
      <c r="AQ795" s="53"/>
      <c r="AR795" s="53"/>
      <c r="AS795" s="72"/>
      <c r="AT795" s="24">
        <f t="shared" si="367"/>
        <v>0</v>
      </c>
      <c r="AU795" s="42"/>
      <c r="AV795" s="53"/>
      <c r="AW795" s="53"/>
      <c r="AX795" s="53"/>
      <c r="AY795" s="72"/>
      <c r="AZ795" s="24">
        <f t="shared" si="363"/>
        <v>0</v>
      </c>
      <c r="BA795" s="24">
        <f t="shared" si="364"/>
        <v>10</v>
      </c>
      <c r="BB795" s="83">
        <v>44550</v>
      </c>
    </row>
    <row r="796" spans="1:55" ht="14.25" x14ac:dyDescent="0.15">
      <c r="A796" s="23" t="s">
        <v>438</v>
      </c>
      <c r="B796" s="41"/>
      <c r="C796" s="42"/>
      <c r="D796" s="42"/>
      <c r="E796" s="42"/>
      <c r="F796" s="42"/>
      <c r="G796" s="43">
        <f t="shared" si="350"/>
        <v>0</v>
      </c>
      <c r="H796" s="41"/>
      <c r="I796" s="42"/>
      <c r="J796" s="42"/>
      <c r="K796" s="42"/>
      <c r="L796" s="42"/>
      <c r="M796" s="43">
        <f t="shared" si="351"/>
        <v>0</v>
      </c>
      <c r="N796" s="42"/>
      <c r="O796" s="53"/>
      <c r="P796" s="53"/>
      <c r="Q796" s="53"/>
      <c r="R796" s="72">
        <v>1</v>
      </c>
      <c r="S796" s="24">
        <f t="shared" si="352"/>
        <v>1</v>
      </c>
      <c r="T796" s="42"/>
      <c r="U796" s="53"/>
      <c r="V796" s="53"/>
      <c r="W796" s="53"/>
      <c r="X796" s="72">
        <v>1</v>
      </c>
      <c r="Y796" s="24">
        <f t="shared" si="353"/>
        <v>1</v>
      </c>
      <c r="Z796" s="24">
        <f t="shared" si="354"/>
        <v>2</v>
      </c>
      <c r="AA796" s="83">
        <v>44525</v>
      </c>
      <c r="AB796" s="23" t="s">
        <v>490</v>
      </c>
      <c r="AC796" s="38"/>
      <c r="AD796" s="39"/>
      <c r="AE796" s="39"/>
      <c r="AF796" s="39"/>
      <c r="AG796" s="39"/>
      <c r="AH796" s="43">
        <f t="shared" si="365"/>
        <v>0</v>
      </c>
      <c r="AI796" s="38"/>
      <c r="AJ796" s="39"/>
      <c r="AK796" s="39"/>
      <c r="AL796" s="39">
        <v>5</v>
      </c>
      <c r="AM796" s="39"/>
      <c r="AN796" s="43">
        <f t="shared" si="366"/>
        <v>5</v>
      </c>
      <c r="AO796" s="42"/>
      <c r="AP796" s="53"/>
      <c r="AQ796" s="53"/>
      <c r="AR796" s="53"/>
      <c r="AS796" s="72"/>
      <c r="AT796" s="24">
        <f t="shared" si="367"/>
        <v>0</v>
      </c>
      <c r="AU796" s="42"/>
      <c r="AV796" s="53"/>
      <c r="AW796" s="53"/>
      <c r="AX796" s="53"/>
      <c r="AY796" s="72"/>
      <c r="AZ796" s="24">
        <f t="shared" si="363"/>
        <v>0</v>
      </c>
      <c r="BA796" s="24">
        <f t="shared" si="364"/>
        <v>5</v>
      </c>
      <c r="BB796" s="83">
        <v>44580</v>
      </c>
    </row>
    <row r="797" spans="1:55" ht="14.25" x14ac:dyDescent="0.15">
      <c r="A797" s="23" t="s">
        <v>438</v>
      </c>
      <c r="B797" s="41"/>
      <c r="C797" s="42"/>
      <c r="D797" s="42"/>
      <c r="E797" s="42">
        <v>1</v>
      </c>
      <c r="F797" s="42"/>
      <c r="G797" s="43">
        <f t="shared" si="350"/>
        <v>1</v>
      </c>
      <c r="H797" s="41"/>
      <c r="I797" s="42"/>
      <c r="J797" s="42"/>
      <c r="K797" s="42"/>
      <c r="L797" s="42"/>
      <c r="M797" s="43">
        <f t="shared" si="351"/>
        <v>0</v>
      </c>
      <c r="N797" s="42"/>
      <c r="O797" s="53"/>
      <c r="P797" s="53"/>
      <c r="Q797" s="53"/>
      <c r="R797" s="72"/>
      <c r="S797" s="24">
        <f t="shared" si="352"/>
        <v>0</v>
      </c>
      <c r="T797" s="42"/>
      <c r="U797" s="53"/>
      <c r="V797" s="53"/>
      <c r="W797" s="53"/>
      <c r="X797" s="72"/>
      <c r="Y797" s="24">
        <f t="shared" si="353"/>
        <v>0</v>
      </c>
      <c r="Z797" s="24">
        <f t="shared" si="354"/>
        <v>1</v>
      </c>
      <c r="AA797" s="83">
        <v>44530</v>
      </c>
      <c r="AB797" s="23" t="s">
        <v>491</v>
      </c>
      <c r="AC797" s="14"/>
      <c r="AD797" s="15"/>
      <c r="AE797" s="15"/>
      <c r="AF797" s="15"/>
      <c r="AG797" s="15"/>
      <c r="AH797" s="24">
        <f t="shared" si="365"/>
        <v>0</v>
      </c>
      <c r="AI797" s="14"/>
      <c r="AJ797" s="15"/>
      <c r="AK797" s="15">
        <v>5</v>
      </c>
      <c r="AL797" s="15"/>
      <c r="AM797" s="15"/>
      <c r="AN797" s="24">
        <f t="shared" si="366"/>
        <v>5</v>
      </c>
      <c r="AO797" s="15"/>
      <c r="AP797" s="55"/>
      <c r="AQ797" s="55"/>
      <c r="AR797" s="55"/>
      <c r="AS797" s="67"/>
      <c r="AT797" s="24">
        <f t="shared" si="367"/>
        <v>0</v>
      </c>
      <c r="AU797" s="15"/>
      <c r="AV797" s="55"/>
      <c r="AW797" s="55"/>
      <c r="AX797" s="55"/>
      <c r="AY797" s="67"/>
      <c r="AZ797" s="24">
        <f t="shared" si="363"/>
        <v>0</v>
      </c>
      <c r="BA797" s="24">
        <f t="shared" si="364"/>
        <v>5</v>
      </c>
      <c r="BB797" s="83">
        <v>44586</v>
      </c>
    </row>
    <row r="798" spans="1:55" ht="14.25" x14ac:dyDescent="0.15">
      <c r="A798" s="23" t="s">
        <v>48</v>
      </c>
      <c r="B798" s="41"/>
      <c r="C798" s="42"/>
      <c r="D798" s="42">
        <v>1</v>
      </c>
      <c r="E798" s="42">
        <v>1</v>
      </c>
      <c r="F798" s="42"/>
      <c r="G798" s="43">
        <f t="shared" si="350"/>
        <v>2</v>
      </c>
      <c r="H798" s="41"/>
      <c r="I798" s="42"/>
      <c r="J798" s="42"/>
      <c r="K798" s="42"/>
      <c r="L798" s="42"/>
      <c r="M798" s="43">
        <f t="shared" si="351"/>
        <v>0</v>
      </c>
      <c r="N798" s="42"/>
      <c r="O798" s="53"/>
      <c r="P798" s="53"/>
      <c r="Q798" s="53"/>
      <c r="R798" s="72"/>
      <c r="S798" s="24">
        <f t="shared" si="352"/>
        <v>0</v>
      </c>
      <c r="T798" s="42"/>
      <c r="U798" s="53"/>
      <c r="V798" s="53"/>
      <c r="W798" s="53"/>
      <c r="X798" s="72"/>
      <c r="Y798" s="24">
        <f t="shared" si="353"/>
        <v>0</v>
      </c>
      <c r="Z798" s="24">
        <f t="shared" si="354"/>
        <v>2</v>
      </c>
      <c r="AA798" s="83">
        <v>44530</v>
      </c>
      <c r="AB798" s="23" t="s">
        <v>126</v>
      </c>
      <c r="AC798" s="41"/>
      <c r="AD798" s="42"/>
      <c r="AE798" s="42">
        <v>3</v>
      </c>
      <c r="AF798" s="42"/>
      <c r="AG798" s="42"/>
      <c r="AH798" s="43">
        <f t="shared" ref="AH798" si="384">SUM(AC798:AG798)</f>
        <v>3</v>
      </c>
      <c r="AI798" s="41"/>
      <c r="AJ798" s="42"/>
      <c r="AK798" s="42"/>
      <c r="AL798" s="42"/>
      <c r="AM798" s="42"/>
      <c r="AN798" s="43">
        <f t="shared" ref="AN798" si="385">SUM(AI798:AM798)</f>
        <v>0</v>
      </c>
      <c r="AO798" s="42"/>
      <c r="AP798" s="53"/>
      <c r="AQ798" s="53"/>
      <c r="AR798" s="53"/>
      <c r="AS798" s="72"/>
      <c r="AT798" s="24">
        <f t="shared" ref="AT798" si="386">SUM(AO798:AS798)</f>
        <v>0</v>
      </c>
      <c r="AU798" s="42"/>
      <c r="AV798" s="53"/>
      <c r="AW798" s="53"/>
      <c r="AX798" s="53"/>
      <c r="AY798" s="72"/>
      <c r="AZ798" s="24">
        <f t="shared" ref="AZ798" si="387">SUM(AU798:AY798)</f>
        <v>0</v>
      </c>
      <c r="BA798" s="24">
        <f t="shared" si="364"/>
        <v>3</v>
      </c>
      <c r="BB798" s="83">
        <v>44588</v>
      </c>
    </row>
    <row r="799" spans="1:55" ht="14.25" x14ac:dyDescent="0.15">
      <c r="A799" s="23" t="s">
        <v>438</v>
      </c>
      <c r="B799" s="44"/>
      <c r="C799" s="45"/>
      <c r="D799" s="45"/>
      <c r="E799" s="45"/>
      <c r="F799" s="45"/>
      <c r="G799" s="43">
        <f t="shared" si="350"/>
        <v>0</v>
      </c>
      <c r="H799" s="44"/>
      <c r="I799" s="45"/>
      <c r="J799" s="45"/>
      <c r="K799" s="45"/>
      <c r="L799" s="45"/>
      <c r="M799" s="43">
        <f t="shared" si="351"/>
        <v>0</v>
      </c>
      <c r="N799" s="42"/>
      <c r="O799" s="53"/>
      <c r="P799" s="53"/>
      <c r="Q799" s="53">
        <v>1</v>
      </c>
      <c r="R799" s="72"/>
      <c r="S799" s="24">
        <f t="shared" si="352"/>
        <v>1</v>
      </c>
      <c r="T799" s="42"/>
      <c r="U799" s="53"/>
      <c r="V799" s="53"/>
      <c r="W799" s="53"/>
      <c r="X799" s="72"/>
      <c r="Y799" s="24">
        <f t="shared" si="353"/>
        <v>0</v>
      </c>
      <c r="Z799" s="24">
        <f t="shared" si="354"/>
        <v>1</v>
      </c>
      <c r="AA799" s="83">
        <v>44537</v>
      </c>
      <c r="AB799" s="23" t="s">
        <v>126</v>
      </c>
      <c r="AC799" s="44"/>
      <c r="AD799" s="45"/>
      <c r="AE799" s="45"/>
      <c r="AF799" s="45"/>
      <c r="AG799" s="45">
        <v>3</v>
      </c>
      <c r="AH799" s="43">
        <f t="shared" si="365"/>
        <v>3</v>
      </c>
      <c r="AI799" s="44"/>
      <c r="AJ799" s="45"/>
      <c r="AK799" s="45"/>
      <c r="AL799" s="45"/>
      <c r="AM799" s="45"/>
      <c r="AN799" s="43">
        <f t="shared" si="366"/>
        <v>0</v>
      </c>
      <c r="AO799" s="42"/>
      <c r="AP799" s="53"/>
      <c r="AQ799" s="53"/>
      <c r="AR799" s="53"/>
      <c r="AS799" s="72"/>
      <c r="AT799" s="24">
        <f t="shared" si="367"/>
        <v>0</v>
      </c>
      <c r="AU799" s="42"/>
      <c r="AV799" s="53"/>
      <c r="AW799" s="53"/>
      <c r="AX799" s="53"/>
      <c r="AY799" s="72"/>
      <c r="AZ799" s="24">
        <f t="shared" si="363"/>
        <v>0</v>
      </c>
      <c r="BA799" s="24">
        <f t="shared" si="364"/>
        <v>3</v>
      </c>
      <c r="BB799" s="83">
        <v>44600</v>
      </c>
    </row>
    <row r="800" spans="1:55" ht="14.25" x14ac:dyDescent="0.15">
      <c r="A800" s="23" t="s">
        <v>48</v>
      </c>
      <c r="B800" s="41"/>
      <c r="C800" s="42"/>
      <c r="D800" s="42"/>
      <c r="E800" s="42"/>
      <c r="F800" s="42"/>
      <c r="G800" s="43">
        <f t="shared" si="350"/>
        <v>0</v>
      </c>
      <c r="H800" s="41"/>
      <c r="I800" s="42"/>
      <c r="J800" s="42"/>
      <c r="K800" s="42"/>
      <c r="L800" s="42"/>
      <c r="M800" s="43">
        <f t="shared" si="351"/>
        <v>0</v>
      </c>
      <c r="N800" s="42"/>
      <c r="O800" s="53"/>
      <c r="P800" s="53"/>
      <c r="Q800" s="53">
        <v>1</v>
      </c>
      <c r="R800" s="72"/>
      <c r="S800" s="24">
        <f t="shared" si="352"/>
        <v>1</v>
      </c>
      <c r="T800" s="42"/>
      <c r="U800" s="53"/>
      <c r="V800" s="53"/>
      <c r="W800" s="53"/>
      <c r="X800" s="72"/>
      <c r="Y800" s="24">
        <f t="shared" si="353"/>
        <v>0</v>
      </c>
      <c r="Z800" s="24">
        <f t="shared" si="354"/>
        <v>1</v>
      </c>
      <c r="AA800" s="83">
        <v>44536</v>
      </c>
      <c r="AB800" s="23"/>
      <c r="AC800" s="41"/>
      <c r="AD800" s="42"/>
      <c r="AE800" s="42"/>
      <c r="AF800" s="42"/>
      <c r="AG800" s="42"/>
      <c r="AH800" s="43">
        <f t="shared" si="365"/>
        <v>0</v>
      </c>
      <c r="AI800" s="41"/>
      <c r="AJ800" s="42"/>
      <c r="AK800" s="42"/>
      <c r="AL800" s="42"/>
      <c r="AM800" s="42"/>
      <c r="AN800" s="43">
        <f t="shared" si="366"/>
        <v>0</v>
      </c>
      <c r="AO800" s="42"/>
      <c r="AP800" s="53"/>
      <c r="AQ800" s="53"/>
      <c r="AR800" s="53"/>
      <c r="AS800" s="72"/>
      <c r="AT800" s="24">
        <f t="shared" si="367"/>
        <v>0</v>
      </c>
      <c r="AU800" s="42"/>
      <c r="AV800" s="53"/>
      <c r="AW800" s="53"/>
      <c r="AX800" s="53"/>
      <c r="AY800" s="72"/>
      <c r="AZ800" s="24">
        <f t="shared" si="363"/>
        <v>0</v>
      </c>
      <c r="BA800" s="24">
        <f t="shared" si="364"/>
        <v>0</v>
      </c>
    </row>
    <row r="801" spans="1:55" ht="14.25" x14ac:dyDescent="0.15">
      <c r="A801" s="23" t="s">
        <v>485</v>
      </c>
      <c r="B801" s="41">
        <v>-1</v>
      </c>
      <c r="C801" s="42"/>
      <c r="D801" s="42"/>
      <c r="E801" s="42"/>
      <c r="F801" s="42"/>
      <c r="G801" s="43">
        <f t="shared" si="350"/>
        <v>-1</v>
      </c>
      <c r="H801" s="41"/>
      <c r="I801" s="42"/>
      <c r="J801" s="42">
        <v>-1</v>
      </c>
      <c r="K801" s="42"/>
      <c r="L801" s="42">
        <v>-1</v>
      </c>
      <c r="M801" s="43">
        <f t="shared" si="351"/>
        <v>-2</v>
      </c>
      <c r="N801" s="42"/>
      <c r="O801" s="53"/>
      <c r="P801" s="53"/>
      <c r="Q801" s="53">
        <v>-1</v>
      </c>
      <c r="R801" s="72"/>
      <c r="S801" s="24">
        <f t="shared" si="352"/>
        <v>-1</v>
      </c>
      <c r="T801" s="42"/>
      <c r="U801" s="53"/>
      <c r="V801" s="53">
        <v>-1</v>
      </c>
      <c r="W801" s="53">
        <v>-1</v>
      </c>
      <c r="X801" s="72"/>
      <c r="Y801" s="24">
        <f t="shared" si="353"/>
        <v>-2</v>
      </c>
      <c r="Z801" s="24">
        <f t="shared" si="354"/>
        <v>-6</v>
      </c>
      <c r="AA801" s="83">
        <v>44536</v>
      </c>
      <c r="AB801" s="180"/>
      <c r="AC801" s="41"/>
      <c r="AD801" s="42"/>
      <c r="AE801" s="42"/>
      <c r="AF801" s="42"/>
      <c r="AG801" s="42"/>
      <c r="AH801" s="43">
        <f t="shared" si="365"/>
        <v>0</v>
      </c>
      <c r="AI801" s="41"/>
      <c r="AJ801" s="42"/>
      <c r="AK801" s="42"/>
      <c r="AL801" s="42"/>
      <c r="AM801" s="42"/>
      <c r="AN801" s="43">
        <f t="shared" si="366"/>
        <v>0</v>
      </c>
      <c r="AO801" s="42"/>
      <c r="AP801" s="53"/>
      <c r="AQ801" s="53"/>
      <c r="AR801" s="53"/>
      <c r="AS801" s="72"/>
      <c r="AT801" s="24">
        <f t="shared" si="367"/>
        <v>0</v>
      </c>
      <c r="AU801" s="42"/>
      <c r="AV801" s="53"/>
      <c r="AW801" s="53"/>
      <c r="AX801" s="53"/>
      <c r="AY801" s="72"/>
      <c r="AZ801" s="24">
        <f t="shared" si="363"/>
        <v>0</v>
      </c>
      <c r="BA801" s="24">
        <f t="shared" si="364"/>
        <v>0</v>
      </c>
    </row>
    <row r="802" spans="1:55" ht="14.25" x14ac:dyDescent="0.15">
      <c r="A802" s="23" t="s">
        <v>486</v>
      </c>
      <c r="B802" s="41"/>
      <c r="C802" s="42"/>
      <c r="D802" s="42"/>
      <c r="E802" s="42"/>
      <c r="F802" s="42"/>
      <c r="G802" s="43">
        <f t="shared" si="350"/>
        <v>0</v>
      </c>
      <c r="H802" s="41"/>
      <c r="I802" s="42"/>
      <c r="J802" s="42"/>
      <c r="K802" s="42"/>
      <c r="L802" s="42"/>
      <c r="M802" s="43">
        <f t="shared" si="351"/>
        <v>0</v>
      </c>
      <c r="N802" s="42"/>
      <c r="O802" s="53"/>
      <c r="P802" s="53">
        <v>-1</v>
      </c>
      <c r="Q802" s="53"/>
      <c r="R802" s="72"/>
      <c r="S802" s="24">
        <f t="shared" si="352"/>
        <v>-1</v>
      </c>
      <c r="T802" s="42"/>
      <c r="U802" s="53"/>
      <c r="V802" s="53"/>
      <c r="W802" s="53"/>
      <c r="X802" s="72"/>
      <c r="Y802" s="24">
        <f t="shared" si="353"/>
        <v>0</v>
      </c>
      <c r="Z802" s="24">
        <f t="shared" si="354"/>
        <v>-1</v>
      </c>
      <c r="AA802" s="83">
        <v>44540</v>
      </c>
      <c r="AB802" s="10"/>
      <c r="AC802" s="14"/>
      <c r="AD802" s="15"/>
      <c r="AE802" s="15"/>
      <c r="AF802" s="15"/>
      <c r="AG802" s="15"/>
      <c r="AH802" s="24">
        <f t="shared" si="365"/>
        <v>0</v>
      </c>
      <c r="AI802" s="14"/>
      <c r="AJ802" s="15"/>
      <c r="AK802" s="15"/>
      <c r="AL802" s="15"/>
      <c r="AM802" s="15"/>
      <c r="AN802" s="185">
        <f t="shared" si="366"/>
        <v>0</v>
      </c>
      <c r="AO802" s="14"/>
      <c r="AP802" s="55"/>
      <c r="AQ802" s="55"/>
      <c r="AR802" s="55"/>
      <c r="AS802" s="67"/>
      <c r="AT802" s="24">
        <f t="shared" si="367"/>
        <v>0</v>
      </c>
      <c r="AU802" s="15"/>
      <c r="AV802" s="55"/>
      <c r="AW802" s="55"/>
      <c r="AX802" s="55"/>
      <c r="AY802" s="67"/>
      <c r="AZ802" s="24">
        <f t="shared" si="363"/>
        <v>0</v>
      </c>
      <c r="BA802" s="24">
        <f t="shared" si="364"/>
        <v>0</v>
      </c>
    </row>
    <row r="803" spans="1:55" ht="14.25" x14ac:dyDescent="0.15">
      <c r="A803" s="23" t="s">
        <v>438</v>
      </c>
      <c r="B803" s="38"/>
      <c r="C803" s="39"/>
      <c r="D803" s="39">
        <v>1</v>
      </c>
      <c r="E803" s="39"/>
      <c r="F803" s="39"/>
      <c r="G803" s="37">
        <f t="shared" si="350"/>
        <v>1</v>
      </c>
      <c r="H803" s="38"/>
      <c r="I803" s="39"/>
      <c r="J803" s="39"/>
      <c r="K803" s="39"/>
      <c r="L803" s="39"/>
      <c r="M803" s="37">
        <f t="shared" si="351"/>
        <v>0</v>
      </c>
      <c r="N803" s="42"/>
      <c r="O803" s="53"/>
      <c r="P803" s="53"/>
      <c r="Q803" s="53"/>
      <c r="R803" s="72"/>
      <c r="S803" s="24">
        <f t="shared" si="352"/>
        <v>0</v>
      </c>
      <c r="T803" s="42"/>
      <c r="U803" s="53"/>
      <c r="V803" s="53"/>
      <c r="W803" s="53"/>
      <c r="X803" s="72"/>
      <c r="Y803" s="24">
        <f t="shared" si="353"/>
        <v>0</v>
      </c>
      <c r="Z803" s="24">
        <f t="shared" si="354"/>
        <v>1</v>
      </c>
      <c r="AA803" s="83">
        <v>44544</v>
      </c>
      <c r="AB803" s="23"/>
      <c r="AC803" s="38"/>
      <c r="AD803" s="39"/>
      <c r="AE803" s="39"/>
      <c r="AF803" s="39"/>
      <c r="AG803" s="39"/>
      <c r="AH803" s="37">
        <f t="shared" si="365"/>
        <v>0</v>
      </c>
      <c r="AI803" s="38"/>
      <c r="AJ803" s="39"/>
      <c r="AK803" s="39"/>
      <c r="AL803" s="39"/>
      <c r="AM803" s="39"/>
      <c r="AN803" s="37">
        <f t="shared" si="366"/>
        <v>0</v>
      </c>
      <c r="AO803" s="39"/>
      <c r="AP803" s="56"/>
      <c r="AQ803" s="56"/>
      <c r="AR803" s="56"/>
      <c r="AS803" s="71"/>
      <c r="AT803" s="16">
        <f t="shared" si="367"/>
        <v>0</v>
      </c>
      <c r="AU803" s="39"/>
      <c r="AV803" s="56"/>
      <c r="AW803" s="56"/>
      <c r="AX803" s="56"/>
      <c r="AY803" s="71"/>
      <c r="AZ803" s="16">
        <f t="shared" si="363"/>
        <v>0</v>
      </c>
      <c r="BA803" s="16">
        <f t="shared" si="364"/>
        <v>0</v>
      </c>
    </row>
    <row r="804" spans="1:55" ht="14.25" x14ac:dyDescent="0.15">
      <c r="A804" s="10" t="s">
        <v>488</v>
      </c>
      <c r="B804" s="41"/>
      <c r="C804" s="42"/>
      <c r="D804" s="42">
        <v>-1</v>
      </c>
      <c r="E804" s="42">
        <v>-1</v>
      </c>
      <c r="F804" s="42"/>
      <c r="G804" s="43">
        <f t="shared" si="350"/>
        <v>-2</v>
      </c>
      <c r="H804" s="41">
        <v>-1</v>
      </c>
      <c r="I804" s="42">
        <v>-8</v>
      </c>
      <c r="J804" s="42"/>
      <c r="K804" s="42">
        <v>-3</v>
      </c>
      <c r="L804" s="42">
        <v>-4</v>
      </c>
      <c r="M804" s="43">
        <f t="shared" si="351"/>
        <v>-16</v>
      </c>
      <c r="N804" s="42"/>
      <c r="O804" s="53"/>
      <c r="P804" s="53">
        <v>-1</v>
      </c>
      <c r="Q804" s="53"/>
      <c r="R804" s="72">
        <v>-1</v>
      </c>
      <c r="S804" s="24">
        <f t="shared" si="352"/>
        <v>-2</v>
      </c>
      <c r="T804" s="42">
        <v>-3</v>
      </c>
      <c r="U804" s="53">
        <v>-6</v>
      </c>
      <c r="V804" s="53">
        <v>-1</v>
      </c>
      <c r="W804" s="53"/>
      <c r="X804" s="72">
        <v>-3</v>
      </c>
      <c r="Y804" s="24">
        <f t="shared" si="353"/>
        <v>-13</v>
      </c>
      <c r="Z804" s="24">
        <f t="shared" si="354"/>
        <v>-33</v>
      </c>
      <c r="AA804" s="83">
        <v>44546</v>
      </c>
      <c r="AB804" s="23"/>
      <c r="AC804" s="41"/>
      <c r="AD804" s="42"/>
      <c r="AE804" s="42"/>
      <c r="AF804" s="42"/>
      <c r="AG804" s="42"/>
      <c r="AH804" s="43">
        <f t="shared" si="365"/>
        <v>0</v>
      </c>
      <c r="AI804" s="41"/>
      <c r="AJ804" s="42"/>
      <c r="AK804" s="42"/>
      <c r="AL804" s="42"/>
      <c r="AM804" s="42"/>
      <c r="AN804" s="43">
        <f t="shared" si="366"/>
        <v>0</v>
      </c>
      <c r="AO804" s="42"/>
      <c r="AP804" s="53"/>
      <c r="AQ804" s="53"/>
      <c r="AR804" s="53"/>
      <c r="AS804" s="72"/>
      <c r="AT804" s="24">
        <f t="shared" si="367"/>
        <v>0</v>
      </c>
      <c r="AU804" s="42"/>
      <c r="AV804" s="53"/>
      <c r="AW804" s="53"/>
      <c r="AX804" s="53"/>
      <c r="AY804" s="72"/>
      <c r="AZ804" s="24">
        <f t="shared" si="363"/>
        <v>0</v>
      </c>
      <c r="BA804" s="24">
        <f t="shared" si="364"/>
        <v>0</v>
      </c>
    </row>
    <row r="805" spans="1:55" ht="14.25" x14ac:dyDescent="0.15">
      <c r="A805" s="23" t="s">
        <v>489</v>
      </c>
      <c r="B805" s="41"/>
      <c r="C805" s="42"/>
      <c r="D805" s="42"/>
      <c r="E805" s="42">
        <v>1</v>
      </c>
      <c r="F805" s="42"/>
      <c r="G805" s="43">
        <f t="shared" ref="G805" si="388">SUM(B805:F805)</f>
        <v>1</v>
      </c>
      <c r="H805" s="41">
        <v>1</v>
      </c>
      <c r="I805" s="42">
        <v>8</v>
      </c>
      <c r="J805" s="42"/>
      <c r="K805" s="42">
        <v>3</v>
      </c>
      <c r="L805" s="42">
        <v>4</v>
      </c>
      <c r="M805" s="43">
        <f t="shared" si="351"/>
        <v>16</v>
      </c>
      <c r="N805" s="42"/>
      <c r="O805" s="53"/>
      <c r="P805" s="53">
        <v>1</v>
      </c>
      <c r="Q805" s="53"/>
      <c r="R805" s="72">
        <v>1</v>
      </c>
      <c r="S805" s="24">
        <f t="shared" si="352"/>
        <v>2</v>
      </c>
      <c r="T805" s="42">
        <v>3</v>
      </c>
      <c r="U805" s="53">
        <v>6</v>
      </c>
      <c r="V805" s="53">
        <v>1</v>
      </c>
      <c r="W805" s="53"/>
      <c r="X805" s="72">
        <v>3</v>
      </c>
      <c r="Y805" s="24">
        <f t="shared" si="353"/>
        <v>13</v>
      </c>
      <c r="Z805" s="24">
        <f t="shared" si="354"/>
        <v>32</v>
      </c>
      <c r="AA805" s="83">
        <v>44548</v>
      </c>
      <c r="AB805" s="180"/>
      <c r="AC805" s="41"/>
      <c r="AD805" s="42"/>
      <c r="AE805" s="42"/>
      <c r="AF805" s="42"/>
      <c r="AG805" s="42"/>
      <c r="AH805" s="43">
        <f t="shared" si="365"/>
        <v>0</v>
      </c>
      <c r="AI805" s="41"/>
      <c r="AJ805" s="42"/>
      <c r="AK805" s="42"/>
      <c r="AL805" s="42"/>
      <c r="AM805" s="42"/>
      <c r="AN805" s="43">
        <f t="shared" si="366"/>
        <v>0</v>
      </c>
      <c r="AO805" s="42"/>
      <c r="AP805" s="53"/>
      <c r="AQ805" s="53"/>
      <c r="AR805" s="53"/>
      <c r="AS805" s="72"/>
      <c r="AT805" s="24">
        <f t="shared" si="367"/>
        <v>0</v>
      </c>
      <c r="AU805" s="42"/>
      <c r="AV805" s="53"/>
      <c r="AW805" s="53"/>
      <c r="AX805" s="53"/>
      <c r="AY805" s="72"/>
      <c r="AZ805" s="24">
        <f t="shared" si="363"/>
        <v>0</v>
      </c>
      <c r="BA805" s="24">
        <f t="shared" si="364"/>
        <v>0</v>
      </c>
    </row>
    <row r="806" spans="1:55" ht="14.25" x14ac:dyDescent="0.15">
      <c r="A806" s="23" t="s">
        <v>438</v>
      </c>
      <c r="B806" s="14"/>
      <c r="C806" s="15"/>
      <c r="D806" s="15"/>
      <c r="E806" s="15">
        <v>1</v>
      </c>
      <c r="F806" s="15"/>
      <c r="G806" s="24">
        <f t="shared" si="350"/>
        <v>1</v>
      </c>
      <c r="H806" s="14"/>
      <c r="I806" s="15"/>
      <c r="J806" s="15"/>
      <c r="K806" s="15"/>
      <c r="L806" s="15"/>
      <c r="M806" s="24">
        <f t="shared" si="351"/>
        <v>0</v>
      </c>
      <c r="N806" s="15"/>
      <c r="O806" s="55"/>
      <c r="P806" s="55"/>
      <c r="Q806" s="55"/>
      <c r="R806" s="67"/>
      <c r="S806" s="24">
        <f t="shared" si="352"/>
        <v>0</v>
      </c>
      <c r="T806" s="15"/>
      <c r="U806" s="55"/>
      <c r="V806" s="55"/>
      <c r="W806" s="55"/>
      <c r="X806" s="67"/>
      <c r="Y806" s="24">
        <f t="shared" si="353"/>
        <v>0</v>
      </c>
      <c r="Z806" s="24">
        <f t="shared" si="354"/>
        <v>1</v>
      </c>
      <c r="AA806" s="83">
        <v>44568</v>
      </c>
      <c r="AB806" s="180"/>
      <c r="AC806" s="14"/>
      <c r="AD806" s="15"/>
      <c r="AE806" s="15"/>
      <c r="AF806" s="15"/>
      <c r="AG806" s="15"/>
      <c r="AH806" s="24">
        <f t="shared" si="365"/>
        <v>0</v>
      </c>
      <c r="AI806" s="14"/>
      <c r="AJ806" s="15"/>
      <c r="AK806" s="15"/>
      <c r="AL806" s="15"/>
      <c r="AM806" s="15"/>
      <c r="AN806" s="24">
        <f t="shared" si="366"/>
        <v>0</v>
      </c>
      <c r="AO806" s="15"/>
      <c r="AP806" s="55"/>
      <c r="AQ806" s="55"/>
      <c r="AR806" s="55"/>
      <c r="AS806" s="67"/>
      <c r="AT806" s="24">
        <f t="shared" si="367"/>
        <v>0</v>
      </c>
      <c r="AU806" s="15"/>
      <c r="AV806" s="55"/>
      <c r="AW806" s="55"/>
      <c r="AX806" s="55"/>
      <c r="AY806" s="67"/>
      <c r="AZ806" s="24">
        <f t="shared" si="363"/>
        <v>0</v>
      </c>
      <c r="BA806" s="24">
        <f t="shared" si="364"/>
        <v>0</v>
      </c>
    </row>
    <row r="807" spans="1:55" ht="14.25" x14ac:dyDescent="0.15">
      <c r="A807" s="23" t="s">
        <v>438</v>
      </c>
      <c r="B807" s="14">
        <v>1</v>
      </c>
      <c r="C807" s="15"/>
      <c r="D807" s="15"/>
      <c r="E807" s="15"/>
      <c r="F807" s="15"/>
      <c r="G807" s="24">
        <f t="shared" si="350"/>
        <v>1</v>
      </c>
      <c r="H807" s="14"/>
      <c r="I807" s="15"/>
      <c r="J807" s="15"/>
      <c r="K807" s="15"/>
      <c r="L807" s="15"/>
      <c r="M807" s="24">
        <f t="shared" si="351"/>
        <v>0</v>
      </c>
      <c r="N807" s="15"/>
      <c r="O807" s="55"/>
      <c r="P807" s="55"/>
      <c r="Q807" s="55"/>
      <c r="R807" s="67"/>
      <c r="S807" s="24">
        <f t="shared" si="352"/>
        <v>0</v>
      </c>
      <c r="T807" s="15"/>
      <c r="U807" s="55"/>
      <c r="V807" s="55"/>
      <c r="W807" s="55"/>
      <c r="X807" s="67"/>
      <c r="Y807" s="24">
        <f t="shared" si="353"/>
        <v>0</v>
      </c>
      <c r="Z807" s="24">
        <f t="shared" si="354"/>
        <v>1</v>
      </c>
      <c r="AA807" s="83">
        <v>44575</v>
      </c>
      <c r="AB807" s="180"/>
      <c r="AC807" s="14"/>
      <c r="AD807" s="15"/>
      <c r="AE807" s="15"/>
      <c r="AF807" s="15"/>
      <c r="AG807" s="15"/>
      <c r="AH807" s="24">
        <f t="shared" si="365"/>
        <v>0</v>
      </c>
      <c r="AI807" s="14"/>
      <c r="AJ807" s="15"/>
      <c r="AK807" s="15"/>
      <c r="AL807" s="15"/>
      <c r="AM807" s="15"/>
      <c r="AN807" s="24">
        <f t="shared" si="366"/>
        <v>0</v>
      </c>
      <c r="AO807" s="15"/>
      <c r="AP807" s="55"/>
      <c r="AQ807" s="55"/>
      <c r="AR807" s="55"/>
      <c r="AS807" s="67"/>
      <c r="AT807" s="24">
        <f t="shared" si="367"/>
        <v>0</v>
      </c>
      <c r="AU807" s="15"/>
      <c r="AV807" s="55"/>
      <c r="AW807" s="55"/>
      <c r="AX807" s="55"/>
      <c r="AY807" s="67"/>
      <c r="AZ807" s="24">
        <f t="shared" si="363"/>
        <v>0</v>
      </c>
      <c r="BA807" s="24">
        <f t="shared" si="364"/>
        <v>0</v>
      </c>
    </row>
    <row r="808" spans="1:55" ht="14.25" x14ac:dyDescent="0.15">
      <c r="A808" s="23" t="s">
        <v>48</v>
      </c>
      <c r="B808" s="14"/>
      <c r="C808" s="15"/>
      <c r="D808" s="15">
        <v>1</v>
      </c>
      <c r="E808" s="15"/>
      <c r="F808" s="15"/>
      <c r="G808" s="24">
        <f t="shared" si="350"/>
        <v>1</v>
      </c>
      <c r="H808" s="14"/>
      <c r="I808" s="15"/>
      <c r="J808" s="15"/>
      <c r="K808" s="15"/>
      <c r="L808" s="15"/>
      <c r="M808" s="24">
        <f t="shared" si="351"/>
        <v>0</v>
      </c>
      <c r="N808" s="15"/>
      <c r="O808" s="55"/>
      <c r="P808" s="55"/>
      <c r="Q808" s="55"/>
      <c r="R808" s="67"/>
      <c r="S808" s="24">
        <f t="shared" si="352"/>
        <v>0</v>
      </c>
      <c r="T808" s="15"/>
      <c r="U808" s="55"/>
      <c r="V808" s="55"/>
      <c r="W808" s="55">
        <v>1</v>
      </c>
      <c r="X808" s="67">
        <v>1</v>
      </c>
      <c r="Y808" s="24">
        <f t="shared" si="353"/>
        <v>2</v>
      </c>
      <c r="Z808" s="24">
        <f t="shared" si="354"/>
        <v>3</v>
      </c>
      <c r="AA808" s="83">
        <v>44578</v>
      </c>
      <c r="AB808" s="180"/>
      <c r="AC808" s="14"/>
      <c r="AD808" s="15"/>
      <c r="AE808" s="15"/>
      <c r="AF808" s="15"/>
      <c r="AG808" s="15"/>
      <c r="AH808" s="24">
        <f t="shared" si="365"/>
        <v>0</v>
      </c>
      <c r="AI808" s="14"/>
      <c r="AJ808" s="15"/>
      <c r="AK808" s="15"/>
      <c r="AL808" s="15"/>
      <c r="AM808" s="15"/>
      <c r="AN808" s="24">
        <f t="shared" si="366"/>
        <v>0</v>
      </c>
      <c r="AO808" s="15"/>
      <c r="AP808" s="55"/>
      <c r="AQ808" s="55"/>
      <c r="AR808" s="55"/>
      <c r="AS808" s="67"/>
      <c r="AT808" s="24">
        <f t="shared" si="367"/>
        <v>0</v>
      </c>
      <c r="AU808" s="15"/>
      <c r="AV808" s="55"/>
      <c r="AW808" s="55"/>
      <c r="AX808" s="55"/>
      <c r="AY808" s="67"/>
      <c r="AZ808" s="24">
        <f t="shared" si="363"/>
        <v>0</v>
      </c>
      <c r="BA808" s="24">
        <f t="shared" si="364"/>
        <v>0</v>
      </c>
    </row>
    <row r="809" spans="1:55" ht="14.25" x14ac:dyDescent="0.15">
      <c r="A809" s="23" t="s">
        <v>438</v>
      </c>
      <c r="B809" s="14"/>
      <c r="C809" s="15"/>
      <c r="D809" s="15"/>
      <c r="E809" s="15"/>
      <c r="F809" s="15">
        <v>1</v>
      </c>
      <c r="G809" s="24">
        <f t="shared" si="350"/>
        <v>1</v>
      </c>
      <c r="H809" s="14"/>
      <c r="I809" s="15"/>
      <c r="J809" s="15"/>
      <c r="K809" s="15"/>
      <c r="L809" s="15"/>
      <c r="M809" s="24">
        <f t="shared" si="351"/>
        <v>0</v>
      </c>
      <c r="N809" s="15"/>
      <c r="O809" s="55"/>
      <c r="P809" s="55"/>
      <c r="Q809" s="55"/>
      <c r="R809" s="67"/>
      <c r="S809" s="24">
        <f t="shared" si="352"/>
        <v>0</v>
      </c>
      <c r="T809" s="15"/>
      <c r="U809" s="55"/>
      <c r="V809" s="55"/>
      <c r="W809" s="55"/>
      <c r="X809" s="67"/>
      <c r="Y809" s="24">
        <f t="shared" si="353"/>
        <v>0</v>
      </c>
      <c r="Z809" s="24">
        <f t="shared" si="354"/>
        <v>1</v>
      </c>
      <c r="AA809" s="83">
        <v>44588</v>
      </c>
      <c r="AB809" s="21"/>
      <c r="AC809" s="14"/>
      <c r="AD809" s="15"/>
      <c r="AE809" s="15"/>
      <c r="AF809" s="15"/>
      <c r="AG809" s="15"/>
      <c r="AH809" s="24">
        <f t="shared" si="365"/>
        <v>0</v>
      </c>
      <c r="AI809" s="14"/>
      <c r="AJ809" s="15"/>
      <c r="AK809" s="15"/>
      <c r="AL809" s="15"/>
      <c r="AM809" s="15"/>
      <c r="AN809" s="24">
        <f t="shared" si="366"/>
        <v>0</v>
      </c>
      <c r="AO809" s="15"/>
      <c r="AP809" s="55"/>
      <c r="AQ809" s="55"/>
      <c r="AR809" s="55"/>
      <c r="AS809" s="67"/>
      <c r="AT809" s="24">
        <f t="shared" si="367"/>
        <v>0</v>
      </c>
      <c r="AU809" s="15"/>
      <c r="AV809" s="55"/>
      <c r="AW809" s="55"/>
      <c r="AX809" s="55"/>
      <c r="AY809" s="67"/>
      <c r="AZ809" s="24">
        <f t="shared" si="363"/>
        <v>0</v>
      </c>
      <c r="BA809" s="24">
        <f t="shared" si="364"/>
        <v>0</v>
      </c>
    </row>
    <row r="810" spans="1:55" ht="14.25" x14ac:dyDescent="0.15">
      <c r="A810" s="23" t="s">
        <v>492</v>
      </c>
      <c r="B810" s="14"/>
      <c r="C810" s="15"/>
      <c r="D810" s="15">
        <v>-3</v>
      </c>
      <c r="E810" s="15"/>
      <c r="F810" s="15"/>
      <c r="G810" s="24">
        <f t="shared" si="350"/>
        <v>-3</v>
      </c>
      <c r="H810" s="14"/>
      <c r="I810" s="15"/>
      <c r="J810" s="15"/>
      <c r="K810" s="15"/>
      <c r="L810" s="15"/>
      <c r="M810" s="24">
        <f t="shared" si="351"/>
        <v>0</v>
      </c>
      <c r="N810" s="15"/>
      <c r="O810" s="55"/>
      <c r="P810" s="55"/>
      <c r="Q810" s="55"/>
      <c r="R810" s="67"/>
      <c r="S810" s="24">
        <f t="shared" si="352"/>
        <v>0</v>
      </c>
      <c r="T810" s="15"/>
      <c r="U810" s="55"/>
      <c r="V810" s="55"/>
      <c r="W810" s="55"/>
      <c r="X810" s="67"/>
      <c r="Y810" s="24">
        <f t="shared" si="353"/>
        <v>0</v>
      </c>
      <c r="Z810" s="24">
        <f t="shared" si="354"/>
        <v>-3</v>
      </c>
      <c r="AA810" s="83">
        <v>44588</v>
      </c>
      <c r="AB810" s="180"/>
      <c r="AC810" s="14"/>
      <c r="AD810" s="15"/>
      <c r="AE810" s="15"/>
      <c r="AF810" s="15"/>
      <c r="AG810" s="15"/>
      <c r="AH810" s="24">
        <f t="shared" si="365"/>
        <v>0</v>
      </c>
      <c r="AI810" s="14"/>
      <c r="AJ810" s="15"/>
      <c r="AK810" s="15"/>
      <c r="AL810" s="15"/>
      <c r="AM810" s="15"/>
      <c r="AN810" s="24">
        <f t="shared" si="366"/>
        <v>0</v>
      </c>
      <c r="AO810" s="15"/>
      <c r="AP810" s="55"/>
      <c r="AQ810" s="55"/>
      <c r="AR810" s="55"/>
      <c r="AS810" s="67"/>
      <c r="AT810" s="24">
        <f t="shared" si="367"/>
        <v>0</v>
      </c>
      <c r="AU810" s="15"/>
      <c r="AV810" s="55"/>
      <c r="AW810" s="55"/>
      <c r="AX810" s="55"/>
      <c r="AY810" s="67"/>
      <c r="AZ810" s="24">
        <f t="shared" si="363"/>
        <v>0</v>
      </c>
      <c r="BA810" s="24">
        <f t="shared" si="364"/>
        <v>0</v>
      </c>
    </row>
    <row r="811" spans="1:55" ht="14.25" x14ac:dyDescent="0.15">
      <c r="A811" s="23" t="s">
        <v>438</v>
      </c>
      <c r="B811" s="44"/>
      <c r="C811" s="45"/>
      <c r="D811" s="45">
        <v>1</v>
      </c>
      <c r="E811" s="45"/>
      <c r="F811" s="45"/>
      <c r="G811" s="43">
        <f t="shared" si="350"/>
        <v>1</v>
      </c>
      <c r="H811" s="44"/>
      <c r="I811" s="45"/>
      <c r="J811" s="45"/>
      <c r="K811" s="45"/>
      <c r="L811" s="45"/>
      <c r="M811" s="43">
        <f t="shared" si="351"/>
        <v>0</v>
      </c>
      <c r="N811" s="42"/>
      <c r="O811" s="53"/>
      <c r="P811" s="53"/>
      <c r="Q811" s="53"/>
      <c r="R811" s="72"/>
      <c r="S811" s="24">
        <f t="shared" si="352"/>
        <v>0</v>
      </c>
      <c r="T811" s="42"/>
      <c r="U811" s="53"/>
      <c r="V811" s="53"/>
      <c r="W811" s="53"/>
      <c r="X811" s="72"/>
      <c r="Y811" s="24">
        <f t="shared" si="353"/>
        <v>0</v>
      </c>
      <c r="Z811" s="24">
        <f t="shared" si="354"/>
        <v>1</v>
      </c>
      <c r="AA811" s="83">
        <v>44589</v>
      </c>
      <c r="AB811" s="47"/>
      <c r="AC811" s="14"/>
      <c r="AD811" s="15"/>
      <c r="AE811" s="15"/>
      <c r="AF811" s="15"/>
      <c r="AG811" s="15"/>
      <c r="AH811" s="24">
        <f t="shared" si="365"/>
        <v>0</v>
      </c>
      <c r="AI811" s="14"/>
      <c r="AJ811" s="15"/>
      <c r="AK811" s="15"/>
      <c r="AL811" s="15"/>
      <c r="AM811" s="15"/>
      <c r="AN811" s="24">
        <f t="shared" si="366"/>
        <v>0</v>
      </c>
      <c r="AO811" s="15"/>
      <c r="AP811" s="55"/>
      <c r="AQ811" s="55"/>
      <c r="AR811" s="55"/>
      <c r="AS811" s="67"/>
      <c r="AT811" s="24">
        <f t="shared" si="367"/>
        <v>0</v>
      </c>
      <c r="AU811" s="15"/>
      <c r="AV811" s="55"/>
      <c r="AW811" s="55"/>
      <c r="AX811" s="55"/>
      <c r="AY811" s="67"/>
      <c r="AZ811" s="24">
        <f t="shared" si="363"/>
        <v>0</v>
      </c>
      <c r="BA811" s="24">
        <f t="shared" si="364"/>
        <v>0</v>
      </c>
    </row>
    <row r="812" spans="1:55" ht="14.25" x14ac:dyDescent="0.15">
      <c r="A812" s="23" t="s">
        <v>438</v>
      </c>
      <c r="B812" s="41"/>
      <c r="C812" s="42"/>
      <c r="D812" s="42"/>
      <c r="E812" s="42">
        <v>1</v>
      </c>
      <c r="F812" s="42"/>
      <c r="G812" s="43">
        <f t="shared" si="350"/>
        <v>1</v>
      </c>
      <c r="H812" s="41"/>
      <c r="I812" s="42"/>
      <c r="J812" s="42"/>
      <c r="K812" s="42"/>
      <c r="L812" s="42"/>
      <c r="M812" s="43">
        <f t="shared" si="351"/>
        <v>0</v>
      </c>
      <c r="N812" s="42"/>
      <c r="O812" s="53"/>
      <c r="P812" s="53"/>
      <c r="Q812" s="53"/>
      <c r="R812" s="72"/>
      <c r="S812" s="24">
        <f t="shared" si="352"/>
        <v>0</v>
      </c>
      <c r="T812" s="42"/>
      <c r="U812" s="53"/>
      <c r="V812" s="53"/>
      <c r="W812" s="53"/>
      <c r="X812" s="72"/>
      <c r="Y812" s="24">
        <f t="shared" si="353"/>
        <v>0</v>
      </c>
      <c r="Z812" s="24">
        <f t="shared" si="354"/>
        <v>1</v>
      </c>
      <c r="AA812" s="83">
        <v>44593</v>
      </c>
      <c r="AB812" s="47"/>
      <c r="AC812" s="14"/>
      <c r="AD812" s="15"/>
      <c r="AE812" s="15"/>
      <c r="AF812" s="15"/>
      <c r="AG812" s="15"/>
      <c r="AH812" s="24">
        <f t="shared" si="365"/>
        <v>0</v>
      </c>
      <c r="AI812" s="14"/>
      <c r="AJ812" s="15"/>
      <c r="AK812" s="15"/>
      <c r="AL812" s="15"/>
      <c r="AM812" s="15"/>
      <c r="AN812" s="24">
        <f t="shared" si="366"/>
        <v>0</v>
      </c>
      <c r="AO812" s="15"/>
      <c r="AP812" s="55"/>
      <c r="AQ812" s="55"/>
      <c r="AR812" s="55"/>
      <c r="AS812" s="67"/>
      <c r="AT812" s="24">
        <f t="shared" si="367"/>
        <v>0</v>
      </c>
      <c r="AU812" s="15"/>
      <c r="AV812" s="55"/>
      <c r="AW812" s="55"/>
      <c r="AX812" s="55"/>
      <c r="AY812" s="67"/>
      <c r="AZ812" s="24">
        <f t="shared" si="363"/>
        <v>0</v>
      </c>
      <c r="BA812" s="24">
        <f t="shared" si="364"/>
        <v>0</v>
      </c>
    </row>
    <row r="813" spans="1:55" ht="14.25" x14ac:dyDescent="0.15">
      <c r="A813" s="23" t="s">
        <v>493</v>
      </c>
      <c r="B813" s="41"/>
      <c r="C813" s="42"/>
      <c r="D813" s="42"/>
      <c r="E813" s="42"/>
      <c r="F813" s="42">
        <v>-3</v>
      </c>
      <c r="G813" s="43">
        <f t="shared" si="350"/>
        <v>-3</v>
      </c>
      <c r="H813" s="41"/>
      <c r="I813" s="42"/>
      <c r="J813" s="42"/>
      <c r="K813" s="42"/>
      <c r="L813" s="42"/>
      <c r="M813" s="43">
        <f t="shared" si="351"/>
        <v>0</v>
      </c>
      <c r="N813" s="42"/>
      <c r="O813" s="53"/>
      <c r="P813" s="53"/>
      <c r="Q813" s="53"/>
      <c r="R813" s="72"/>
      <c r="S813" s="24">
        <f t="shared" si="352"/>
        <v>0</v>
      </c>
      <c r="T813" s="42"/>
      <c r="U813" s="53"/>
      <c r="V813" s="53"/>
      <c r="W813" s="53"/>
      <c r="X813" s="72"/>
      <c r="Y813" s="24">
        <f t="shared" si="353"/>
        <v>0</v>
      </c>
      <c r="Z813" s="24">
        <f t="shared" si="354"/>
        <v>-3</v>
      </c>
      <c r="AA813" s="83">
        <v>44600</v>
      </c>
      <c r="AB813" s="47"/>
      <c r="AC813" s="14"/>
      <c r="AD813" s="15"/>
      <c r="AE813" s="15"/>
      <c r="AF813" s="15"/>
      <c r="AG813" s="15"/>
      <c r="AH813" s="24">
        <f>SUM(AC813:AG813)</f>
        <v>0</v>
      </c>
      <c r="AI813" s="14"/>
      <c r="AJ813" s="15"/>
      <c r="AK813" s="15"/>
      <c r="AL813" s="15"/>
      <c r="AM813" s="15"/>
      <c r="AN813" s="24">
        <f>SUM(AI813:AM813)</f>
        <v>0</v>
      </c>
      <c r="AO813" s="15"/>
      <c r="AP813" s="55"/>
      <c r="AQ813" s="55"/>
      <c r="AR813" s="55"/>
      <c r="AS813" s="67"/>
      <c r="AT813" s="24">
        <f>SUM(AO813:AS813)</f>
        <v>0</v>
      </c>
      <c r="AU813" s="15"/>
      <c r="AV813" s="55"/>
      <c r="AW813" s="55"/>
      <c r="AX813" s="55"/>
      <c r="AY813" s="67"/>
      <c r="AZ813" s="24">
        <f>SUM(AU813:AY813)</f>
        <v>0</v>
      </c>
      <c r="BA813" s="24">
        <f>AH813+AN813+AT813+AZ813</f>
        <v>0</v>
      </c>
      <c r="BB813" s="128"/>
      <c r="BC813" s="111"/>
    </row>
    <row r="814" spans="1:55" ht="14.25" x14ac:dyDescent="0.15">
      <c r="A814" s="23" t="s">
        <v>48</v>
      </c>
      <c r="B814" s="41"/>
      <c r="C814" s="42"/>
      <c r="D814" s="42"/>
      <c r="E814" s="42"/>
      <c r="F814" s="42">
        <v>1</v>
      </c>
      <c r="G814" s="43">
        <f t="shared" si="350"/>
        <v>1</v>
      </c>
      <c r="H814" s="41"/>
      <c r="I814" s="42"/>
      <c r="J814" s="42"/>
      <c r="K814" s="42"/>
      <c r="L814" s="42"/>
      <c r="M814" s="43">
        <f t="shared" si="351"/>
        <v>0</v>
      </c>
      <c r="N814" s="42"/>
      <c r="O814" s="53"/>
      <c r="P814" s="53"/>
      <c r="Q814" s="53"/>
      <c r="R814" s="72"/>
      <c r="S814" s="24">
        <f>SUM(N814:R814)</f>
        <v>0</v>
      </c>
      <c r="T814" s="42"/>
      <c r="U814" s="53"/>
      <c r="V814" s="53"/>
      <c r="W814" s="53"/>
      <c r="X814" s="72"/>
      <c r="Y814" s="24">
        <f>SUM(T814:X814)</f>
        <v>0</v>
      </c>
      <c r="Z814" s="24">
        <f>G814+M814+S814+Y814</f>
        <v>1</v>
      </c>
      <c r="AA814" s="93">
        <v>44600</v>
      </c>
      <c r="AB814" s="47" t="s">
        <v>474</v>
      </c>
      <c r="AC814" s="14"/>
      <c r="AD814" s="15"/>
      <c r="AE814" s="15"/>
      <c r="AF814" s="15"/>
      <c r="AG814" s="15"/>
      <c r="AH814" s="24">
        <f>SUM(AC814:AG814)</f>
        <v>0</v>
      </c>
      <c r="AI814" s="14"/>
      <c r="AJ814" s="15"/>
      <c r="AK814" s="15"/>
      <c r="AL814" s="15"/>
      <c r="AM814" s="15"/>
      <c r="AN814" s="24">
        <f>SUM(AI814:AM814)</f>
        <v>0</v>
      </c>
      <c r="AO814" s="183"/>
      <c r="AP814" s="186"/>
      <c r="AQ814" s="186"/>
      <c r="AR814" s="186"/>
      <c r="AS814" s="187"/>
      <c r="AT814" s="188">
        <f>SUM(AO814:AS814)</f>
        <v>0</v>
      </c>
      <c r="AU814" s="183"/>
      <c r="AV814" s="186"/>
      <c r="AW814" s="186"/>
      <c r="AX814" s="55"/>
      <c r="AY814" s="187"/>
      <c r="AZ814" s="188">
        <f>SUM(AU814:AY814)</f>
        <v>0</v>
      </c>
      <c r="BA814" s="24">
        <f>AH814+AN814+AT814+AZ814</f>
        <v>0</v>
      </c>
      <c r="BB814" s="128" t="s">
        <v>475</v>
      </c>
    </row>
    <row r="815" spans="1:55" ht="15" thickBot="1" x14ac:dyDescent="0.2">
      <c r="A815" s="23" t="s">
        <v>48</v>
      </c>
      <c r="B815" s="44"/>
      <c r="C815" s="45"/>
      <c r="D815" s="45"/>
      <c r="E815" s="45">
        <v>1</v>
      </c>
      <c r="F815" s="45"/>
      <c r="G815" s="43">
        <f t="shared" si="350"/>
        <v>1</v>
      </c>
      <c r="H815" s="44"/>
      <c r="I815" s="45"/>
      <c r="J815" s="45"/>
      <c r="K815" s="45"/>
      <c r="L815" s="45"/>
      <c r="M815" s="112">
        <f t="shared" si="351"/>
        <v>0</v>
      </c>
      <c r="N815" s="45"/>
      <c r="O815" s="78"/>
      <c r="P815" s="78"/>
      <c r="Q815" s="78"/>
      <c r="R815" s="79"/>
      <c r="S815" s="113">
        <f>SUM(N815:R815)</f>
        <v>0</v>
      </c>
      <c r="T815" s="45"/>
      <c r="U815" s="78"/>
      <c r="V815" s="78"/>
      <c r="W815" s="78"/>
      <c r="X815" s="79"/>
      <c r="Y815" s="113">
        <f>SUM(T815:X815)</f>
        <v>0</v>
      </c>
      <c r="Z815" s="82">
        <f>G815+M815+S815+Y815</f>
        <v>1</v>
      </c>
      <c r="AA815" s="93">
        <v>44601</v>
      </c>
      <c r="AB815" s="47" t="s">
        <v>471</v>
      </c>
      <c r="AC815" s="14"/>
      <c r="AD815" s="15"/>
      <c r="AE815" s="15"/>
      <c r="AF815" s="15"/>
      <c r="AG815" s="15"/>
      <c r="AH815" s="24">
        <f>SUM(AC815:AG815)</f>
        <v>0</v>
      </c>
      <c r="AI815" s="189"/>
      <c r="AJ815" s="183"/>
      <c r="AK815" s="183"/>
      <c r="AL815" s="183"/>
      <c r="AM815" s="183"/>
      <c r="AN815" s="188">
        <f>SUM(AI815:AM815)</f>
        <v>0</v>
      </c>
      <c r="AO815" s="15"/>
      <c r="AP815" s="55"/>
      <c r="AQ815" s="55"/>
      <c r="AR815" s="55"/>
      <c r="AS815" s="67"/>
      <c r="AT815" s="24">
        <f>SUM(AO815:AS815)</f>
        <v>0</v>
      </c>
      <c r="AU815" s="15"/>
      <c r="AV815" s="55"/>
      <c r="AW815" s="55"/>
      <c r="AX815" s="55"/>
      <c r="AY815" s="67"/>
      <c r="AZ815" s="24">
        <f>SUM(AU815:AY815)</f>
        <v>0</v>
      </c>
      <c r="BA815" s="24">
        <f>AH815+AN815+AT815+AZ815</f>
        <v>0</v>
      </c>
      <c r="BB815" s="128" t="s">
        <v>473</v>
      </c>
    </row>
    <row r="816" spans="1:55" ht="15" thickBot="1" x14ac:dyDescent="0.2">
      <c r="A816" s="9" t="s">
        <v>13</v>
      </c>
      <c r="B816" s="25">
        <f>SUM(B790:B815)</f>
        <v>1</v>
      </c>
      <c r="C816" s="26">
        <f>SUM(C790:C815)</f>
        <v>4</v>
      </c>
      <c r="D816" s="26">
        <f>SUM(D790:D815)</f>
        <v>1</v>
      </c>
      <c r="E816" s="26">
        <f>SUM(E790:E815)</f>
        <v>5</v>
      </c>
      <c r="F816" s="27">
        <f>SUM(F790:F815)</f>
        <v>0</v>
      </c>
      <c r="G816" s="19">
        <f>SUM(B816:F816)</f>
        <v>11</v>
      </c>
      <c r="H816" s="25">
        <f>SUM(H790:H815)</f>
        <v>0</v>
      </c>
      <c r="I816" s="26">
        <f>SUM(I790:I815)</f>
        <v>0</v>
      </c>
      <c r="J816" s="26">
        <f>SUM(J790:J815)</f>
        <v>-1</v>
      </c>
      <c r="K816" s="26">
        <f>SUM(K790:K815)</f>
        <v>1</v>
      </c>
      <c r="L816" s="27">
        <f>SUM(L790:L815)</f>
        <v>-1</v>
      </c>
      <c r="M816" s="25">
        <f>SUM(H816:L816)</f>
        <v>-1</v>
      </c>
      <c r="N816" s="65">
        <f>SUM(N790:N815)</f>
        <v>0</v>
      </c>
      <c r="O816" s="18">
        <f>SUM(O790:O815)</f>
        <v>1</v>
      </c>
      <c r="P816" s="18">
        <f>SUM(P790:P815)</f>
        <v>0</v>
      </c>
      <c r="Q816" s="18">
        <f>SUM(Q790:Q815)</f>
        <v>1</v>
      </c>
      <c r="R816" s="70">
        <f>SUM(R790:R815)</f>
        <v>1</v>
      </c>
      <c r="S816" s="49">
        <f>SUM(N816:R816)</f>
        <v>3</v>
      </c>
      <c r="T816" s="74">
        <f>SUM(T790:T815)</f>
        <v>0</v>
      </c>
      <c r="U816" s="18">
        <f>SUM(U790:U815)</f>
        <v>0</v>
      </c>
      <c r="V816" s="18">
        <f>SUM(V790:V815)</f>
        <v>0</v>
      </c>
      <c r="W816" s="18">
        <f>SUM(W790:W815)</f>
        <v>0</v>
      </c>
      <c r="X816" s="70">
        <f>SUM(X790:X815)</f>
        <v>2</v>
      </c>
      <c r="Y816" s="49">
        <f>SUM(T816:X816)</f>
        <v>2</v>
      </c>
      <c r="Z816" s="77">
        <f>G816+M816+S816+Y816</f>
        <v>15</v>
      </c>
      <c r="AB816" s="9" t="s">
        <v>13</v>
      </c>
      <c r="AC816" s="25">
        <f>SUM(AC790:AC815)</f>
        <v>8</v>
      </c>
      <c r="AD816" s="26">
        <f>SUM(AD790:AD815)</f>
        <v>11</v>
      </c>
      <c r="AE816" s="26">
        <f>SUM(AE790:AE815)</f>
        <v>8</v>
      </c>
      <c r="AF816" s="26">
        <f>SUM(AF790:AF815)</f>
        <v>8</v>
      </c>
      <c r="AG816" s="27">
        <f>SUM(AG790:AG815)</f>
        <v>8</v>
      </c>
      <c r="AH816" s="19">
        <f>SUM(AC816:AG816)</f>
        <v>43</v>
      </c>
      <c r="AI816" s="25">
        <f>SUM(AI790:AI815)</f>
        <v>5</v>
      </c>
      <c r="AJ816" s="26">
        <f>SUM(AJ790:AJ815)</f>
        <v>10</v>
      </c>
      <c r="AK816" s="26">
        <f>SUM(AK790:AK815)</f>
        <v>10</v>
      </c>
      <c r="AL816" s="26">
        <f>SUM(AL790:AL815)</f>
        <v>13</v>
      </c>
      <c r="AM816" s="27">
        <f>SUM(AM790:AM815)</f>
        <v>5</v>
      </c>
      <c r="AN816" s="25">
        <f>SUM(AI816:AM816)</f>
        <v>43</v>
      </c>
      <c r="AO816" s="65">
        <f>SUM(AO790:AO815)</f>
        <v>0</v>
      </c>
      <c r="AP816" s="18">
        <f>SUM(AP790:AP815)</f>
        <v>3</v>
      </c>
      <c r="AQ816" s="18">
        <f>SUM(AQ790:AQ815)</f>
        <v>0</v>
      </c>
      <c r="AR816" s="18">
        <f>SUM(AR790:AR815)</f>
        <v>3</v>
      </c>
      <c r="AS816" s="70">
        <f>SUM(AS790:AS815)</f>
        <v>0</v>
      </c>
      <c r="AT816" s="49">
        <f>SUM(AO816:AS816)</f>
        <v>6</v>
      </c>
      <c r="AU816" s="74">
        <f>SUM(AU790:AU815)</f>
        <v>0</v>
      </c>
      <c r="AV816" s="18">
        <f>SUM(AV790:AV815)</f>
        <v>0</v>
      </c>
      <c r="AW816" s="18">
        <f>SUM(AW790:AW815)</f>
        <v>0</v>
      </c>
      <c r="AX816" s="18">
        <f>SUM(AX790:AX815)</f>
        <v>0</v>
      </c>
      <c r="AY816" s="70">
        <f>SUM(AY790:AY815)</f>
        <v>0</v>
      </c>
      <c r="AZ816" s="49">
        <f>SUM(AU816:AY816)</f>
        <v>0</v>
      </c>
      <c r="BA816" s="77">
        <f>AH816+AN816+AT816+AZ816</f>
        <v>92</v>
      </c>
    </row>
    <row r="817" spans="1:54" ht="15" thickBot="1" x14ac:dyDescent="0.2">
      <c r="A817" s="32" t="s">
        <v>14</v>
      </c>
      <c r="B817" s="29">
        <f t="shared" ref="B817:Y817" si="389">B789-B816</f>
        <v>4</v>
      </c>
      <c r="C817" s="30">
        <f t="shared" si="389"/>
        <v>4</v>
      </c>
      <c r="D817" s="30">
        <f t="shared" si="389"/>
        <v>2</v>
      </c>
      <c r="E817" s="30">
        <f t="shared" si="389"/>
        <v>1</v>
      </c>
      <c r="F817" s="31">
        <f t="shared" si="389"/>
        <v>2</v>
      </c>
      <c r="G817" s="31">
        <f t="shared" si="389"/>
        <v>13</v>
      </c>
      <c r="H817" s="29">
        <f t="shared" si="389"/>
        <v>4</v>
      </c>
      <c r="I817" s="30">
        <f t="shared" si="389"/>
        <v>5</v>
      </c>
      <c r="J817" s="30">
        <f t="shared" si="389"/>
        <v>4</v>
      </c>
      <c r="K817" s="30">
        <f t="shared" si="389"/>
        <v>4</v>
      </c>
      <c r="L817" s="31">
        <f t="shared" si="389"/>
        <v>5</v>
      </c>
      <c r="M817" s="66">
        <f t="shared" si="389"/>
        <v>22</v>
      </c>
      <c r="N817" s="29">
        <f t="shared" si="389"/>
        <v>3</v>
      </c>
      <c r="O817" s="30">
        <f t="shared" si="389"/>
        <v>4</v>
      </c>
      <c r="P817" s="30">
        <f t="shared" si="389"/>
        <v>3</v>
      </c>
      <c r="Q817" s="30">
        <f t="shared" si="389"/>
        <v>4</v>
      </c>
      <c r="R817" s="66">
        <f t="shared" si="389"/>
        <v>3</v>
      </c>
      <c r="S817" s="33">
        <f t="shared" si="389"/>
        <v>17</v>
      </c>
      <c r="T817" s="75">
        <f t="shared" si="389"/>
        <v>4</v>
      </c>
      <c r="U817" s="30">
        <f t="shared" si="389"/>
        <v>2</v>
      </c>
      <c r="V817" s="30">
        <f t="shared" si="389"/>
        <v>3</v>
      </c>
      <c r="W817" s="30">
        <f t="shared" si="389"/>
        <v>3</v>
      </c>
      <c r="X817" s="66">
        <f t="shared" si="389"/>
        <v>4</v>
      </c>
      <c r="Y817" s="33">
        <f t="shared" si="389"/>
        <v>16</v>
      </c>
      <c r="Z817" s="77">
        <f>G817+M817+S817+Y817</f>
        <v>68</v>
      </c>
      <c r="AB817" s="32" t="s">
        <v>14</v>
      </c>
      <c r="AC817" s="29">
        <f t="shared" ref="AC817:AZ817" si="390">AC789-AC816</f>
        <v>160</v>
      </c>
      <c r="AD817" s="30">
        <f t="shared" si="390"/>
        <v>116</v>
      </c>
      <c r="AE817" s="30">
        <f t="shared" si="390"/>
        <v>107</v>
      </c>
      <c r="AF817" s="30">
        <f t="shared" si="390"/>
        <v>121</v>
      </c>
      <c r="AG817" s="31">
        <f t="shared" si="390"/>
        <v>84</v>
      </c>
      <c r="AH817" s="31">
        <f t="shared" si="390"/>
        <v>588</v>
      </c>
      <c r="AI817" s="29">
        <f t="shared" si="390"/>
        <v>99</v>
      </c>
      <c r="AJ817" s="30">
        <f t="shared" si="390"/>
        <v>97</v>
      </c>
      <c r="AK817" s="30">
        <f t="shared" si="390"/>
        <v>100</v>
      </c>
      <c r="AL817" s="30">
        <f t="shared" si="390"/>
        <v>84</v>
      </c>
      <c r="AM817" s="31">
        <f t="shared" si="390"/>
        <v>88</v>
      </c>
      <c r="AN817" s="66">
        <f t="shared" si="390"/>
        <v>468</v>
      </c>
      <c r="AO817" s="29">
        <f t="shared" si="390"/>
        <v>168</v>
      </c>
      <c r="AP817" s="30">
        <f t="shared" si="390"/>
        <v>146</v>
      </c>
      <c r="AQ817" s="30">
        <f t="shared" si="390"/>
        <v>143</v>
      </c>
      <c r="AR817" s="30">
        <f t="shared" si="390"/>
        <v>148</v>
      </c>
      <c r="AS817" s="66">
        <f t="shared" si="390"/>
        <v>162</v>
      </c>
      <c r="AT817" s="33">
        <f t="shared" si="390"/>
        <v>767</v>
      </c>
      <c r="AU817" s="75">
        <f t="shared" si="390"/>
        <v>119</v>
      </c>
      <c r="AV817" s="30">
        <f t="shared" si="390"/>
        <v>78</v>
      </c>
      <c r="AW817" s="30">
        <f t="shared" si="390"/>
        <v>74</v>
      </c>
      <c r="AX817" s="30">
        <f t="shared" si="390"/>
        <v>74</v>
      </c>
      <c r="AY817" s="66">
        <f t="shared" si="390"/>
        <v>118</v>
      </c>
      <c r="AZ817" s="33">
        <f t="shared" si="390"/>
        <v>463</v>
      </c>
      <c r="BA817" s="77">
        <f>AH817+AN817+AT817+AZ817</f>
        <v>2286</v>
      </c>
    </row>
    <row r="818" spans="1:54" x14ac:dyDescent="0.15">
      <c r="AC818" s="2">
        <f>AC816+AC779</f>
        <v>190</v>
      </c>
      <c r="AD818" s="2">
        <f t="shared" ref="AD818:BA818" si="391">AD816+AD779</f>
        <v>354</v>
      </c>
      <c r="AE818" s="2">
        <f t="shared" si="391"/>
        <v>380</v>
      </c>
      <c r="AF818" s="2">
        <f t="shared" si="391"/>
        <v>347</v>
      </c>
      <c r="AG818" s="2">
        <f t="shared" si="391"/>
        <v>405</v>
      </c>
      <c r="AH818" s="2">
        <f t="shared" si="391"/>
        <v>1676</v>
      </c>
      <c r="AI818" s="2">
        <f t="shared" si="391"/>
        <v>116</v>
      </c>
      <c r="AJ818" s="2">
        <f t="shared" si="391"/>
        <v>181</v>
      </c>
      <c r="AK818" s="2">
        <f t="shared" si="391"/>
        <v>168</v>
      </c>
      <c r="AL818" s="2">
        <f t="shared" si="391"/>
        <v>172</v>
      </c>
      <c r="AM818" s="2">
        <f t="shared" si="391"/>
        <v>170</v>
      </c>
      <c r="AN818" s="2">
        <f t="shared" si="391"/>
        <v>807</v>
      </c>
      <c r="AO818" s="2">
        <f t="shared" si="391"/>
        <v>109</v>
      </c>
      <c r="AP818" s="2">
        <f t="shared" si="391"/>
        <v>177</v>
      </c>
      <c r="AQ818" s="2">
        <f t="shared" si="391"/>
        <v>133</v>
      </c>
      <c r="AR818" s="2">
        <f t="shared" si="391"/>
        <v>142</v>
      </c>
      <c r="AS818" s="2">
        <f t="shared" si="391"/>
        <v>154</v>
      </c>
      <c r="AT818" s="2">
        <f t="shared" si="391"/>
        <v>715</v>
      </c>
      <c r="AU818" s="2">
        <f t="shared" si="391"/>
        <v>80</v>
      </c>
      <c r="AV818" s="2">
        <f t="shared" si="391"/>
        <v>166</v>
      </c>
      <c r="AW818" s="2">
        <f t="shared" si="391"/>
        <v>159</v>
      </c>
      <c r="AX818" s="2">
        <f t="shared" si="391"/>
        <v>155</v>
      </c>
      <c r="AY818" s="2">
        <f t="shared" si="391"/>
        <v>164</v>
      </c>
      <c r="AZ818" s="2">
        <f t="shared" si="391"/>
        <v>724</v>
      </c>
      <c r="BA818" s="2">
        <f t="shared" si="391"/>
        <v>2065</v>
      </c>
    </row>
    <row r="820" spans="1:54" ht="19.5" thickBot="1" x14ac:dyDescent="0.25">
      <c r="A820" s="1" t="s">
        <v>15</v>
      </c>
      <c r="AB820" s="1" t="s">
        <v>16</v>
      </c>
    </row>
    <row r="821" spans="1:54" ht="15" thickBot="1" x14ac:dyDescent="0.2">
      <c r="A821" s="4"/>
      <c r="B821" s="245" t="s">
        <v>17</v>
      </c>
      <c r="C821" s="246"/>
      <c r="D821" s="246"/>
      <c r="E821" s="246"/>
      <c r="F821" s="246"/>
      <c r="G821" s="247"/>
      <c r="H821" s="245" t="s">
        <v>18</v>
      </c>
      <c r="I821" s="246"/>
      <c r="J821" s="246"/>
      <c r="K821" s="246"/>
      <c r="L821" s="246"/>
      <c r="M821" s="247"/>
      <c r="N821" s="248" t="s">
        <v>27</v>
      </c>
      <c r="O821" s="249"/>
      <c r="P821" s="249"/>
      <c r="Q821" s="249"/>
      <c r="R821" s="249"/>
      <c r="S821" s="250"/>
      <c r="T821" s="248" t="s">
        <v>28</v>
      </c>
      <c r="U821" s="249"/>
      <c r="V821" s="249"/>
      <c r="W821" s="249"/>
      <c r="X821" s="249"/>
      <c r="Y821" s="250"/>
      <c r="Z821" s="251" t="s">
        <v>1</v>
      </c>
      <c r="AB821" s="4"/>
      <c r="AC821" s="253" t="s">
        <v>17</v>
      </c>
      <c r="AD821" s="249"/>
      <c r="AE821" s="249"/>
      <c r="AF821" s="249"/>
      <c r="AG821" s="249"/>
      <c r="AH821" s="250"/>
      <c r="AI821" s="248" t="s">
        <v>18</v>
      </c>
      <c r="AJ821" s="249"/>
      <c r="AK821" s="249"/>
      <c r="AL821" s="249"/>
      <c r="AM821" s="249"/>
      <c r="AN821" s="250"/>
      <c r="AO821" s="248" t="s">
        <v>27</v>
      </c>
      <c r="AP821" s="249"/>
      <c r="AQ821" s="249"/>
      <c r="AR821" s="249"/>
      <c r="AS821" s="249"/>
      <c r="AT821" s="250"/>
      <c r="AU821" s="248" t="s">
        <v>28</v>
      </c>
      <c r="AV821" s="249"/>
      <c r="AW821" s="249"/>
      <c r="AX821" s="249"/>
      <c r="AY821" s="249"/>
      <c r="AZ821" s="250"/>
      <c r="BA821" s="243" t="s">
        <v>1</v>
      </c>
    </row>
    <row r="822" spans="1:54" ht="15" thickBot="1" x14ac:dyDescent="0.2">
      <c r="A822" s="9" t="s">
        <v>2</v>
      </c>
      <c r="B822" s="6" t="s">
        <v>3</v>
      </c>
      <c r="C822" s="7" t="s">
        <v>4</v>
      </c>
      <c r="D822" s="7" t="s">
        <v>5</v>
      </c>
      <c r="E822" s="48" t="s">
        <v>20</v>
      </c>
      <c r="F822" s="8" t="s">
        <v>21</v>
      </c>
      <c r="G822" s="5" t="s">
        <v>6</v>
      </c>
      <c r="H822" s="6" t="s">
        <v>3</v>
      </c>
      <c r="I822" s="7" t="s">
        <v>4</v>
      </c>
      <c r="J822" s="7" t="s">
        <v>5</v>
      </c>
      <c r="K822" s="48" t="s">
        <v>20</v>
      </c>
      <c r="L822" s="8" t="s">
        <v>21</v>
      </c>
      <c r="M822" s="5" t="s">
        <v>6</v>
      </c>
      <c r="N822" s="6" t="s">
        <v>3</v>
      </c>
      <c r="O822" s="7" t="s">
        <v>4</v>
      </c>
      <c r="P822" s="7" t="s">
        <v>5</v>
      </c>
      <c r="Q822" s="48" t="s">
        <v>20</v>
      </c>
      <c r="R822" s="8" t="s">
        <v>21</v>
      </c>
      <c r="S822" s="5" t="s">
        <v>6</v>
      </c>
      <c r="T822" s="7" t="s">
        <v>3</v>
      </c>
      <c r="U822" s="7" t="s">
        <v>4</v>
      </c>
      <c r="V822" s="7" t="s">
        <v>5</v>
      </c>
      <c r="W822" s="48" t="s">
        <v>20</v>
      </c>
      <c r="X822" s="109" t="s">
        <v>21</v>
      </c>
      <c r="Y822" s="62" t="s">
        <v>6</v>
      </c>
      <c r="Z822" s="252"/>
      <c r="AB822" s="9" t="s">
        <v>2</v>
      </c>
      <c r="AC822" s="6" t="s">
        <v>3</v>
      </c>
      <c r="AD822" s="7" t="s">
        <v>4</v>
      </c>
      <c r="AE822" s="7" t="s">
        <v>5</v>
      </c>
      <c r="AF822" s="48" t="s">
        <v>20</v>
      </c>
      <c r="AG822" s="8" t="s">
        <v>21</v>
      </c>
      <c r="AH822" s="5" t="s">
        <v>6</v>
      </c>
      <c r="AI822" s="6" t="s">
        <v>3</v>
      </c>
      <c r="AJ822" s="7" t="s">
        <v>4</v>
      </c>
      <c r="AK822" s="7" t="s">
        <v>5</v>
      </c>
      <c r="AL822" s="48" t="s">
        <v>20</v>
      </c>
      <c r="AM822" s="8" t="s">
        <v>21</v>
      </c>
      <c r="AN822" s="5" t="s">
        <v>6</v>
      </c>
      <c r="AO822" s="6" t="s">
        <v>3</v>
      </c>
      <c r="AP822" s="7" t="s">
        <v>4</v>
      </c>
      <c r="AQ822" s="7" t="s">
        <v>5</v>
      </c>
      <c r="AR822" s="48" t="s">
        <v>20</v>
      </c>
      <c r="AS822" s="8" t="s">
        <v>21</v>
      </c>
      <c r="AT822" s="5" t="s">
        <v>6</v>
      </c>
      <c r="AU822" s="7" t="s">
        <v>3</v>
      </c>
      <c r="AV822" s="7" t="s">
        <v>4</v>
      </c>
      <c r="AW822" s="7" t="s">
        <v>5</v>
      </c>
      <c r="AX822" s="48" t="s">
        <v>20</v>
      </c>
      <c r="AY822" s="109" t="s">
        <v>21</v>
      </c>
      <c r="AZ822" s="62" t="s">
        <v>6</v>
      </c>
      <c r="BA822" s="244"/>
    </row>
    <row r="823" spans="1:54" ht="14.25" x14ac:dyDescent="0.15">
      <c r="A823" s="103" t="s">
        <v>43</v>
      </c>
      <c r="B823" s="104">
        <f>B817</f>
        <v>4</v>
      </c>
      <c r="C823" s="105">
        <f>C817</f>
        <v>4</v>
      </c>
      <c r="D823" s="105">
        <f>D817</f>
        <v>2</v>
      </c>
      <c r="E823" s="105">
        <f>E817</f>
        <v>1</v>
      </c>
      <c r="F823" s="105">
        <f>F817</f>
        <v>2</v>
      </c>
      <c r="G823" s="106">
        <f t="shared" ref="G823:G843" si="392">SUM(B823:F823)</f>
        <v>13</v>
      </c>
      <c r="H823" s="104">
        <f>H817</f>
        <v>4</v>
      </c>
      <c r="I823" s="105">
        <f>I817</f>
        <v>5</v>
      </c>
      <c r="J823" s="105">
        <f>J817</f>
        <v>4</v>
      </c>
      <c r="K823" s="105">
        <f>K817</f>
        <v>4</v>
      </c>
      <c r="L823" s="105">
        <f>L817</f>
        <v>5</v>
      </c>
      <c r="M823" s="107">
        <f t="shared" ref="M823:M854" si="393">SUM(H823:L823)</f>
        <v>22</v>
      </c>
      <c r="N823" s="104">
        <f>N817</f>
        <v>3</v>
      </c>
      <c r="O823" s="105">
        <f>O817</f>
        <v>4</v>
      </c>
      <c r="P823" s="105">
        <f>P817</f>
        <v>3</v>
      </c>
      <c r="Q823" s="105">
        <f>Q817</f>
        <v>4</v>
      </c>
      <c r="R823" s="105">
        <f>R817</f>
        <v>3</v>
      </c>
      <c r="S823" s="108">
        <f t="shared" ref="S823:S852" si="394">SUM(N823:R823)</f>
        <v>17</v>
      </c>
      <c r="T823" s="104">
        <f>T817</f>
        <v>4</v>
      </c>
      <c r="U823" s="105">
        <f>U817</f>
        <v>2</v>
      </c>
      <c r="V823" s="105">
        <f>V817</f>
        <v>3</v>
      </c>
      <c r="W823" s="105">
        <f>W817</f>
        <v>3</v>
      </c>
      <c r="X823" s="105">
        <f>X817</f>
        <v>4</v>
      </c>
      <c r="Y823" s="106">
        <f t="shared" ref="Y823:Y852" si="395">SUM(T823:X823)</f>
        <v>16</v>
      </c>
      <c r="Z823" s="106">
        <f t="shared" ref="Z823:Z852" si="396">G823+M823+S823+Y823</f>
        <v>68</v>
      </c>
      <c r="AB823" s="103" t="s">
        <v>43</v>
      </c>
      <c r="AC823" s="104">
        <f>AC817</f>
        <v>160</v>
      </c>
      <c r="AD823" s="105">
        <f>AD817</f>
        <v>116</v>
      </c>
      <c r="AE823" s="105">
        <f>AE817</f>
        <v>107</v>
      </c>
      <c r="AF823" s="105">
        <f>AF817</f>
        <v>121</v>
      </c>
      <c r="AG823" s="105">
        <f>AG817</f>
        <v>84</v>
      </c>
      <c r="AH823" s="106">
        <f>SUM(AC823:AG823)</f>
        <v>588</v>
      </c>
      <c r="AI823" s="104">
        <f>AI817</f>
        <v>99</v>
      </c>
      <c r="AJ823" s="105">
        <f>AJ817</f>
        <v>97</v>
      </c>
      <c r="AK823" s="105">
        <f>AK817</f>
        <v>100</v>
      </c>
      <c r="AL823" s="105">
        <f>AL817</f>
        <v>84</v>
      </c>
      <c r="AM823" s="105">
        <f>AM817</f>
        <v>88</v>
      </c>
      <c r="AN823" s="107">
        <f>SUM(AI823:AM823)</f>
        <v>468</v>
      </c>
      <c r="AO823" s="104">
        <f>AO817</f>
        <v>168</v>
      </c>
      <c r="AP823" s="105">
        <f>AP817</f>
        <v>146</v>
      </c>
      <c r="AQ823" s="105">
        <f>AQ817</f>
        <v>143</v>
      </c>
      <c r="AR823" s="105">
        <f>AR817</f>
        <v>148</v>
      </c>
      <c r="AS823" s="105">
        <f>AS817</f>
        <v>162</v>
      </c>
      <c r="AT823" s="108">
        <f>SUM(AO823:AS823)</f>
        <v>767</v>
      </c>
      <c r="AU823" s="104">
        <f>AU817</f>
        <v>119</v>
      </c>
      <c r="AV823" s="105">
        <f>AV817</f>
        <v>78</v>
      </c>
      <c r="AW823" s="105">
        <f>AW817</f>
        <v>74</v>
      </c>
      <c r="AX823" s="105">
        <f>AX817</f>
        <v>74</v>
      </c>
      <c r="AY823" s="105">
        <f>AY817</f>
        <v>118</v>
      </c>
      <c r="AZ823" s="106">
        <f>SUM(AU823:AY823)</f>
        <v>463</v>
      </c>
      <c r="BA823" s="106">
        <f>AH823+AN823+AT823+AZ823</f>
        <v>2286</v>
      </c>
    </row>
    <row r="824" spans="1:54" ht="14.25" x14ac:dyDescent="0.15">
      <c r="A824" s="10" t="s">
        <v>77</v>
      </c>
      <c r="B824" s="14"/>
      <c r="C824" s="15"/>
      <c r="D824" s="15"/>
      <c r="E824" s="15">
        <v>1</v>
      </c>
      <c r="F824" s="15"/>
      <c r="G824" s="16">
        <f t="shared" si="392"/>
        <v>1</v>
      </c>
      <c r="H824" s="14"/>
      <c r="I824" s="15"/>
      <c r="J824" s="15"/>
      <c r="K824" s="15"/>
      <c r="L824" s="15"/>
      <c r="M824" s="57">
        <f t="shared" si="393"/>
        <v>0</v>
      </c>
      <c r="N824" s="14"/>
      <c r="O824" s="55"/>
      <c r="P824" s="55"/>
      <c r="Q824" s="55"/>
      <c r="R824" s="67"/>
      <c r="S824" s="24">
        <f t="shared" si="394"/>
        <v>0</v>
      </c>
      <c r="T824" s="15"/>
      <c r="U824" s="55"/>
      <c r="V824" s="55"/>
      <c r="W824" s="55"/>
      <c r="X824" s="67"/>
      <c r="Y824" s="24">
        <f t="shared" si="395"/>
        <v>0</v>
      </c>
      <c r="Z824" s="24">
        <f t="shared" si="396"/>
        <v>1</v>
      </c>
      <c r="AA824" s="83">
        <v>44617</v>
      </c>
      <c r="AB824" s="10" t="s">
        <v>181</v>
      </c>
      <c r="AC824" s="41"/>
      <c r="AD824" s="42"/>
      <c r="AE824" s="42"/>
      <c r="AF824" s="42"/>
      <c r="AG824" s="42"/>
      <c r="AH824" s="43">
        <f t="shared" ref="AH824:AH827" si="397">SUM(AC824:AG824)</f>
        <v>0</v>
      </c>
      <c r="AI824" s="41"/>
      <c r="AJ824" s="42"/>
      <c r="AK824" s="42"/>
      <c r="AL824" s="42"/>
      <c r="AM824" s="42"/>
      <c r="AN824" s="43">
        <f t="shared" ref="AN824:AN827" si="398">SUM(AI824:AM824)</f>
        <v>0</v>
      </c>
      <c r="AO824" s="42"/>
      <c r="AP824" s="53"/>
      <c r="AQ824" s="53"/>
      <c r="AR824" s="53"/>
      <c r="AS824" s="72"/>
      <c r="AT824" s="24">
        <f t="shared" ref="AT824:AT827" si="399">SUM(AO824:AS824)</f>
        <v>0</v>
      </c>
      <c r="AU824" s="42"/>
      <c r="AV824" s="53"/>
      <c r="AW824" s="53"/>
      <c r="AX824" s="53"/>
      <c r="AY824" s="72"/>
      <c r="AZ824" s="24">
        <f t="shared" ref="AZ824:AZ827" si="400">SUM(AU824:AY824)</f>
        <v>0</v>
      </c>
      <c r="BA824" s="24">
        <f t="shared" ref="BA824:BA827" si="401">AH824+AN824+AT824+AZ824</f>
        <v>0</v>
      </c>
      <c r="BB824" s="93"/>
    </row>
    <row r="825" spans="1:54" ht="14.25" x14ac:dyDescent="0.15">
      <c r="A825" s="10" t="s">
        <v>181</v>
      </c>
      <c r="B825" s="41"/>
      <c r="C825" s="42">
        <v>3</v>
      </c>
      <c r="D825" s="42">
        <v>3</v>
      </c>
      <c r="E825" s="42"/>
      <c r="F825" s="42"/>
      <c r="G825" s="37">
        <f t="shared" si="392"/>
        <v>6</v>
      </c>
      <c r="H825" s="41"/>
      <c r="I825" s="42"/>
      <c r="J825" s="42"/>
      <c r="K825" s="42"/>
      <c r="L825" s="42"/>
      <c r="M825" s="114">
        <f t="shared" si="393"/>
        <v>0</v>
      </c>
      <c r="N825" s="41"/>
      <c r="O825" s="53"/>
      <c r="P825" s="53">
        <v>3</v>
      </c>
      <c r="Q825" s="53"/>
      <c r="R825" s="72"/>
      <c r="S825" s="24">
        <f t="shared" si="394"/>
        <v>3</v>
      </c>
      <c r="T825" s="42"/>
      <c r="U825" s="53"/>
      <c r="V825" s="53"/>
      <c r="W825" s="53"/>
      <c r="X825" s="72"/>
      <c r="Y825" s="24">
        <f t="shared" si="395"/>
        <v>0</v>
      </c>
      <c r="Z825" s="24">
        <f t="shared" si="396"/>
        <v>9</v>
      </c>
      <c r="AA825" s="83">
        <v>44637</v>
      </c>
      <c r="AB825" s="10" t="s">
        <v>181</v>
      </c>
      <c r="AC825" s="14"/>
      <c r="AD825" s="15"/>
      <c r="AE825" s="15"/>
      <c r="AF825" s="15"/>
      <c r="AG825" s="15"/>
      <c r="AH825" s="43">
        <f t="shared" si="397"/>
        <v>0</v>
      </c>
      <c r="AI825" s="14"/>
      <c r="AJ825" s="15"/>
      <c r="AK825" s="15"/>
      <c r="AL825" s="15"/>
      <c r="AM825" s="15"/>
      <c r="AN825" s="43">
        <f t="shared" si="398"/>
        <v>0</v>
      </c>
      <c r="AO825" s="14"/>
      <c r="AP825" s="55"/>
      <c r="AQ825" s="55"/>
      <c r="AR825" s="55"/>
      <c r="AS825" s="67"/>
      <c r="AT825" s="24">
        <f t="shared" si="399"/>
        <v>0</v>
      </c>
      <c r="AU825" s="15"/>
      <c r="AV825" s="55"/>
      <c r="AW825" s="55"/>
      <c r="AX825" s="55"/>
      <c r="AY825" s="67"/>
      <c r="AZ825" s="24">
        <f t="shared" si="400"/>
        <v>0</v>
      </c>
      <c r="BA825" s="24">
        <f t="shared" si="401"/>
        <v>0</v>
      </c>
    </row>
    <row r="826" spans="1:54" ht="14.25" x14ac:dyDescent="0.15">
      <c r="A826" s="10" t="s">
        <v>366</v>
      </c>
      <c r="B826" s="14"/>
      <c r="C826" s="15">
        <v>1</v>
      </c>
      <c r="D826" s="15"/>
      <c r="E826" s="15"/>
      <c r="F826" s="15">
        <v>1</v>
      </c>
      <c r="G826" s="16">
        <f t="shared" si="392"/>
        <v>2</v>
      </c>
      <c r="H826" s="14"/>
      <c r="I826" s="15"/>
      <c r="J826" s="15"/>
      <c r="K826" s="15"/>
      <c r="L826" s="15"/>
      <c r="M826" s="57">
        <f t="shared" si="393"/>
        <v>0</v>
      </c>
      <c r="N826" s="14"/>
      <c r="O826" s="55"/>
      <c r="P826" s="55"/>
      <c r="Q826" s="55"/>
      <c r="R826" s="67"/>
      <c r="S826" s="24">
        <f t="shared" si="394"/>
        <v>0</v>
      </c>
      <c r="T826" s="15"/>
      <c r="U826" s="55"/>
      <c r="V826" s="55"/>
      <c r="W826" s="55"/>
      <c r="X826" s="67"/>
      <c r="Y826" s="24">
        <f t="shared" si="395"/>
        <v>0</v>
      </c>
      <c r="Z826" s="24">
        <f t="shared" si="396"/>
        <v>2</v>
      </c>
      <c r="AA826" s="83">
        <v>44637</v>
      </c>
      <c r="AB826" s="10" t="s">
        <v>181</v>
      </c>
      <c r="AC826" s="41"/>
      <c r="AD826" s="42"/>
      <c r="AE826" s="42"/>
      <c r="AF826" s="42"/>
      <c r="AG826" s="42"/>
      <c r="AH826" s="43">
        <f t="shared" si="397"/>
        <v>0</v>
      </c>
      <c r="AI826" s="41"/>
      <c r="AJ826" s="42"/>
      <c r="AK826" s="42"/>
      <c r="AL826" s="42"/>
      <c r="AM826" s="42"/>
      <c r="AN826" s="43">
        <f t="shared" si="398"/>
        <v>0</v>
      </c>
      <c r="AO826" s="42"/>
      <c r="AP826" s="53"/>
      <c r="AQ826" s="53"/>
      <c r="AR826" s="53"/>
      <c r="AS826" s="72"/>
      <c r="AT826" s="24">
        <f t="shared" si="399"/>
        <v>0</v>
      </c>
      <c r="AU826" s="42"/>
      <c r="AV826" s="53"/>
      <c r="AW826" s="53"/>
      <c r="AX826" s="53"/>
      <c r="AY826" s="72"/>
      <c r="AZ826" s="24">
        <f t="shared" si="400"/>
        <v>0</v>
      </c>
      <c r="BA826" s="24">
        <f t="shared" si="401"/>
        <v>0</v>
      </c>
    </row>
    <row r="827" spans="1:54" ht="15" thickBot="1" x14ac:dyDescent="0.2">
      <c r="A827" s="10" t="s">
        <v>181</v>
      </c>
      <c r="B827" s="14"/>
      <c r="C827" s="15"/>
      <c r="D827" s="15"/>
      <c r="E827" s="15"/>
      <c r="F827" s="15">
        <v>3</v>
      </c>
      <c r="G827" s="16">
        <f t="shared" si="392"/>
        <v>3</v>
      </c>
      <c r="H827" s="14"/>
      <c r="I827" s="15"/>
      <c r="J827" s="15"/>
      <c r="K827" s="15"/>
      <c r="L827" s="15"/>
      <c r="M827" s="57">
        <f t="shared" si="393"/>
        <v>0</v>
      </c>
      <c r="N827" s="63"/>
      <c r="O827" s="64"/>
      <c r="P827" s="64">
        <v>3</v>
      </c>
      <c r="Q827" s="64"/>
      <c r="R827" s="69"/>
      <c r="S827" s="82">
        <f t="shared" si="394"/>
        <v>3</v>
      </c>
      <c r="T827" s="73"/>
      <c r="U827" s="64"/>
      <c r="V827" s="64"/>
      <c r="W827" s="64"/>
      <c r="X827" s="69"/>
      <c r="Y827" s="82">
        <f t="shared" si="395"/>
        <v>0</v>
      </c>
      <c r="Z827" s="82">
        <f t="shared" si="396"/>
        <v>6</v>
      </c>
      <c r="AA827" s="83">
        <v>44663</v>
      </c>
      <c r="AB827" s="10" t="s">
        <v>181</v>
      </c>
      <c r="AC827" s="14"/>
      <c r="AD827" s="15"/>
      <c r="AE827" s="15"/>
      <c r="AF827" s="15"/>
      <c r="AG827" s="15"/>
      <c r="AH827" s="43">
        <f t="shared" si="397"/>
        <v>0</v>
      </c>
      <c r="AI827" s="14"/>
      <c r="AJ827" s="15"/>
      <c r="AK827" s="15"/>
      <c r="AL827" s="15"/>
      <c r="AM827" s="15"/>
      <c r="AN827" s="43">
        <f t="shared" si="398"/>
        <v>0</v>
      </c>
      <c r="AO827" s="63"/>
      <c r="AP827" s="64"/>
      <c r="AQ827" s="64"/>
      <c r="AR827" s="64"/>
      <c r="AS827" s="69"/>
      <c r="AT827" s="24">
        <f t="shared" si="399"/>
        <v>0</v>
      </c>
      <c r="AU827" s="73"/>
      <c r="AV827" s="64"/>
      <c r="AW827" s="64"/>
      <c r="AX827" s="64"/>
      <c r="AY827" s="69"/>
      <c r="AZ827" s="24">
        <f t="shared" si="400"/>
        <v>0</v>
      </c>
      <c r="BA827" s="24">
        <f t="shared" si="401"/>
        <v>0</v>
      </c>
    </row>
    <row r="828" spans="1:54" ht="15" thickBot="1" x14ac:dyDescent="0.2">
      <c r="A828" s="4" t="s">
        <v>12</v>
      </c>
      <c r="B828" s="17">
        <f>SUM(B823:B827)</f>
        <v>4</v>
      </c>
      <c r="C828" s="18">
        <f>SUM(C823:C827)</f>
        <v>8</v>
      </c>
      <c r="D828" s="18">
        <f>SUM(D823:D827)</f>
        <v>5</v>
      </c>
      <c r="E828" s="18">
        <f>SUM(E823:E827)</f>
        <v>2</v>
      </c>
      <c r="F828" s="18">
        <f>SUM(F823:F827)</f>
        <v>6</v>
      </c>
      <c r="G828" s="19">
        <f t="shared" si="392"/>
        <v>25</v>
      </c>
      <c r="H828" s="17">
        <f>SUM(H823:H827)</f>
        <v>4</v>
      </c>
      <c r="I828" s="18">
        <f>SUM(I823:I827)</f>
        <v>5</v>
      </c>
      <c r="J828" s="18">
        <f>SUM(J823:J827)</f>
        <v>4</v>
      </c>
      <c r="K828" s="18">
        <f>SUM(K823:K827)</f>
        <v>4</v>
      </c>
      <c r="L828" s="18">
        <f>SUM(L823:L827)</f>
        <v>5</v>
      </c>
      <c r="M828" s="25">
        <f t="shared" si="393"/>
        <v>22</v>
      </c>
      <c r="N828" s="65">
        <f>SUM(N823:N827)</f>
        <v>3</v>
      </c>
      <c r="O828" s="18">
        <f>SUM(O823:O827)</f>
        <v>4</v>
      </c>
      <c r="P828" s="18">
        <f>SUM(P823:P827)</f>
        <v>9</v>
      </c>
      <c r="Q828" s="18">
        <f>SUM(Q823:Q827)</f>
        <v>4</v>
      </c>
      <c r="R828" s="70">
        <f>SUM(R823:R827)</f>
        <v>3</v>
      </c>
      <c r="S828" s="49">
        <f t="shared" si="394"/>
        <v>23</v>
      </c>
      <c r="T828" s="74">
        <f>SUM(T823:T827)</f>
        <v>4</v>
      </c>
      <c r="U828" s="18">
        <f>SUM(U823:U827)</f>
        <v>2</v>
      </c>
      <c r="V828" s="18">
        <f>SUM(V823:V827)</f>
        <v>3</v>
      </c>
      <c r="W828" s="18">
        <f>SUM(W823:W827)</f>
        <v>3</v>
      </c>
      <c r="X828" s="70">
        <f>SUM(X823:X827)</f>
        <v>4</v>
      </c>
      <c r="Y828" s="49">
        <f t="shared" si="395"/>
        <v>16</v>
      </c>
      <c r="Z828" s="33">
        <f t="shared" si="396"/>
        <v>86</v>
      </c>
      <c r="AB828" s="4" t="s">
        <v>12</v>
      </c>
      <c r="AC828" s="17">
        <f>SUM(AC823:AC827)</f>
        <v>160</v>
      </c>
      <c r="AD828" s="18">
        <f>SUM(AD823:AD827)</f>
        <v>116</v>
      </c>
      <c r="AE828" s="18">
        <f>SUM(AE823:AE827)</f>
        <v>107</v>
      </c>
      <c r="AF828" s="18">
        <f>SUM(AF823:AF827)</f>
        <v>121</v>
      </c>
      <c r="AG828" s="18">
        <f>SUM(AG823:AG827)</f>
        <v>84</v>
      </c>
      <c r="AH828" s="148">
        <f t="shared" ref="AH828:AH849" si="402">SUM(AC828:AG828)</f>
        <v>588</v>
      </c>
      <c r="AI828" s="17">
        <f>SUM(AI823:AI827)</f>
        <v>99</v>
      </c>
      <c r="AJ828" s="18">
        <f>SUM(AJ823:AJ827)</f>
        <v>97</v>
      </c>
      <c r="AK828" s="18">
        <f>SUM(AK823:AK827)</f>
        <v>100</v>
      </c>
      <c r="AL828" s="18">
        <f>SUM(AL823:AL827)</f>
        <v>84</v>
      </c>
      <c r="AM828" s="18">
        <f>SUM(AM823:AM827)</f>
        <v>88</v>
      </c>
      <c r="AN828" s="148">
        <f t="shared" ref="AN828:AN849" si="403">SUM(AI828:AM828)</f>
        <v>468</v>
      </c>
      <c r="AO828" s="65">
        <f>SUM(AO823:AO827)</f>
        <v>168</v>
      </c>
      <c r="AP828" s="18">
        <f>SUM(AP823:AP827)</f>
        <v>146</v>
      </c>
      <c r="AQ828" s="18">
        <f>SUM(AQ823:AQ827)</f>
        <v>143</v>
      </c>
      <c r="AR828" s="18">
        <f>SUM(AR823:AR827)</f>
        <v>148</v>
      </c>
      <c r="AS828" s="70">
        <f>SUM(AS823:AS827)</f>
        <v>162</v>
      </c>
      <c r="AT828" s="49">
        <f t="shared" ref="AT828:AT849" si="404">SUM(AO828:AS828)</f>
        <v>767</v>
      </c>
      <c r="AU828" s="74">
        <f>SUM(AU823:AU827)</f>
        <v>119</v>
      </c>
      <c r="AV828" s="18">
        <f>SUM(AV823:AV827)</f>
        <v>78</v>
      </c>
      <c r="AW828" s="18">
        <f>SUM(AW823:AW827)</f>
        <v>74</v>
      </c>
      <c r="AX828" s="18">
        <f>SUM(AX823:AX827)</f>
        <v>74</v>
      </c>
      <c r="AY828" s="70">
        <f>SUM(AY823:AY827)</f>
        <v>118</v>
      </c>
      <c r="AZ828" s="49">
        <f t="shared" ref="AZ828:AZ849" si="405">SUM(AU828:AY828)</f>
        <v>463</v>
      </c>
      <c r="BA828" s="33">
        <f t="shared" ref="BA828:BA849" si="406">AH828+AN828+AT828+AZ828</f>
        <v>2286</v>
      </c>
    </row>
    <row r="829" spans="1:54" ht="14.25" x14ac:dyDescent="0.15">
      <c r="A829" s="23" t="s">
        <v>48</v>
      </c>
      <c r="B829" s="34"/>
      <c r="C829" s="35">
        <v>1</v>
      </c>
      <c r="D829" s="35"/>
      <c r="E829" s="35"/>
      <c r="F829" s="35"/>
      <c r="G829" s="36">
        <f t="shared" si="392"/>
        <v>1</v>
      </c>
      <c r="H829" s="34"/>
      <c r="I829" s="35"/>
      <c r="J829" s="35"/>
      <c r="K829" s="35"/>
      <c r="L829" s="35"/>
      <c r="M829" s="36">
        <f t="shared" si="393"/>
        <v>0</v>
      </c>
      <c r="N829" s="39"/>
      <c r="O829" s="56"/>
      <c r="P829" s="56"/>
      <c r="Q829" s="56"/>
      <c r="R829" s="71"/>
      <c r="S829" s="16">
        <f t="shared" si="394"/>
        <v>0</v>
      </c>
      <c r="T829" s="39"/>
      <c r="U829" s="56"/>
      <c r="V829" s="56"/>
      <c r="W829" s="56"/>
      <c r="X829" s="71"/>
      <c r="Y829" s="16">
        <f t="shared" si="395"/>
        <v>0</v>
      </c>
      <c r="Z829" s="16">
        <f t="shared" si="396"/>
        <v>1</v>
      </c>
      <c r="AA829" s="83">
        <v>44606</v>
      </c>
      <c r="AB829" s="21" t="s">
        <v>494</v>
      </c>
      <c r="AC829" s="14"/>
      <c r="AD829" s="15"/>
      <c r="AE829" s="15">
        <v>1</v>
      </c>
      <c r="AF829" s="15"/>
      <c r="AG829" s="15"/>
      <c r="AH829" s="24">
        <f t="shared" si="402"/>
        <v>1</v>
      </c>
      <c r="AI829" s="14"/>
      <c r="AJ829" s="15"/>
      <c r="AK829" s="15"/>
      <c r="AL829" s="15"/>
      <c r="AM829" s="15"/>
      <c r="AN829" s="24">
        <f t="shared" si="403"/>
        <v>0</v>
      </c>
      <c r="AO829" s="15"/>
      <c r="AP829" s="55"/>
      <c r="AQ829" s="55"/>
      <c r="AR829" s="55"/>
      <c r="AS829" s="67"/>
      <c r="AT829" s="24">
        <f t="shared" si="404"/>
        <v>0</v>
      </c>
      <c r="AU829" s="15"/>
      <c r="AV829" s="55"/>
      <c r="AW829" s="55"/>
      <c r="AX829" s="55"/>
      <c r="AY829" s="67"/>
      <c r="AZ829" s="24">
        <f t="shared" si="405"/>
        <v>0</v>
      </c>
      <c r="BA829" s="24">
        <f t="shared" si="406"/>
        <v>1</v>
      </c>
      <c r="BB829" s="83">
        <v>44610</v>
      </c>
    </row>
    <row r="830" spans="1:54" ht="14.25" x14ac:dyDescent="0.15">
      <c r="A830" s="23" t="s">
        <v>48</v>
      </c>
      <c r="B830" s="14"/>
      <c r="C830" s="15">
        <v>1</v>
      </c>
      <c r="D830" s="15"/>
      <c r="E830" s="15"/>
      <c r="F830" s="15"/>
      <c r="G830" s="24">
        <f t="shared" si="392"/>
        <v>1</v>
      </c>
      <c r="H830" s="14"/>
      <c r="I830" s="15"/>
      <c r="J830" s="15"/>
      <c r="K830" s="15"/>
      <c r="L830" s="15">
        <v>1</v>
      </c>
      <c r="M830" s="24">
        <f t="shared" si="393"/>
        <v>1</v>
      </c>
      <c r="N830" s="15"/>
      <c r="O830" s="55"/>
      <c r="P830" s="55">
        <v>1</v>
      </c>
      <c r="Q830" s="55"/>
      <c r="R830" s="67"/>
      <c r="S830" s="24">
        <f t="shared" si="394"/>
        <v>1</v>
      </c>
      <c r="T830" s="15"/>
      <c r="U830" s="55"/>
      <c r="V830" s="55"/>
      <c r="W830" s="55"/>
      <c r="X830" s="67"/>
      <c r="Y830" s="24">
        <f t="shared" si="395"/>
        <v>0</v>
      </c>
      <c r="Z830" s="24">
        <f t="shared" si="396"/>
        <v>3</v>
      </c>
      <c r="AA830" s="83">
        <v>44627</v>
      </c>
      <c r="AB830" s="23" t="s">
        <v>495</v>
      </c>
      <c r="AC830" s="41"/>
      <c r="AD830" s="42">
        <v>5</v>
      </c>
      <c r="AE830" s="42">
        <v>5</v>
      </c>
      <c r="AF830" s="42"/>
      <c r="AG830" s="42"/>
      <c r="AH830" s="37">
        <f t="shared" si="402"/>
        <v>10</v>
      </c>
      <c r="AI830" s="41"/>
      <c r="AJ830" s="42"/>
      <c r="AK830" s="42"/>
      <c r="AL830" s="42"/>
      <c r="AM830" s="42"/>
      <c r="AN830" s="114">
        <f t="shared" si="403"/>
        <v>0</v>
      </c>
      <c r="AO830" s="41"/>
      <c r="AP830" s="53"/>
      <c r="AQ830" s="53"/>
      <c r="AR830" s="53"/>
      <c r="AS830" s="72"/>
      <c r="AT830" s="24">
        <f t="shared" si="404"/>
        <v>0</v>
      </c>
      <c r="AU830" s="42"/>
      <c r="AV830" s="53"/>
      <c r="AW830" s="53"/>
      <c r="AX830" s="53"/>
      <c r="AY830" s="72"/>
      <c r="AZ830" s="24">
        <f t="shared" si="405"/>
        <v>0</v>
      </c>
      <c r="BA830" s="24">
        <f t="shared" si="406"/>
        <v>10</v>
      </c>
      <c r="BB830" s="83">
        <v>44627</v>
      </c>
    </row>
    <row r="831" spans="1:54" ht="14.25" x14ac:dyDescent="0.15">
      <c r="A831" s="23" t="s">
        <v>48</v>
      </c>
      <c r="B831" s="41"/>
      <c r="C831" s="42">
        <v>1</v>
      </c>
      <c r="D831" s="42">
        <v>1</v>
      </c>
      <c r="E831" s="42"/>
      <c r="F831" s="42"/>
      <c r="G831" s="43">
        <f t="shared" si="392"/>
        <v>2</v>
      </c>
      <c r="H831" s="41"/>
      <c r="I831" s="42"/>
      <c r="J831" s="42"/>
      <c r="K831" s="42"/>
      <c r="L831" s="42"/>
      <c r="M831" s="43">
        <f t="shared" si="393"/>
        <v>0</v>
      </c>
      <c r="N831" s="42"/>
      <c r="O831" s="53"/>
      <c r="P831" s="53">
        <v>1</v>
      </c>
      <c r="Q831" s="53"/>
      <c r="R831" s="72"/>
      <c r="S831" s="24">
        <f t="shared" si="394"/>
        <v>1</v>
      </c>
      <c r="T831" s="42"/>
      <c r="U831" s="53"/>
      <c r="V831" s="53"/>
      <c r="W831" s="53"/>
      <c r="X831" s="72"/>
      <c r="Y831" s="24">
        <f t="shared" si="395"/>
        <v>0</v>
      </c>
      <c r="Z831" s="24">
        <f t="shared" si="396"/>
        <v>3</v>
      </c>
      <c r="AA831" s="83">
        <v>44634</v>
      </c>
      <c r="AB831" s="23" t="s">
        <v>496</v>
      </c>
      <c r="AC831" s="41"/>
      <c r="AD831" s="42"/>
      <c r="AE831" s="42"/>
      <c r="AF831" s="42"/>
      <c r="AG831" s="42"/>
      <c r="AH831" s="43">
        <f t="shared" ref="AH831" si="407">SUM(AC831:AG831)</f>
        <v>0</v>
      </c>
      <c r="AI831" s="41"/>
      <c r="AJ831" s="42"/>
      <c r="AK831" s="42"/>
      <c r="AL831" s="42"/>
      <c r="AM831" s="42"/>
      <c r="AN831" s="43">
        <f t="shared" ref="AN831" si="408">SUM(AI831:AM831)</f>
        <v>0</v>
      </c>
      <c r="AO831" s="42"/>
      <c r="AP831" s="53"/>
      <c r="AQ831" s="53">
        <v>1</v>
      </c>
      <c r="AR831" s="53"/>
      <c r="AS831" s="72"/>
      <c r="AT831" s="24">
        <f t="shared" ref="AT831" si="409">SUM(AO831:AS831)</f>
        <v>1</v>
      </c>
      <c r="AU831" s="42"/>
      <c r="AV831" s="53"/>
      <c r="AW831" s="53"/>
      <c r="AX831" s="53"/>
      <c r="AY831" s="72"/>
      <c r="AZ831" s="24">
        <f t="shared" ref="AZ831" si="410">SUM(AU831:AY831)</f>
        <v>0</v>
      </c>
      <c r="BA831" s="24">
        <f t="shared" si="406"/>
        <v>1</v>
      </c>
      <c r="BB831" s="83">
        <v>44628</v>
      </c>
    </row>
    <row r="832" spans="1:54" ht="14.25" x14ac:dyDescent="0.15">
      <c r="A832" s="23" t="s">
        <v>48</v>
      </c>
      <c r="B832" s="41"/>
      <c r="C832" s="42"/>
      <c r="D832" s="42">
        <v>1</v>
      </c>
      <c r="E832" s="42"/>
      <c r="F832" s="42"/>
      <c r="G832" s="43">
        <f t="shared" si="392"/>
        <v>1</v>
      </c>
      <c r="H832" s="41"/>
      <c r="I832" s="42"/>
      <c r="J832" s="42"/>
      <c r="K832" s="42"/>
      <c r="L832" s="42"/>
      <c r="M832" s="43">
        <f t="shared" si="393"/>
        <v>0</v>
      </c>
      <c r="N832" s="42"/>
      <c r="O832" s="53"/>
      <c r="P832" s="53"/>
      <c r="Q832" s="53"/>
      <c r="R832" s="72"/>
      <c r="S832" s="24">
        <f t="shared" si="394"/>
        <v>0</v>
      </c>
      <c r="T832" s="42"/>
      <c r="U832" s="53"/>
      <c r="V832" s="53"/>
      <c r="W832" s="53"/>
      <c r="X832" s="72"/>
      <c r="Y832" s="24">
        <f t="shared" si="395"/>
        <v>0</v>
      </c>
      <c r="Z832" s="24">
        <f t="shared" si="396"/>
        <v>1</v>
      </c>
      <c r="AA832" s="83">
        <v>44635</v>
      </c>
      <c r="AB832" s="23" t="s">
        <v>497</v>
      </c>
      <c r="AC832" s="41">
        <v>5</v>
      </c>
      <c r="AD832" s="42"/>
      <c r="AE832" s="42"/>
      <c r="AF832" s="42"/>
      <c r="AG832" s="42"/>
      <c r="AH832" s="43">
        <f t="shared" si="402"/>
        <v>5</v>
      </c>
      <c r="AI832" s="41"/>
      <c r="AJ832" s="42"/>
      <c r="AK832" s="42"/>
      <c r="AL832" s="42"/>
      <c r="AM832" s="42"/>
      <c r="AN832" s="43">
        <f t="shared" si="403"/>
        <v>0</v>
      </c>
      <c r="AO832" s="42"/>
      <c r="AP832" s="53"/>
      <c r="AQ832" s="53"/>
      <c r="AR832" s="53"/>
      <c r="AS832" s="72"/>
      <c r="AT832" s="24">
        <f t="shared" si="404"/>
        <v>0</v>
      </c>
      <c r="AU832" s="42"/>
      <c r="AV832" s="53"/>
      <c r="AW832" s="53"/>
      <c r="AX832" s="53"/>
      <c r="AY832" s="72"/>
      <c r="AZ832" s="24">
        <f t="shared" si="405"/>
        <v>0</v>
      </c>
      <c r="BA832" s="24">
        <f t="shared" si="406"/>
        <v>5</v>
      </c>
      <c r="BB832" s="83">
        <v>44634</v>
      </c>
    </row>
    <row r="833" spans="1:55" ht="14.25" x14ac:dyDescent="0.15">
      <c r="A833" s="23" t="s">
        <v>48</v>
      </c>
      <c r="B833" s="171">
        <v>1</v>
      </c>
      <c r="C833" s="42"/>
      <c r="D833" s="42"/>
      <c r="E833" s="42"/>
      <c r="F833" s="42"/>
      <c r="G833" s="43">
        <f t="shared" si="392"/>
        <v>1</v>
      </c>
      <c r="H833" s="41"/>
      <c r="I833" s="42"/>
      <c r="J833" s="42"/>
      <c r="K833" s="42"/>
      <c r="L833" s="42"/>
      <c r="M833" s="43">
        <f t="shared" si="393"/>
        <v>0</v>
      </c>
      <c r="N833" s="42"/>
      <c r="O833" s="53"/>
      <c r="P833" s="53"/>
      <c r="Q833" s="53"/>
      <c r="R833" s="72"/>
      <c r="S833" s="24">
        <f t="shared" si="394"/>
        <v>0</v>
      </c>
      <c r="T833" s="42"/>
      <c r="U833" s="53"/>
      <c r="V833" s="53"/>
      <c r="W833" s="53"/>
      <c r="X833" s="72"/>
      <c r="Y833" s="24">
        <f t="shared" si="395"/>
        <v>0</v>
      </c>
      <c r="Z833" s="24">
        <f t="shared" si="396"/>
        <v>1</v>
      </c>
      <c r="AA833" s="83">
        <v>44638</v>
      </c>
      <c r="AB833" s="10" t="s">
        <v>126</v>
      </c>
      <c r="AC833" s="41"/>
      <c r="AD833" s="42">
        <v>3</v>
      </c>
      <c r="AE833" s="42">
        <v>3</v>
      </c>
      <c r="AF833" s="42"/>
      <c r="AG833" s="42"/>
      <c r="AH833" s="37">
        <f t="shared" ref="AH833" si="411">SUM(AC833:AG833)</f>
        <v>6</v>
      </c>
      <c r="AI833" s="41"/>
      <c r="AJ833" s="42"/>
      <c r="AK833" s="42"/>
      <c r="AL833" s="42"/>
      <c r="AM833" s="42"/>
      <c r="AN833" s="114">
        <f t="shared" ref="AN833" si="412">SUM(AI833:AM833)</f>
        <v>0</v>
      </c>
      <c r="AO833" s="41"/>
      <c r="AP833" s="53"/>
      <c r="AQ833" s="53">
        <v>3</v>
      </c>
      <c r="AR833" s="53"/>
      <c r="AS833" s="72"/>
      <c r="AT833" s="24">
        <f t="shared" ref="AT833" si="413">SUM(AO833:AS833)</f>
        <v>3</v>
      </c>
      <c r="AU833" s="42"/>
      <c r="AV833" s="53"/>
      <c r="AW833" s="53"/>
      <c r="AX833" s="53"/>
      <c r="AY833" s="72"/>
      <c r="AZ833" s="24">
        <f t="shared" ref="AZ833" si="414">SUM(AU833:AY833)</f>
        <v>0</v>
      </c>
      <c r="BA833" s="24">
        <f t="shared" si="406"/>
        <v>9</v>
      </c>
      <c r="BB833" s="83">
        <v>44637</v>
      </c>
      <c r="BC833" s="111"/>
    </row>
    <row r="834" spans="1:55" ht="14.25" x14ac:dyDescent="0.15">
      <c r="A834" s="23" t="s">
        <v>48</v>
      </c>
      <c r="B834" s="41"/>
      <c r="C834" s="42">
        <v>1</v>
      </c>
      <c r="D834" s="42"/>
      <c r="E834" s="42"/>
      <c r="F834" s="42"/>
      <c r="G834" s="43">
        <f t="shared" si="392"/>
        <v>1</v>
      </c>
      <c r="H834" s="41"/>
      <c r="I834" s="42"/>
      <c r="J834" s="42"/>
      <c r="K834" s="42"/>
      <c r="L834" s="42"/>
      <c r="M834" s="43">
        <f t="shared" si="393"/>
        <v>0</v>
      </c>
      <c r="N834" s="42"/>
      <c r="O834" s="53"/>
      <c r="P834" s="53"/>
      <c r="Q834" s="53"/>
      <c r="R834" s="72"/>
      <c r="S834" s="24">
        <f t="shared" si="394"/>
        <v>0</v>
      </c>
      <c r="T834" s="42"/>
      <c r="U834" s="53"/>
      <c r="V834" s="53"/>
      <c r="W834" s="53"/>
      <c r="X834" s="72"/>
      <c r="Y834" s="24">
        <f t="shared" si="395"/>
        <v>0</v>
      </c>
      <c r="Z834" s="24">
        <f t="shared" si="396"/>
        <v>1</v>
      </c>
      <c r="AA834" s="83">
        <v>44642</v>
      </c>
      <c r="AB834" s="23" t="s">
        <v>500</v>
      </c>
      <c r="AC834" s="41"/>
      <c r="AD834" s="42"/>
      <c r="AE834" s="42"/>
      <c r="AF834" s="42">
        <v>5</v>
      </c>
      <c r="AG834" s="42"/>
      <c r="AH834" s="43">
        <f t="shared" si="402"/>
        <v>5</v>
      </c>
      <c r="AI834" s="41"/>
      <c r="AJ834" s="42"/>
      <c r="AK834" s="42"/>
      <c r="AL834" s="42"/>
      <c r="AM834" s="42"/>
      <c r="AN834" s="43">
        <f t="shared" si="403"/>
        <v>0</v>
      </c>
      <c r="AO834" s="42"/>
      <c r="AP834" s="53"/>
      <c r="AQ834" s="53"/>
      <c r="AR834" s="53"/>
      <c r="AS834" s="72"/>
      <c r="AT834" s="24">
        <f t="shared" si="404"/>
        <v>0</v>
      </c>
      <c r="AU834" s="42"/>
      <c r="AV834" s="53"/>
      <c r="AW834" s="53"/>
      <c r="AX834" s="53"/>
      <c r="AY834" s="72"/>
      <c r="AZ834" s="24">
        <f t="shared" si="405"/>
        <v>0</v>
      </c>
      <c r="BA834" s="24">
        <f t="shared" si="406"/>
        <v>5</v>
      </c>
      <c r="BB834" s="83">
        <v>44648</v>
      </c>
    </row>
    <row r="835" spans="1:55" ht="14.25" x14ac:dyDescent="0.15">
      <c r="A835" s="23" t="s">
        <v>48</v>
      </c>
      <c r="B835" s="41"/>
      <c r="C835" s="42"/>
      <c r="D835" s="42"/>
      <c r="E835" s="42"/>
      <c r="F835" s="42">
        <v>1</v>
      </c>
      <c r="G835" s="43">
        <f t="shared" si="392"/>
        <v>1</v>
      </c>
      <c r="H835" s="41"/>
      <c r="I835" s="42"/>
      <c r="J835" s="42"/>
      <c r="K835" s="42"/>
      <c r="L835" s="42"/>
      <c r="M835" s="43">
        <f t="shared" si="393"/>
        <v>0</v>
      </c>
      <c r="N835" s="42"/>
      <c r="O835" s="53"/>
      <c r="P835" s="53"/>
      <c r="Q835" s="53"/>
      <c r="R835" s="72"/>
      <c r="S835" s="24">
        <f t="shared" si="394"/>
        <v>0</v>
      </c>
      <c r="T835" s="42"/>
      <c r="U835" s="53"/>
      <c r="V835" s="53"/>
      <c r="W835" s="53"/>
      <c r="X835" s="72"/>
      <c r="Y835" s="24">
        <f t="shared" si="395"/>
        <v>0</v>
      </c>
      <c r="Z835" s="24">
        <f t="shared" si="396"/>
        <v>1</v>
      </c>
      <c r="AA835" s="83">
        <v>44645</v>
      </c>
      <c r="AB835" s="23" t="s">
        <v>501</v>
      </c>
      <c r="AC835" s="38"/>
      <c r="AD835" s="39"/>
      <c r="AE835" s="39"/>
      <c r="AF835" s="39"/>
      <c r="AG835" s="39">
        <v>5</v>
      </c>
      <c r="AH835" s="43">
        <f t="shared" si="402"/>
        <v>5</v>
      </c>
      <c r="AI835" s="38"/>
      <c r="AJ835" s="39">
        <v>5</v>
      </c>
      <c r="AK835" s="39">
        <v>5</v>
      </c>
      <c r="AL835" s="39"/>
      <c r="AM835" s="39">
        <v>5</v>
      </c>
      <c r="AN835" s="43">
        <f t="shared" si="403"/>
        <v>15</v>
      </c>
      <c r="AO835" s="42"/>
      <c r="AP835" s="53"/>
      <c r="AQ835" s="53"/>
      <c r="AR835" s="53"/>
      <c r="AS835" s="72"/>
      <c r="AT835" s="24">
        <f t="shared" si="404"/>
        <v>0</v>
      </c>
      <c r="AU835" s="42"/>
      <c r="AV835" s="53"/>
      <c r="AW835" s="53"/>
      <c r="AX835" s="53"/>
      <c r="AY835" s="72"/>
      <c r="AZ835" s="24">
        <f t="shared" si="405"/>
        <v>0</v>
      </c>
      <c r="BA835" s="24">
        <f t="shared" si="406"/>
        <v>20</v>
      </c>
      <c r="BB835" s="83">
        <v>44659</v>
      </c>
    </row>
    <row r="836" spans="1:55" ht="14.25" x14ac:dyDescent="0.15">
      <c r="A836" s="23" t="s">
        <v>48</v>
      </c>
      <c r="B836" s="41"/>
      <c r="C836" s="42"/>
      <c r="D836" s="42">
        <v>1</v>
      </c>
      <c r="E836" s="42"/>
      <c r="F836" s="42"/>
      <c r="G836" s="43">
        <f t="shared" si="392"/>
        <v>1</v>
      </c>
      <c r="H836" s="41"/>
      <c r="I836" s="42"/>
      <c r="J836" s="42"/>
      <c r="K836" s="42"/>
      <c r="L836" s="42"/>
      <c r="M836" s="43">
        <f t="shared" si="393"/>
        <v>0</v>
      </c>
      <c r="N836" s="42"/>
      <c r="O836" s="53"/>
      <c r="P836" s="53"/>
      <c r="Q836" s="53"/>
      <c r="R836" s="72"/>
      <c r="S836" s="24">
        <f t="shared" si="394"/>
        <v>0</v>
      </c>
      <c r="T836" s="42"/>
      <c r="U836" s="53"/>
      <c r="V836" s="53"/>
      <c r="W836" s="53"/>
      <c r="X836" s="72"/>
      <c r="Y836" s="24">
        <f t="shared" si="395"/>
        <v>0</v>
      </c>
      <c r="Z836" s="24">
        <f t="shared" si="396"/>
        <v>1</v>
      </c>
      <c r="AA836" s="83">
        <v>44648</v>
      </c>
      <c r="AB836" s="23" t="s">
        <v>503</v>
      </c>
      <c r="AC836" s="14"/>
      <c r="AD836" s="15"/>
      <c r="AE836" s="15">
        <v>5</v>
      </c>
      <c r="AF836" s="15"/>
      <c r="AG836" s="15"/>
      <c r="AH836" s="24">
        <f t="shared" si="402"/>
        <v>5</v>
      </c>
      <c r="AI836" s="14"/>
      <c r="AJ836" s="15"/>
      <c r="AK836" s="15"/>
      <c r="AL836" s="15"/>
      <c r="AM836" s="15"/>
      <c r="AN836" s="24">
        <f t="shared" si="403"/>
        <v>0</v>
      </c>
      <c r="AO836" s="15"/>
      <c r="AP836" s="55"/>
      <c r="AQ836" s="55"/>
      <c r="AR836" s="55"/>
      <c r="AS836" s="67"/>
      <c r="AT836" s="24">
        <f t="shared" si="404"/>
        <v>0</v>
      </c>
      <c r="AU836" s="15"/>
      <c r="AV836" s="55"/>
      <c r="AW836" s="55"/>
      <c r="AX836" s="55"/>
      <c r="AY836" s="67"/>
      <c r="AZ836" s="24">
        <f t="shared" si="405"/>
        <v>0</v>
      </c>
      <c r="BA836" s="24">
        <f t="shared" si="406"/>
        <v>5</v>
      </c>
      <c r="BB836" s="83">
        <v>44666</v>
      </c>
    </row>
    <row r="837" spans="1:55" ht="14.25" x14ac:dyDescent="0.15">
      <c r="A837" s="23" t="s">
        <v>48</v>
      </c>
      <c r="B837" s="41"/>
      <c r="C837" s="42"/>
      <c r="D837" s="42"/>
      <c r="E837" s="42"/>
      <c r="F837" s="42">
        <v>1</v>
      </c>
      <c r="G837" s="43">
        <f t="shared" si="392"/>
        <v>1</v>
      </c>
      <c r="H837" s="41"/>
      <c r="I837" s="42"/>
      <c r="J837" s="42"/>
      <c r="K837" s="42"/>
      <c r="L837" s="42"/>
      <c r="M837" s="43">
        <f t="shared" si="393"/>
        <v>0</v>
      </c>
      <c r="N837" s="42"/>
      <c r="O837" s="53"/>
      <c r="P837" s="53"/>
      <c r="Q837" s="53"/>
      <c r="R837" s="72"/>
      <c r="S837" s="24">
        <f t="shared" si="394"/>
        <v>0</v>
      </c>
      <c r="T837" s="42"/>
      <c r="U837" s="53"/>
      <c r="V837" s="53"/>
      <c r="W837" s="53"/>
      <c r="X837" s="72"/>
      <c r="Y837" s="24">
        <f t="shared" si="395"/>
        <v>0</v>
      </c>
      <c r="Z837" s="24">
        <f t="shared" si="396"/>
        <v>1</v>
      </c>
      <c r="AA837" s="83">
        <v>44651</v>
      </c>
      <c r="AB837" s="10" t="s">
        <v>126</v>
      </c>
      <c r="AC837" s="41"/>
      <c r="AD837" s="42"/>
      <c r="AE837" s="42"/>
      <c r="AF837" s="42"/>
      <c r="AG837" s="42">
        <v>3</v>
      </c>
      <c r="AH837" s="43">
        <f t="shared" si="402"/>
        <v>3</v>
      </c>
      <c r="AI837" s="41"/>
      <c r="AJ837" s="42"/>
      <c r="AK837" s="42"/>
      <c r="AL837" s="42"/>
      <c r="AM837" s="42"/>
      <c r="AN837" s="43">
        <f t="shared" si="403"/>
        <v>0</v>
      </c>
      <c r="AO837" s="42"/>
      <c r="AP837" s="53"/>
      <c r="AQ837" s="53">
        <v>3</v>
      </c>
      <c r="AR837" s="53"/>
      <c r="AS837" s="72"/>
      <c r="AT837" s="24">
        <f t="shared" si="404"/>
        <v>3</v>
      </c>
      <c r="AU837" s="42"/>
      <c r="AV837" s="53"/>
      <c r="AW837" s="53"/>
      <c r="AX837" s="53"/>
      <c r="AY837" s="72"/>
      <c r="AZ837" s="24">
        <f t="shared" si="405"/>
        <v>0</v>
      </c>
      <c r="BA837" s="24">
        <f t="shared" si="406"/>
        <v>6</v>
      </c>
      <c r="BB837" s="83">
        <v>44663</v>
      </c>
    </row>
    <row r="838" spans="1:55" ht="14.25" x14ac:dyDescent="0.15">
      <c r="A838" s="23" t="s">
        <v>502</v>
      </c>
      <c r="B838" s="44"/>
      <c r="C838" s="45">
        <v>1</v>
      </c>
      <c r="D838" s="45"/>
      <c r="E838" s="45"/>
      <c r="F838" s="45"/>
      <c r="G838" s="43">
        <f t="shared" si="392"/>
        <v>1</v>
      </c>
      <c r="H838" s="44"/>
      <c r="I838" s="45"/>
      <c r="J838" s="45"/>
      <c r="K838" s="45"/>
      <c r="L838" s="45"/>
      <c r="M838" s="43">
        <f t="shared" si="393"/>
        <v>0</v>
      </c>
      <c r="N838" s="42"/>
      <c r="O838" s="53"/>
      <c r="P838" s="53"/>
      <c r="Q838" s="53"/>
      <c r="R838" s="72"/>
      <c r="S838" s="24">
        <f t="shared" si="394"/>
        <v>0</v>
      </c>
      <c r="T838" s="42"/>
      <c r="U838" s="53"/>
      <c r="V838" s="53"/>
      <c r="W838" s="53"/>
      <c r="X838" s="72"/>
      <c r="Y838" s="24">
        <f t="shared" si="395"/>
        <v>0</v>
      </c>
      <c r="Z838" s="24">
        <f t="shared" si="396"/>
        <v>1</v>
      </c>
      <c r="AA838" s="83">
        <v>44656</v>
      </c>
      <c r="AB838" s="23" t="s">
        <v>504</v>
      </c>
      <c r="AC838" s="44"/>
      <c r="AD838" s="45"/>
      <c r="AE838" s="45"/>
      <c r="AF838" s="45"/>
      <c r="AG838" s="45"/>
      <c r="AH838" s="43">
        <f t="shared" si="402"/>
        <v>0</v>
      </c>
      <c r="AI838" s="44"/>
      <c r="AJ838" s="45"/>
      <c r="AK838" s="45"/>
      <c r="AL838" s="45"/>
      <c r="AM838" s="45"/>
      <c r="AN838" s="43">
        <f t="shared" si="403"/>
        <v>0</v>
      </c>
      <c r="AO838" s="42"/>
      <c r="AP838" s="53"/>
      <c r="AQ838" s="53"/>
      <c r="AR838" s="53"/>
      <c r="AS838" s="72">
        <v>1</v>
      </c>
      <c r="AT838" s="24">
        <f t="shared" si="404"/>
        <v>1</v>
      </c>
      <c r="AU838" s="42"/>
      <c r="AV838" s="53"/>
      <c r="AW838" s="53"/>
      <c r="AX838" s="53"/>
      <c r="AY838" s="72"/>
      <c r="AZ838" s="24">
        <f t="shared" si="405"/>
        <v>0</v>
      </c>
      <c r="BA838" s="24">
        <f t="shared" si="406"/>
        <v>1</v>
      </c>
      <c r="BB838" s="83">
        <v>44670</v>
      </c>
    </row>
    <row r="839" spans="1:55" ht="14.25" x14ac:dyDescent="0.15">
      <c r="A839" s="23" t="s">
        <v>48</v>
      </c>
      <c r="B839" s="41"/>
      <c r="C839" s="42"/>
      <c r="D839" s="42"/>
      <c r="E839" s="42"/>
      <c r="F839" s="42">
        <v>1</v>
      </c>
      <c r="G839" s="43">
        <f t="shared" si="392"/>
        <v>1</v>
      </c>
      <c r="H839" s="41"/>
      <c r="I839" s="42"/>
      <c r="J839" s="42">
        <v>1</v>
      </c>
      <c r="K839" s="42"/>
      <c r="L839" s="42"/>
      <c r="M839" s="43">
        <f t="shared" si="393"/>
        <v>1</v>
      </c>
      <c r="N839" s="42"/>
      <c r="O839" s="53"/>
      <c r="P839" s="53"/>
      <c r="Q839" s="53"/>
      <c r="R839" s="72"/>
      <c r="S839" s="24">
        <f t="shared" si="394"/>
        <v>0</v>
      </c>
      <c r="T839" s="42"/>
      <c r="U839" s="53"/>
      <c r="V839" s="53"/>
      <c r="W839" s="53"/>
      <c r="X839" s="72"/>
      <c r="Y839" s="24">
        <f t="shared" si="395"/>
        <v>0</v>
      </c>
      <c r="Z839" s="24">
        <f t="shared" si="396"/>
        <v>2</v>
      </c>
      <c r="AA839" s="83">
        <v>44662</v>
      </c>
      <c r="AB839" s="47" t="s">
        <v>472</v>
      </c>
      <c r="AC839" s="14">
        <v>60</v>
      </c>
      <c r="AD839" s="15">
        <v>70</v>
      </c>
      <c r="AE839" s="15">
        <v>30</v>
      </c>
      <c r="AF839" s="15">
        <v>15</v>
      </c>
      <c r="AG839" s="15"/>
      <c r="AH839" s="24">
        <f>SUM(AC839:AG839)</f>
        <v>175</v>
      </c>
      <c r="AI839" s="14">
        <v>40</v>
      </c>
      <c r="AJ839" s="15">
        <v>40</v>
      </c>
      <c r="AK839" s="15">
        <v>20</v>
      </c>
      <c r="AL839" s="15">
        <v>15</v>
      </c>
      <c r="AM839" s="15"/>
      <c r="AN839" s="24">
        <f>SUM(AI839:AM839)</f>
        <v>115</v>
      </c>
      <c r="AO839" s="183"/>
      <c r="AP839" s="186"/>
      <c r="AQ839" s="186"/>
      <c r="AR839" s="186"/>
      <c r="AS839" s="187"/>
      <c r="AT839" s="188">
        <f>SUM(AO839:AS839)</f>
        <v>0</v>
      </c>
      <c r="AU839" s="183"/>
      <c r="AV839" s="186"/>
      <c r="AW839" s="186"/>
      <c r="AX839" s="55"/>
      <c r="AY839" s="187"/>
      <c r="AZ839" s="188">
        <f>SUM(AU839:AY839)</f>
        <v>0</v>
      </c>
      <c r="BA839" s="24">
        <f>AH839+AN839+AT839+AZ839</f>
        <v>290</v>
      </c>
      <c r="BB839" s="83">
        <v>44671</v>
      </c>
    </row>
    <row r="840" spans="1:55" ht="14.25" x14ac:dyDescent="0.15">
      <c r="A840" s="23" t="s">
        <v>48</v>
      </c>
      <c r="B840" s="41"/>
      <c r="C840" s="42"/>
      <c r="D840" s="42"/>
      <c r="E840" s="42">
        <v>1</v>
      </c>
      <c r="F840" s="42"/>
      <c r="G840" s="43">
        <f t="shared" si="392"/>
        <v>1</v>
      </c>
      <c r="H840" s="41"/>
      <c r="I840" s="42"/>
      <c r="J840" s="42"/>
      <c r="K840" s="42"/>
      <c r="L840" s="42"/>
      <c r="M840" s="43">
        <f t="shared" si="393"/>
        <v>0</v>
      </c>
      <c r="N840" s="42"/>
      <c r="O840" s="53"/>
      <c r="P840" s="53"/>
      <c r="Q840" s="53"/>
      <c r="R840" s="72"/>
      <c r="S840" s="24">
        <f t="shared" si="394"/>
        <v>0</v>
      </c>
      <c r="T840" s="42"/>
      <c r="U840" s="53"/>
      <c r="V840" s="53"/>
      <c r="W840" s="53"/>
      <c r="X840" s="72"/>
      <c r="Y840" s="24">
        <f t="shared" si="395"/>
        <v>0</v>
      </c>
      <c r="Z840" s="24">
        <f t="shared" si="396"/>
        <v>1</v>
      </c>
      <c r="AA840" s="83">
        <v>44669</v>
      </c>
      <c r="AB840" s="23" t="s">
        <v>438</v>
      </c>
      <c r="AC840" s="41"/>
      <c r="AD840" s="42"/>
      <c r="AE840" s="42"/>
      <c r="AF840" s="42"/>
      <c r="AG840" s="42"/>
      <c r="AH840" s="43">
        <f t="shared" si="402"/>
        <v>0</v>
      </c>
      <c r="AI840" s="41"/>
      <c r="AJ840" s="42"/>
      <c r="AK840" s="42"/>
      <c r="AL840" s="42"/>
      <c r="AM840" s="42"/>
      <c r="AN840" s="43">
        <f t="shared" si="403"/>
        <v>0</v>
      </c>
      <c r="AO840" s="42"/>
      <c r="AP840" s="53"/>
      <c r="AQ840" s="53"/>
      <c r="AR840" s="53"/>
      <c r="AS840" s="72"/>
      <c r="AT840" s="24">
        <f t="shared" si="404"/>
        <v>0</v>
      </c>
      <c r="AU840" s="42"/>
      <c r="AV840" s="53"/>
      <c r="AW840" s="53">
        <v>1</v>
      </c>
      <c r="AX840" s="53"/>
      <c r="AY840" s="72"/>
      <c r="AZ840" s="24">
        <f t="shared" si="405"/>
        <v>1</v>
      </c>
      <c r="BA840" s="24">
        <f t="shared" si="406"/>
        <v>1</v>
      </c>
      <c r="BB840" s="83">
        <v>44672</v>
      </c>
    </row>
    <row r="841" spans="1:55" ht="14.25" x14ac:dyDescent="0.15">
      <c r="A841" s="23" t="s">
        <v>505</v>
      </c>
      <c r="B841" s="41"/>
      <c r="C841" s="42"/>
      <c r="D841" s="42">
        <v>-2</v>
      </c>
      <c r="E841" s="42">
        <v>-2</v>
      </c>
      <c r="F841" s="42"/>
      <c r="G841" s="43">
        <f t="shared" si="392"/>
        <v>-4</v>
      </c>
      <c r="H841" s="41"/>
      <c r="I841" s="42"/>
      <c r="J841" s="42"/>
      <c r="K841" s="42"/>
      <c r="L841" s="42"/>
      <c r="M841" s="43">
        <f t="shared" si="393"/>
        <v>0</v>
      </c>
      <c r="N841" s="42"/>
      <c r="O841" s="53"/>
      <c r="P841" s="53"/>
      <c r="Q841" s="53"/>
      <c r="R841" s="72"/>
      <c r="S841" s="24">
        <f t="shared" si="394"/>
        <v>0</v>
      </c>
      <c r="T841" s="42"/>
      <c r="U841" s="53"/>
      <c r="V841" s="53"/>
      <c r="W841" s="53"/>
      <c r="X841" s="72"/>
      <c r="Y841" s="24">
        <f t="shared" si="395"/>
        <v>0</v>
      </c>
      <c r="Z841" s="24">
        <f t="shared" si="396"/>
        <v>-4</v>
      </c>
      <c r="AA841" s="83">
        <v>44672</v>
      </c>
      <c r="AB841" s="10" t="s">
        <v>126</v>
      </c>
      <c r="AC841" s="14"/>
      <c r="AD841" s="15"/>
      <c r="AE841" s="15">
        <v>2</v>
      </c>
      <c r="AF841" s="15">
        <v>2</v>
      </c>
      <c r="AG841" s="15"/>
      <c r="AH841" s="24">
        <f t="shared" si="402"/>
        <v>4</v>
      </c>
      <c r="AI841" s="14"/>
      <c r="AJ841" s="15"/>
      <c r="AK841" s="15"/>
      <c r="AL841" s="15"/>
      <c r="AM841" s="15"/>
      <c r="AN841" s="185">
        <f t="shared" si="403"/>
        <v>0</v>
      </c>
      <c r="AO841" s="14"/>
      <c r="AP841" s="55"/>
      <c r="AQ841" s="55"/>
      <c r="AR841" s="55"/>
      <c r="AS841" s="67"/>
      <c r="AT841" s="24">
        <f t="shared" si="404"/>
        <v>0</v>
      </c>
      <c r="AU841" s="15"/>
      <c r="AV841" s="55"/>
      <c r="AW841" s="55"/>
      <c r="AX841" s="55"/>
      <c r="AY841" s="67"/>
      <c r="AZ841" s="24">
        <f t="shared" si="405"/>
        <v>0</v>
      </c>
      <c r="BA841" s="24">
        <f t="shared" si="406"/>
        <v>4</v>
      </c>
      <c r="BB841" s="83">
        <v>44672</v>
      </c>
    </row>
    <row r="842" spans="1:55" ht="14.25" x14ac:dyDescent="0.15">
      <c r="A842" s="23" t="s">
        <v>438</v>
      </c>
      <c r="B842" s="38"/>
      <c r="C842" s="39"/>
      <c r="D842" s="39">
        <v>1</v>
      </c>
      <c r="E842" s="39"/>
      <c r="F842" s="39"/>
      <c r="G842" s="37">
        <f t="shared" si="392"/>
        <v>1</v>
      </c>
      <c r="H842" s="38"/>
      <c r="I842" s="39"/>
      <c r="J842" s="39"/>
      <c r="K842" s="39"/>
      <c r="L842" s="39"/>
      <c r="M842" s="37">
        <f t="shared" si="393"/>
        <v>0</v>
      </c>
      <c r="N842" s="42"/>
      <c r="O842" s="53">
        <v>1</v>
      </c>
      <c r="P842" s="53"/>
      <c r="Q842" s="53">
        <v>1</v>
      </c>
      <c r="R842" s="72"/>
      <c r="S842" s="24">
        <f t="shared" si="394"/>
        <v>2</v>
      </c>
      <c r="T842" s="42"/>
      <c r="U842" s="53"/>
      <c r="V842" s="53">
        <v>1</v>
      </c>
      <c r="W842" s="53">
        <v>1</v>
      </c>
      <c r="X842" s="72"/>
      <c r="Y842" s="24">
        <f t="shared" si="395"/>
        <v>2</v>
      </c>
      <c r="Z842" s="24">
        <f t="shared" si="396"/>
        <v>5</v>
      </c>
      <c r="AA842" s="83">
        <v>44673</v>
      </c>
      <c r="AB842" s="23" t="s">
        <v>438</v>
      </c>
      <c r="AC842" s="38"/>
      <c r="AD842" s="39"/>
      <c r="AE842" s="39"/>
      <c r="AF842" s="39"/>
      <c r="AG842" s="39"/>
      <c r="AH842" s="37">
        <f t="shared" si="402"/>
        <v>0</v>
      </c>
      <c r="AI842" s="38"/>
      <c r="AJ842" s="39"/>
      <c r="AK842" s="39"/>
      <c r="AL842" s="39"/>
      <c r="AM842" s="39"/>
      <c r="AN842" s="37">
        <f t="shared" si="403"/>
        <v>0</v>
      </c>
      <c r="AO842" s="39"/>
      <c r="AP842" s="56">
        <v>3</v>
      </c>
      <c r="AQ842" s="56">
        <v>1</v>
      </c>
      <c r="AR842" s="56"/>
      <c r="AS842" s="71"/>
      <c r="AT842" s="16">
        <f t="shared" si="404"/>
        <v>4</v>
      </c>
      <c r="AU842" s="39"/>
      <c r="AV842" s="56"/>
      <c r="AW842" s="56"/>
      <c r="AX842" s="56"/>
      <c r="AY842" s="71"/>
      <c r="AZ842" s="16">
        <f t="shared" si="405"/>
        <v>0</v>
      </c>
      <c r="BA842" s="16">
        <f t="shared" si="406"/>
        <v>4</v>
      </c>
      <c r="BB842" s="83">
        <v>44677</v>
      </c>
    </row>
    <row r="843" spans="1:55" ht="14.25" x14ac:dyDescent="0.15">
      <c r="A843" s="23" t="s">
        <v>438</v>
      </c>
      <c r="B843" s="41"/>
      <c r="C843" s="42"/>
      <c r="D843" s="42"/>
      <c r="E843" s="42"/>
      <c r="F843" s="42"/>
      <c r="G843" s="43">
        <f t="shared" si="392"/>
        <v>0</v>
      </c>
      <c r="H843" s="41"/>
      <c r="I843" s="42"/>
      <c r="J843" s="42"/>
      <c r="K843" s="42"/>
      <c r="L843" s="42"/>
      <c r="M843" s="43">
        <f t="shared" si="393"/>
        <v>0</v>
      </c>
      <c r="N843" s="42"/>
      <c r="O843" s="53">
        <v>1</v>
      </c>
      <c r="P843" s="53">
        <v>1</v>
      </c>
      <c r="Q843" s="53"/>
      <c r="R843" s="72"/>
      <c r="S843" s="24">
        <f t="shared" si="394"/>
        <v>2</v>
      </c>
      <c r="T843" s="42"/>
      <c r="U843" s="53"/>
      <c r="V843" s="53">
        <v>1</v>
      </c>
      <c r="W843" s="53"/>
      <c r="X843" s="72"/>
      <c r="Y843" s="24">
        <f t="shared" si="395"/>
        <v>1</v>
      </c>
      <c r="Z843" s="24">
        <f t="shared" si="396"/>
        <v>3</v>
      </c>
      <c r="AA843" s="83">
        <v>44676</v>
      </c>
      <c r="AB843" s="10" t="s">
        <v>126</v>
      </c>
      <c r="AC843" s="41"/>
      <c r="AD843" s="42"/>
      <c r="AE843" s="42"/>
      <c r="AF843" s="42"/>
      <c r="AG843" s="42"/>
      <c r="AH843" s="43">
        <f t="shared" si="402"/>
        <v>0</v>
      </c>
      <c r="AI843" s="41"/>
      <c r="AJ843" s="42"/>
      <c r="AK843" s="42"/>
      <c r="AL843" s="42"/>
      <c r="AM843" s="42"/>
      <c r="AN843" s="43">
        <f t="shared" si="403"/>
        <v>0</v>
      </c>
      <c r="AO843" s="42"/>
      <c r="AP843" s="53"/>
      <c r="AQ843" s="53"/>
      <c r="AR843" s="53"/>
      <c r="AS843" s="72"/>
      <c r="AT843" s="24">
        <f t="shared" si="404"/>
        <v>0</v>
      </c>
      <c r="AU843" s="42"/>
      <c r="AV843" s="53">
        <v>2</v>
      </c>
      <c r="AW843" s="53">
        <v>2</v>
      </c>
      <c r="AX843" s="53">
        <v>2</v>
      </c>
      <c r="AY843" s="72"/>
      <c r="AZ843" s="24">
        <f t="shared" si="405"/>
        <v>6</v>
      </c>
      <c r="BA843" s="24">
        <f t="shared" si="406"/>
        <v>6</v>
      </c>
      <c r="BB843" s="83">
        <v>44679</v>
      </c>
    </row>
    <row r="844" spans="1:55" ht="14.25" x14ac:dyDescent="0.15">
      <c r="A844" s="23" t="s">
        <v>438</v>
      </c>
      <c r="B844" s="41"/>
      <c r="C844" s="42"/>
      <c r="D844" s="42"/>
      <c r="E844" s="42"/>
      <c r="F844" s="42"/>
      <c r="G844" s="43">
        <f t="shared" ref="G844" si="415">SUM(B844:F844)</f>
        <v>0</v>
      </c>
      <c r="H844" s="41"/>
      <c r="I844" s="42"/>
      <c r="J844" s="42"/>
      <c r="K844" s="42"/>
      <c r="L844" s="42"/>
      <c r="M844" s="43">
        <f t="shared" si="393"/>
        <v>0</v>
      </c>
      <c r="N844" s="42"/>
      <c r="O844" s="53"/>
      <c r="P844" s="53"/>
      <c r="Q844" s="53"/>
      <c r="R844" s="72"/>
      <c r="S844" s="24">
        <f t="shared" si="394"/>
        <v>0</v>
      </c>
      <c r="T844" s="42"/>
      <c r="U844" s="53"/>
      <c r="V844" s="53"/>
      <c r="W844" s="53">
        <v>1</v>
      </c>
      <c r="X844" s="72"/>
      <c r="Y844" s="24">
        <f t="shared" si="395"/>
        <v>1</v>
      </c>
      <c r="Z844" s="24">
        <f t="shared" si="396"/>
        <v>1</v>
      </c>
      <c r="AA844" s="83">
        <v>44678</v>
      </c>
      <c r="AB844" s="23" t="s">
        <v>438</v>
      </c>
      <c r="AC844" s="41">
        <v>1</v>
      </c>
      <c r="AD844" s="42">
        <v>1</v>
      </c>
      <c r="AE844" s="42"/>
      <c r="AF844" s="42">
        <v>1</v>
      </c>
      <c r="AG844" s="42">
        <v>1</v>
      </c>
      <c r="AH844" s="43">
        <f t="shared" si="402"/>
        <v>4</v>
      </c>
      <c r="AI844" s="41"/>
      <c r="AJ844" s="42"/>
      <c r="AK844" s="42"/>
      <c r="AL844" s="42"/>
      <c r="AM844" s="42"/>
      <c r="AN844" s="43">
        <f t="shared" si="403"/>
        <v>0</v>
      </c>
      <c r="AO844" s="42"/>
      <c r="AP844" s="53"/>
      <c r="AQ844" s="53">
        <v>2</v>
      </c>
      <c r="AR844" s="53"/>
      <c r="AS844" s="72">
        <v>1</v>
      </c>
      <c r="AT844" s="24">
        <f t="shared" si="404"/>
        <v>3</v>
      </c>
      <c r="AU844" s="42"/>
      <c r="AV844" s="53"/>
      <c r="AW844" s="53"/>
      <c r="AX844" s="53"/>
      <c r="AY844" s="72">
        <v>1</v>
      </c>
      <c r="AZ844" s="24">
        <f t="shared" si="405"/>
        <v>1</v>
      </c>
      <c r="BA844" s="24">
        <f t="shared" si="406"/>
        <v>8</v>
      </c>
      <c r="BB844" s="83">
        <v>44681</v>
      </c>
    </row>
    <row r="845" spans="1:55" ht="14.25" x14ac:dyDescent="0.15">
      <c r="A845" s="23" t="s">
        <v>77</v>
      </c>
      <c r="B845" s="14"/>
      <c r="C845" s="15"/>
      <c r="D845" s="15"/>
      <c r="E845" s="15"/>
      <c r="F845" s="15"/>
      <c r="G845" s="24">
        <f t="shared" ref="G845:G854" si="416">SUM(B845:F845)</f>
        <v>0</v>
      </c>
      <c r="H845" s="14"/>
      <c r="I845" s="15"/>
      <c r="J845" s="15"/>
      <c r="K845" s="15"/>
      <c r="L845" s="15"/>
      <c r="M845" s="24">
        <f t="shared" si="393"/>
        <v>0</v>
      </c>
      <c r="N845" s="15"/>
      <c r="O845" s="55"/>
      <c r="P845" s="55"/>
      <c r="Q845" s="55"/>
      <c r="R845" s="67"/>
      <c r="S845" s="24">
        <f t="shared" si="394"/>
        <v>0</v>
      </c>
      <c r="T845" s="15"/>
      <c r="U845" s="55"/>
      <c r="V845" s="55">
        <v>-1</v>
      </c>
      <c r="W845" s="55"/>
      <c r="X845" s="67"/>
      <c r="Y845" s="24">
        <f t="shared" si="395"/>
        <v>-1</v>
      </c>
      <c r="Z845" s="24">
        <f t="shared" si="396"/>
        <v>-1</v>
      </c>
      <c r="AA845" s="83">
        <v>44677</v>
      </c>
      <c r="AB845" s="23" t="s">
        <v>506</v>
      </c>
      <c r="AC845" s="14"/>
      <c r="AD845" s="15"/>
      <c r="AE845" s="15"/>
      <c r="AF845" s="15"/>
      <c r="AG845" s="15"/>
      <c r="AH845" s="24">
        <f t="shared" si="402"/>
        <v>0</v>
      </c>
      <c r="AI845" s="14"/>
      <c r="AJ845" s="15"/>
      <c r="AK845" s="15"/>
      <c r="AL845" s="15">
        <v>5</v>
      </c>
      <c r="AM845" s="15"/>
      <c r="AN845" s="24">
        <f t="shared" si="403"/>
        <v>5</v>
      </c>
      <c r="AO845" s="15"/>
      <c r="AP845" s="55"/>
      <c r="AQ845" s="55"/>
      <c r="AR845" s="55"/>
      <c r="AS845" s="67"/>
      <c r="AT845" s="24">
        <f t="shared" si="404"/>
        <v>0</v>
      </c>
      <c r="AU845" s="15"/>
      <c r="AV845" s="55"/>
      <c r="AW845" s="55"/>
      <c r="AX845" s="55"/>
      <c r="AY845" s="67"/>
      <c r="AZ845" s="24">
        <f t="shared" si="405"/>
        <v>0</v>
      </c>
      <c r="BA845" s="24">
        <f t="shared" si="406"/>
        <v>5</v>
      </c>
      <c r="BB845" s="83">
        <v>44691</v>
      </c>
    </row>
    <row r="846" spans="1:55" ht="14.25" x14ac:dyDescent="0.15">
      <c r="A846" s="23" t="s">
        <v>48</v>
      </c>
      <c r="B846" s="14"/>
      <c r="C846" s="15"/>
      <c r="D846" s="15"/>
      <c r="E846" s="15"/>
      <c r="F846" s="15"/>
      <c r="G846" s="24">
        <f t="shared" si="416"/>
        <v>0</v>
      </c>
      <c r="H846" s="14"/>
      <c r="I846" s="15"/>
      <c r="J846" s="15"/>
      <c r="K846" s="15"/>
      <c r="L846" s="15">
        <v>1</v>
      </c>
      <c r="M846" s="24">
        <f t="shared" si="393"/>
        <v>1</v>
      </c>
      <c r="N846" s="15"/>
      <c r="O846" s="55"/>
      <c r="P846" s="55"/>
      <c r="Q846" s="55"/>
      <c r="R846" s="67"/>
      <c r="S846" s="24">
        <f t="shared" si="394"/>
        <v>0</v>
      </c>
      <c r="T846" s="15"/>
      <c r="U846" s="55"/>
      <c r="V846" s="55"/>
      <c r="W846" s="55"/>
      <c r="X846" s="67"/>
      <c r="Y846" s="24">
        <f t="shared" si="395"/>
        <v>0</v>
      </c>
      <c r="Z846" s="24">
        <f t="shared" si="396"/>
        <v>1</v>
      </c>
      <c r="AA846" s="83">
        <v>44677</v>
      </c>
      <c r="AB846" s="23" t="s">
        <v>507</v>
      </c>
      <c r="AC846" s="14">
        <v>5</v>
      </c>
      <c r="AD846" s="15">
        <v>5</v>
      </c>
      <c r="AE846" s="15">
        <v>5</v>
      </c>
      <c r="AF846" s="15">
        <v>5</v>
      </c>
      <c r="AG846" s="15">
        <v>5</v>
      </c>
      <c r="AH846" s="24">
        <f t="shared" si="402"/>
        <v>25</v>
      </c>
      <c r="AI846" s="14"/>
      <c r="AJ846" s="15"/>
      <c r="AK846" s="15"/>
      <c r="AL846" s="15"/>
      <c r="AM846" s="15"/>
      <c r="AN846" s="24">
        <f t="shared" si="403"/>
        <v>0</v>
      </c>
      <c r="AO846" s="15"/>
      <c r="AP846" s="55"/>
      <c r="AQ846" s="55"/>
      <c r="AR846" s="55"/>
      <c r="AS846" s="67"/>
      <c r="AT846" s="24">
        <f t="shared" si="404"/>
        <v>0</v>
      </c>
      <c r="AU846" s="15"/>
      <c r="AV846" s="55"/>
      <c r="AW846" s="55"/>
      <c r="AX846" s="55"/>
      <c r="AY846" s="67"/>
      <c r="AZ846" s="24">
        <f t="shared" si="405"/>
        <v>0</v>
      </c>
      <c r="BA846" s="24">
        <f t="shared" si="406"/>
        <v>25</v>
      </c>
      <c r="BB846" s="83">
        <v>44694</v>
      </c>
    </row>
    <row r="847" spans="1:55" ht="14.25" x14ac:dyDescent="0.15">
      <c r="A847" s="23" t="s">
        <v>181</v>
      </c>
      <c r="B847" s="14"/>
      <c r="C847" s="15"/>
      <c r="D847" s="15"/>
      <c r="E847" s="15"/>
      <c r="F847" s="15"/>
      <c r="G847" s="24">
        <f t="shared" si="416"/>
        <v>0</v>
      </c>
      <c r="H847" s="14"/>
      <c r="I847" s="15"/>
      <c r="J847" s="15"/>
      <c r="K847" s="15"/>
      <c r="L847" s="15"/>
      <c r="M847" s="24">
        <f t="shared" si="393"/>
        <v>0</v>
      </c>
      <c r="N847" s="15"/>
      <c r="O847" s="55"/>
      <c r="P847" s="55"/>
      <c r="Q847" s="55"/>
      <c r="R847" s="67"/>
      <c r="S847" s="24">
        <f t="shared" si="394"/>
        <v>0</v>
      </c>
      <c r="T847" s="15"/>
      <c r="U847" s="55">
        <v>-2</v>
      </c>
      <c r="V847" s="55">
        <v>-2</v>
      </c>
      <c r="W847" s="55">
        <v>-2</v>
      </c>
      <c r="X847" s="67"/>
      <c r="Y847" s="24">
        <f t="shared" si="395"/>
        <v>-6</v>
      </c>
      <c r="Z847" s="24">
        <f t="shared" si="396"/>
        <v>-6</v>
      </c>
      <c r="AA847" s="83">
        <v>44679</v>
      </c>
      <c r="AB847" s="10" t="s">
        <v>126</v>
      </c>
      <c r="AC847" s="14"/>
      <c r="AD847" s="15">
        <v>2</v>
      </c>
      <c r="AE847" s="15">
        <v>2</v>
      </c>
      <c r="AF847" s="15">
        <v>2</v>
      </c>
      <c r="AG847" s="15"/>
      <c r="AH847" s="24">
        <f t="shared" si="402"/>
        <v>6</v>
      </c>
      <c r="AI847" s="14"/>
      <c r="AJ847" s="15"/>
      <c r="AK847" s="15"/>
      <c r="AL847" s="15"/>
      <c r="AM847" s="15"/>
      <c r="AN847" s="24">
        <f t="shared" si="403"/>
        <v>0</v>
      </c>
      <c r="AO847" s="15"/>
      <c r="AP847" s="55">
        <v>2</v>
      </c>
      <c r="AQ847" s="55"/>
      <c r="AR847" s="55"/>
      <c r="AS847" s="67"/>
      <c r="AT847" s="24">
        <f t="shared" si="404"/>
        <v>2</v>
      </c>
      <c r="AU847" s="15"/>
      <c r="AV847" s="55"/>
      <c r="AW847" s="55"/>
      <c r="AX847" s="55"/>
      <c r="AY847" s="67"/>
      <c r="AZ847" s="24">
        <f t="shared" si="405"/>
        <v>0</v>
      </c>
      <c r="BA847" s="24">
        <f t="shared" si="406"/>
        <v>8</v>
      </c>
      <c r="BB847" s="83">
        <v>44688</v>
      </c>
    </row>
    <row r="848" spans="1:55" ht="14.25" x14ac:dyDescent="0.15">
      <c r="A848" s="23" t="s">
        <v>438</v>
      </c>
      <c r="B848" s="14"/>
      <c r="C848" s="15">
        <v>1</v>
      </c>
      <c r="D848" s="15"/>
      <c r="E848" s="15"/>
      <c r="F848" s="15"/>
      <c r="G848" s="24">
        <f t="shared" si="416"/>
        <v>1</v>
      </c>
      <c r="H848" s="14"/>
      <c r="I848" s="15"/>
      <c r="J848" s="15"/>
      <c r="K848" s="15"/>
      <c r="L848" s="15"/>
      <c r="M848" s="24">
        <f t="shared" si="393"/>
        <v>0</v>
      </c>
      <c r="N848" s="15"/>
      <c r="O848" s="55"/>
      <c r="P848" s="55"/>
      <c r="Q848" s="55"/>
      <c r="R848" s="67"/>
      <c r="S848" s="24">
        <f t="shared" si="394"/>
        <v>0</v>
      </c>
      <c r="T848" s="15"/>
      <c r="U848" s="55"/>
      <c r="V848" s="55"/>
      <c r="W848" s="55"/>
      <c r="X848" s="67"/>
      <c r="Y848" s="24">
        <f t="shared" si="395"/>
        <v>0</v>
      </c>
      <c r="Z848" s="24">
        <f t="shared" si="396"/>
        <v>1</v>
      </c>
      <c r="AA848" s="83">
        <v>44679</v>
      </c>
      <c r="AB848" s="21"/>
      <c r="AC848" s="14"/>
      <c r="AD848" s="15"/>
      <c r="AE848" s="15"/>
      <c r="AF848" s="15"/>
      <c r="AG848" s="15"/>
      <c r="AH848" s="24">
        <f t="shared" si="402"/>
        <v>0</v>
      </c>
      <c r="AI848" s="14"/>
      <c r="AJ848" s="15"/>
      <c r="AK848" s="15"/>
      <c r="AL848" s="15"/>
      <c r="AM848" s="15"/>
      <c r="AN848" s="24">
        <f t="shared" si="403"/>
        <v>0</v>
      </c>
      <c r="AO848" s="15"/>
      <c r="AP848" s="55"/>
      <c r="AQ848" s="55"/>
      <c r="AR848" s="55"/>
      <c r="AS848" s="67"/>
      <c r="AT848" s="24">
        <f t="shared" si="404"/>
        <v>0</v>
      </c>
      <c r="AU848" s="15"/>
      <c r="AV848" s="55"/>
      <c r="AW848" s="55"/>
      <c r="AX848" s="55"/>
      <c r="AY848" s="67"/>
      <c r="AZ848" s="24">
        <f t="shared" si="405"/>
        <v>0</v>
      </c>
      <c r="BA848" s="24">
        <f t="shared" si="406"/>
        <v>0</v>
      </c>
    </row>
    <row r="849" spans="1:54" ht="14.25" x14ac:dyDescent="0.15">
      <c r="A849" s="23" t="s">
        <v>48</v>
      </c>
      <c r="B849" s="14"/>
      <c r="C849" s="15"/>
      <c r="D849" s="15"/>
      <c r="E849" s="15">
        <v>1</v>
      </c>
      <c r="F849" s="15"/>
      <c r="G849" s="24">
        <f t="shared" si="416"/>
        <v>1</v>
      </c>
      <c r="H849" s="14"/>
      <c r="I849" s="15"/>
      <c r="J849" s="15"/>
      <c r="K849" s="15"/>
      <c r="L849" s="15"/>
      <c r="M849" s="24">
        <f t="shared" si="393"/>
        <v>0</v>
      </c>
      <c r="N849" s="15"/>
      <c r="O849" s="55"/>
      <c r="P849" s="55"/>
      <c r="Q849" s="55"/>
      <c r="R849" s="67"/>
      <c r="S849" s="24">
        <f t="shared" si="394"/>
        <v>0</v>
      </c>
      <c r="T849" s="15"/>
      <c r="U849" s="55"/>
      <c r="V849" s="55"/>
      <c r="W849" s="55"/>
      <c r="X849" s="67"/>
      <c r="Y849" s="24">
        <f t="shared" si="395"/>
        <v>0</v>
      </c>
      <c r="Z849" s="24">
        <f t="shared" si="396"/>
        <v>1</v>
      </c>
      <c r="AA849" s="83">
        <v>44683</v>
      </c>
      <c r="AB849" s="180"/>
      <c r="AC849" s="14"/>
      <c r="AD849" s="15"/>
      <c r="AE849" s="15"/>
      <c r="AF849" s="15"/>
      <c r="AG849" s="15"/>
      <c r="AH849" s="24">
        <f t="shared" si="402"/>
        <v>0</v>
      </c>
      <c r="AI849" s="14"/>
      <c r="AJ849" s="15"/>
      <c r="AK849" s="15"/>
      <c r="AL849" s="15"/>
      <c r="AM849" s="15"/>
      <c r="AN849" s="24">
        <f t="shared" si="403"/>
        <v>0</v>
      </c>
      <c r="AO849" s="15"/>
      <c r="AP849" s="55"/>
      <c r="AQ849" s="55"/>
      <c r="AR849" s="55"/>
      <c r="AS849" s="67"/>
      <c r="AT849" s="24">
        <f t="shared" si="404"/>
        <v>0</v>
      </c>
      <c r="AU849" s="15"/>
      <c r="AV849" s="55"/>
      <c r="AW849" s="55"/>
      <c r="AX849" s="55"/>
      <c r="AY849" s="67"/>
      <c r="AZ849" s="24">
        <f t="shared" si="405"/>
        <v>0</v>
      </c>
      <c r="BA849" s="24">
        <f t="shared" si="406"/>
        <v>0</v>
      </c>
    </row>
    <row r="850" spans="1:54" ht="14.25" x14ac:dyDescent="0.15">
      <c r="A850" s="23" t="s">
        <v>438</v>
      </c>
      <c r="B850" s="44"/>
      <c r="C850" s="45"/>
      <c r="D850" s="45"/>
      <c r="E850" s="45"/>
      <c r="F850" s="45"/>
      <c r="G850" s="43">
        <f t="shared" si="416"/>
        <v>0</v>
      </c>
      <c r="H850" s="44"/>
      <c r="I850" s="45"/>
      <c r="J850" s="45"/>
      <c r="K850" s="45"/>
      <c r="L850" s="45"/>
      <c r="M850" s="43">
        <f t="shared" si="393"/>
        <v>0</v>
      </c>
      <c r="N850" s="42"/>
      <c r="O850" s="53"/>
      <c r="P850" s="53"/>
      <c r="Q850" s="53"/>
      <c r="R850" s="72"/>
      <c r="S850" s="24">
        <f t="shared" si="394"/>
        <v>0</v>
      </c>
      <c r="T850" s="42"/>
      <c r="U850" s="53"/>
      <c r="V850" s="53"/>
      <c r="W850" s="53"/>
      <c r="X850" s="72">
        <v>1</v>
      </c>
      <c r="Y850" s="24">
        <f t="shared" si="395"/>
        <v>1</v>
      </c>
      <c r="Z850" s="24">
        <f t="shared" si="396"/>
        <v>1</v>
      </c>
      <c r="AA850" s="83">
        <v>44690</v>
      </c>
      <c r="AB850" s="180"/>
      <c r="AC850" s="14"/>
      <c r="AD850" s="15"/>
      <c r="AE850" s="15"/>
      <c r="AF850" s="15"/>
      <c r="AG850" s="15"/>
      <c r="AH850" s="24">
        <f t="shared" ref="AH850:AH852" si="417">SUM(AC850:AG850)</f>
        <v>0</v>
      </c>
      <c r="AI850" s="14"/>
      <c r="AJ850" s="15"/>
      <c r="AK850" s="15"/>
      <c r="AL850" s="15"/>
      <c r="AM850" s="15"/>
      <c r="AN850" s="24">
        <f t="shared" ref="AN850:AN852" si="418">SUM(AI850:AM850)</f>
        <v>0</v>
      </c>
      <c r="AO850" s="15"/>
      <c r="AP850" s="55"/>
      <c r="AQ850" s="55"/>
      <c r="AR850" s="55"/>
      <c r="AS850" s="67"/>
      <c r="AT850" s="24">
        <f t="shared" ref="AT850:AT852" si="419">SUM(AO850:AS850)</f>
        <v>0</v>
      </c>
      <c r="AU850" s="15"/>
      <c r="AV850" s="55"/>
      <c r="AW850" s="55"/>
      <c r="AX850" s="55"/>
      <c r="AY850" s="67"/>
      <c r="AZ850" s="24">
        <f t="shared" ref="AZ850:AZ852" si="420">SUM(AU850:AY850)</f>
        <v>0</v>
      </c>
      <c r="BA850" s="24">
        <f t="shared" ref="BA850:BA852" si="421">AH850+AN850+AT850+AZ850</f>
        <v>0</v>
      </c>
    </row>
    <row r="851" spans="1:54" ht="14.25" x14ac:dyDescent="0.15">
      <c r="A851" s="23" t="s">
        <v>48</v>
      </c>
      <c r="B851" s="41"/>
      <c r="C851" s="42"/>
      <c r="D851" s="42">
        <v>1</v>
      </c>
      <c r="E851" s="42">
        <v>1</v>
      </c>
      <c r="F851" s="42"/>
      <c r="G851" s="43">
        <f t="shared" si="416"/>
        <v>2</v>
      </c>
      <c r="H851" s="41"/>
      <c r="I851" s="42"/>
      <c r="J851" s="42"/>
      <c r="K851" s="42"/>
      <c r="L851" s="42"/>
      <c r="M851" s="43">
        <f t="shared" si="393"/>
        <v>0</v>
      </c>
      <c r="N851" s="42"/>
      <c r="O851" s="53"/>
      <c r="P851" s="53"/>
      <c r="Q851" s="53"/>
      <c r="R851" s="72"/>
      <c r="S851" s="24">
        <f t="shared" si="394"/>
        <v>0</v>
      </c>
      <c r="T851" s="42"/>
      <c r="U851" s="53"/>
      <c r="V851" s="53"/>
      <c r="W851" s="53"/>
      <c r="X851" s="72"/>
      <c r="Y851" s="24">
        <f t="shared" si="395"/>
        <v>0</v>
      </c>
      <c r="Z851" s="24">
        <f t="shared" si="396"/>
        <v>2</v>
      </c>
      <c r="AA851" s="83">
        <v>44687</v>
      </c>
      <c r="AB851" s="47"/>
      <c r="AC851" s="14"/>
      <c r="AD851" s="15"/>
      <c r="AE851" s="15"/>
      <c r="AF851" s="15"/>
      <c r="AG851" s="15"/>
      <c r="AH851" s="24">
        <f t="shared" si="417"/>
        <v>0</v>
      </c>
      <c r="AI851" s="14"/>
      <c r="AJ851" s="15"/>
      <c r="AK851" s="15"/>
      <c r="AL851" s="15"/>
      <c r="AM851" s="15"/>
      <c r="AN851" s="24">
        <f t="shared" si="418"/>
        <v>0</v>
      </c>
      <c r="AO851" s="15"/>
      <c r="AP851" s="55"/>
      <c r="AQ851" s="55"/>
      <c r="AR851" s="55"/>
      <c r="AS851" s="67"/>
      <c r="AT851" s="24">
        <f t="shared" si="419"/>
        <v>0</v>
      </c>
      <c r="AU851" s="15"/>
      <c r="AV851" s="55"/>
      <c r="AW851" s="55"/>
      <c r="AX851" s="55"/>
      <c r="AY851" s="67"/>
      <c r="AZ851" s="24">
        <f t="shared" si="420"/>
        <v>0</v>
      </c>
      <c r="BA851" s="24">
        <f t="shared" si="421"/>
        <v>0</v>
      </c>
      <c r="BB851" s="128"/>
    </row>
    <row r="852" spans="1:54" ht="14.25" x14ac:dyDescent="0.15">
      <c r="A852" s="23" t="s">
        <v>181</v>
      </c>
      <c r="B852" s="41"/>
      <c r="C852" s="42">
        <v>-2</v>
      </c>
      <c r="D852" s="42">
        <v>-2</v>
      </c>
      <c r="E852" s="42">
        <v>-2</v>
      </c>
      <c r="F852" s="42"/>
      <c r="G852" s="43">
        <f t="shared" si="416"/>
        <v>-6</v>
      </c>
      <c r="H852" s="41"/>
      <c r="I852" s="42"/>
      <c r="J852" s="42"/>
      <c r="K852" s="42"/>
      <c r="L852" s="42"/>
      <c r="M852" s="43">
        <f t="shared" si="393"/>
        <v>0</v>
      </c>
      <c r="N852" s="42"/>
      <c r="O852" s="53">
        <v>-2</v>
      </c>
      <c r="P852" s="53"/>
      <c r="Q852" s="53"/>
      <c r="R852" s="72"/>
      <c r="S852" s="24">
        <f t="shared" si="394"/>
        <v>-2</v>
      </c>
      <c r="T852" s="42"/>
      <c r="U852" s="53"/>
      <c r="V852" s="53"/>
      <c r="W852" s="53"/>
      <c r="X852" s="72"/>
      <c r="Y852" s="24">
        <f t="shared" si="395"/>
        <v>0</v>
      </c>
      <c r="Z852" s="24">
        <f t="shared" si="396"/>
        <v>-8</v>
      </c>
      <c r="AA852" s="83">
        <v>44688</v>
      </c>
      <c r="AB852" s="47"/>
      <c r="AC852" s="14"/>
      <c r="AD852" s="15"/>
      <c r="AE852" s="15"/>
      <c r="AF852" s="15"/>
      <c r="AG852" s="15"/>
      <c r="AH852" s="24">
        <f t="shared" si="417"/>
        <v>0</v>
      </c>
      <c r="AI852" s="14"/>
      <c r="AJ852" s="15"/>
      <c r="AK852" s="15"/>
      <c r="AL852" s="15"/>
      <c r="AM852" s="15"/>
      <c r="AN852" s="24">
        <f t="shared" si="418"/>
        <v>0</v>
      </c>
      <c r="AO852" s="15"/>
      <c r="AP852" s="55"/>
      <c r="AQ852" s="55"/>
      <c r="AR852" s="55"/>
      <c r="AS852" s="67"/>
      <c r="AT852" s="24">
        <f t="shared" si="419"/>
        <v>0</v>
      </c>
      <c r="AU852" s="15"/>
      <c r="AV852" s="55"/>
      <c r="AW852" s="55"/>
      <c r="AX852" s="55"/>
      <c r="AY852" s="67"/>
      <c r="AZ852" s="24">
        <f t="shared" si="420"/>
        <v>0</v>
      </c>
      <c r="BA852" s="24">
        <f t="shared" si="421"/>
        <v>0</v>
      </c>
      <c r="BB852" s="83"/>
    </row>
    <row r="853" spans="1:54" ht="14.25" x14ac:dyDescent="0.15">
      <c r="A853" s="23" t="s">
        <v>438</v>
      </c>
      <c r="B853" s="41"/>
      <c r="C853" s="42"/>
      <c r="D853" s="42"/>
      <c r="E853" s="42"/>
      <c r="F853" s="42"/>
      <c r="G853" s="43">
        <f t="shared" si="416"/>
        <v>0</v>
      </c>
      <c r="H853" s="41"/>
      <c r="I853" s="42"/>
      <c r="J853" s="42"/>
      <c r="K853" s="42"/>
      <c r="L853" s="42"/>
      <c r="M853" s="43">
        <f t="shared" si="393"/>
        <v>0</v>
      </c>
      <c r="N853" s="42"/>
      <c r="O853" s="53"/>
      <c r="P853" s="53"/>
      <c r="Q853" s="53"/>
      <c r="R853" s="72"/>
      <c r="S853" s="24">
        <f>SUM(N853:R853)</f>
        <v>0</v>
      </c>
      <c r="T853" s="42"/>
      <c r="U853" s="53">
        <v>1</v>
      </c>
      <c r="V853" s="53"/>
      <c r="W853" s="53">
        <v>1</v>
      </c>
      <c r="X853" s="72"/>
      <c r="Y853" s="24">
        <f>SUM(T853:X853)</f>
        <v>2</v>
      </c>
      <c r="Z853" s="24">
        <f>G853+M853+S853+Y853</f>
        <v>2</v>
      </c>
      <c r="AA853" s="83">
        <v>44691</v>
      </c>
      <c r="AB853" s="47" t="s">
        <v>472</v>
      </c>
      <c r="AC853" s="14"/>
      <c r="AD853" s="15"/>
      <c r="AE853" s="15"/>
      <c r="AF853" s="15"/>
      <c r="AG853" s="15"/>
      <c r="AH853" s="24">
        <f t="shared" ref="AH853" si="422">SUM(AC853:AG853)</f>
        <v>0</v>
      </c>
      <c r="AI853" s="14"/>
      <c r="AJ853" s="15"/>
      <c r="AK853" s="15"/>
      <c r="AL853" s="15"/>
      <c r="AM853" s="15"/>
      <c r="AN853" s="24">
        <f t="shared" ref="AN853" si="423">SUM(AI853:AM853)</f>
        <v>0</v>
      </c>
      <c r="AO853" s="15"/>
      <c r="AP853" s="55"/>
      <c r="AQ853" s="55"/>
      <c r="AR853" s="55"/>
      <c r="AS853" s="67"/>
      <c r="AT853" s="24">
        <f t="shared" ref="AT853" si="424">SUM(AO853:AS853)</f>
        <v>0</v>
      </c>
      <c r="AU853" s="15"/>
      <c r="AV853" s="55"/>
      <c r="AW853" s="55"/>
      <c r="AX853" s="55"/>
      <c r="AY853" s="67"/>
      <c r="AZ853" s="24">
        <f t="shared" ref="AZ853" si="425">SUM(AU853:AY853)</f>
        <v>0</v>
      </c>
      <c r="BA853" s="24">
        <f t="shared" ref="BA853" si="426">AH853+AN853+AT853+AZ853</f>
        <v>0</v>
      </c>
      <c r="BB853" s="83">
        <v>44663</v>
      </c>
    </row>
    <row r="854" spans="1:54" ht="15" thickBot="1" x14ac:dyDescent="0.2">
      <c r="A854" s="23" t="s">
        <v>48</v>
      </c>
      <c r="B854" s="44"/>
      <c r="C854" s="45"/>
      <c r="D854" s="45"/>
      <c r="E854" s="45"/>
      <c r="F854" s="45"/>
      <c r="G854" s="43">
        <f t="shared" si="416"/>
        <v>0</v>
      </c>
      <c r="H854" s="44"/>
      <c r="I854" s="45"/>
      <c r="J854" s="45"/>
      <c r="K854" s="45"/>
      <c r="L854" s="45">
        <v>1</v>
      </c>
      <c r="M854" s="112">
        <f t="shared" si="393"/>
        <v>1</v>
      </c>
      <c r="N854" s="45"/>
      <c r="O854" s="78"/>
      <c r="P854" s="78"/>
      <c r="Q854" s="78"/>
      <c r="R854" s="79"/>
      <c r="S854" s="113">
        <f>SUM(N854:R854)</f>
        <v>0</v>
      </c>
      <c r="T854" s="45"/>
      <c r="U854" s="78"/>
      <c r="V854" s="78"/>
      <c r="W854" s="78"/>
      <c r="X854" s="79"/>
      <c r="Y854" s="113">
        <f>SUM(T854:X854)</f>
        <v>0</v>
      </c>
      <c r="Z854" s="82">
        <f>G854+M854+S854+Y854</f>
        <v>1</v>
      </c>
      <c r="AA854" s="93">
        <v>44690</v>
      </c>
      <c r="AB854" s="47" t="s">
        <v>498</v>
      </c>
      <c r="AC854" s="14"/>
      <c r="AD854" s="15"/>
      <c r="AE854" s="15"/>
      <c r="AF854" s="15"/>
      <c r="AG854" s="15"/>
      <c r="AH854" s="24">
        <f>SUM(AC854:AG854)</f>
        <v>0</v>
      </c>
      <c r="AI854" s="191"/>
      <c r="AJ854" s="192"/>
      <c r="AK854" s="192"/>
      <c r="AL854" s="192"/>
      <c r="AM854" s="192"/>
      <c r="AN854" s="24">
        <f>SUM(AI854:AM854)</f>
        <v>0</v>
      </c>
      <c r="AO854" s="15"/>
      <c r="AP854" s="55"/>
      <c r="AQ854" s="55"/>
      <c r="AR854" s="55"/>
      <c r="AS854" s="67"/>
      <c r="AT854" s="24">
        <f>SUM(AO854:AS854)</f>
        <v>0</v>
      </c>
      <c r="AU854" s="15"/>
      <c r="AV854" s="55"/>
      <c r="AW854" s="55"/>
      <c r="AX854" s="55"/>
      <c r="AY854" s="67"/>
      <c r="AZ854" s="24">
        <f>SUM(AU854:AY854)</f>
        <v>0</v>
      </c>
      <c r="BA854" s="24">
        <f>AH854+AN854+AT854+AZ854</f>
        <v>0</v>
      </c>
      <c r="BB854" s="128" t="s">
        <v>499</v>
      </c>
    </row>
    <row r="855" spans="1:54" ht="15" thickBot="1" x14ac:dyDescent="0.2">
      <c r="A855" s="9" t="s">
        <v>13</v>
      </c>
      <c r="B855" s="25">
        <f>SUM(B829:B854)</f>
        <v>1</v>
      </c>
      <c r="C855" s="26">
        <f>SUM(C829:C854)</f>
        <v>4</v>
      </c>
      <c r="D855" s="26">
        <f>SUM(D829:D854)</f>
        <v>1</v>
      </c>
      <c r="E855" s="26">
        <f>SUM(E829:E854)</f>
        <v>-1</v>
      </c>
      <c r="F855" s="27">
        <f>SUM(F829:F854)</f>
        <v>3</v>
      </c>
      <c r="G855" s="19">
        <f>SUM(B855:F855)</f>
        <v>8</v>
      </c>
      <c r="H855" s="25">
        <f>SUM(H829:H854)</f>
        <v>0</v>
      </c>
      <c r="I855" s="26">
        <f>SUM(I829:I854)</f>
        <v>0</v>
      </c>
      <c r="J855" s="26">
        <f>SUM(J829:J854)</f>
        <v>1</v>
      </c>
      <c r="K855" s="26">
        <f>SUM(K829:K854)</f>
        <v>0</v>
      </c>
      <c r="L855" s="27">
        <f>SUM(L829:L854)</f>
        <v>3</v>
      </c>
      <c r="M855" s="25">
        <f>SUM(H855:L855)</f>
        <v>4</v>
      </c>
      <c r="N855" s="65">
        <f>SUM(N829:N854)</f>
        <v>0</v>
      </c>
      <c r="O855" s="18">
        <f>SUM(O829:O854)</f>
        <v>0</v>
      </c>
      <c r="P855" s="18">
        <f>SUM(P829:P854)</f>
        <v>3</v>
      </c>
      <c r="Q855" s="18">
        <f>SUM(Q829:Q854)</f>
        <v>1</v>
      </c>
      <c r="R855" s="70">
        <f>SUM(R829:R854)</f>
        <v>0</v>
      </c>
      <c r="S855" s="49">
        <f>SUM(N855:R855)</f>
        <v>4</v>
      </c>
      <c r="T855" s="74">
        <f>SUM(T829:T854)</f>
        <v>0</v>
      </c>
      <c r="U855" s="18">
        <f>SUM(U829:U854)</f>
        <v>-1</v>
      </c>
      <c r="V855" s="18">
        <f>SUM(V829:V854)</f>
        <v>-1</v>
      </c>
      <c r="W855" s="18">
        <f>SUM(W829:W854)</f>
        <v>1</v>
      </c>
      <c r="X855" s="70">
        <f>SUM(X829:X854)</f>
        <v>1</v>
      </c>
      <c r="Y855" s="49">
        <f>SUM(T855:X855)</f>
        <v>0</v>
      </c>
      <c r="Z855" s="77">
        <f>G855+M855+S855+Y855</f>
        <v>16</v>
      </c>
      <c r="AB855" s="9" t="s">
        <v>13</v>
      </c>
      <c r="AC855" s="25">
        <f>SUM(AC829:AC854)</f>
        <v>71</v>
      </c>
      <c r="AD855" s="26">
        <f>SUM(AD829:AD854)</f>
        <v>86</v>
      </c>
      <c r="AE855" s="26">
        <f>SUM(AE829:AE854)</f>
        <v>53</v>
      </c>
      <c r="AF855" s="26">
        <f>SUM(AF829:AF854)</f>
        <v>30</v>
      </c>
      <c r="AG855" s="27">
        <f>SUM(AG829:AG854)</f>
        <v>14</v>
      </c>
      <c r="AH855" s="19">
        <f>SUM(AC855:AG855)</f>
        <v>254</v>
      </c>
      <c r="AI855" s="25">
        <f>SUM(AI829:AI854)</f>
        <v>40</v>
      </c>
      <c r="AJ855" s="26">
        <f>SUM(AJ829:AJ854)</f>
        <v>45</v>
      </c>
      <c r="AK855" s="26">
        <f>SUM(AK829:AK854)</f>
        <v>25</v>
      </c>
      <c r="AL855" s="26">
        <f>SUM(AL829:AL854)</f>
        <v>20</v>
      </c>
      <c r="AM855" s="27">
        <f>SUM(AM829:AM854)</f>
        <v>5</v>
      </c>
      <c r="AN855" s="25">
        <f>SUM(AI855:AM855)</f>
        <v>135</v>
      </c>
      <c r="AO855" s="65">
        <f>SUM(AO829:AO854)</f>
        <v>0</v>
      </c>
      <c r="AP855" s="18">
        <f>SUM(AP829:AP854)</f>
        <v>5</v>
      </c>
      <c r="AQ855" s="18">
        <f>SUM(AQ829:AQ854)</f>
        <v>10</v>
      </c>
      <c r="AR855" s="18">
        <f>SUM(AR829:AR854)</f>
        <v>0</v>
      </c>
      <c r="AS855" s="70">
        <f>SUM(AS829:AS854)</f>
        <v>2</v>
      </c>
      <c r="AT855" s="49">
        <f>SUM(AO855:AS855)</f>
        <v>17</v>
      </c>
      <c r="AU855" s="74">
        <f>SUM(AU829:AU854)</f>
        <v>0</v>
      </c>
      <c r="AV855" s="18">
        <f>SUM(AV829:AV854)</f>
        <v>2</v>
      </c>
      <c r="AW855" s="18">
        <f>SUM(AW829:AW854)</f>
        <v>3</v>
      </c>
      <c r="AX855" s="18">
        <f>SUM(AX829:AX854)</f>
        <v>2</v>
      </c>
      <c r="AY855" s="70">
        <f>SUM(AY829:AY854)</f>
        <v>1</v>
      </c>
      <c r="AZ855" s="49">
        <f>SUM(AU855:AY855)</f>
        <v>8</v>
      </c>
      <c r="BA855" s="77">
        <f>AH855+AN855+AT855+AZ855</f>
        <v>414</v>
      </c>
    </row>
    <row r="856" spans="1:54" ht="15" thickBot="1" x14ac:dyDescent="0.2">
      <c r="A856" s="32" t="s">
        <v>14</v>
      </c>
      <c r="B856" s="29">
        <f t="shared" ref="B856:Y856" si="427">B828-B855</f>
        <v>3</v>
      </c>
      <c r="C856" s="30">
        <f t="shared" si="427"/>
        <v>4</v>
      </c>
      <c r="D856" s="30">
        <f t="shared" si="427"/>
        <v>4</v>
      </c>
      <c r="E856" s="30">
        <f t="shared" si="427"/>
        <v>3</v>
      </c>
      <c r="F856" s="31">
        <f t="shared" si="427"/>
        <v>3</v>
      </c>
      <c r="G856" s="31">
        <f t="shared" si="427"/>
        <v>17</v>
      </c>
      <c r="H856" s="29">
        <f t="shared" si="427"/>
        <v>4</v>
      </c>
      <c r="I856" s="30">
        <f t="shared" si="427"/>
        <v>5</v>
      </c>
      <c r="J856" s="30">
        <f t="shared" si="427"/>
        <v>3</v>
      </c>
      <c r="K856" s="30">
        <f t="shared" si="427"/>
        <v>4</v>
      </c>
      <c r="L856" s="31">
        <f t="shared" si="427"/>
        <v>2</v>
      </c>
      <c r="M856" s="66">
        <f t="shared" si="427"/>
        <v>18</v>
      </c>
      <c r="N856" s="29">
        <f t="shared" si="427"/>
        <v>3</v>
      </c>
      <c r="O856" s="30">
        <f t="shared" si="427"/>
        <v>4</v>
      </c>
      <c r="P856" s="30">
        <f t="shared" si="427"/>
        <v>6</v>
      </c>
      <c r="Q856" s="30">
        <f t="shared" si="427"/>
        <v>3</v>
      </c>
      <c r="R856" s="66">
        <f t="shared" si="427"/>
        <v>3</v>
      </c>
      <c r="S856" s="33">
        <f t="shared" si="427"/>
        <v>19</v>
      </c>
      <c r="T856" s="75">
        <f t="shared" si="427"/>
        <v>4</v>
      </c>
      <c r="U856" s="30">
        <f t="shared" si="427"/>
        <v>3</v>
      </c>
      <c r="V856" s="30">
        <f t="shared" si="427"/>
        <v>4</v>
      </c>
      <c r="W856" s="30">
        <f t="shared" si="427"/>
        <v>2</v>
      </c>
      <c r="X856" s="66">
        <f t="shared" si="427"/>
        <v>3</v>
      </c>
      <c r="Y856" s="33">
        <f t="shared" si="427"/>
        <v>16</v>
      </c>
      <c r="Z856" s="77">
        <f>G856+M856+S856+Y856</f>
        <v>70</v>
      </c>
      <c r="AB856" s="32" t="s">
        <v>14</v>
      </c>
      <c r="AC856" s="29">
        <f t="shared" ref="AC856:AZ856" si="428">AC828-AC855</f>
        <v>89</v>
      </c>
      <c r="AD856" s="30">
        <f t="shared" si="428"/>
        <v>30</v>
      </c>
      <c r="AE856" s="30">
        <f t="shared" si="428"/>
        <v>54</v>
      </c>
      <c r="AF856" s="30">
        <f t="shared" si="428"/>
        <v>91</v>
      </c>
      <c r="AG856" s="31">
        <f t="shared" si="428"/>
        <v>70</v>
      </c>
      <c r="AH856" s="31">
        <f t="shared" si="428"/>
        <v>334</v>
      </c>
      <c r="AI856" s="29">
        <f t="shared" si="428"/>
        <v>59</v>
      </c>
      <c r="AJ856" s="30">
        <f t="shared" si="428"/>
        <v>52</v>
      </c>
      <c r="AK856" s="30">
        <f t="shared" si="428"/>
        <v>75</v>
      </c>
      <c r="AL856" s="30">
        <f t="shared" si="428"/>
        <v>64</v>
      </c>
      <c r="AM856" s="31">
        <f t="shared" si="428"/>
        <v>83</v>
      </c>
      <c r="AN856" s="66">
        <f t="shared" si="428"/>
        <v>333</v>
      </c>
      <c r="AO856" s="29">
        <f t="shared" si="428"/>
        <v>168</v>
      </c>
      <c r="AP856" s="30">
        <f t="shared" si="428"/>
        <v>141</v>
      </c>
      <c r="AQ856" s="30">
        <f t="shared" si="428"/>
        <v>133</v>
      </c>
      <c r="AR856" s="30">
        <f t="shared" si="428"/>
        <v>148</v>
      </c>
      <c r="AS856" s="66">
        <f t="shared" si="428"/>
        <v>160</v>
      </c>
      <c r="AT856" s="33">
        <f t="shared" si="428"/>
        <v>750</v>
      </c>
      <c r="AU856" s="75">
        <f t="shared" si="428"/>
        <v>119</v>
      </c>
      <c r="AV856" s="30">
        <f t="shared" si="428"/>
        <v>76</v>
      </c>
      <c r="AW856" s="30">
        <f t="shared" si="428"/>
        <v>71</v>
      </c>
      <c r="AX856" s="30">
        <f t="shared" si="428"/>
        <v>72</v>
      </c>
      <c r="AY856" s="66">
        <f t="shared" si="428"/>
        <v>117</v>
      </c>
      <c r="AZ856" s="33">
        <f t="shared" si="428"/>
        <v>455</v>
      </c>
      <c r="BA856" s="77">
        <f>AH856+AN856+AT856+AZ856</f>
        <v>1872</v>
      </c>
    </row>
    <row r="859" spans="1:54" ht="19.5" thickBot="1" x14ac:dyDescent="0.25">
      <c r="A859" s="1" t="s">
        <v>15</v>
      </c>
      <c r="AB859" s="1" t="s">
        <v>16</v>
      </c>
    </row>
    <row r="860" spans="1:54" ht="15" thickBot="1" x14ac:dyDescent="0.2">
      <c r="A860" s="4"/>
      <c r="B860" s="245" t="s">
        <v>17</v>
      </c>
      <c r="C860" s="246"/>
      <c r="D860" s="246"/>
      <c r="E860" s="246"/>
      <c r="F860" s="246"/>
      <c r="G860" s="247"/>
      <c r="H860" s="245" t="s">
        <v>18</v>
      </c>
      <c r="I860" s="246"/>
      <c r="J860" s="246"/>
      <c r="K860" s="246"/>
      <c r="L860" s="246"/>
      <c r="M860" s="247"/>
      <c r="N860" s="248" t="s">
        <v>27</v>
      </c>
      <c r="O860" s="249"/>
      <c r="P860" s="249"/>
      <c r="Q860" s="249"/>
      <c r="R860" s="249"/>
      <c r="S860" s="250"/>
      <c r="T860" s="248" t="s">
        <v>28</v>
      </c>
      <c r="U860" s="249"/>
      <c r="V860" s="249"/>
      <c r="W860" s="249"/>
      <c r="X860" s="249"/>
      <c r="Y860" s="250"/>
      <c r="Z860" s="251" t="s">
        <v>1</v>
      </c>
      <c r="AB860" s="4"/>
      <c r="AC860" s="253" t="s">
        <v>17</v>
      </c>
      <c r="AD860" s="249"/>
      <c r="AE860" s="249"/>
      <c r="AF860" s="249"/>
      <c r="AG860" s="249"/>
      <c r="AH860" s="250"/>
      <c r="AI860" s="248" t="s">
        <v>18</v>
      </c>
      <c r="AJ860" s="249"/>
      <c r="AK860" s="249"/>
      <c r="AL860" s="249"/>
      <c r="AM860" s="249"/>
      <c r="AN860" s="250"/>
      <c r="AO860" s="248" t="s">
        <v>27</v>
      </c>
      <c r="AP860" s="249"/>
      <c r="AQ860" s="249"/>
      <c r="AR860" s="249"/>
      <c r="AS860" s="249"/>
      <c r="AT860" s="250"/>
      <c r="AU860" s="248" t="s">
        <v>28</v>
      </c>
      <c r="AV860" s="249"/>
      <c r="AW860" s="249"/>
      <c r="AX860" s="249"/>
      <c r="AY860" s="249"/>
      <c r="AZ860" s="250"/>
      <c r="BA860" s="243" t="s">
        <v>1</v>
      </c>
    </row>
    <row r="861" spans="1:54" ht="15" thickBot="1" x14ac:dyDescent="0.2">
      <c r="A861" s="9" t="s">
        <v>2</v>
      </c>
      <c r="B861" s="6" t="s">
        <v>3</v>
      </c>
      <c r="C861" s="7" t="s">
        <v>4</v>
      </c>
      <c r="D861" s="7" t="s">
        <v>5</v>
      </c>
      <c r="E861" s="48" t="s">
        <v>20</v>
      </c>
      <c r="F861" s="8" t="s">
        <v>21</v>
      </c>
      <c r="G861" s="5" t="s">
        <v>6</v>
      </c>
      <c r="H861" s="6" t="s">
        <v>3</v>
      </c>
      <c r="I861" s="7" t="s">
        <v>4</v>
      </c>
      <c r="J861" s="7" t="s">
        <v>5</v>
      </c>
      <c r="K861" s="48" t="s">
        <v>20</v>
      </c>
      <c r="L861" s="8" t="s">
        <v>21</v>
      </c>
      <c r="M861" s="5" t="s">
        <v>6</v>
      </c>
      <c r="N861" s="6" t="s">
        <v>3</v>
      </c>
      <c r="O861" s="7" t="s">
        <v>4</v>
      </c>
      <c r="P861" s="7" t="s">
        <v>5</v>
      </c>
      <c r="Q861" s="48" t="s">
        <v>20</v>
      </c>
      <c r="R861" s="8" t="s">
        <v>21</v>
      </c>
      <c r="S861" s="5" t="s">
        <v>6</v>
      </c>
      <c r="T861" s="7" t="s">
        <v>3</v>
      </c>
      <c r="U861" s="7" t="s">
        <v>4</v>
      </c>
      <c r="V861" s="7" t="s">
        <v>5</v>
      </c>
      <c r="W861" s="48" t="s">
        <v>20</v>
      </c>
      <c r="X861" s="109" t="s">
        <v>21</v>
      </c>
      <c r="Y861" s="62" t="s">
        <v>6</v>
      </c>
      <c r="Z861" s="252"/>
      <c r="AB861" s="9" t="s">
        <v>2</v>
      </c>
      <c r="AC861" s="6" t="s">
        <v>3</v>
      </c>
      <c r="AD861" s="7" t="s">
        <v>4</v>
      </c>
      <c r="AE861" s="7" t="s">
        <v>5</v>
      </c>
      <c r="AF861" s="48" t="s">
        <v>20</v>
      </c>
      <c r="AG861" s="8" t="s">
        <v>21</v>
      </c>
      <c r="AH861" s="5" t="s">
        <v>6</v>
      </c>
      <c r="AI861" s="6" t="s">
        <v>3</v>
      </c>
      <c r="AJ861" s="7" t="s">
        <v>4</v>
      </c>
      <c r="AK861" s="7" t="s">
        <v>5</v>
      </c>
      <c r="AL861" s="48" t="s">
        <v>20</v>
      </c>
      <c r="AM861" s="8" t="s">
        <v>21</v>
      </c>
      <c r="AN861" s="5" t="s">
        <v>6</v>
      </c>
      <c r="AO861" s="6" t="s">
        <v>3</v>
      </c>
      <c r="AP861" s="7" t="s">
        <v>4</v>
      </c>
      <c r="AQ861" s="7" t="s">
        <v>5</v>
      </c>
      <c r="AR861" s="48" t="s">
        <v>20</v>
      </c>
      <c r="AS861" s="8" t="s">
        <v>21</v>
      </c>
      <c r="AT861" s="5" t="s">
        <v>6</v>
      </c>
      <c r="AU861" s="7" t="s">
        <v>3</v>
      </c>
      <c r="AV861" s="7" t="s">
        <v>4</v>
      </c>
      <c r="AW861" s="7" t="s">
        <v>5</v>
      </c>
      <c r="AX861" s="48" t="s">
        <v>20</v>
      </c>
      <c r="AY861" s="109" t="s">
        <v>21</v>
      </c>
      <c r="AZ861" s="62" t="s">
        <v>6</v>
      </c>
      <c r="BA861" s="244"/>
    </row>
    <row r="862" spans="1:54" ht="14.25" x14ac:dyDescent="0.15">
      <c r="A862" s="103" t="s">
        <v>43</v>
      </c>
      <c r="B862" s="104">
        <f>B856</f>
        <v>3</v>
      </c>
      <c r="C862" s="105">
        <f>C856</f>
        <v>4</v>
      </c>
      <c r="D862" s="105">
        <f>D856</f>
        <v>4</v>
      </c>
      <c r="E862" s="105">
        <f>E856</f>
        <v>3</v>
      </c>
      <c r="F862" s="105">
        <f>F856</f>
        <v>3</v>
      </c>
      <c r="G862" s="106">
        <f t="shared" ref="G862:G882" si="429">SUM(B862:F862)</f>
        <v>17</v>
      </c>
      <c r="H862" s="104">
        <f>H856</f>
        <v>4</v>
      </c>
      <c r="I862" s="105">
        <f>I856</f>
        <v>5</v>
      </c>
      <c r="J862" s="105">
        <f>J856</f>
        <v>3</v>
      </c>
      <c r="K862" s="105">
        <f>K856</f>
        <v>4</v>
      </c>
      <c r="L862" s="105">
        <f>L856</f>
        <v>2</v>
      </c>
      <c r="M862" s="107">
        <f t="shared" ref="M862:M893" si="430">SUM(H862:L862)</f>
        <v>18</v>
      </c>
      <c r="N862" s="104">
        <f>N856</f>
        <v>3</v>
      </c>
      <c r="O862" s="105">
        <f>O856</f>
        <v>4</v>
      </c>
      <c r="P862" s="105">
        <f>P856</f>
        <v>6</v>
      </c>
      <c r="Q862" s="105">
        <f>Q856</f>
        <v>3</v>
      </c>
      <c r="R862" s="105">
        <f>R856</f>
        <v>3</v>
      </c>
      <c r="S862" s="108">
        <f t="shared" ref="S862:S891" si="431">SUM(N862:R862)</f>
        <v>19</v>
      </c>
      <c r="T862" s="104">
        <f>T856</f>
        <v>4</v>
      </c>
      <c r="U862" s="105">
        <f>U856</f>
        <v>3</v>
      </c>
      <c r="V862" s="105">
        <f>V856</f>
        <v>4</v>
      </c>
      <c r="W862" s="105">
        <f>W856</f>
        <v>2</v>
      </c>
      <c r="X862" s="105">
        <f>X856</f>
        <v>3</v>
      </c>
      <c r="Y862" s="106">
        <f t="shared" ref="Y862:Y891" si="432">SUM(T862:X862)</f>
        <v>16</v>
      </c>
      <c r="Z862" s="106">
        <f t="shared" ref="Z862:Z891" si="433">G862+M862+S862+Y862</f>
        <v>70</v>
      </c>
      <c r="AB862" s="103" t="s">
        <v>43</v>
      </c>
      <c r="AC862" s="104">
        <f>AC856</f>
        <v>89</v>
      </c>
      <c r="AD862" s="105">
        <f>AD856</f>
        <v>30</v>
      </c>
      <c r="AE862" s="105">
        <f>AE856</f>
        <v>54</v>
      </c>
      <c r="AF862" s="105">
        <f>AF856</f>
        <v>91</v>
      </c>
      <c r="AG862" s="105">
        <f>AG856</f>
        <v>70</v>
      </c>
      <c r="AH862" s="106">
        <f>SUM(AC862:AG862)</f>
        <v>334</v>
      </c>
      <c r="AI862" s="104">
        <f>AI856</f>
        <v>59</v>
      </c>
      <c r="AJ862" s="105">
        <f>AJ856</f>
        <v>52</v>
      </c>
      <c r="AK862" s="105">
        <f>AK856</f>
        <v>75</v>
      </c>
      <c r="AL862" s="105">
        <f>AL856</f>
        <v>64</v>
      </c>
      <c r="AM862" s="105">
        <f>AM856</f>
        <v>83</v>
      </c>
      <c r="AN862" s="107">
        <f>SUM(AI862:AM862)</f>
        <v>333</v>
      </c>
      <c r="AO862" s="104">
        <f>AO856</f>
        <v>168</v>
      </c>
      <c r="AP862" s="105">
        <f>AP856</f>
        <v>141</v>
      </c>
      <c r="AQ862" s="105">
        <f>AQ856</f>
        <v>133</v>
      </c>
      <c r="AR862" s="105">
        <f>AR856</f>
        <v>148</v>
      </c>
      <c r="AS862" s="105">
        <f>AS856</f>
        <v>160</v>
      </c>
      <c r="AT862" s="108">
        <f>SUM(AO862:AS862)</f>
        <v>750</v>
      </c>
      <c r="AU862" s="104">
        <f>AU856</f>
        <v>119</v>
      </c>
      <c r="AV862" s="105">
        <f>AV856</f>
        <v>76</v>
      </c>
      <c r="AW862" s="105">
        <f>AW856</f>
        <v>71</v>
      </c>
      <c r="AX862" s="105">
        <f>AX856</f>
        <v>72</v>
      </c>
      <c r="AY862" s="105">
        <f>AY856</f>
        <v>117</v>
      </c>
      <c r="AZ862" s="106">
        <f>SUM(AU862:AY862)</f>
        <v>455</v>
      </c>
      <c r="BA862" s="106">
        <f>AH862+AN862+AT862+AZ862</f>
        <v>1872</v>
      </c>
    </row>
    <row r="863" spans="1:54" ht="14.25" x14ac:dyDescent="0.15">
      <c r="A863" s="10" t="s">
        <v>77</v>
      </c>
      <c r="B863" s="14"/>
      <c r="C863" s="15"/>
      <c r="D863" s="15"/>
      <c r="E863" s="15"/>
      <c r="F863" s="15"/>
      <c r="G863" s="16">
        <f t="shared" si="429"/>
        <v>0</v>
      </c>
      <c r="H863" s="14"/>
      <c r="I863" s="15"/>
      <c r="J863" s="15"/>
      <c r="K863" s="15"/>
      <c r="L863" s="15"/>
      <c r="M863" s="57">
        <f t="shared" si="430"/>
        <v>0</v>
      </c>
      <c r="N863" s="14"/>
      <c r="O863" s="55"/>
      <c r="P863" s="55"/>
      <c r="Q863" s="55"/>
      <c r="R863" s="67"/>
      <c r="S863" s="24">
        <f t="shared" si="431"/>
        <v>0</v>
      </c>
      <c r="T863" s="15"/>
      <c r="U863" s="55"/>
      <c r="V863" s="55">
        <v>1</v>
      </c>
      <c r="W863" s="55"/>
      <c r="X863" s="67"/>
      <c r="Y863" s="24">
        <f t="shared" si="432"/>
        <v>1</v>
      </c>
      <c r="Z863" s="24">
        <f t="shared" si="433"/>
        <v>1</v>
      </c>
      <c r="AA863" s="93">
        <v>44694</v>
      </c>
      <c r="AB863" s="10" t="s">
        <v>181</v>
      </c>
      <c r="AC863" s="41"/>
      <c r="AD863" s="42"/>
      <c r="AE863" s="42"/>
      <c r="AF863" s="42"/>
      <c r="AG863" s="42"/>
      <c r="AH863" s="43">
        <f t="shared" ref="AH863:AH866" si="434">SUM(AC863:AG863)</f>
        <v>0</v>
      </c>
      <c r="AI863" s="41"/>
      <c r="AJ863" s="42"/>
      <c r="AK863" s="42"/>
      <c r="AL863" s="42"/>
      <c r="AM863" s="42"/>
      <c r="AN863" s="43">
        <f t="shared" ref="AN863:AN866" si="435">SUM(AI863:AM863)</f>
        <v>0</v>
      </c>
      <c r="AO863" s="42"/>
      <c r="AP863" s="53"/>
      <c r="AQ863" s="53"/>
      <c r="AR863" s="53"/>
      <c r="AS863" s="72"/>
      <c r="AT863" s="24">
        <f t="shared" ref="AT863:AT866" si="436">SUM(AO863:AS863)</f>
        <v>0</v>
      </c>
      <c r="AU863" s="42"/>
      <c r="AV863" s="53"/>
      <c r="AW863" s="53"/>
      <c r="AX863" s="53"/>
      <c r="AY863" s="72"/>
      <c r="AZ863" s="24">
        <f t="shared" ref="AZ863:AZ866" si="437">SUM(AU863:AY863)</f>
        <v>0</v>
      </c>
      <c r="BA863" s="24">
        <f t="shared" ref="BA863:BA877" si="438">AH863+AN863+AT863+AZ863</f>
        <v>0</v>
      </c>
      <c r="BB863" s="93"/>
    </row>
    <row r="864" spans="1:54" ht="14.25" x14ac:dyDescent="0.15">
      <c r="A864" s="10" t="s">
        <v>181</v>
      </c>
      <c r="B864" s="41">
        <v>3</v>
      </c>
      <c r="C864" s="42"/>
      <c r="D864" s="42"/>
      <c r="E864" s="42">
        <v>3</v>
      </c>
      <c r="F864" s="42">
        <v>3</v>
      </c>
      <c r="G864" s="37">
        <f t="shared" si="429"/>
        <v>9</v>
      </c>
      <c r="H864" s="41"/>
      <c r="I864" s="42"/>
      <c r="J864" s="42">
        <v>3</v>
      </c>
      <c r="K864" s="42"/>
      <c r="L864" s="42">
        <v>5</v>
      </c>
      <c r="M864" s="114">
        <f t="shared" si="430"/>
        <v>8</v>
      </c>
      <c r="N864" s="41">
        <v>3</v>
      </c>
      <c r="O864" s="53"/>
      <c r="P864" s="53"/>
      <c r="Q864" s="53">
        <v>3</v>
      </c>
      <c r="R864" s="72">
        <v>3</v>
      </c>
      <c r="S864" s="24">
        <f t="shared" si="431"/>
        <v>9</v>
      </c>
      <c r="T864" s="42"/>
      <c r="U864" s="53">
        <v>3</v>
      </c>
      <c r="V864" s="53"/>
      <c r="W864" s="53">
        <v>3</v>
      </c>
      <c r="X864" s="72">
        <v>3</v>
      </c>
      <c r="Y864" s="24">
        <f t="shared" si="432"/>
        <v>9</v>
      </c>
      <c r="Z864" s="24">
        <f t="shared" si="433"/>
        <v>35</v>
      </c>
      <c r="AA864" s="83">
        <v>44699</v>
      </c>
      <c r="AB864" s="10" t="s">
        <v>181</v>
      </c>
      <c r="AC864" s="14"/>
      <c r="AD864" s="15"/>
      <c r="AE864" s="15"/>
      <c r="AF864" s="15"/>
      <c r="AG864" s="15"/>
      <c r="AH864" s="43">
        <f t="shared" si="434"/>
        <v>0</v>
      </c>
      <c r="AI864" s="14"/>
      <c r="AJ864" s="15"/>
      <c r="AK864" s="15"/>
      <c r="AL864" s="15"/>
      <c r="AM864" s="15"/>
      <c r="AN864" s="43">
        <f t="shared" si="435"/>
        <v>0</v>
      </c>
      <c r="AO864" s="14"/>
      <c r="AP864" s="55"/>
      <c r="AQ864" s="55"/>
      <c r="AR864" s="55"/>
      <c r="AS864" s="67"/>
      <c r="AT864" s="24">
        <f t="shared" si="436"/>
        <v>0</v>
      </c>
      <c r="AU864" s="15"/>
      <c r="AV864" s="55"/>
      <c r="AW864" s="55"/>
      <c r="AX864" s="55"/>
      <c r="AY864" s="67"/>
      <c r="AZ864" s="24">
        <f t="shared" si="437"/>
        <v>0</v>
      </c>
      <c r="BA864" s="24">
        <f t="shared" si="438"/>
        <v>0</v>
      </c>
    </row>
    <row r="865" spans="1:55" ht="14.25" x14ac:dyDescent="0.15">
      <c r="A865" s="10" t="s">
        <v>77</v>
      </c>
      <c r="B865" s="14"/>
      <c r="C865" s="15"/>
      <c r="D865" s="15"/>
      <c r="E865" s="15"/>
      <c r="F865" s="15"/>
      <c r="G865" s="16">
        <f t="shared" si="429"/>
        <v>0</v>
      </c>
      <c r="H865" s="14"/>
      <c r="I865" s="15"/>
      <c r="J865" s="15"/>
      <c r="K865" s="15"/>
      <c r="L865" s="15"/>
      <c r="M865" s="57">
        <f t="shared" si="430"/>
        <v>0</v>
      </c>
      <c r="N865" s="14"/>
      <c r="O865" s="55">
        <v>1</v>
      </c>
      <c r="P865" s="55">
        <v>1</v>
      </c>
      <c r="Q865" s="55"/>
      <c r="R865" s="67"/>
      <c r="S865" s="24">
        <f t="shared" si="431"/>
        <v>2</v>
      </c>
      <c r="T865" s="15"/>
      <c r="U865" s="55">
        <v>1</v>
      </c>
      <c r="V865" s="55"/>
      <c r="W865" s="55">
        <v>1</v>
      </c>
      <c r="X865" s="67"/>
      <c r="Y865" s="24">
        <f t="shared" si="432"/>
        <v>2</v>
      </c>
      <c r="Z865" s="24">
        <f t="shared" si="433"/>
        <v>4</v>
      </c>
      <c r="AA865" s="93">
        <v>44708</v>
      </c>
      <c r="AB865" s="10" t="s">
        <v>181</v>
      </c>
      <c r="AC865" s="41"/>
      <c r="AD865" s="42"/>
      <c r="AE865" s="42"/>
      <c r="AF865" s="42"/>
      <c r="AG865" s="42"/>
      <c r="AH865" s="43">
        <f t="shared" si="434"/>
        <v>0</v>
      </c>
      <c r="AI865" s="41"/>
      <c r="AJ865" s="42"/>
      <c r="AK865" s="42"/>
      <c r="AL865" s="42"/>
      <c r="AM865" s="42"/>
      <c r="AN865" s="43">
        <f t="shared" si="435"/>
        <v>0</v>
      </c>
      <c r="AO865" s="42"/>
      <c r="AP865" s="53"/>
      <c r="AQ865" s="53"/>
      <c r="AR865" s="53"/>
      <c r="AS865" s="72"/>
      <c r="AT865" s="24">
        <f t="shared" si="436"/>
        <v>0</v>
      </c>
      <c r="AU865" s="42"/>
      <c r="AV865" s="53"/>
      <c r="AW865" s="53"/>
      <c r="AX865" s="53"/>
      <c r="AY865" s="72"/>
      <c r="AZ865" s="24">
        <f t="shared" si="437"/>
        <v>0</v>
      </c>
      <c r="BA865" s="24">
        <f t="shared" si="438"/>
        <v>0</v>
      </c>
    </row>
    <row r="866" spans="1:55" ht="15" thickBot="1" x14ac:dyDescent="0.2">
      <c r="A866" s="10" t="s">
        <v>181</v>
      </c>
      <c r="B866" s="14"/>
      <c r="C866" s="15"/>
      <c r="D866" s="15"/>
      <c r="E866" s="15"/>
      <c r="F866" s="15"/>
      <c r="G866" s="16">
        <f t="shared" si="429"/>
        <v>0</v>
      </c>
      <c r="H866" s="14"/>
      <c r="I866" s="15"/>
      <c r="J866" s="15"/>
      <c r="K866" s="15"/>
      <c r="L866" s="15"/>
      <c r="M866" s="57">
        <f t="shared" si="430"/>
        <v>0</v>
      </c>
      <c r="N866" s="63"/>
      <c r="O866" s="64"/>
      <c r="P866" s="64"/>
      <c r="Q866" s="64"/>
      <c r="R866" s="69"/>
      <c r="S866" s="82">
        <f t="shared" si="431"/>
        <v>0</v>
      </c>
      <c r="T866" s="73"/>
      <c r="U866" s="64"/>
      <c r="V866" s="64">
        <v>3</v>
      </c>
      <c r="W866" s="64"/>
      <c r="X866" s="69"/>
      <c r="Y866" s="82">
        <f t="shared" si="432"/>
        <v>3</v>
      </c>
      <c r="Z866" s="82">
        <f t="shared" si="433"/>
        <v>3</v>
      </c>
      <c r="AA866" s="83">
        <v>44713</v>
      </c>
      <c r="AB866" s="10" t="s">
        <v>181</v>
      </c>
      <c r="AC866" s="14"/>
      <c r="AD866" s="15"/>
      <c r="AE866" s="15"/>
      <c r="AF866" s="15"/>
      <c r="AG866" s="15"/>
      <c r="AH866" s="43">
        <f t="shared" si="434"/>
        <v>0</v>
      </c>
      <c r="AI866" s="14"/>
      <c r="AJ866" s="15"/>
      <c r="AK866" s="15"/>
      <c r="AL866" s="15"/>
      <c r="AM866" s="15"/>
      <c r="AN866" s="43">
        <f t="shared" si="435"/>
        <v>0</v>
      </c>
      <c r="AO866" s="63"/>
      <c r="AP866" s="64"/>
      <c r="AQ866" s="64"/>
      <c r="AR866" s="64"/>
      <c r="AS866" s="69"/>
      <c r="AT866" s="24">
        <f t="shared" si="436"/>
        <v>0</v>
      </c>
      <c r="AU866" s="73"/>
      <c r="AV866" s="64"/>
      <c r="AW866" s="64"/>
      <c r="AX866" s="64"/>
      <c r="AY866" s="69"/>
      <c r="AZ866" s="24">
        <f t="shared" si="437"/>
        <v>0</v>
      </c>
      <c r="BA866" s="24">
        <f t="shared" si="438"/>
        <v>0</v>
      </c>
    </row>
    <row r="867" spans="1:55" ht="15" thickBot="1" x14ac:dyDescent="0.2">
      <c r="A867" s="4" t="s">
        <v>12</v>
      </c>
      <c r="B867" s="17">
        <f>SUM(B862:B866)</f>
        <v>6</v>
      </c>
      <c r="C867" s="18">
        <f>SUM(C862:C866)</f>
        <v>4</v>
      </c>
      <c r="D867" s="18">
        <f>SUM(D862:D866)</f>
        <v>4</v>
      </c>
      <c r="E867" s="18">
        <f>SUM(E862:E866)</f>
        <v>6</v>
      </c>
      <c r="F867" s="18">
        <f>SUM(F862:F866)</f>
        <v>6</v>
      </c>
      <c r="G867" s="19">
        <f t="shared" si="429"/>
        <v>26</v>
      </c>
      <c r="H867" s="17">
        <f>SUM(H862:H866)</f>
        <v>4</v>
      </c>
      <c r="I867" s="18">
        <f>SUM(I862:I866)</f>
        <v>5</v>
      </c>
      <c r="J867" s="18">
        <f>SUM(J862:J866)</f>
        <v>6</v>
      </c>
      <c r="K867" s="18">
        <f>SUM(K862:K866)</f>
        <v>4</v>
      </c>
      <c r="L867" s="18">
        <f>SUM(L862:L866)</f>
        <v>7</v>
      </c>
      <c r="M867" s="25">
        <f t="shared" si="430"/>
        <v>26</v>
      </c>
      <c r="N867" s="65">
        <f>SUM(N862:N866)</f>
        <v>6</v>
      </c>
      <c r="O867" s="18">
        <f>SUM(O862:O866)</f>
        <v>5</v>
      </c>
      <c r="P867" s="18">
        <f>SUM(P862:P866)</f>
        <v>7</v>
      </c>
      <c r="Q867" s="18">
        <f>SUM(Q862:Q866)</f>
        <v>6</v>
      </c>
      <c r="R867" s="70">
        <f>SUM(R862:R866)</f>
        <v>6</v>
      </c>
      <c r="S867" s="49">
        <f t="shared" si="431"/>
        <v>30</v>
      </c>
      <c r="T867" s="74">
        <f>SUM(T862:T866)</f>
        <v>4</v>
      </c>
      <c r="U867" s="18">
        <f>SUM(U862:U866)</f>
        <v>7</v>
      </c>
      <c r="V867" s="18">
        <f>SUM(V862:V866)</f>
        <v>8</v>
      </c>
      <c r="W867" s="18">
        <f>SUM(W862:W866)</f>
        <v>6</v>
      </c>
      <c r="X867" s="70">
        <f>SUM(X862:X866)</f>
        <v>6</v>
      </c>
      <c r="Y867" s="49">
        <f t="shared" si="432"/>
        <v>31</v>
      </c>
      <c r="Z867" s="33">
        <f t="shared" si="433"/>
        <v>113</v>
      </c>
      <c r="AB867" s="4" t="s">
        <v>12</v>
      </c>
      <c r="AC867" s="17">
        <f>SUM(AC862:AC866)</f>
        <v>89</v>
      </c>
      <c r="AD867" s="18">
        <f>SUM(AD862:AD866)</f>
        <v>30</v>
      </c>
      <c r="AE867" s="18">
        <f>SUM(AE862:AE866)</f>
        <v>54</v>
      </c>
      <c r="AF867" s="18">
        <f>SUM(AF862:AF866)</f>
        <v>91</v>
      </c>
      <c r="AG867" s="18">
        <f>SUM(AG862:AG866)</f>
        <v>70</v>
      </c>
      <c r="AH867" s="148">
        <f t="shared" ref="AH867:AH877" si="439">SUM(AC867:AG867)</f>
        <v>334</v>
      </c>
      <c r="AI867" s="17">
        <f>SUM(AI862:AI866)</f>
        <v>59</v>
      </c>
      <c r="AJ867" s="18">
        <f>SUM(AJ862:AJ866)</f>
        <v>52</v>
      </c>
      <c r="AK867" s="18">
        <f>SUM(AK862:AK866)</f>
        <v>75</v>
      </c>
      <c r="AL867" s="18">
        <f>SUM(AL862:AL866)</f>
        <v>64</v>
      </c>
      <c r="AM867" s="18">
        <f>SUM(AM862:AM866)</f>
        <v>83</v>
      </c>
      <c r="AN867" s="148">
        <f t="shared" ref="AN867:AN877" si="440">SUM(AI867:AM867)</f>
        <v>333</v>
      </c>
      <c r="AO867" s="65">
        <f>SUM(AO862:AO866)</f>
        <v>168</v>
      </c>
      <c r="AP867" s="18">
        <f>SUM(AP862:AP866)</f>
        <v>141</v>
      </c>
      <c r="AQ867" s="18">
        <f>SUM(AQ862:AQ866)</f>
        <v>133</v>
      </c>
      <c r="AR867" s="18">
        <f>SUM(AR862:AR866)</f>
        <v>148</v>
      </c>
      <c r="AS867" s="70">
        <f>SUM(AS862:AS866)</f>
        <v>160</v>
      </c>
      <c r="AT867" s="49">
        <f t="shared" ref="AT867:AT877" si="441">SUM(AO867:AS867)</f>
        <v>750</v>
      </c>
      <c r="AU867" s="74">
        <f>SUM(AU862:AU866)</f>
        <v>119</v>
      </c>
      <c r="AV867" s="18">
        <f>SUM(AV862:AV866)</f>
        <v>76</v>
      </c>
      <c r="AW867" s="18">
        <f>SUM(AW862:AW866)</f>
        <v>71</v>
      </c>
      <c r="AX867" s="18">
        <f>SUM(AX862:AX866)</f>
        <v>72</v>
      </c>
      <c r="AY867" s="70">
        <f>SUM(AY862:AY866)</f>
        <v>117</v>
      </c>
      <c r="AZ867" s="49">
        <f t="shared" ref="AZ867:AZ877" si="442">SUM(AU867:AY867)</f>
        <v>455</v>
      </c>
      <c r="BA867" s="33">
        <f t="shared" si="438"/>
        <v>1872</v>
      </c>
    </row>
    <row r="868" spans="1:55" ht="14.25" x14ac:dyDescent="0.15">
      <c r="A868" s="23" t="s">
        <v>438</v>
      </c>
      <c r="B868" s="34"/>
      <c r="C868" s="35"/>
      <c r="D868" s="35"/>
      <c r="E868" s="35"/>
      <c r="F868" s="35"/>
      <c r="G868" s="36">
        <f t="shared" si="429"/>
        <v>0</v>
      </c>
      <c r="H868" s="34"/>
      <c r="I868" s="35"/>
      <c r="J868" s="35"/>
      <c r="K868" s="35"/>
      <c r="L868" s="35"/>
      <c r="M868" s="36">
        <f t="shared" si="430"/>
        <v>0</v>
      </c>
      <c r="N868" s="39"/>
      <c r="O868" s="56"/>
      <c r="P868" s="56"/>
      <c r="Q868" s="56"/>
      <c r="R868" s="71"/>
      <c r="S868" s="16">
        <f t="shared" si="431"/>
        <v>0</v>
      </c>
      <c r="T868" s="39"/>
      <c r="U868" s="56"/>
      <c r="V868" s="56">
        <v>1</v>
      </c>
      <c r="W868" s="56"/>
      <c r="X868" s="71"/>
      <c r="Y868" s="16">
        <f t="shared" si="432"/>
        <v>1</v>
      </c>
      <c r="Z868" s="16">
        <f t="shared" si="433"/>
        <v>1</v>
      </c>
      <c r="AA868" s="83">
        <v>44694</v>
      </c>
      <c r="AB868" s="23" t="s">
        <v>508</v>
      </c>
      <c r="AC868" s="14"/>
      <c r="AD868" s="15"/>
      <c r="AE868" s="15"/>
      <c r="AF868" s="15"/>
      <c r="AG868" s="15"/>
      <c r="AH868" s="24">
        <f t="shared" si="439"/>
        <v>0</v>
      </c>
      <c r="AI868" s="14">
        <v>5</v>
      </c>
      <c r="AJ868" s="15"/>
      <c r="AK868" s="15">
        <v>5</v>
      </c>
      <c r="AL868" s="15"/>
      <c r="AM868" s="15"/>
      <c r="AN868" s="24">
        <f t="shared" si="440"/>
        <v>10</v>
      </c>
      <c r="AO868" s="15"/>
      <c r="AP868" s="55"/>
      <c r="AQ868" s="55"/>
      <c r="AR868" s="55"/>
      <c r="AS868" s="67"/>
      <c r="AT868" s="24">
        <f t="shared" si="441"/>
        <v>0</v>
      </c>
      <c r="AU868" s="15"/>
      <c r="AV868" s="55"/>
      <c r="AW868" s="55"/>
      <c r="AX868" s="55"/>
      <c r="AY868" s="67"/>
      <c r="AZ868" s="24">
        <f t="shared" si="442"/>
        <v>0</v>
      </c>
      <c r="BA868" s="24">
        <f t="shared" si="438"/>
        <v>10</v>
      </c>
      <c r="BB868" s="83">
        <v>44700</v>
      </c>
    </row>
    <row r="869" spans="1:55" ht="14.25" x14ac:dyDescent="0.15">
      <c r="A869" s="23" t="s">
        <v>48</v>
      </c>
      <c r="B869" s="14"/>
      <c r="C869" s="15"/>
      <c r="D869" s="15"/>
      <c r="E869" s="15"/>
      <c r="F869" s="15">
        <v>1</v>
      </c>
      <c r="G869" s="24">
        <f t="shared" si="429"/>
        <v>1</v>
      </c>
      <c r="H869" s="14"/>
      <c r="I869" s="15"/>
      <c r="J869" s="15"/>
      <c r="K869" s="15"/>
      <c r="L869" s="15"/>
      <c r="M869" s="24">
        <f t="shared" si="430"/>
        <v>0</v>
      </c>
      <c r="N869" s="15"/>
      <c r="O869" s="55"/>
      <c r="P869" s="55"/>
      <c r="Q869" s="55"/>
      <c r="R869" s="67"/>
      <c r="S869" s="24">
        <f t="shared" si="431"/>
        <v>0</v>
      </c>
      <c r="T869" s="15"/>
      <c r="U869" s="55"/>
      <c r="V869" s="55"/>
      <c r="W869" s="55"/>
      <c r="X869" s="67"/>
      <c r="Y869" s="24">
        <f t="shared" si="432"/>
        <v>0</v>
      </c>
      <c r="Z869" s="24">
        <f t="shared" si="433"/>
        <v>1</v>
      </c>
      <c r="AA869" s="93">
        <v>44693</v>
      </c>
      <c r="AB869" s="23" t="s">
        <v>511</v>
      </c>
      <c r="AC869" s="41">
        <v>3</v>
      </c>
      <c r="AD869" s="42"/>
      <c r="AE869" s="42"/>
      <c r="AF869" s="42">
        <v>3</v>
      </c>
      <c r="AG869" s="42">
        <v>3</v>
      </c>
      <c r="AH869" s="37">
        <f t="shared" ref="AH869" si="443">SUM(AC869:AG869)</f>
        <v>9</v>
      </c>
      <c r="AI869" s="41"/>
      <c r="AJ869" s="42"/>
      <c r="AK869" s="42">
        <v>3</v>
      </c>
      <c r="AL869" s="42"/>
      <c r="AM869" s="42">
        <v>5</v>
      </c>
      <c r="AN869" s="114">
        <f t="shared" ref="AN869" si="444">SUM(AI869:AM869)</f>
        <v>8</v>
      </c>
      <c r="AO869" s="41">
        <v>3</v>
      </c>
      <c r="AP869" s="53"/>
      <c r="AQ869" s="53"/>
      <c r="AR869" s="53">
        <v>3</v>
      </c>
      <c r="AS869" s="72">
        <v>3</v>
      </c>
      <c r="AT869" s="24">
        <f t="shared" ref="AT869" si="445">SUM(AO869:AS869)</f>
        <v>9</v>
      </c>
      <c r="AU869" s="42"/>
      <c r="AV869" s="53">
        <v>3</v>
      </c>
      <c r="AW869" s="53"/>
      <c r="AX869" s="53">
        <v>3</v>
      </c>
      <c r="AY869" s="72">
        <v>3</v>
      </c>
      <c r="AZ869" s="24">
        <f t="shared" ref="AZ869" si="446">SUM(AU869:AY869)</f>
        <v>9</v>
      </c>
      <c r="BA869" s="24">
        <f t="shared" si="438"/>
        <v>35</v>
      </c>
      <c r="BB869" s="83">
        <v>44699</v>
      </c>
    </row>
    <row r="870" spans="1:55" ht="14.25" x14ac:dyDescent="0.15">
      <c r="A870" s="23" t="s">
        <v>48</v>
      </c>
      <c r="B870" s="41"/>
      <c r="C870" s="42"/>
      <c r="D870" s="42"/>
      <c r="E870" s="42">
        <v>1</v>
      </c>
      <c r="F870" s="42"/>
      <c r="G870" s="43">
        <f t="shared" si="429"/>
        <v>1</v>
      </c>
      <c r="H870" s="41"/>
      <c r="I870" s="42"/>
      <c r="J870" s="42">
        <v>1</v>
      </c>
      <c r="K870" s="42"/>
      <c r="L870" s="42">
        <v>1</v>
      </c>
      <c r="M870" s="43">
        <f t="shared" si="430"/>
        <v>2</v>
      </c>
      <c r="N870" s="42"/>
      <c r="O870" s="53"/>
      <c r="P870" s="53"/>
      <c r="Q870" s="53"/>
      <c r="R870" s="72"/>
      <c r="S870" s="24">
        <f t="shared" si="431"/>
        <v>0</v>
      </c>
      <c r="T870" s="42"/>
      <c r="U870" s="53"/>
      <c r="V870" s="53"/>
      <c r="W870" s="53"/>
      <c r="X870" s="72"/>
      <c r="Y870" s="24">
        <f t="shared" si="432"/>
        <v>0</v>
      </c>
      <c r="Z870" s="24">
        <f t="shared" si="433"/>
        <v>3</v>
      </c>
      <c r="AA870" s="93">
        <v>44697</v>
      </c>
      <c r="AB870" s="23" t="s">
        <v>512</v>
      </c>
      <c r="AC870" s="41"/>
      <c r="AD870" s="42"/>
      <c r="AE870" s="42"/>
      <c r="AF870" s="42"/>
      <c r="AG870" s="42"/>
      <c r="AH870" s="43">
        <f t="shared" si="439"/>
        <v>0</v>
      </c>
      <c r="AI870" s="41"/>
      <c r="AJ870" s="42"/>
      <c r="AK870" s="42"/>
      <c r="AL870" s="42"/>
      <c r="AM870" s="42">
        <v>5</v>
      </c>
      <c r="AN870" s="43">
        <f t="shared" si="440"/>
        <v>5</v>
      </c>
      <c r="AO870" s="42"/>
      <c r="AP870" s="53"/>
      <c r="AQ870" s="53"/>
      <c r="AR870" s="53"/>
      <c r="AS870" s="72"/>
      <c r="AT870" s="24">
        <f t="shared" si="441"/>
        <v>0</v>
      </c>
      <c r="AU870" s="42"/>
      <c r="AV870" s="53"/>
      <c r="AW870" s="53"/>
      <c r="AX870" s="53"/>
      <c r="AY870" s="72"/>
      <c r="AZ870" s="24">
        <f t="shared" si="442"/>
        <v>0</v>
      </c>
      <c r="BA870" s="24">
        <f t="shared" si="438"/>
        <v>5</v>
      </c>
      <c r="BB870" s="83">
        <v>44707</v>
      </c>
    </row>
    <row r="871" spans="1:55" ht="14.25" x14ac:dyDescent="0.15">
      <c r="A871" s="23" t="s">
        <v>438</v>
      </c>
      <c r="B871" s="41"/>
      <c r="C871" s="42"/>
      <c r="D871" s="42"/>
      <c r="E871" s="42"/>
      <c r="F871" s="42">
        <v>1</v>
      </c>
      <c r="G871" s="43">
        <f t="shared" si="429"/>
        <v>1</v>
      </c>
      <c r="H871" s="41"/>
      <c r="I871" s="42"/>
      <c r="J871" s="42"/>
      <c r="K871" s="42"/>
      <c r="L871" s="42"/>
      <c r="M871" s="43">
        <f t="shared" si="430"/>
        <v>0</v>
      </c>
      <c r="N871" s="42"/>
      <c r="O871" s="53"/>
      <c r="P871" s="53"/>
      <c r="Q871" s="53"/>
      <c r="R871" s="72"/>
      <c r="S871" s="24">
        <f t="shared" si="431"/>
        <v>0</v>
      </c>
      <c r="T871" s="42"/>
      <c r="U871" s="53"/>
      <c r="V871" s="53"/>
      <c r="W871" s="53"/>
      <c r="X871" s="72"/>
      <c r="Y871" s="24">
        <f t="shared" si="432"/>
        <v>0</v>
      </c>
      <c r="Z871" s="24">
        <f t="shared" si="433"/>
        <v>1</v>
      </c>
      <c r="AA871" s="83">
        <v>44698</v>
      </c>
      <c r="AB871" s="23" t="s">
        <v>438</v>
      </c>
      <c r="AC871" s="41"/>
      <c r="AD871" s="42"/>
      <c r="AE871" s="42"/>
      <c r="AF871" s="42"/>
      <c r="AG871" s="42"/>
      <c r="AH871" s="43">
        <f t="shared" si="439"/>
        <v>0</v>
      </c>
      <c r="AI871" s="41"/>
      <c r="AJ871" s="42"/>
      <c r="AK871" s="42"/>
      <c r="AL871" s="42"/>
      <c r="AM871" s="42"/>
      <c r="AN871" s="43">
        <f t="shared" si="440"/>
        <v>0</v>
      </c>
      <c r="AO871" s="42"/>
      <c r="AP871" s="53"/>
      <c r="AQ871" s="53"/>
      <c r="AR871" s="53"/>
      <c r="AS871" s="72"/>
      <c r="AT871" s="24">
        <f t="shared" si="441"/>
        <v>0</v>
      </c>
      <c r="AU871" s="42"/>
      <c r="AV871" s="53"/>
      <c r="AW871" s="53"/>
      <c r="AX871" s="53">
        <v>2</v>
      </c>
      <c r="AY871" s="72">
        <v>1</v>
      </c>
      <c r="AZ871" s="24">
        <f t="shared" si="442"/>
        <v>3</v>
      </c>
      <c r="BA871" s="24">
        <f t="shared" si="438"/>
        <v>3</v>
      </c>
      <c r="BB871" s="83">
        <v>44705</v>
      </c>
    </row>
    <row r="872" spans="1:55" ht="14.25" x14ac:dyDescent="0.15">
      <c r="A872" s="23" t="s">
        <v>48</v>
      </c>
      <c r="B872" s="171"/>
      <c r="C872" s="42">
        <v>1</v>
      </c>
      <c r="D872" s="42"/>
      <c r="E872" s="42"/>
      <c r="F872" s="42"/>
      <c r="G872" s="43">
        <f t="shared" si="429"/>
        <v>1</v>
      </c>
      <c r="H872" s="41"/>
      <c r="I872" s="42"/>
      <c r="J872" s="42"/>
      <c r="K872" s="42"/>
      <c r="L872" s="42"/>
      <c r="M872" s="43">
        <f t="shared" si="430"/>
        <v>0</v>
      </c>
      <c r="N872" s="42"/>
      <c r="O872" s="53"/>
      <c r="P872" s="53"/>
      <c r="Q872" s="53"/>
      <c r="R872" s="72"/>
      <c r="S872" s="24">
        <f t="shared" si="431"/>
        <v>0</v>
      </c>
      <c r="T872" s="42"/>
      <c r="U872" s="53"/>
      <c r="V872" s="53">
        <v>1</v>
      </c>
      <c r="W872" s="53"/>
      <c r="X872" s="72"/>
      <c r="Y872" s="24">
        <f t="shared" si="432"/>
        <v>1</v>
      </c>
      <c r="Z872" s="24">
        <f t="shared" si="433"/>
        <v>2</v>
      </c>
      <c r="AA872" s="93">
        <v>44699</v>
      </c>
      <c r="AB872" s="23" t="s">
        <v>513</v>
      </c>
      <c r="AC872" s="41"/>
      <c r="AD872" s="42"/>
      <c r="AE872" s="42"/>
      <c r="AF872" s="42"/>
      <c r="AG872" s="42"/>
      <c r="AH872" s="37">
        <f t="shared" si="439"/>
        <v>0</v>
      </c>
      <c r="AI872" s="41"/>
      <c r="AJ872" s="42"/>
      <c r="AK872" s="42"/>
      <c r="AL872" s="42"/>
      <c r="AM872" s="42">
        <v>5</v>
      </c>
      <c r="AN872" s="114">
        <f t="shared" si="440"/>
        <v>5</v>
      </c>
      <c r="AO872" s="41"/>
      <c r="AP872" s="53"/>
      <c r="AQ872" s="53"/>
      <c r="AR872" s="53"/>
      <c r="AS872" s="72"/>
      <c r="AT872" s="24">
        <f t="shared" si="441"/>
        <v>0</v>
      </c>
      <c r="AU872" s="42"/>
      <c r="AV872" s="53"/>
      <c r="AW872" s="53"/>
      <c r="AX872" s="53"/>
      <c r="AY872" s="72"/>
      <c r="AZ872" s="24">
        <f t="shared" si="442"/>
        <v>0</v>
      </c>
      <c r="BA872" s="24">
        <f t="shared" si="438"/>
        <v>5</v>
      </c>
      <c r="BB872" s="83">
        <v>44711</v>
      </c>
    </row>
    <row r="873" spans="1:55" ht="14.25" x14ac:dyDescent="0.15">
      <c r="A873" s="23" t="s">
        <v>438</v>
      </c>
      <c r="B873" s="41"/>
      <c r="C873" s="42"/>
      <c r="D873" s="42"/>
      <c r="E873" s="42"/>
      <c r="F873" s="42"/>
      <c r="G873" s="43">
        <f t="shared" si="429"/>
        <v>0</v>
      </c>
      <c r="H873" s="41"/>
      <c r="I873" s="42"/>
      <c r="J873" s="42"/>
      <c r="K873" s="42"/>
      <c r="L873" s="42"/>
      <c r="M873" s="43">
        <f t="shared" si="430"/>
        <v>0</v>
      </c>
      <c r="N873" s="42"/>
      <c r="O873" s="53"/>
      <c r="P873" s="53"/>
      <c r="Q873" s="53"/>
      <c r="R873" s="72">
        <v>1</v>
      </c>
      <c r="S873" s="24">
        <f t="shared" si="431"/>
        <v>1</v>
      </c>
      <c r="T873" s="42"/>
      <c r="U873" s="53"/>
      <c r="V873" s="53"/>
      <c r="W873" s="53"/>
      <c r="X873" s="72"/>
      <c r="Y873" s="24">
        <f t="shared" si="432"/>
        <v>0</v>
      </c>
      <c r="Z873" s="24">
        <f t="shared" si="433"/>
        <v>1</v>
      </c>
      <c r="AA873" s="83">
        <v>44701</v>
      </c>
      <c r="AB873" s="23" t="s">
        <v>514</v>
      </c>
      <c r="AC873" s="41"/>
      <c r="AD873" s="42">
        <v>5</v>
      </c>
      <c r="AE873" s="42"/>
      <c r="AF873" s="42"/>
      <c r="AG873" s="42"/>
      <c r="AH873" s="43">
        <f t="shared" si="439"/>
        <v>5</v>
      </c>
      <c r="AI873" s="41"/>
      <c r="AJ873" s="42">
        <v>5</v>
      </c>
      <c r="AK873" s="42"/>
      <c r="AL873" s="42"/>
      <c r="AM873" s="42"/>
      <c r="AN873" s="43">
        <f t="shared" si="440"/>
        <v>5</v>
      </c>
      <c r="AO873" s="42"/>
      <c r="AP873" s="53"/>
      <c r="AQ873" s="53"/>
      <c r="AR873" s="53"/>
      <c r="AS873" s="72"/>
      <c r="AT873" s="24">
        <f t="shared" si="441"/>
        <v>0</v>
      </c>
      <c r="AU873" s="42"/>
      <c r="AV873" s="53"/>
      <c r="AW873" s="53"/>
      <c r="AX873" s="53"/>
      <c r="AY873" s="72"/>
      <c r="AZ873" s="24">
        <f t="shared" si="442"/>
        <v>0</v>
      </c>
      <c r="BA873" s="24">
        <f t="shared" si="438"/>
        <v>10</v>
      </c>
      <c r="BB873" s="83">
        <v>44714</v>
      </c>
    </row>
    <row r="874" spans="1:55" ht="14.25" x14ac:dyDescent="0.15">
      <c r="A874" s="23" t="s">
        <v>48</v>
      </c>
      <c r="B874" s="41"/>
      <c r="C874" s="42"/>
      <c r="D874" s="42"/>
      <c r="E874" s="42"/>
      <c r="F874" s="42"/>
      <c r="G874" s="43">
        <f t="shared" si="429"/>
        <v>0</v>
      </c>
      <c r="H874" s="41"/>
      <c r="I874" s="42"/>
      <c r="J874" s="42"/>
      <c r="K874" s="42"/>
      <c r="L874" s="42">
        <v>1</v>
      </c>
      <c r="M874" s="43">
        <f t="shared" si="430"/>
        <v>1</v>
      </c>
      <c r="N874" s="42"/>
      <c r="O874" s="53"/>
      <c r="P874" s="53"/>
      <c r="Q874" s="53"/>
      <c r="R874" s="72"/>
      <c r="S874" s="24">
        <f t="shared" si="431"/>
        <v>0</v>
      </c>
      <c r="T874" s="42"/>
      <c r="U874" s="53"/>
      <c r="V874" s="53"/>
      <c r="W874" s="53"/>
      <c r="X874" s="72"/>
      <c r="Y874" s="24">
        <f t="shared" si="432"/>
        <v>0</v>
      </c>
      <c r="Z874" s="24">
        <f t="shared" si="433"/>
        <v>1</v>
      </c>
      <c r="AA874" s="83">
        <v>44702</v>
      </c>
      <c r="AB874" s="23" t="s">
        <v>126</v>
      </c>
      <c r="AC874" s="38"/>
      <c r="AD874" s="39"/>
      <c r="AE874" s="39"/>
      <c r="AF874" s="39"/>
      <c r="AG874" s="39"/>
      <c r="AH874" s="43">
        <f t="shared" si="439"/>
        <v>0</v>
      </c>
      <c r="AI874" s="38"/>
      <c r="AJ874" s="39"/>
      <c r="AK874" s="39"/>
      <c r="AL874" s="39"/>
      <c r="AM874" s="39"/>
      <c r="AN874" s="43">
        <f t="shared" si="440"/>
        <v>0</v>
      </c>
      <c r="AO874" s="42"/>
      <c r="AP874" s="53"/>
      <c r="AQ874" s="53"/>
      <c r="AR874" s="53"/>
      <c r="AS874" s="72"/>
      <c r="AT874" s="24">
        <f t="shared" si="441"/>
        <v>0</v>
      </c>
      <c r="AU874" s="42"/>
      <c r="AV874" s="53"/>
      <c r="AW874" s="53">
        <v>3</v>
      </c>
      <c r="AX874" s="53"/>
      <c r="AY874" s="72"/>
      <c r="AZ874" s="24">
        <f t="shared" si="442"/>
        <v>3</v>
      </c>
      <c r="BA874" s="24">
        <f t="shared" si="438"/>
        <v>3</v>
      </c>
      <c r="BB874" s="83">
        <v>44713</v>
      </c>
    </row>
    <row r="875" spans="1:55" ht="14.25" x14ac:dyDescent="0.15">
      <c r="A875" s="23" t="s">
        <v>48</v>
      </c>
      <c r="B875" s="41"/>
      <c r="C875" s="42"/>
      <c r="D875" s="42"/>
      <c r="E875" s="42"/>
      <c r="F875" s="42"/>
      <c r="G875" s="43">
        <f t="shared" si="429"/>
        <v>0</v>
      </c>
      <c r="H875" s="41"/>
      <c r="I875" s="42"/>
      <c r="J875" s="42"/>
      <c r="K875" s="42"/>
      <c r="L875" s="42"/>
      <c r="M875" s="43">
        <f t="shared" si="430"/>
        <v>0</v>
      </c>
      <c r="N875" s="42"/>
      <c r="O875" s="53">
        <v>1</v>
      </c>
      <c r="P875" s="53"/>
      <c r="Q875" s="53"/>
      <c r="R875" s="72"/>
      <c r="S875" s="24">
        <f t="shared" si="431"/>
        <v>1</v>
      </c>
      <c r="T875" s="42"/>
      <c r="U875" s="53"/>
      <c r="V875" s="53"/>
      <c r="W875" s="53"/>
      <c r="X875" s="72"/>
      <c r="Y875" s="24">
        <f t="shared" si="432"/>
        <v>0</v>
      </c>
      <c r="Z875" s="24">
        <f t="shared" si="433"/>
        <v>1</v>
      </c>
      <c r="AA875" s="93">
        <v>44704</v>
      </c>
      <c r="AB875" s="23" t="s">
        <v>126</v>
      </c>
      <c r="AC875" s="14"/>
      <c r="AD875" s="15">
        <v>3</v>
      </c>
      <c r="AE875" s="15"/>
      <c r="AF875" s="15">
        <v>3</v>
      </c>
      <c r="AG875" s="15"/>
      <c r="AH875" s="24">
        <f t="shared" si="439"/>
        <v>6</v>
      </c>
      <c r="AI875" s="14"/>
      <c r="AJ875" s="15"/>
      <c r="AK875" s="15"/>
      <c r="AL875" s="15"/>
      <c r="AM875" s="15"/>
      <c r="AN875" s="24">
        <f t="shared" si="440"/>
        <v>0</v>
      </c>
      <c r="AO875" s="15"/>
      <c r="AP875" s="55"/>
      <c r="AQ875" s="55"/>
      <c r="AR875" s="55"/>
      <c r="AS875" s="67"/>
      <c r="AT875" s="24">
        <f t="shared" si="441"/>
        <v>0</v>
      </c>
      <c r="AU875" s="15"/>
      <c r="AV875" s="55"/>
      <c r="AW875" s="55"/>
      <c r="AX875" s="55"/>
      <c r="AY875" s="67"/>
      <c r="AZ875" s="24">
        <f t="shared" si="442"/>
        <v>0</v>
      </c>
      <c r="BA875" s="24">
        <f t="shared" si="438"/>
        <v>6</v>
      </c>
      <c r="BB875" s="83">
        <v>44715</v>
      </c>
    </row>
    <row r="876" spans="1:55" ht="14.25" x14ac:dyDescent="0.15">
      <c r="A876" s="23" t="s">
        <v>438</v>
      </c>
      <c r="B876" s="41"/>
      <c r="C876" s="42"/>
      <c r="D876" s="42"/>
      <c r="E876" s="42"/>
      <c r="F876" s="42"/>
      <c r="G876" s="43">
        <f t="shared" si="429"/>
        <v>0</v>
      </c>
      <c r="H876" s="41"/>
      <c r="I876" s="42"/>
      <c r="J876" s="42"/>
      <c r="K876" s="42"/>
      <c r="L876" s="42"/>
      <c r="M876" s="43">
        <f t="shared" si="430"/>
        <v>0</v>
      </c>
      <c r="N876" s="42"/>
      <c r="O876" s="53"/>
      <c r="P876" s="53"/>
      <c r="Q876" s="53"/>
      <c r="R876" s="72"/>
      <c r="S876" s="24">
        <f t="shared" si="431"/>
        <v>0</v>
      </c>
      <c r="T876" s="42"/>
      <c r="U876" s="53"/>
      <c r="V876" s="53">
        <v>1</v>
      </c>
      <c r="W876" s="53"/>
      <c r="X876" s="72"/>
      <c r="Y876" s="24">
        <f t="shared" si="432"/>
        <v>1</v>
      </c>
      <c r="Z876" s="24">
        <f t="shared" si="433"/>
        <v>1</v>
      </c>
      <c r="AA876" s="83">
        <v>44706</v>
      </c>
      <c r="AB876" s="23" t="s">
        <v>516</v>
      </c>
      <c r="AC876" s="41"/>
      <c r="AD876" s="42"/>
      <c r="AE876" s="42"/>
      <c r="AF876" s="42"/>
      <c r="AG876" s="42">
        <v>5</v>
      </c>
      <c r="AH876" s="43">
        <f t="shared" si="439"/>
        <v>5</v>
      </c>
      <c r="AI876" s="41"/>
      <c r="AJ876" s="42"/>
      <c r="AK876" s="42"/>
      <c r="AL876" s="42"/>
      <c r="AM876" s="42"/>
      <c r="AN876" s="43">
        <f t="shared" si="440"/>
        <v>0</v>
      </c>
      <c r="AO876" s="42"/>
      <c r="AP876" s="53"/>
      <c r="AQ876" s="53"/>
      <c r="AR876" s="53"/>
      <c r="AS876" s="72"/>
      <c r="AT876" s="24">
        <f t="shared" si="441"/>
        <v>0</v>
      </c>
      <c r="AU876" s="42"/>
      <c r="AV876" s="53"/>
      <c r="AW876" s="53"/>
      <c r="AX876" s="53"/>
      <c r="AY876" s="72"/>
      <c r="AZ876" s="24">
        <f t="shared" si="442"/>
        <v>0</v>
      </c>
      <c r="BA876" s="24">
        <f t="shared" si="438"/>
        <v>5</v>
      </c>
      <c r="BB876" s="83">
        <v>44722</v>
      </c>
    </row>
    <row r="877" spans="1:55" ht="14.25" x14ac:dyDescent="0.15">
      <c r="A877" s="23" t="s">
        <v>48</v>
      </c>
      <c r="B877" s="44"/>
      <c r="C877" s="45"/>
      <c r="D877" s="45"/>
      <c r="E877" s="45"/>
      <c r="F877" s="45"/>
      <c r="G877" s="43">
        <f t="shared" si="429"/>
        <v>0</v>
      </c>
      <c r="H877" s="44"/>
      <c r="I877" s="45">
        <v>1</v>
      </c>
      <c r="J877" s="45"/>
      <c r="K877" s="45"/>
      <c r="L877" s="45"/>
      <c r="M877" s="43">
        <f t="shared" si="430"/>
        <v>1</v>
      </c>
      <c r="N877" s="42"/>
      <c r="O877" s="53"/>
      <c r="P877" s="53"/>
      <c r="Q877" s="53"/>
      <c r="R877" s="72"/>
      <c r="S877" s="24">
        <f t="shared" si="431"/>
        <v>0</v>
      </c>
      <c r="T877" s="42"/>
      <c r="U877" s="53"/>
      <c r="V877" s="53"/>
      <c r="W877" s="53"/>
      <c r="X877" s="72"/>
      <c r="Y877" s="24">
        <f t="shared" si="432"/>
        <v>0</v>
      </c>
      <c r="Z877" s="24">
        <f t="shared" si="433"/>
        <v>1</v>
      </c>
      <c r="AA877" s="93">
        <v>44705</v>
      </c>
      <c r="AB877" s="23" t="s">
        <v>519</v>
      </c>
      <c r="AC877" s="44"/>
      <c r="AD877" s="45">
        <v>5</v>
      </c>
      <c r="AE877" s="45"/>
      <c r="AF877" s="45">
        <v>5</v>
      </c>
      <c r="AG877" s="45"/>
      <c r="AH877" s="43">
        <f t="shared" si="439"/>
        <v>10</v>
      </c>
      <c r="AI877" s="44"/>
      <c r="AJ877" s="45"/>
      <c r="AK877" s="45"/>
      <c r="AL877" s="45"/>
      <c r="AM877" s="45"/>
      <c r="AN877" s="43">
        <f t="shared" si="440"/>
        <v>0</v>
      </c>
      <c r="AO877" s="42"/>
      <c r="AP877" s="53"/>
      <c r="AQ877" s="53"/>
      <c r="AR877" s="53"/>
      <c r="AS877" s="72"/>
      <c r="AT877" s="24">
        <f t="shared" si="441"/>
        <v>0</v>
      </c>
      <c r="AU877" s="42"/>
      <c r="AV877" s="53"/>
      <c r="AW877" s="53"/>
      <c r="AX877" s="53"/>
      <c r="AY877" s="72"/>
      <c r="AZ877" s="24">
        <f t="shared" si="442"/>
        <v>0</v>
      </c>
      <c r="BA877" s="24">
        <f t="shared" si="438"/>
        <v>10</v>
      </c>
      <c r="BB877" s="83">
        <v>44725</v>
      </c>
    </row>
    <row r="878" spans="1:55" ht="14.25" x14ac:dyDescent="0.15">
      <c r="A878" s="23" t="s">
        <v>438</v>
      </c>
      <c r="B878" s="41"/>
      <c r="C878" s="42"/>
      <c r="D878" s="42"/>
      <c r="E878" s="42">
        <v>1</v>
      </c>
      <c r="F878" s="42"/>
      <c r="G878" s="43">
        <f t="shared" si="429"/>
        <v>1</v>
      </c>
      <c r="H878" s="41"/>
      <c r="I878" s="42"/>
      <c r="J878" s="42"/>
      <c r="K878" s="42"/>
      <c r="L878" s="42"/>
      <c r="M878" s="43">
        <f t="shared" si="430"/>
        <v>0</v>
      </c>
      <c r="N878" s="42"/>
      <c r="O878" s="53"/>
      <c r="P878" s="53"/>
      <c r="Q878" s="53"/>
      <c r="R878" s="72"/>
      <c r="S878" s="24">
        <f t="shared" si="431"/>
        <v>0</v>
      </c>
      <c r="T878" s="42"/>
      <c r="U878" s="53"/>
      <c r="V878" s="53"/>
      <c r="W878" s="53"/>
      <c r="X878" s="72"/>
      <c r="Y878" s="24">
        <f t="shared" si="432"/>
        <v>0</v>
      </c>
      <c r="Z878" s="24">
        <f t="shared" si="433"/>
        <v>1</v>
      </c>
      <c r="AA878" s="83">
        <v>44707</v>
      </c>
      <c r="AB878" s="23" t="s">
        <v>438</v>
      </c>
      <c r="AC878" s="14"/>
      <c r="AD878" s="15"/>
      <c r="AE878" s="15"/>
      <c r="AF878" s="15"/>
      <c r="AG878" s="15">
        <v>1</v>
      </c>
      <c r="AH878" s="24">
        <f>SUM(AC878:AG878)</f>
        <v>1</v>
      </c>
      <c r="AI878" s="14"/>
      <c r="AJ878" s="15"/>
      <c r="AK878" s="15"/>
      <c r="AL878" s="15"/>
      <c r="AM878" s="15"/>
      <c r="AN878" s="24">
        <f>SUM(AI878:AM878)</f>
        <v>0</v>
      </c>
      <c r="AO878" s="15"/>
      <c r="AP878" s="55"/>
      <c r="AQ878" s="55"/>
      <c r="AR878" s="55"/>
      <c r="AS878" s="67"/>
      <c r="AT878" s="24">
        <f>SUM(AO878:AS878)</f>
        <v>0</v>
      </c>
      <c r="AU878" s="15"/>
      <c r="AV878" s="55"/>
      <c r="AW878" s="55"/>
      <c r="AX878" s="55"/>
      <c r="AY878" s="67">
        <v>1</v>
      </c>
      <c r="AZ878" s="24">
        <f>SUM(AU878:AY878)</f>
        <v>1</v>
      </c>
      <c r="BA878" s="24">
        <f>AH878+AN878+AT878+AZ878</f>
        <v>2</v>
      </c>
      <c r="BB878" s="83">
        <v>44725</v>
      </c>
    </row>
    <row r="879" spans="1:55" ht="14.25" x14ac:dyDescent="0.15">
      <c r="A879" s="23" t="s">
        <v>48</v>
      </c>
      <c r="B879" s="41"/>
      <c r="C879" s="42"/>
      <c r="D879" s="42"/>
      <c r="E879" s="42"/>
      <c r="F879" s="42"/>
      <c r="G879" s="43">
        <f t="shared" si="429"/>
        <v>0</v>
      </c>
      <c r="H879" s="41"/>
      <c r="I879" s="42"/>
      <c r="J879" s="42">
        <v>1</v>
      </c>
      <c r="K879" s="42"/>
      <c r="L879" s="42"/>
      <c r="M879" s="43">
        <f t="shared" si="430"/>
        <v>1</v>
      </c>
      <c r="N879" s="42"/>
      <c r="O879" s="53"/>
      <c r="P879" s="53"/>
      <c r="Q879" s="53"/>
      <c r="R879" s="72"/>
      <c r="S879" s="24">
        <f t="shared" si="431"/>
        <v>0</v>
      </c>
      <c r="T879" s="42"/>
      <c r="U879" s="53"/>
      <c r="V879" s="53"/>
      <c r="W879" s="53"/>
      <c r="X879" s="72"/>
      <c r="Y879" s="24">
        <f t="shared" si="432"/>
        <v>0</v>
      </c>
      <c r="Z879" s="24">
        <f t="shared" si="433"/>
        <v>1</v>
      </c>
      <c r="AA879" s="93">
        <v>44708</v>
      </c>
      <c r="AB879" s="23" t="s">
        <v>520</v>
      </c>
      <c r="AC879" s="41"/>
      <c r="AD879" s="42"/>
      <c r="AE879" s="42"/>
      <c r="AF879" s="42"/>
      <c r="AG879" s="42"/>
      <c r="AH879" s="43">
        <f t="shared" ref="AH879:AH888" si="447">SUM(AC879:AG879)</f>
        <v>0</v>
      </c>
      <c r="AI879" s="41">
        <v>5</v>
      </c>
      <c r="AJ879" s="42"/>
      <c r="AK879" s="42">
        <v>5</v>
      </c>
      <c r="AL879" s="42">
        <v>5</v>
      </c>
      <c r="AM879" s="42"/>
      <c r="AN879" s="43">
        <f t="shared" ref="AN879:AN888" si="448">SUM(AI879:AM879)</f>
        <v>15</v>
      </c>
      <c r="AO879" s="42"/>
      <c r="AP879" s="53"/>
      <c r="AQ879" s="53"/>
      <c r="AR879" s="53"/>
      <c r="AS879" s="72"/>
      <c r="AT879" s="24">
        <f t="shared" ref="AT879:AT888" si="449">SUM(AO879:AS879)</f>
        <v>0</v>
      </c>
      <c r="AU879" s="42"/>
      <c r="AV879" s="53"/>
      <c r="AW879" s="53"/>
      <c r="AX879" s="53"/>
      <c r="AY879" s="72"/>
      <c r="AZ879" s="24">
        <f t="shared" ref="AZ879:AZ888" si="450">SUM(AU879:AY879)</f>
        <v>0</v>
      </c>
      <c r="BA879" s="24">
        <f t="shared" ref="BA879:BA890" si="451">AH879+AN879+AT879+AZ879</f>
        <v>15</v>
      </c>
      <c r="BB879" s="83">
        <v>44728</v>
      </c>
      <c r="BC879" s="111"/>
    </row>
    <row r="880" spans="1:55" ht="14.25" x14ac:dyDescent="0.15">
      <c r="A880" s="23" t="s">
        <v>438</v>
      </c>
      <c r="B880" s="41">
        <v>1</v>
      </c>
      <c r="C880" s="42"/>
      <c r="D880" s="42"/>
      <c r="E880" s="42"/>
      <c r="F880" s="42"/>
      <c r="G880" s="43">
        <f t="shared" si="429"/>
        <v>1</v>
      </c>
      <c r="H880" s="41"/>
      <c r="I880" s="42"/>
      <c r="J880" s="42"/>
      <c r="K880" s="42"/>
      <c r="L880" s="42"/>
      <c r="M880" s="43">
        <f t="shared" si="430"/>
        <v>0</v>
      </c>
      <c r="N880" s="42"/>
      <c r="O880" s="53"/>
      <c r="P880" s="53"/>
      <c r="Q880" s="53"/>
      <c r="R880" s="72"/>
      <c r="S880" s="24">
        <f t="shared" si="431"/>
        <v>0</v>
      </c>
      <c r="T880" s="42"/>
      <c r="U880" s="53"/>
      <c r="V880" s="53"/>
      <c r="W880" s="53"/>
      <c r="X880" s="72"/>
      <c r="Y880" s="24">
        <f t="shared" si="432"/>
        <v>0</v>
      </c>
      <c r="Z880" s="24">
        <f t="shared" si="433"/>
        <v>1</v>
      </c>
      <c r="AA880" s="83">
        <v>44712</v>
      </c>
      <c r="AB880" s="23" t="s">
        <v>438</v>
      </c>
      <c r="AC880" s="14"/>
      <c r="AD880" s="15"/>
      <c r="AE880" s="15"/>
      <c r="AF880" s="15">
        <v>1</v>
      </c>
      <c r="AG880" s="15"/>
      <c r="AH880" s="24">
        <f t="shared" si="447"/>
        <v>1</v>
      </c>
      <c r="AI880" s="14"/>
      <c r="AJ880" s="15"/>
      <c r="AK880" s="15"/>
      <c r="AL880" s="15"/>
      <c r="AM880" s="15"/>
      <c r="AN880" s="185">
        <f t="shared" si="448"/>
        <v>0</v>
      </c>
      <c r="AO880" s="14">
        <v>1</v>
      </c>
      <c r="AP880" s="55"/>
      <c r="AQ880" s="55"/>
      <c r="AR880" s="55"/>
      <c r="AS880" s="67"/>
      <c r="AT880" s="24">
        <f t="shared" si="449"/>
        <v>1</v>
      </c>
      <c r="AU880" s="15"/>
      <c r="AV880" s="55"/>
      <c r="AW880" s="55">
        <v>1</v>
      </c>
      <c r="AX880" s="55"/>
      <c r="AY880" s="67">
        <v>1</v>
      </c>
      <c r="AZ880" s="24">
        <f t="shared" si="450"/>
        <v>2</v>
      </c>
      <c r="BA880" s="24">
        <f t="shared" si="451"/>
        <v>4</v>
      </c>
      <c r="BB880" s="83">
        <v>44726</v>
      </c>
    </row>
    <row r="881" spans="1:54" ht="14.25" x14ac:dyDescent="0.15">
      <c r="A881" s="23" t="s">
        <v>438</v>
      </c>
      <c r="B881" s="38"/>
      <c r="C881" s="39"/>
      <c r="D881" s="39"/>
      <c r="E881" s="39">
        <v>1</v>
      </c>
      <c r="F881" s="39"/>
      <c r="G881" s="37">
        <f t="shared" si="429"/>
        <v>1</v>
      </c>
      <c r="H881" s="38"/>
      <c r="I881" s="39"/>
      <c r="J881" s="39"/>
      <c r="K881" s="39"/>
      <c r="L881" s="39"/>
      <c r="M881" s="37">
        <f t="shared" si="430"/>
        <v>0</v>
      </c>
      <c r="N881" s="42"/>
      <c r="O881" s="53"/>
      <c r="P881" s="53"/>
      <c r="Q881" s="53"/>
      <c r="R881" s="72"/>
      <c r="S881" s="24">
        <f t="shared" si="431"/>
        <v>0</v>
      </c>
      <c r="T881" s="42"/>
      <c r="U881" s="53"/>
      <c r="V881" s="53">
        <v>1</v>
      </c>
      <c r="W881" s="53"/>
      <c r="X881" s="72"/>
      <c r="Y881" s="24">
        <f t="shared" si="432"/>
        <v>1</v>
      </c>
      <c r="Z881" s="24">
        <f t="shared" si="433"/>
        <v>2</v>
      </c>
      <c r="AA881" s="83">
        <v>44713</v>
      </c>
      <c r="AB881" s="23" t="s">
        <v>523</v>
      </c>
      <c r="AC881" s="38">
        <v>5</v>
      </c>
      <c r="AD881" s="39"/>
      <c r="AE881" s="39"/>
      <c r="AF881" s="39"/>
      <c r="AG881" s="39">
        <v>5</v>
      </c>
      <c r="AH881" s="37">
        <f t="shared" si="447"/>
        <v>10</v>
      </c>
      <c r="AI881" s="38"/>
      <c r="AJ881" s="39"/>
      <c r="AK881" s="39"/>
      <c r="AL881" s="39"/>
      <c r="AM881" s="39"/>
      <c r="AN881" s="37">
        <f t="shared" si="448"/>
        <v>0</v>
      </c>
      <c r="AO881" s="39"/>
      <c r="AP881" s="56"/>
      <c r="AQ881" s="56"/>
      <c r="AR881" s="56"/>
      <c r="AS881" s="71"/>
      <c r="AT881" s="16">
        <f t="shared" si="449"/>
        <v>0</v>
      </c>
      <c r="AU881" s="39"/>
      <c r="AV881" s="56"/>
      <c r="AW881" s="56"/>
      <c r="AX881" s="56"/>
      <c r="AY881" s="71"/>
      <c r="AZ881" s="16">
        <f t="shared" si="450"/>
        <v>0</v>
      </c>
      <c r="BA881" s="16">
        <f t="shared" si="451"/>
        <v>10</v>
      </c>
      <c r="BB881" s="83">
        <v>44732</v>
      </c>
    </row>
    <row r="882" spans="1:54" ht="14.25" x14ac:dyDescent="0.15">
      <c r="A882" s="23" t="s">
        <v>48</v>
      </c>
      <c r="B882" s="41"/>
      <c r="C882" s="42"/>
      <c r="D882" s="42"/>
      <c r="E882" s="42">
        <v>1</v>
      </c>
      <c r="F882" s="42"/>
      <c r="G882" s="43">
        <f t="shared" si="429"/>
        <v>1</v>
      </c>
      <c r="H882" s="41"/>
      <c r="I882" s="42"/>
      <c r="J882" s="42"/>
      <c r="K882" s="42"/>
      <c r="L882" s="42"/>
      <c r="M882" s="43">
        <f t="shared" si="430"/>
        <v>0</v>
      </c>
      <c r="N882" s="42"/>
      <c r="O882" s="53"/>
      <c r="P882" s="53"/>
      <c r="Q882" s="53"/>
      <c r="R882" s="72"/>
      <c r="S882" s="24">
        <f t="shared" si="431"/>
        <v>0</v>
      </c>
      <c r="T882" s="42"/>
      <c r="U882" s="53"/>
      <c r="V882" s="53"/>
      <c r="W882" s="53"/>
      <c r="X882" s="72"/>
      <c r="Y882" s="24">
        <f t="shared" si="432"/>
        <v>0</v>
      </c>
      <c r="Z882" s="24">
        <f t="shared" si="433"/>
        <v>1</v>
      </c>
      <c r="AA882" s="93">
        <v>44712</v>
      </c>
      <c r="AB882" s="23" t="s">
        <v>438</v>
      </c>
      <c r="AC882" s="41"/>
      <c r="AD882" s="42"/>
      <c r="AE882" s="42"/>
      <c r="AF882" s="42">
        <v>1</v>
      </c>
      <c r="AG882" s="42"/>
      <c r="AH882" s="43">
        <f t="shared" si="447"/>
        <v>1</v>
      </c>
      <c r="AI882" s="41"/>
      <c r="AJ882" s="42"/>
      <c r="AK882" s="42"/>
      <c r="AL882" s="42"/>
      <c r="AM882" s="42"/>
      <c r="AN882" s="43">
        <f t="shared" si="448"/>
        <v>0</v>
      </c>
      <c r="AO882" s="42"/>
      <c r="AP882" s="53"/>
      <c r="AQ882" s="53"/>
      <c r="AR882" s="53"/>
      <c r="AS882" s="72"/>
      <c r="AT882" s="24">
        <f t="shared" si="449"/>
        <v>0</v>
      </c>
      <c r="AU882" s="42"/>
      <c r="AV882" s="53"/>
      <c r="AW882" s="53"/>
      <c r="AX882" s="53"/>
      <c r="AY882" s="72"/>
      <c r="AZ882" s="24">
        <f t="shared" si="450"/>
        <v>0</v>
      </c>
      <c r="BA882" s="24">
        <f t="shared" si="451"/>
        <v>1</v>
      </c>
      <c r="BB882" s="83">
        <v>44728</v>
      </c>
    </row>
    <row r="883" spans="1:54" ht="14.25" x14ac:dyDescent="0.15">
      <c r="A883" s="23" t="s">
        <v>515</v>
      </c>
      <c r="B883" s="41"/>
      <c r="C883" s="42">
        <v>-3</v>
      </c>
      <c r="D883" s="42"/>
      <c r="E883" s="42">
        <v>-3</v>
      </c>
      <c r="F883" s="42"/>
      <c r="G883" s="43">
        <f t="shared" ref="G883" si="452">SUM(B883:F883)</f>
        <v>-6</v>
      </c>
      <c r="H883" s="41"/>
      <c r="I883" s="42"/>
      <c r="J883" s="42"/>
      <c r="K883" s="42"/>
      <c r="L883" s="42"/>
      <c r="M883" s="43">
        <f t="shared" si="430"/>
        <v>0</v>
      </c>
      <c r="N883" s="42"/>
      <c r="O883" s="53"/>
      <c r="P883" s="53"/>
      <c r="Q883" s="53"/>
      <c r="R883" s="72"/>
      <c r="S883" s="24">
        <f t="shared" si="431"/>
        <v>0</v>
      </c>
      <c r="T883" s="42"/>
      <c r="U883" s="53"/>
      <c r="V883" s="53"/>
      <c r="W883" s="53"/>
      <c r="X883" s="72"/>
      <c r="Y883" s="24">
        <f t="shared" si="432"/>
        <v>0</v>
      </c>
      <c r="Z883" s="24">
        <f t="shared" si="433"/>
        <v>-6</v>
      </c>
      <c r="AA883" s="83">
        <v>44715</v>
      </c>
      <c r="AB883" s="23" t="s">
        <v>438</v>
      </c>
      <c r="AC883" s="41"/>
      <c r="AD883" s="42"/>
      <c r="AE883" s="42">
        <v>1</v>
      </c>
      <c r="AF883" s="42">
        <v>1</v>
      </c>
      <c r="AG883" s="42"/>
      <c r="AH883" s="43">
        <f t="shared" si="447"/>
        <v>2</v>
      </c>
      <c r="AI883" s="41"/>
      <c r="AJ883" s="42"/>
      <c r="AK883" s="42"/>
      <c r="AL883" s="42"/>
      <c r="AM883" s="42"/>
      <c r="AN883" s="43">
        <f t="shared" si="448"/>
        <v>0</v>
      </c>
      <c r="AO883" s="42"/>
      <c r="AP883" s="53"/>
      <c r="AQ883" s="53"/>
      <c r="AR883" s="53">
        <v>1</v>
      </c>
      <c r="AS883" s="72"/>
      <c r="AT883" s="24">
        <f t="shared" si="449"/>
        <v>1</v>
      </c>
      <c r="AU883" s="42"/>
      <c r="AV883" s="53"/>
      <c r="AW883" s="53"/>
      <c r="AX883" s="53"/>
      <c r="AY883" s="72"/>
      <c r="AZ883" s="24">
        <f t="shared" si="450"/>
        <v>0</v>
      </c>
      <c r="BA883" s="24">
        <f t="shared" si="451"/>
        <v>3</v>
      </c>
      <c r="BB883" s="83">
        <v>44729</v>
      </c>
    </row>
    <row r="884" spans="1:54" ht="14.25" x14ac:dyDescent="0.15">
      <c r="A884" s="23" t="s">
        <v>438</v>
      </c>
      <c r="B884" s="14">
        <v>1</v>
      </c>
      <c r="C884" s="15">
        <v>1</v>
      </c>
      <c r="D884" s="15">
        <v>1</v>
      </c>
      <c r="E884" s="15"/>
      <c r="F884" s="15"/>
      <c r="G884" s="24">
        <f t="shared" ref="G884:G893" si="453">SUM(B884:F884)</f>
        <v>3</v>
      </c>
      <c r="H884" s="14"/>
      <c r="I884" s="15"/>
      <c r="J884" s="15"/>
      <c r="K884" s="15"/>
      <c r="L884" s="15"/>
      <c r="M884" s="24">
        <f t="shared" si="430"/>
        <v>0</v>
      </c>
      <c r="N884" s="15"/>
      <c r="O884" s="55"/>
      <c r="P884" s="55"/>
      <c r="Q884" s="55"/>
      <c r="R884" s="67"/>
      <c r="S884" s="24">
        <f t="shared" si="431"/>
        <v>0</v>
      </c>
      <c r="T884" s="15"/>
      <c r="U884" s="55"/>
      <c r="V884" s="55"/>
      <c r="W884" s="55"/>
      <c r="X884" s="67"/>
      <c r="Y884" s="24">
        <f t="shared" si="432"/>
        <v>0</v>
      </c>
      <c r="Z884" s="24">
        <f t="shared" si="433"/>
        <v>3</v>
      </c>
      <c r="AA884" s="83">
        <v>44718</v>
      </c>
      <c r="AB884" s="23" t="s">
        <v>126</v>
      </c>
      <c r="AC884" s="14"/>
      <c r="AD884" s="15"/>
      <c r="AE884" s="15"/>
      <c r="AF884" s="15">
        <v>3</v>
      </c>
      <c r="AG884" s="15"/>
      <c r="AH884" s="24">
        <f t="shared" si="447"/>
        <v>3</v>
      </c>
      <c r="AI884" s="14"/>
      <c r="AJ884" s="15"/>
      <c r="AK884" s="15"/>
      <c r="AL884" s="15"/>
      <c r="AM884" s="15"/>
      <c r="AN884" s="24">
        <f t="shared" si="448"/>
        <v>0</v>
      </c>
      <c r="AO884" s="15"/>
      <c r="AP884" s="55"/>
      <c r="AQ884" s="55"/>
      <c r="AR884" s="55"/>
      <c r="AS884" s="67"/>
      <c r="AT884" s="24">
        <f t="shared" si="449"/>
        <v>0</v>
      </c>
      <c r="AU884" s="15"/>
      <c r="AV884" s="55"/>
      <c r="AW884" s="55"/>
      <c r="AX884" s="55"/>
      <c r="AY884" s="67"/>
      <c r="AZ884" s="24">
        <f t="shared" si="450"/>
        <v>0</v>
      </c>
      <c r="BA884" s="24">
        <f t="shared" si="451"/>
        <v>3</v>
      </c>
      <c r="BB884" s="83">
        <v>44729</v>
      </c>
    </row>
    <row r="885" spans="1:54" ht="14.25" x14ac:dyDescent="0.15">
      <c r="A885" s="23" t="s">
        <v>48</v>
      </c>
      <c r="B885" s="14"/>
      <c r="C885" s="15"/>
      <c r="D885" s="15"/>
      <c r="E885" s="15"/>
      <c r="F885" s="15"/>
      <c r="G885" s="24">
        <f t="shared" si="453"/>
        <v>0</v>
      </c>
      <c r="H885" s="14">
        <v>1</v>
      </c>
      <c r="I885" s="15">
        <v>1</v>
      </c>
      <c r="J885" s="15"/>
      <c r="K885" s="15"/>
      <c r="L885" s="15"/>
      <c r="M885" s="24">
        <f t="shared" si="430"/>
        <v>2</v>
      </c>
      <c r="N885" s="15"/>
      <c r="O885" s="55"/>
      <c r="P885" s="55"/>
      <c r="Q885" s="55"/>
      <c r="R885" s="67"/>
      <c r="S885" s="24">
        <f t="shared" si="431"/>
        <v>0</v>
      </c>
      <c r="T885" s="15"/>
      <c r="U885" s="55"/>
      <c r="V885" s="55"/>
      <c r="W885" s="55"/>
      <c r="X885" s="67"/>
      <c r="Y885" s="24">
        <f t="shared" si="432"/>
        <v>0</v>
      </c>
      <c r="Z885" s="24">
        <f t="shared" si="433"/>
        <v>2</v>
      </c>
      <c r="AA885" s="93">
        <v>44718</v>
      </c>
      <c r="AB885" s="23" t="s">
        <v>438</v>
      </c>
      <c r="AC885" s="14"/>
      <c r="AD885" s="15"/>
      <c r="AE885" s="15"/>
      <c r="AF885" s="15">
        <v>1</v>
      </c>
      <c r="AG885" s="15"/>
      <c r="AH885" s="24">
        <f t="shared" si="447"/>
        <v>1</v>
      </c>
      <c r="AI885" s="14"/>
      <c r="AJ885" s="15"/>
      <c r="AK885" s="15"/>
      <c r="AL885" s="15"/>
      <c r="AM885" s="15"/>
      <c r="AN885" s="24">
        <f t="shared" si="448"/>
        <v>0</v>
      </c>
      <c r="AO885" s="15"/>
      <c r="AP885" s="55"/>
      <c r="AQ885" s="55"/>
      <c r="AR885" s="55"/>
      <c r="AS885" s="67"/>
      <c r="AT885" s="24">
        <f t="shared" si="449"/>
        <v>0</v>
      </c>
      <c r="AU885" s="15"/>
      <c r="AV885" s="55"/>
      <c r="AW885" s="55"/>
      <c r="AX885" s="55"/>
      <c r="AY885" s="67"/>
      <c r="AZ885" s="24">
        <f t="shared" si="450"/>
        <v>0</v>
      </c>
      <c r="BA885" s="24">
        <f t="shared" si="451"/>
        <v>1</v>
      </c>
      <c r="BB885" s="83">
        <v>44732</v>
      </c>
    </row>
    <row r="886" spans="1:54" ht="14.25" x14ac:dyDescent="0.15">
      <c r="A886" s="23" t="s">
        <v>48</v>
      </c>
      <c r="B886" s="14"/>
      <c r="C886" s="15"/>
      <c r="D886" s="15"/>
      <c r="E886" s="15">
        <v>1</v>
      </c>
      <c r="F886" s="15"/>
      <c r="G886" s="24">
        <f t="shared" si="453"/>
        <v>1</v>
      </c>
      <c r="H886" s="14"/>
      <c r="I886" s="15"/>
      <c r="J886" s="15"/>
      <c r="K886" s="15"/>
      <c r="L886" s="15"/>
      <c r="M886" s="24">
        <f t="shared" si="430"/>
        <v>0</v>
      </c>
      <c r="N886" s="15"/>
      <c r="O886" s="55"/>
      <c r="P886" s="55"/>
      <c r="Q886" s="55"/>
      <c r="R886" s="67">
        <v>1</v>
      </c>
      <c r="S886" s="24">
        <f t="shared" si="431"/>
        <v>1</v>
      </c>
      <c r="T886" s="15"/>
      <c r="U886" s="55"/>
      <c r="V886" s="55"/>
      <c r="W886" s="55"/>
      <c r="X886" s="67"/>
      <c r="Y886" s="24">
        <f t="shared" si="432"/>
        <v>0</v>
      </c>
      <c r="Z886" s="24">
        <f t="shared" si="433"/>
        <v>2</v>
      </c>
      <c r="AA886" s="93">
        <v>44719</v>
      </c>
      <c r="AB886" s="23" t="s">
        <v>438</v>
      </c>
      <c r="AC886" s="14"/>
      <c r="AD886" s="15"/>
      <c r="AE886" s="15">
        <v>1</v>
      </c>
      <c r="AF886" s="15"/>
      <c r="AG886" s="15"/>
      <c r="AH886" s="24">
        <f t="shared" si="447"/>
        <v>1</v>
      </c>
      <c r="AI886" s="14"/>
      <c r="AJ886" s="15"/>
      <c r="AK886" s="15"/>
      <c r="AL886" s="15"/>
      <c r="AM886" s="15"/>
      <c r="AN886" s="24">
        <f t="shared" si="448"/>
        <v>0</v>
      </c>
      <c r="AO886" s="15"/>
      <c r="AP886" s="55"/>
      <c r="AQ886" s="55"/>
      <c r="AR886" s="55"/>
      <c r="AS886" s="67"/>
      <c r="AT886" s="24">
        <f t="shared" si="449"/>
        <v>0</v>
      </c>
      <c r="AU886" s="15"/>
      <c r="AV886" s="55"/>
      <c r="AW886" s="55"/>
      <c r="AX886" s="55"/>
      <c r="AY886" s="67"/>
      <c r="AZ886" s="24">
        <f t="shared" si="450"/>
        <v>0</v>
      </c>
      <c r="BA886" s="24">
        <f t="shared" si="451"/>
        <v>1</v>
      </c>
      <c r="BB886" s="83">
        <v>44733</v>
      </c>
    </row>
    <row r="887" spans="1:54" ht="14.25" x14ac:dyDescent="0.15">
      <c r="A887" s="23" t="s">
        <v>438</v>
      </c>
      <c r="B887" s="14"/>
      <c r="C887" s="15"/>
      <c r="D887" s="15"/>
      <c r="E887" s="15">
        <v>1</v>
      </c>
      <c r="F887" s="15"/>
      <c r="G887" s="24">
        <f t="shared" si="453"/>
        <v>1</v>
      </c>
      <c r="H887" s="14"/>
      <c r="I887" s="15"/>
      <c r="J887" s="15"/>
      <c r="K887" s="15"/>
      <c r="L887" s="15"/>
      <c r="M887" s="24">
        <f t="shared" si="430"/>
        <v>0</v>
      </c>
      <c r="N887" s="15">
        <v>1</v>
      </c>
      <c r="O887" s="55"/>
      <c r="P887" s="55"/>
      <c r="Q887" s="55"/>
      <c r="R887" s="67"/>
      <c r="S887" s="24">
        <f t="shared" si="431"/>
        <v>1</v>
      </c>
      <c r="T887" s="15"/>
      <c r="U887" s="55">
        <v>1</v>
      </c>
      <c r="V887" s="55"/>
      <c r="W887" s="55"/>
      <c r="X887" s="67"/>
      <c r="Y887" s="24">
        <f t="shared" si="432"/>
        <v>1</v>
      </c>
      <c r="Z887" s="24">
        <f t="shared" si="433"/>
        <v>3</v>
      </c>
      <c r="AA887" s="83">
        <v>44722</v>
      </c>
      <c r="AB887" s="23" t="s">
        <v>438</v>
      </c>
      <c r="AC887" s="14"/>
      <c r="AD887" s="15"/>
      <c r="AE887" s="15"/>
      <c r="AF887" s="15"/>
      <c r="AG887" s="15"/>
      <c r="AH887" s="24">
        <f t="shared" si="447"/>
        <v>0</v>
      </c>
      <c r="AI887" s="14"/>
      <c r="AJ887" s="15"/>
      <c r="AK887" s="15"/>
      <c r="AL887" s="15"/>
      <c r="AM887" s="15"/>
      <c r="AN887" s="24">
        <f t="shared" si="448"/>
        <v>0</v>
      </c>
      <c r="AO887" s="15"/>
      <c r="AP887" s="55"/>
      <c r="AQ887" s="55"/>
      <c r="AR887" s="55"/>
      <c r="AS887" s="67"/>
      <c r="AT887" s="24">
        <f t="shared" si="449"/>
        <v>0</v>
      </c>
      <c r="AU887" s="15"/>
      <c r="AV887" s="55"/>
      <c r="AW887" s="55">
        <v>1</v>
      </c>
      <c r="AX887" s="55"/>
      <c r="AY887" s="67"/>
      <c r="AZ887" s="24">
        <f t="shared" si="450"/>
        <v>1</v>
      </c>
      <c r="BA887" s="24">
        <f t="shared" si="451"/>
        <v>1</v>
      </c>
      <c r="BB887" s="83">
        <v>44734</v>
      </c>
    </row>
    <row r="888" spans="1:54" ht="14.25" x14ac:dyDescent="0.15">
      <c r="A888" s="23" t="s">
        <v>77</v>
      </c>
      <c r="B888" s="14"/>
      <c r="C888" s="15"/>
      <c r="D888" s="15"/>
      <c r="E888" s="15"/>
      <c r="F888" s="15"/>
      <c r="G888" s="24">
        <f t="shared" si="453"/>
        <v>0</v>
      </c>
      <c r="H888" s="14"/>
      <c r="I888" s="15"/>
      <c r="J888" s="15"/>
      <c r="K888" s="15"/>
      <c r="L888" s="15"/>
      <c r="M888" s="24">
        <f t="shared" si="430"/>
        <v>0</v>
      </c>
      <c r="N888" s="15"/>
      <c r="O888" s="55"/>
      <c r="P888" s="55"/>
      <c r="Q888" s="55"/>
      <c r="R888" s="67">
        <v>-1</v>
      </c>
      <c r="S888" s="24">
        <f t="shared" si="431"/>
        <v>-1</v>
      </c>
      <c r="T888" s="15"/>
      <c r="U888" s="55"/>
      <c r="V888" s="55"/>
      <c r="W888" s="55"/>
      <c r="X888" s="67"/>
      <c r="Y888" s="24">
        <f t="shared" si="432"/>
        <v>0</v>
      </c>
      <c r="Z888" s="24">
        <f t="shared" si="433"/>
        <v>-1</v>
      </c>
      <c r="AA888" s="93">
        <v>44722</v>
      </c>
      <c r="AB888" s="23" t="s">
        <v>438</v>
      </c>
      <c r="AC888" s="14"/>
      <c r="AD888" s="15">
        <v>1</v>
      </c>
      <c r="AE888" s="15">
        <v>1</v>
      </c>
      <c r="AF888" s="15"/>
      <c r="AG888" s="15"/>
      <c r="AH888" s="24">
        <f t="shared" si="447"/>
        <v>2</v>
      </c>
      <c r="AI888" s="14"/>
      <c r="AJ888" s="15"/>
      <c r="AK888" s="15"/>
      <c r="AL888" s="15"/>
      <c r="AM888" s="15"/>
      <c r="AN888" s="24">
        <f t="shared" si="448"/>
        <v>0</v>
      </c>
      <c r="AO888" s="15"/>
      <c r="AP888" s="55"/>
      <c r="AQ888" s="55"/>
      <c r="AR888" s="55">
        <v>1</v>
      </c>
      <c r="AS888" s="67"/>
      <c r="AT888" s="24">
        <f t="shared" si="449"/>
        <v>1</v>
      </c>
      <c r="AU888" s="15"/>
      <c r="AV888" s="55"/>
      <c r="AW888" s="55"/>
      <c r="AX888" s="55"/>
      <c r="AY888" s="67"/>
      <c r="AZ888" s="24">
        <f t="shared" si="450"/>
        <v>0</v>
      </c>
      <c r="BA888" s="24">
        <f t="shared" si="451"/>
        <v>3</v>
      </c>
      <c r="BB888" s="83">
        <v>44735</v>
      </c>
    </row>
    <row r="889" spans="1:54" ht="14.25" x14ac:dyDescent="0.15">
      <c r="A889" s="23" t="s">
        <v>48</v>
      </c>
      <c r="B889" s="44"/>
      <c r="C889" s="45"/>
      <c r="D889" s="45"/>
      <c r="E889" s="45">
        <v>1</v>
      </c>
      <c r="F889" s="45"/>
      <c r="G889" s="43">
        <f t="shared" si="453"/>
        <v>1</v>
      </c>
      <c r="H889" s="44"/>
      <c r="I889" s="45"/>
      <c r="J889" s="45"/>
      <c r="K889" s="45"/>
      <c r="L889" s="45"/>
      <c r="M889" s="43">
        <f t="shared" si="430"/>
        <v>0</v>
      </c>
      <c r="N889" s="42"/>
      <c r="O889" s="53"/>
      <c r="P889" s="53"/>
      <c r="Q889" s="53"/>
      <c r="R889" s="72"/>
      <c r="S889" s="24">
        <f t="shared" si="431"/>
        <v>0</v>
      </c>
      <c r="T889" s="42"/>
      <c r="U889" s="53"/>
      <c r="V889" s="53"/>
      <c r="W889" s="53"/>
      <c r="X889" s="72"/>
      <c r="Y889" s="24">
        <f t="shared" si="432"/>
        <v>0</v>
      </c>
      <c r="Z889" s="24">
        <f t="shared" si="433"/>
        <v>1</v>
      </c>
      <c r="AA889" s="93">
        <v>44722</v>
      </c>
      <c r="AB889" s="23" t="s">
        <v>438</v>
      </c>
      <c r="AC889" s="14"/>
      <c r="AD889" s="15"/>
      <c r="AE889" s="15">
        <v>1</v>
      </c>
      <c r="AF889" s="15"/>
      <c r="AG889" s="15"/>
      <c r="AH889" s="24">
        <f t="shared" ref="AH889:AH890" si="454">SUM(AC889:AG889)</f>
        <v>1</v>
      </c>
      <c r="AI889" s="14"/>
      <c r="AJ889" s="15"/>
      <c r="AK889" s="15"/>
      <c r="AL889" s="15"/>
      <c r="AM889" s="15"/>
      <c r="AN889" s="24">
        <f t="shared" ref="AN889:AN890" si="455">SUM(AI889:AM889)</f>
        <v>0</v>
      </c>
      <c r="AO889" s="15"/>
      <c r="AP889" s="55"/>
      <c r="AQ889" s="55"/>
      <c r="AR889" s="55"/>
      <c r="AS889" s="67"/>
      <c r="AT889" s="24">
        <f t="shared" ref="AT889:AT890" si="456">SUM(AO889:AS889)</f>
        <v>0</v>
      </c>
      <c r="AU889" s="15"/>
      <c r="AV889" s="55"/>
      <c r="AW889" s="55"/>
      <c r="AX889" s="55"/>
      <c r="AY889" s="67"/>
      <c r="AZ889" s="24">
        <f t="shared" ref="AZ889:AZ890" si="457">SUM(AU889:AY889)</f>
        <v>0</v>
      </c>
      <c r="BA889" s="24">
        <f t="shared" si="451"/>
        <v>1</v>
      </c>
      <c r="BB889" s="83">
        <v>44736</v>
      </c>
    </row>
    <row r="890" spans="1:54" ht="14.25" x14ac:dyDescent="0.15">
      <c r="A890" s="23" t="s">
        <v>48</v>
      </c>
      <c r="B890" s="41"/>
      <c r="C890" s="42"/>
      <c r="D890" s="42"/>
      <c r="E890" s="42"/>
      <c r="F890" s="42">
        <v>1</v>
      </c>
      <c r="G890" s="43">
        <f t="shared" si="453"/>
        <v>1</v>
      </c>
      <c r="H890" s="41"/>
      <c r="I890" s="42"/>
      <c r="J890" s="42"/>
      <c r="K890" s="42"/>
      <c r="L890" s="42"/>
      <c r="M890" s="43">
        <f t="shared" si="430"/>
        <v>0</v>
      </c>
      <c r="N890" s="42"/>
      <c r="O890" s="53"/>
      <c r="P890" s="53"/>
      <c r="Q890" s="53"/>
      <c r="R890" s="72"/>
      <c r="S890" s="24">
        <f t="shared" si="431"/>
        <v>0</v>
      </c>
      <c r="T890" s="42"/>
      <c r="U890" s="53"/>
      <c r="V890" s="53"/>
      <c r="W890" s="53"/>
      <c r="X890" s="72"/>
      <c r="Y890" s="24">
        <f t="shared" si="432"/>
        <v>0</v>
      </c>
      <c r="Z890" s="24">
        <f t="shared" si="433"/>
        <v>1</v>
      </c>
      <c r="AA890" s="93">
        <v>44725</v>
      </c>
      <c r="AB890" s="23" t="s">
        <v>524</v>
      </c>
      <c r="AC890" s="14"/>
      <c r="AD890" s="15"/>
      <c r="AE890" s="15"/>
      <c r="AF890" s="15">
        <v>5</v>
      </c>
      <c r="AG890" s="15"/>
      <c r="AH890" s="24">
        <f t="shared" si="454"/>
        <v>5</v>
      </c>
      <c r="AI890" s="14"/>
      <c r="AJ890" s="15"/>
      <c r="AK890" s="15"/>
      <c r="AL890" s="15"/>
      <c r="AM890" s="15"/>
      <c r="AN890" s="24">
        <f t="shared" si="455"/>
        <v>0</v>
      </c>
      <c r="AO890" s="15"/>
      <c r="AP890" s="55"/>
      <c r="AQ890" s="55"/>
      <c r="AR890" s="55"/>
      <c r="AS890" s="67"/>
      <c r="AT890" s="24">
        <f t="shared" si="456"/>
        <v>0</v>
      </c>
      <c r="AU890" s="15"/>
      <c r="AV890" s="55"/>
      <c r="AW890" s="55"/>
      <c r="AX890" s="55"/>
      <c r="AY890" s="67"/>
      <c r="AZ890" s="24">
        <f t="shared" si="457"/>
        <v>0</v>
      </c>
      <c r="BA890" s="24">
        <f t="shared" si="451"/>
        <v>5</v>
      </c>
      <c r="BB890" s="83">
        <v>44742</v>
      </c>
    </row>
    <row r="891" spans="1:54" ht="14.25" x14ac:dyDescent="0.15">
      <c r="A891" s="23" t="s">
        <v>181</v>
      </c>
      <c r="B891" s="41"/>
      <c r="C891" s="42"/>
      <c r="D891" s="42"/>
      <c r="E891" s="42">
        <v>-3</v>
      </c>
      <c r="F891" s="42"/>
      <c r="G891" s="43">
        <f t="shared" si="453"/>
        <v>-3</v>
      </c>
      <c r="H891" s="41"/>
      <c r="I891" s="42"/>
      <c r="J891" s="42"/>
      <c r="K891" s="42"/>
      <c r="L891" s="42"/>
      <c r="M891" s="43">
        <f t="shared" si="430"/>
        <v>0</v>
      </c>
      <c r="N891" s="42"/>
      <c r="O891" s="53"/>
      <c r="P891" s="53"/>
      <c r="Q891" s="53"/>
      <c r="R891" s="72"/>
      <c r="S891" s="24">
        <f t="shared" si="431"/>
        <v>0</v>
      </c>
      <c r="T891" s="42"/>
      <c r="U891" s="53"/>
      <c r="V891" s="53"/>
      <c r="W891" s="53"/>
      <c r="X891" s="72"/>
      <c r="Y891" s="24">
        <f t="shared" si="432"/>
        <v>0</v>
      </c>
      <c r="Z891" s="24">
        <f t="shared" si="433"/>
        <v>-3</v>
      </c>
      <c r="AA891" s="83">
        <v>44729</v>
      </c>
      <c r="AB891" s="23" t="s">
        <v>438</v>
      </c>
      <c r="AC891" s="14"/>
      <c r="AD891" s="15"/>
      <c r="AE891" s="15"/>
      <c r="AF891" s="15"/>
      <c r="AG891" s="15"/>
      <c r="AH891" s="24">
        <f t="shared" ref="AH891:AH892" si="458">SUM(AC891:AG891)</f>
        <v>0</v>
      </c>
      <c r="AI891" s="14"/>
      <c r="AJ891" s="15"/>
      <c r="AK891" s="15"/>
      <c r="AL891" s="15"/>
      <c r="AM891" s="15"/>
      <c r="AN891" s="24">
        <f t="shared" ref="AN891:AN892" si="459">SUM(AI891:AM891)</f>
        <v>0</v>
      </c>
      <c r="AO891" s="15"/>
      <c r="AP891" s="55"/>
      <c r="AQ891" s="55"/>
      <c r="AR891" s="55"/>
      <c r="AS891" s="67"/>
      <c r="AT891" s="24">
        <f t="shared" ref="AT891:AT892" si="460">SUM(AO891:AS891)</f>
        <v>0</v>
      </c>
      <c r="AU891" s="15"/>
      <c r="AV891" s="55"/>
      <c r="AW891" s="55"/>
      <c r="AX891" s="55"/>
      <c r="AY891" s="67">
        <v>1</v>
      </c>
      <c r="AZ891" s="24">
        <f t="shared" ref="AZ891:AZ892" si="461">SUM(AU891:AY891)</f>
        <v>1</v>
      </c>
      <c r="BA891" s="24">
        <f t="shared" ref="BA891:BA892" si="462">AH891+AN891+AT891+AZ891</f>
        <v>1</v>
      </c>
      <c r="BB891" s="83">
        <v>44739</v>
      </c>
    </row>
    <row r="892" spans="1:54" ht="14.25" x14ac:dyDescent="0.15">
      <c r="A892" s="23" t="s">
        <v>48</v>
      </c>
      <c r="B892" s="41"/>
      <c r="C892" s="42"/>
      <c r="D892" s="42"/>
      <c r="E892" s="42"/>
      <c r="F892" s="42"/>
      <c r="G892" s="43">
        <f t="shared" si="453"/>
        <v>0</v>
      </c>
      <c r="H892" s="41"/>
      <c r="I892" s="42"/>
      <c r="J892" s="42"/>
      <c r="K892" s="42"/>
      <c r="L892" s="42">
        <v>1</v>
      </c>
      <c r="M892" s="43">
        <f t="shared" si="430"/>
        <v>1</v>
      </c>
      <c r="N892" s="42"/>
      <c r="O892" s="53"/>
      <c r="P892" s="53"/>
      <c r="Q892" s="53"/>
      <c r="R892" s="72"/>
      <c r="S892" s="24">
        <f>SUM(N892:R892)</f>
        <v>0</v>
      </c>
      <c r="T892" s="42"/>
      <c r="U892" s="53"/>
      <c r="V892" s="53"/>
      <c r="W892" s="53"/>
      <c r="X892" s="72"/>
      <c r="Y892" s="24">
        <f>SUM(T892:X892)</f>
        <v>0</v>
      </c>
      <c r="Z892" s="24">
        <f>G892+M892+S892+Y892</f>
        <v>1</v>
      </c>
      <c r="AA892" s="93">
        <v>44732</v>
      </c>
      <c r="AB892" s="47"/>
      <c r="AC892" s="14"/>
      <c r="AD892" s="15"/>
      <c r="AE892" s="15"/>
      <c r="AF892" s="15"/>
      <c r="AG892" s="15"/>
      <c r="AH892" s="24">
        <f t="shared" si="458"/>
        <v>0</v>
      </c>
      <c r="AI892" s="14"/>
      <c r="AJ892" s="15"/>
      <c r="AK892" s="15"/>
      <c r="AL892" s="15"/>
      <c r="AM892" s="15"/>
      <c r="AN892" s="24">
        <f t="shared" si="459"/>
        <v>0</v>
      </c>
      <c r="AO892" s="15"/>
      <c r="AP892" s="55"/>
      <c r="AQ892" s="55"/>
      <c r="AR892" s="55"/>
      <c r="AS892" s="67"/>
      <c r="AT892" s="24">
        <f t="shared" si="460"/>
        <v>0</v>
      </c>
      <c r="AU892" s="15"/>
      <c r="AV892" s="55"/>
      <c r="AW892" s="55"/>
      <c r="AX892" s="55"/>
      <c r="AY892" s="67"/>
      <c r="AZ892" s="24">
        <f t="shared" si="461"/>
        <v>0</v>
      </c>
      <c r="BA892" s="24">
        <f t="shared" si="462"/>
        <v>0</v>
      </c>
      <c r="BB892" s="128"/>
    </row>
    <row r="893" spans="1:54" ht="15" thickBot="1" x14ac:dyDescent="0.2">
      <c r="A893" s="23" t="s">
        <v>48</v>
      </c>
      <c r="B893" s="44"/>
      <c r="C893" s="45"/>
      <c r="D893" s="45"/>
      <c r="E893" s="45"/>
      <c r="F893" s="45"/>
      <c r="G893" s="43">
        <f t="shared" si="453"/>
        <v>0</v>
      </c>
      <c r="H893" s="44"/>
      <c r="I893" s="45"/>
      <c r="J893" s="45">
        <v>1</v>
      </c>
      <c r="K893" s="45"/>
      <c r="L893" s="45"/>
      <c r="M893" s="112">
        <f t="shared" si="430"/>
        <v>1</v>
      </c>
      <c r="N893" s="45"/>
      <c r="O893" s="78"/>
      <c r="P893" s="78"/>
      <c r="Q893" s="78"/>
      <c r="R893" s="79"/>
      <c r="S893" s="113">
        <f>SUM(N893:R893)</f>
        <v>0</v>
      </c>
      <c r="T893" s="45"/>
      <c r="U893" s="78"/>
      <c r="V893" s="78"/>
      <c r="W893" s="78"/>
      <c r="X893" s="79"/>
      <c r="Y893" s="113">
        <f>SUM(T893:X893)</f>
        <v>0</v>
      </c>
      <c r="Z893" s="82">
        <f>G893+M893+S893+Y893</f>
        <v>1</v>
      </c>
      <c r="AA893" s="93">
        <v>44733</v>
      </c>
      <c r="AB893" s="47" t="s">
        <v>509</v>
      </c>
      <c r="AC893" s="14"/>
      <c r="AD893" s="15"/>
      <c r="AE893" s="15"/>
      <c r="AF893" s="15"/>
      <c r="AG893" s="15"/>
      <c r="AH893" s="24">
        <f>SUM(AC893:AG893)</f>
        <v>0</v>
      </c>
      <c r="AI893" s="191"/>
      <c r="AJ893" s="192"/>
      <c r="AK893" s="192"/>
      <c r="AL893" s="192"/>
      <c r="AM893" s="192"/>
      <c r="AN893" s="24">
        <f>SUM(AI893:AM893)</f>
        <v>0</v>
      </c>
      <c r="AO893" s="15"/>
      <c r="AP893" s="55"/>
      <c r="AQ893" s="55"/>
      <c r="AR893" s="55"/>
      <c r="AS893" s="67"/>
      <c r="AT893" s="24">
        <f>SUM(AO893:AS893)</f>
        <v>0</v>
      </c>
      <c r="AU893" s="15"/>
      <c r="AV893" s="55"/>
      <c r="AW893" s="55"/>
      <c r="AX893" s="55"/>
      <c r="AY893" s="67"/>
      <c r="AZ893" s="24">
        <f>SUM(AU893:AY893)</f>
        <v>0</v>
      </c>
      <c r="BA893" s="24">
        <f>AH893+AN893+AT893+AZ893</f>
        <v>0</v>
      </c>
      <c r="BB893" s="128" t="s">
        <v>510</v>
      </c>
    </row>
    <row r="894" spans="1:54" ht="15" thickBot="1" x14ac:dyDescent="0.2">
      <c r="A894" s="9" t="s">
        <v>13</v>
      </c>
      <c r="B894" s="25">
        <f>SUM(B868:B893)</f>
        <v>2</v>
      </c>
      <c r="C894" s="26">
        <f>SUM(C868:C893)</f>
        <v>-1</v>
      </c>
      <c r="D894" s="26">
        <f>SUM(D868:D893)</f>
        <v>1</v>
      </c>
      <c r="E894" s="26">
        <f>SUM(E868:E893)</f>
        <v>1</v>
      </c>
      <c r="F894" s="27">
        <f>SUM(F868:F893)</f>
        <v>3</v>
      </c>
      <c r="G894" s="19">
        <f>SUM(B894:F894)</f>
        <v>6</v>
      </c>
      <c r="H894" s="25">
        <f>SUM(H868:H893)</f>
        <v>1</v>
      </c>
      <c r="I894" s="26">
        <f>SUM(I868:I893)</f>
        <v>2</v>
      </c>
      <c r="J894" s="26">
        <f>SUM(J868:J893)</f>
        <v>3</v>
      </c>
      <c r="K894" s="26">
        <f>SUM(K868:K893)</f>
        <v>0</v>
      </c>
      <c r="L894" s="27">
        <f>SUM(L868:L893)</f>
        <v>3</v>
      </c>
      <c r="M894" s="25">
        <f>SUM(H894:L894)</f>
        <v>9</v>
      </c>
      <c r="N894" s="65">
        <f>SUM(N868:N893)</f>
        <v>1</v>
      </c>
      <c r="O894" s="18">
        <f>SUM(O868:O893)</f>
        <v>1</v>
      </c>
      <c r="P894" s="18">
        <f>SUM(P868:P893)</f>
        <v>0</v>
      </c>
      <c r="Q894" s="18">
        <f>SUM(Q868:Q893)</f>
        <v>0</v>
      </c>
      <c r="R894" s="70">
        <f>SUM(R868:R893)</f>
        <v>1</v>
      </c>
      <c r="S894" s="49">
        <f>SUM(N894:R894)</f>
        <v>3</v>
      </c>
      <c r="T894" s="74">
        <f>SUM(T868:T893)</f>
        <v>0</v>
      </c>
      <c r="U894" s="18">
        <f>SUM(U868:U893)</f>
        <v>1</v>
      </c>
      <c r="V894" s="18">
        <f>SUM(V868:V893)</f>
        <v>4</v>
      </c>
      <c r="W894" s="18">
        <f>SUM(W868:W893)</f>
        <v>0</v>
      </c>
      <c r="X894" s="70">
        <f>SUM(X868:X893)</f>
        <v>0</v>
      </c>
      <c r="Y894" s="49">
        <f>SUM(T894:X894)</f>
        <v>5</v>
      </c>
      <c r="Z894" s="137">
        <f>G894+M894+S894+Y894</f>
        <v>23</v>
      </c>
      <c r="AB894" s="9" t="s">
        <v>13</v>
      </c>
      <c r="AC894" s="25">
        <f>SUM(AC868:AC893)</f>
        <v>8</v>
      </c>
      <c r="AD894" s="26">
        <f>SUM(AD868:AD893)</f>
        <v>14</v>
      </c>
      <c r="AE894" s="26">
        <f>SUM(AE868:AE893)</f>
        <v>4</v>
      </c>
      <c r="AF894" s="26">
        <f>SUM(AF868:AF893)</f>
        <v>23</v>
      </c>
      <c r="AG894" s="27">
        <f>SUM(AG868:AG893)</f>
        <v>14</v>
      </c>
      <c r="AH894" s="19">
        <f>SUM(AC894:AG894)</f>
        <v>63</v>
      </c>
      <c r="AI894" s="25">
        <f>SUM(AI868:AI893)</f>
        <v>10</v>
      </c>
      <c r="AJ894" s="26">
        <f>SUM(AJ868:AJ893)</f>
        <v>5</v>
      </c>
      <c r="AK894" s="26">
        <f>SUM(AK868:AK893)</f>
        <v>13</v>
      </c>
      <c r="AL894" s="26">
        <f>SUM(AL868:AL893)</f>
        <v>5</v>
      </c>
      <c r="AM894" s="27">
        <f>SUM(AM868:AM893)</f>
        <v>15</v>
      </c>
      <c r="AN894" s="25">
        <f>SUM(AI894:AM894)</f>
        <v>48</v>
      </c>
      <c r="AO894" s="65">
        <f>SUM(AO868:AO893)</f>
        <v>4</v>
      </c>
      <c r="AP894" s="18">
        <f>SUM(AP868:AP893)</f>
        <v>0</v>
      </c>
      <c r="AQ894" s="18">
        <f>SUM(AQ868:AQ893)</f>
        <v>0</v>
      </c>
      <c r="AR894" s="18">
        <f>SUM(AR868:AR893)</f>
        <v>5</v>
      </c>
      <c r="AS894" s="70">
        <f>SUM(AS868:AS893)</f>
        <v>3</v>
      </c>
      <c r="AT894" s="49">
        <f>SUM(AO894:AS894)</f>
        <v>12</v>
      </c>
      <c r="AU894" s="74">
        <f>SUM(AU868:AU893)</f>
        <v>0</v>
      </c>
      <c r="AV894" s="18">
        <f>SUM(AV868:AV893)</f>
        <v>3</v>
      </c>
      <c r="AW894" s="18">
        <f>SUM(AW868:AW893)</f>
        <v>5</v>
      </c>
      <c r="AX894" s="18">
        <f>SUM(AX868:AX893)</f>
        <v>5</v>
      </c>
      <c r="AY894" s="70">
        <f>SUM(AY868:AY893)</f>
        <v>7</v>
      </c>
      <c r="AZ894" s="49">
        <f>SUM(AU894:AY894)</f>
        <v>20</v>
      </c>
      <c r="BA894" s="77">
        <f>AH894+AN894+AT894+AZ894</f>
        <v>143</v>
      </c>
    </row>
    <row r="895" spans="1:54" ht="15" thickBot="1" x14ac:dyDescent="0.2">
      <c r="A895" s="32" t="s">
        <v>14</v>
      </c>
      <c r="B895" s="29">
        <f t="shared" ref="B895:Y895" si="463">B867-B894</f>
        <v>4</v>
      </c>
      <c r="C895" s="30">
        <f t="shared" si="463"/>
        <v>5</v>
      </c>
      <c r="D895" s="30">
        <f t="shared" si="463"/>
        <v>3</v>
      </c>
      <c r="E895" s="30">
        <f t="shared" si="463"/>
        <v>5</v>
      </c>
      <c r="F895" s="31">
        <f t="shared" si="463"/>
        <v>3</v>
      </c>
      <c r="G895" s="31">
        <f t="shared" si="463"/>
        <v>20</v>
      </c>
      <c r="H895" s="29">
        <f t="shared" si="463"/>
        <v>3</v>
      </c>
      <c r="I895" s="30">
        <f t="shared" si="463"/>
        <v>3</v>
      </c>
      <c r="J895" s="30">
        <f t="shared" si="463"/>
        <v>3</v>
      </c>
      <c r="K895" s="30">
        <f t="shared" si="463"/>
        <v>4</v>
      </c>
      <c r="L895" s="31">
        <f t="shared" si="463"/>
        <v>4</v>
      </c>
      <c r="M895" s="66">
        <f t="shared" si="463"/>
        <v>17</v>
      </c>
      <c r="N895" s="29">
        <f t="shared" si="463"/>
        <v>5</v>
      </c>
      <c r="O895" s="30">
        <f t="shared" si="463"/>
        <v>4</v>
      </c>
      <c r="P895" s="30">
        <f t="shared" si="463"/>
        <v>7</v>
      </c>
      <c r="Q895" s="30">
        <f t="shared" si="463"/>
        <v>6</v>
      </c>
      <c r="R895" s="66">
        <f t="shared" si="463"/>
        <v>5</v>
      </c>
      <c r="S895" s="33">
        <f t="shared" si="463"/>
        <v>27</v>
      </c>
      <c r="T895" s="75">
        <f t="shared" si="463"/>
        <v>4</v>
      </c>
      <c r="U895" s="30">
        <f t="shared" si="463"/>
        <v>6</v>
      </c>
      <c r="V895" s="30">
        <f t="shared" si="463"/>
        <v>4</v>
      </c>
      <c r="W895" s="30">
        <f t="shared" si="463"/>
        <v>6</v>
      </c>
      <c r="X895" s="66">
        <f t="shared" si="463"/>
        <v>6</v>
      </c>
      <c r="Y895" s="33">
        <f t="shared" si="463"/>
        <v>26</v>
      </c>
      <c r="Z895" s="77">
        <f>G895+M895+S895+Y895</f>
        <v>90</v>
      </c>
      <c r="AB895" s="32" t="s">
        <v>14</v>
      </c>
      <c r="AC895" s="29">
        <f t="shared" ref="AC895:AZ895" si="464">AC867-AC894</f>
        <v>81</v>
      </c>
      <c r="AD895" s="30">
        <f t="shared" si="464"/>
        <v>16</v>
      </c>
      <c r="AE895" s="30">
        <f t="shared" si="464"/>
        <v>50</v>
      </c>
      <c r="AF895" s="30">
        <f t="shared" si="464"/>
        <v>68</v>
      </c>
      <c r="AG895" s="31">
        <f t="shared" si="464"/>
        <v>56</v>
      </c>
      <c r="AH895" s="31">
        <f t="shared" si="464"/>
        <v>271</v>
      </c>
      <c r="AI895" s="29">
        <f t="shared" si="464"/>
        <v>49</v>
      </c>
      <c r="AJ895" s="30">
        <f t="shared" si="464"/>
        <v>47</v>
      </c>
      <c r="AK895" s="30">
        <f t="shared" si="464"/>
        <v>62</v>
      </c>
      <c r="AL895" s="30">
        <f t="shared" si="464"/>
        <v>59</v>
      </c>
      <c r="AM895" s="31">
        <f t="shared" si="464"/>
        <v>68</v>
      </c>
      <c r="AN895" s="66">
        <f t="shared" si="464"/>
        <v>285</v>
      </c>
      <c r="AO895" s="29">
        <f t="shared" si="464"/>
        <v>164</v>
      </c>
      <c r="AP895" s="30">
        <f t="shared" si="464"/>
        <v>141</v>
      </c>
      <c r="AQ895" s="30">
        <f t="shared" si="464"/>
        <v>133</v>
      </c>
      <c r="AR895" s="30">
        <f t="shared" si="464"/>
        <v>143</v>
      </c>
      <c r="AS895" s="66">
        <f t="shared" si="464"/>
        <v>157</v>
      </c>
      <c r="AT895" s="33">
        <f t="shared" si="464"/>
        <v>738</v>
      </c>
      <c r="AU895" s="75">
        <f t="shared" si="464"/>
        <v>119</v>
      </c>
      <c r="AV895" s="30">
        <f t="shared" si="464"/>
        <v>73</v>
      </c>
      <c r="AW895" s="30">
        <f t="shared" si="464"/>
        <v>66</v>
      </c>
      <c r="AX895" s="30">
        <f t="shared" si="464"/>
        <v>67</v>
      </c>
      <c r="AY895" s="66">
        <f t="shared" si="464"/>
        <v>110</v>
      </c>
      <c r="AZ895" s="33">
        <f t="shared" si="464"/>
        <v>435</v>
      </c>
      <c r="BA895" s="77">
        <f>AH895+AN895+AT895+AZ895</f>
        <v>1729</v>
      </c>
    </row>
    <row r="898" spans="1:56" ht="19.5" thickBot="1" x14ac:dyDescent="0.25">
      <c r="A898" s="1" t="s">
        <v>15</v>
      </c>
      <c r="AB898" s="1" t="s">
        <v>16</v>
      </c>
    </row>
    <row r="899" spans="1:56" ht="15" thickBot="1" x14ac:dyDescent="0.2">
      <c r="A899" s="4"/>
      <c r="B899" s="245" t="s">
        <v>17</v>
      </c>
      <c r="C899" s="246"/>
      <c r="D899" s="246"/>
      <c r="E899" s="246"/>
      <c r="F899" s="246"/>
      <c r="G899" s="247"/>
      <c r="H899" s="245" t="s">
        <v>18</v>
      </c>
      <c r="I899" s="246"/>
      <c r="J899" s="246"/>
      <c r="K899" s="246"/>
      <c r="L899" s="246"/>
      <c r="M899" s="247"/>
      <c r="N899" s="248" t="s">
        <v>27</v>
      </c>
      <c r="O899" s="249"/>
      <c r="P899" s="249"/>
      <c r="Q899" s="249"/>
      <c r="R899" s="249"/>
      <c r="S899" s="250"/>
      <c r="T899" s="248" t="s">
        <v>28</v>
      </c>
      <c r="U899" s="249"/>
      <c r="V899" s="249"/>
      <c r="W899" s="249"/>
      <c r="X899" s="249"/>
      <c r="Y899" s="250"/>
      <c r="Z899" s="251" t="s">
        <v>1</v>
      </c>
      <c r="AB899" s="4"/>
      <c r="AC899" s="253" t="s">
        <v>17</v>
      </c>
      <c r="AD899" s="249"/>
      <c r="AE899" s="249"/>
      <c r="AF899" s="249"/>
      <c r="AG899" s="249"/>
      <c r="AH899" s="250"/>
      <c r="AI899" s="248" t="s">
        <v>18</v>
      </c>
      <c r="AJ899" s="249"/>
      <c r="AK899" s="249"/>
      <c r="AL899" s="249"/>
      <c r="AM899" s="249"/>
      <c r="AN899" s="250"/>
      <c r="AO899" s="248" t="s">
        <v>27</v>
      </c>
      <c r="AP899" s="249"/>
      <c r="AQ899" s="249"/>
      <c r="AR899" s="249"/>
      <c r="AS899" s="249"/>
      <c r="AT899" s="250"/>
      <c r="AU899" s="248" t="s">
        <v>28</v>
      </c>
      <c r="AV899" s="249"/>
      <c r="AW899" s="249"/>
      <c r="AX899" s="249"/>
      <c r="AY899" s="249"/>
      <c r="AZ899" s="250"/>
      <c r="BA899" s="243" t="s">
        <v>1</v>
      </c>
    </row>
    <row r="900" spans="1:56" ht="15" thickBot="1" x14ac:dyDescent="0.2">
      <c r="A900" s="9" t="s">
        <v>2</v>
      </c>
      <c r="B900" s="6" t="s">
        <v>3</v>
      </c>
      <c r="C900" s="7" t="s">
        <v>4</v>
      </c>
      <c r="D900" s="7" t="s">
        <v>5</v>
      </c>
      <c r="E900" s="48" t="s">
        <v>20</v>
      </c>
      <c r="F900" s="8" t="s">
        <v>21</v>
      </c>
      <c r="G900" s="5" t="s">
        <v>6</v>
      </c>
      <c r="H900" s="6" t="s">
        <v>3</v>
      </c>
      <c r="I900" s="7" t="s">
        <v>4</v>
      </c>
      <c r="J900" s="7" t="s">
        <v>5</v>
      </c>
      <c r="K900" s="48" t="s">
        <v>20</v>
      </c>
      <c r="L900" s="8" t="s">
        <v>21</v>
      </c>
      <c r="M900" s="5" t="s">
        <v>6</v>
      </c>
      <c r="N900" s="6" t="s">
        <v>3</v>
      </c>
      <c r="O900" s="7" t="s">
        <v>4</v>
      </c>
      <c r="P900" s="7" t="s">
        <v>5</v>
      </c>
      <c r="Q900" s="48" t="s">
        <v>20</v>
      </c>
      <c r="R900" s="8" t="s">
        <v>21</v>
      </c>
      <c r="S900" s="5" t="s">
        <v>6</v>
      </c>
      <c r="T900" s="7" t="s">
        <v>3</v>
      </c>
      <c r="U900" s="7" t="s">
        <v>4</v>
      </c>
      <c r="V900" s="7" t="s">
        <v>5</v>
      </c>
      <c r="W900" s="48" t="s">
        <v>20</v>
      </c>
      <c r="X900" s="109" t="s">
        <v>21</v>
      </c>
      <c r="Y900" s="62" t="s">
        <v>6</v>
      </c>
      <c r="Z900" s="252"/>
      <c r="AB900" s="9" t="s">
        <v>2</v>
      </c>
      <c r="AC900" s="6" t="s">
        <v>3</v>
      </c>
      <c r="AD900" s="7" t="s">
        <v>4</v>
      </c>
      <c r="AE900" s="7" t="s">
        <v>5</v>
      </c>
      <c r="AF900" s="48" t="s">
        <v>20</v>
      </c>
      <c r="AG900" s="8" t="s">
        <v>21</v>
      </c>
      <c r="AH900" s="5" t="s">
        <v>6</v>
      </c>
      <c r="AI900" s="6" t="s">
        <v>3</v>
      </c>
      <c r="AJ900" s="7" t="s">
        <v>4</v>
      </c>
      <c r="AK900" s="7" t="s">
        <v>5</v>
      </c>
      <c r="AL900" s="48" t="s">
        <v>20</v>
      </c>
      <c r="AM900" s="8" t="s">
        <v>21</v>
      </c>
      <c r="AN900" s="5" t="s">
        <v>6</v>
      </c>
      <c r="AO900" s="6" t="s">
        <v>3</v>
      </c>
      <c r="AP900" s="7" t="s">
        <v>4</v>
      </c>
      <c r="AQ900" s="7" t="s">
        <v>5</v>
      </c>
      <c r="AR900" s="48" t="s">
        <v>20</v>
      </c>
      <c r="AS900" s="8" t="s">
        <v>21</v>
      </c>
      <c r="AT900" s="5" t="s">
        <v>6</v>
      </c>
      <c r="AU900" s="7" t="s">
        <v>3</v>
      </c>
      <c r="AV900" s="7" t="s">
        <v>4</v>
      </c>
      <c r="AW900" s="7" t="s">
        <v>5</v>
      </c>
      <c r="AX900" s="48" t="s">
        <v>20</v>
      </c>
      <c r="AY900" s="109" t="s">
        <v>21</v>
      </c>
      <c r="AZ900" s="62" t="s">
        <v>6</v>
      </c>
      <c r="BA900" s="244"/>
    </row>
    <row r="901" spans="1:56" ht="14.25" x14ac:dyDescent="0.15">
      <c r="A901" s="103" t="s">
        <v>43</v>
      </c>
      <c r="B901" s="104">
        <f>B895</f>
        <v>4</v>
      </c>
      <c r="C901" s="105">
        <f>C895</f>
        <v>5</v>
      </c>
      <c r="D901" s="105">
        <f>D895</f>
        <v>3</v>
      </c>
      <c r="E901" s="105">
        <f>E895</f>
        <v>5</v>
      </c>
      <c r="F901" s="105">
        <f>F895</f>
        <v>3</v>
      </c>
      <c r="G901" s="106">
        <f t="shared" ref="G901:G921" si="465">SUM(B901:F901)</f>
        <v>20</v>
      </c>
      <c r="H901" s="104">
        <f>H895</f>
        <v>3</v>
      </c>
      <c r="I901" s="105">
        <f>I895</f>
        <v>3</v>
      </c>
      <c r="J901" s="105">
        <f>J895</f>
        <v>3</v>
      </c>
      <c r="K901" s="105">
        <f>K895</f>
        <v>4</v>
      </c>
      <c r="L901" s="105">
        <f>L895</f>
        <v>4</v>
      </c>
      <c r="M901" s="107">
        <f t="shared" ref="M901:M932" si="466">SUM(H901:L901)</f>
        <v>17</v>
      </c>
      <c r="N901" s="104">
        <f>N895</f>
        <v>5</v>
      </c>
      <c r="O901" s="105">
        <f>O895</f>
        <v>4</v>
      </c>
      <c r="P901" s="105">
        <f>P895</f>
        <v>7</v>
      </c>
      <c r="Q901" s="105">
        <f>Q895</f>
        <v>6</v>
      </c>
      <c r="R901" s="105">
        <f>R895</f>
        <v>5</v>
      </c>
      <c r="S901" s="108">
        <f t="shared" ref="S901:S930" si="467">SUM(N901:R901)</f>
        <v>27</v>
      </c>
      <c r="T901" s="104">
        <f>T895</f>
        <v>4</v>
      </c>
      <c r="U901" s="105">
        <f>U895</f>
        <v>6</v>
      </c>
      <c r="V901" s="105">
        <f>V895</f>
        <v>4</v>
      </c>
      <c r="W901" s="105">
        <f>W895</f>
        <v>6</v>
      </c>
      <c r="X901" s="105">
        <f>X895</f>
        <v>6</v>
      </c>
      <c r="Y901" s="106">
        <f t="shared" ref="Y901:Y930" si="468">SUM(T901:X901)</f>
        <v>26</v>
      </c>
      <c r="Z901" s="106">
        <f t="shared" ref="Z901:Z930" si="469">G901+M901+S901+Y901</f>
        <v>90</v>
      </c>
      <c r="AB901" s="103" t="s">
        <v>43</v>
      </c>
      <c r="AC901" s="104">
        <f>AC895</f>
        <v>81</v>
      </c>
      <c r="AD901" s="105">
        <f>AD895</f>
        <v>16</v>
      </c>
      <c r="AE901" s="105">
        <f>AE895</f>
        <v>50</v>
      </c>
      <c r="AF901" s="105">
        <f>AF895</f>
        <v>68</v>
      </c>
      <c r="AG901" s="105">
        <f>AG895</f>
        <v>56</v>
      </c>
      <c r="AH901" s="106">
        <f>SUM(AC901:AG901)</f>
        <v>271</v>
      </c>
      <c r="AI901" s="104">
        <f>AI895</f>
        <v>49</v>
      </c>
      <c r="AJ901" s="105">
        <f>AJ895</f>
        <v>47</v>
      </c>
      <c r="AK901" s="105">
        <f>AK895</f>
        <v>62</v>
      </c>
      <c r="AL901" s="105">
        <f>AL895</f>
        <v>59</v>
      </c>
      <c r="AM901" s="105">
        <f>AM895</f>
        <v>68</v>
      </c>
      <c r="AN901" s="107">
        <f>SUM(AI901:AM901)</f>
        <v>285</v>
      </c>
      <c r="AO901" s="104">
        <f>AO895</f>
        <v>164</v>
      </c>
      <c r="AP901" s="105">
        <f>AP895</f>
        <v>141</v>
      </c>
      <c r="AQ901" s="105">
        <f>AQ895</f>
        <v>133</v>
      </c>
      <c r="AR901" s="105">
        <f>AR895</f>
        <v>143</v>
      </c>
      <c r="AS901" s="105">
        <f>AS895</f>
        <v>157</v>
      </c>
      <c r="AT901" s="108">
        <f>SUM(AO901:AS901)</f>
        <v>738</v>
      </c>
      <c r="AU901" s="104">
        <f>AU895</f>
        <v>119</v>
      </c>
      <c r="AV901" s="105">
        <f>AV895</f>
        <v>73</v>
      </c>
      <c r="AW901" s="105">
        <f>AW895</f>
        <v>66</v>
      </c>
      <c r="AX901" s="105">
        <f>AX895</f>
        <v>67</v>
      </c>
      <c r="AY901" s="105">
        <f>AY895</f>
        <v>110</v>
      </c>
      <c r="AZ901" s="106">
        <f>SUM(AU901:AY901)</f>
        <v>435</v>
      </c>
      <c r="BA901" s="106">
        <f>AH901+AN901+AT901+AZ901</f>
        <v>1729</v>
      </c>
    </row>
    <row r="902" spans="1:56" ht="14.25" x14ac:dyDescent="0.15">
      <c r="A902" s="10" t="s">
        <v>77</v>
      </c>
      <c r="B902" s="14"/>
      <c r="C902" s="15"/>
      <c r="D902" s="15"/>
      <c r="E902" s="15"/>
      <c r="F902" s="15">
        <v>2</v>
      </c>
      <c r="G902" s="16">
        <f t="shared" si="465"/>
        <v>2</v>
      </c>
      <c r="H902" s="14"/>
      <c r="I902" s="15"/>
      <c r="J902" s="15"/>
      <c r="K902" s="15"/>
      <c r="L902" s="15">
        <v>2</v>
      </c>
      <c r="M902" s="57">
        <f t="shared" si="466"/>
        <v>2</v>
      </c>
      <c r="N902" s="14"/>
      <c r="O902" s="55"/>
      <c r="P902" s="55"/>
      <c r="Q902" s="55"/>
      <c r="R902" s="67"/>
      <c r="S902" s="24">
        <f t="shared" si="467"/>
        <v>0</v>
      </c>
      <c r="T902" s="15"/>
      <c r="U902" s="55"/>
      <c r="V902" s="55">
        <v>1</v>
      </c>
      <c r="W902" s="55"/>
      <c r="X902" s="67"/>
      <c r="Y902" s="24">
        <f t="shared" si="468"/>
        <v>1</v>
      </c>
      <c r="Z902" s="24">
        <f t="shared" si="469"/>
        <v>5</v>
      </c>
      <c r="AA902" s="93">
        <v>44736</v>
      </c>
      <c r="AB902" s="10" t="s">
        <v>181</v>
      </c>
      <c r="AC902" s="41"/>
      <c r="AD902" s="42"/>
      <c r="AE902" s="42"/>
      <c r="AF902" s="42"/>
      <c r="AG902" s="42"/>
      <c r="AH902" s="43">
        <f t="shared" ref="AH902:AH905" si="470">SUM(AC902:AG902)</f>
        <v>0</v>
      </c>
      <c r="AI902" s="41"/>
      <c r="AJ902" s="42"/>
      <c r="AK902" s="42"/>
      <c r="AL902" s="42"/>
      <c r="AM902" s="42"/>
      <c r="AN902" s="43">
        <f t="shared" ref="AN902:AN905" si="471">SUM(AI902:AM902)</f>
        <v>0</v>
      </c>
      <c r="AO902" s="42"/>
      <c r="AP902" s="53"/>
      <c r="AQ902" s="53"/>
      <c r="AR902" s="53"/>
      <c r="AS902" s="72"/>
      <c r="AT902" s="24">
        <f t="shared" ref="AT902:AT905" si="472">SUM(AO902:AS902)</f>
        <v>0</v>
      </c>
      <c r="AU902" s="42"/>
      <c r="AV902" s="53"/>
      <c r="AW902" s="53"/>
      <c r="AX902" s="53"/>
      <c r="AY902" s="72"/>
      <c r="AZ902" s="24">
        <f t="shared" ref="AZ902:AZ905" si="473">SUM(AU902:AY902)</f>
        <v>0</v>
      </c>
      <c r="BA902" s="24">
        <f t="shared" ref="BA902:BA916" si="474">AH902+AN902+AT902+AZ902</f>
        <v>0</v>
      </c>
      <c r="BB902" s="93"/>
    </row>
    <row r="903" spans="1:56" ht="14.25" x14ac:dyDescent="0.15">
      <c r="A903" s="10" t="s">
        <v>181</v>
      </c>
      <c r="B903" s="41"/>
      <c r="C903" s="42"/>
      <c r="D903" s="42">
        <v>2</v>
      </c>
      <c r="E903" s="42"/>
      <c r="F903" s="42">
        <v>2</v>
      </c>
      <c r="G903" s="37">
        <f t="shared" si="465"/>
        <v>4</v>
      </c>
      <c r="H903" s="41">
        <v>2</v>
      </c>
      <c r="I903" s="42">
        <v>2</v>
      </c>
      <c r="J903" s="42">
        <v>2</v>
      </c>
      <c r="K903" s="42"/>
      <c r="L903" s="42"/>
      <c r="M903" s="114">
        <f t="shared" si="466"/>
        <v>6</v>
      </c>
      <c r="N903" s="41"/>
      <c r="O903" s="53"/>
      <c r="P903" s="53"/>
      <c r="Q903" s="53"/>
      <c r="R903" s="72"/>
      <c r="S903" s="24">
        <f t="shared" si="467"/>
        <v>0</v>
      </c>
      <c r="T903" s="42"/>
      <c r="U903" s="53"/>
      <c r="V903" s="53"/>
      <c r="W903" s="53"/>
      <c r="X903" s="72"/>
      <c r="Y903" s="24">
        <f t="shared" si="468"/>
        <v>0</v>
      </c>
      <c r="Z903" s="24">
        <f t="shared" si="469"/>
        <v>10</v>
      </c>
      <c r="AA903" s="83">
        <v>44739</v>
      </c>
      <c r="AB903" s="10" t="s">
        <v>181</v>
      </c>
      <c r="AC903" s="14"/>
      <c r="AD903" s="15"/>
      <c r="AE903" s="15"/>
      <c r="AF903" s="15"/>
      <c r="AG903" s="15"/>
      <c r="AH903" s="43">
        <f t="shared" si="470"/>
        <v>0</v>
      </c>
      <c r="AI903" s="14"/>
      <c r="AJ903" s="15"/>
      <c r="AK903" s="15"/>
      <c r="AL903" s="15"/>
      <c r="AM903" s="15"/>
      <c r="AN903" s="43">
        <f t="shared" si="471"/>
        <v>0</v>
      </c>
      <c r="AO903" s="14"/>
      <c r="AP903" s="55"/>
      <c r="AQ903" s="55"/>
      <c r="AR903" s="55"/>
      <c r="AS903" s="67"/>
      <c r="AT903" s="24">
        <f t="shared" si="472"/>
        <v>0</v>
      </c>
      <c r="AU903" s="15"/>
      <c r="AV903" s="55"/>
      <c r="AW903" s="55"/>
      <c r="AX903" s="55"/>
      <c r="AY903" s="67"/>
      <c r="AZ903" s="24">
        <f t="shared" si="473"/>
        <v>0</v>
      </c>
      <c r="BA903" s="24">
        <f t="shared" si="474"/>
        <v>0</v>
      </c>
    </row>
    <row r="904" spans="1:56" ht="14.25" x14ac:dyDescent="0.15">
      <c r="A904" s="10" t="s">
        <v>181</v>
      </c>
      <c r="B904" s="14"/>
      <c r="C904" s="15"/>
      <c r="D904" s="15">
        <v>3</v>
      </c>
      <c r="E904" s="15">
        <v>3</v>
      </c>
      <c r="F904" s="15">
        <v>3</v>
      </c>
      <c r="G904" s="16">
        <f t="shared" si="465"/>
        <v>9</v>
      </c>
      <c r="H904" s="14"/>
      <c r="I904" s="15"/>
      <c r="J904" s="15"/>
      <c r="K904" s="15"/>
      <c r="L904" s="15"/>
      <c r="M904" s="57">
        <f t="shared" si="466"/>
        <v>0</v>
      </c>
      <c r="N904" s="14"/>
      <c r="O904" s="55"/>
      <c r="P904" s="55"/>
      <c r="Q904" s="55"/>
      <c r="R904" s="67"/>
      <c r="S904" s="24">
        <f t="shared" si="467"/>
        <v>0</v>
      </c>
      <c r="T904" s="15"/>
      <c r="U904" s="55"/>
      <c r="V904" s="55"/>
      <c r="W904" s="55"/>
      <c r="X904" s="67"/>
      <c r="Y904" s="24">
        <f t="shared" si="468"/>
        <v>0</v>
      </c>
      <c r="Z904" s="24">
        <f t="shared" si="469"/>
        <v>9</v>
      </c>
      <c r="AA904" s="83">
        <v>44749</v>
      </c>
      <c r="AB904" s="10" t="s">
        <v>181</v>
      </c>
      <c r="AC904" s="41"/>
      <c r="AD904" s="42"/>
      <c r="AE904" s="42"/>
      <c r="AF904" s="42"/>
      <c r="AG904" s="42"/>
      <c r="AH904" s="43">
        <f t="shared" si="470"/>
        <v>0</v>
      </c>
      <c r="AI904" s="41"/>
      <c r="AJ904" s="42"/>
      <c r="AK904" s="42"/>
      <c r="AL904" s="42"/>
      <c r="AM904" s="42"/>
      <c r="AN904" s="43">
        <f t="shared" si="471"/>
        <v>0</v>
      </c>
      <c r="AO904" s="42"/>
      <c r="AP904" s="53"/>
      <c r="AQ904" s="53"/>
      <c r="AR904" s="53"/>
      <c r="AS904" s="72"/>
      <c r="AT904" s="24">
        <f t="shared" si="472"/>
        <v>0</v>
      </c>
      <c r="AU904" s="42"/>
      <c r="AV904" s="53"/>
      <c r="AW904" s="53"/>
      <c r="AX904" s="53"/>
      <c r="AY904" s="72"/>
      <c r="AZ904" s="24">
        <f t="shared" si="473"/>
        <v>0</v>
      </c>
      <c r="BA904" s="24">
        <f t="shared" si="474"/>
        <v>0</v>
      </c>
    </row>
    <row r="905" spans="1:56" ht="15" thickBot="1" x14ac:dyDescent="0.2">
      <c r="A905" s="10" t="s">
        <v>77</v>
      </c>
      <c r="B905" s="14"/>
      <c r="C905" s="15"/>
      <c r="D905" s="15"/>
      <c r="E905" s="15">
        <v>1</v>
      </c>
      <c r="F905" s="15"/>
      <c r="G905" s="16">
        <f t="shared" si="465"/>
        <v>1</v>
      </c>
      <c r="H905" s="14"/>
      <c r="I905" s="15"/>
      <c r="J905" s="15"/>
      <c r="K905" s="15"/>
      <c r="L905" s="15"/>
      <c r="M905" s="57">
        <f t="shared" si="466"/>
        <v>0</v>
      </c>
      <c r="N905" s="63"/>
      <c r="O905" s="64"/>
      <c r="P905" s="64"/>
      <c r="Q905" s="64"/>
      <c r="R905" s="69"/>
      <c r="S905" s="82">
        <f t="shared" si="467"/>
        <v>0</v>
      </c>
      <c r="T905" s="73"/>
      <c r="U905" s="64"/>
      <c r="V905" s="64">
        <v>1</v>
      </c>
      <c r="W905" s="64"/>
      <c r="X905" s="69"/>
      <c r="Y905" s="82">
        <f t="shared" si="468"/>
        <v>1</v>
      </c>
      <c r="Z905" s="82">
        <f t="shared" si="469"/>
        <v>2</v>
      </c>
      <c r="AA905" s="83">
        <v>44750</v>
      </c>
      <c r="AB905" s="10" t="s">
        <v>181</v>
      </c>
      <c r="AC905" s="14"/>
      <c r="AD905" s="15"/>
      <c r="AE905" s="15"/>
      <c r="AF905" s="15"/>
      <c r="AG905" s="15"/>
      <c r="AH905" s="43">
        <f t="shared" si="470"/>
        <v>0</v>
      </c>
      <c r="AI905" s="14"/>
      <c r="AJ905" s="15"/>
      <c r="AK905" s="15"/>
      <c r="AL905" s="15"/>
      <c r="AM905" s="15"/>
      <c r="AN905" s="43">
        <f t="shared" si="471"/>
        <v>0</v>
      </c>
      <c r="AO905" s="63"/>
      <c r="AP905" s="64"/>
      <c r="AQ905" s="64"/>
      <c r="AR905" s="64"/>
      <c r="AS905" s="69"/>
      <c r="AT905" s="24">
        <f t="shared" si="472"/>
        <v>0</v>
      </c>
      <c r="AU905" s="73"/>
      <c r="AV905" s="64"/>
      <c r="AW905" s="64"/>
      <c r="AX905" s="64"/>
      <c r="AY905" s="69"/>
      <c r="AZ905" s="24">
        <f t="shared" si="473"/>
        <v>0</v>
      </c>
      <c r="BA905" s="24">
        <f t="shared" si="474"/>
        <v>0</v>
      </c>
    </row>
    <row r="906" spans="1:56" ht="15" thickBot="1" x14ac:dyDescent="0.2">
      <c r="A906" s="4" t="s">
        <v>12</v>
      </c>
      <c r="B906" s="17">
        <f>SUM(B901:B905)</f>
        <v>4</v>
      </c>
      <c r="C906" s="18">
        <f>SUM(C901:C905)</f>
        <v>5</v>
      </c>
      <c r="D906" s="18">
        <f>SUM(D901:D905)</f>
        <v>8</v>
      </c>
      <c r="E906" s="18">
        <f>SUM(E901:E905)</f>
        <v>9</v>
      </c>
      <c r="F906" s="18">
        <f>SUM(F901:F905)</f>
        <v>10</v>
      </c>
      <c r="G906" s="19">
        <f t="shared" si="465"/>
        <v>36</v>
      </c>
      <c r="H906" s="17">
        <f>SUM(H901:H905)</f>
        <v>5</v>
      </c>
      <c r="I906" s="18">
        <f>SUM(I901:I905)</f>
        <v>5</v>
      </c>
      <c r="J906" s="18">
        <f>SUM(J901:J905)</f>
        <v>5</v>
      </c>
      <c r="K906" s="18">
        <f>SUM(K901:K905)</f>
        <v>4</v>
      </c>
      <c r="L906" s="18">
        <f>SUM(L901:L905)</f>
        <v>6</v>
      </c>
      <c r="M906" s="25">
        <f t="shared" si="466"/>
        <v>25</v>
      </c>
      <c r="N906" s="65">
        <f>SUM(N901:N905)</f>
        <v>5</v>
      </c>
      <c r="O906" s="18">
        <f>SUM(O901:O905)</f>
        <v>4</v>
      </c>
      <c r="P906" s="18">
        <f>SUM(P901:P905)</f>
        <v>7</v>
      </c>
      <c r="Q906" s="18">
        <f>SUM(Q901:Q905)</f>
        <v>6</v>
      </c>
      <c r="R906" s="70">
        <f>SUM(R901:R905)</f>
        <v>5</v>
      </c>
      <c r="S906" s="49">
        <f t="shared" si="467"/>
        <v>27</v>
      </c>
      <c r="T906" s="74">
        <f>SUM(T901:T905)</f>
        <v>4</v>
      </c>
      <c r="U906" s="18">
        <f>SUM(U901:U905)</f>
        <v>6</v>
      </c>
      <c r="V906" s="18">
        <f>SUM(V901:V905)</f>
        <v>6</v>
      </c>
      <c r="W906" s="18">
        <f>SUM(W901:W905)</f>
        <v>6</v>
      </c>
      <c r="X906" s="70">
        <f>SUM(X901:X905)</f>
        <v>6</v>
      </c>
      <c r="Y906" s="49">
        <f t="shared" si="468"/>
        <v>28</v>
      </c>
      <c r="Z906" s="33">
        <f t="shared" si="469"/>
        <v>116</v>
      </c>
      <c r="AB906" s="4" t="s">
        <v>12</v>
      </c>
      <c r="AC906" s="17">
        <f>SUM(AC901:AC905)</f>
        <v>81</v>
      </c>
      <c r="AD906" s="18">
        <f>SUM(AD901:AD905)</f>
        <v>16</v>
      </c>
      <c r="AE906" s="18">
        <f>SUM(AE901:AE905)</f>
        <v>50</v>
      </c>
      <c r="AF906" s="18">
        <f>SUM(AF901:AF905)</f>
        <v>68</v>
      </c>
      <c r="AG906" s="18">
        <f>SUM(AG901:AG905)</f>
        <v>56</v>
      </c>
      <c r="AH906" s="148">
        <f t="shared" ref="AH906:AH916" si="475">SUM(AC906:AG906)</f>
        <v>271</v>
      </c>
      <c r="AI906" s="17">
        <f>SUM(AI901:AI905)</f>
        <v>49</v>
      </c>
      <c r="AJ906" s="18">
        <f>SUM(AJ901:AJ905)</f>
        <v>47</v>
      </c>
      <c r="AK906" s="18">
        <f>SUM(AK901:AK905)</f>
        <v>62</v>
      </c>
      <c r="AL906" s="18">
        <f>SUM(AL901:AL905)</f>
        <v>59</v>
      </c>
      <c r="AM906" s="18">
        <f>SUM(AM901:AM905)</f>
        <v>68</v>
      </c>
      <c r="AN906" s="148">
        <f t="shared" ref="AN906:AN916" si="476">SUM(AI906:AM906)</f>
        <v>285</v>
      </c>
      <c r="AO906" s="65">
        <f>SUM(AO901:AO905)</f>
        <v>164</v>
      </c>
      <c r="AP906" s="18">
        <f>SUM(AP901:AP905)</f>
        <v>141</v>
      </c>
      <c r="AQ906" s="18">
        <f>SUM(AQ901:AQ905)</f>
        <v>133</v>
      </c>
      <c r="AR906" s="18">
        <f>SUM(AR901:AR905)</f>
        <v>143</v>
      </c>
      <c r="AS906" s="70">
        <f>SUM(AS901:AS905)</f>
        <v>157</v>
      </c>
      <c r="AT906" s="49">
        <f t="shared" ref="AT906:AT916" si="477">SUM(AO906:AS906)</f>
        <v>738</v>
      </c>
      <c r="AU906" s="74">
        <f>SUM(AU901:AU905)</f>
        <v>119</v>
      </c>
      <c r="AV906" s="18">
        <f>SUM(AV901:AV905)</f>
        <v>73</v>
      </c>
      <c r="AW906" s="18">
        <f>SUM(AW901:AW905)</f>
        <v>66</v>
      </c>
      <c r="AX906" s="18">
        <f>SUM(AX901:AX905)</f>
        <v>67</v>
      </c>
      <c r="AY906" s="70">
        <f>SUM(AY901:AY905)</f>
        <v>110</v>
      </c>
      <c r="AZ906" s="49">
        <f t="shared" ref="AZ906:AZ916" si="478">SUM(AU906:AY906)</f>
        <v>435</v>
      </c>
      <c r="BA906" s="33">
        <f t="shared" si="474"/>
        <v>1729</v>
      </c>
    </row>
    <row r="907" spans="1:56" ht="14.25" x14ac:dyDescent="0.15">
      <c r="A907" s="23" t="s">
        <v>48</v>
      </c>
      <c r="B907" s="34"/>
      <c r="C907" s="35"/>
      <c r="D907" s="35"/>
      <c r="E907" s="35">
        <v>1</v>
      </c>
      <c r="F907" s="35"/>
      <c r="G907" s="36">
        <f t="shared" si="465"/>
        <v>1</v>
      </c>
      <c r="H907" s="34"/>
      <c r="I907" s="35"/>
      <c r="J907" s="35"/>
      <c r="K907" s="35"/>
      <c r="L907" s="35"/>
      <c r="M907" s="36">
        <f t="shared" si="466"/>
        <v>0</v>
      </c>
      <c r="N907" s="39"/>
      <c r="O907" s="56"/>
      <c r="P907" s="56"/>
      <c r="Q907" s="56"/>
      <c r="R907" s="71"/>
      <c r="S907" s="16">
        <f t="shared" si="467"/>
        <v>0</v>
      </c>
      <c r="T907" s="39"/>
      <c r="U907" s="56"/>
      <c r="V907" s="56"/>
      <c r="W907" s="56"/>
      <c r="X907" s="71"/>
      <c r="Y907" s="16">
        <f t="shared" si="468"/>
        <v>0</v>
      </c>
      <c r="Z907" s="16">
        <f t="shared" si="469"/>
        <v>1</v>
      </c>
      <c r="AA907" s="83">
        <v>44734</v>
      </c>
      <c r="AB907" s="23" t="s">
        <v>525</v>
      </c>
      <c r="AC907" s="14"/>
      <c r="AD907" s="15"/>
      <c r="AE907" s="15">
        <v>2</v>
      </c>
      <c r="AF907" s="15"/>
      <c r="AG907" s="15">
        <v>2</v>
      </c>
      <c r="AH907" s="24">
        <f t="shared" ref="AH907" si="479">SUM(AC907:AG907)</f>
        <v>4</v>
      </c>
      <c r="AI907" s="14">
        <v>2</v>
      </c>
      <c r="AJ907" s="15">
        <v>2</v>
      </c>
      <c r="AK907" s="15">
        <v>2</v>
      </c>
      <c r="AL907" s="15"/>
      <c r="AM907" s="15"/>
      <c r="AN907" s="24">
        <f t="shared" ref="AN907" si="480">SUM(AI907:AM907)</f>
        <v>6</v>
      </c>
      <c r="AO907" s="15"/>
      <c r="AP907" s="55"/>
      <c r="AQ907" s="55"/>
      <c r="AR907" s="55"/>
      <c r="AS907" s="67"/>
      <c r="AT907" s="24">
        <f t="shared" ref="AT907" si="481">SUM(AO907:AS907)</f>
        <v>0</v>
      </c>
      <c r="AU907" s="15"/>
      <c r="AV907" s="55"/>
      <c r="AW907" s="55"/>
      <c r="AX907" s="55"/>
      <c r="AY907" s="67"/>
      <c r="AZ907" s="24">
        <f t="shared" ref="AZ907" si="482">SUM(AU907:AY907)</f>
        <v>0</v>
      </c>
      <c r="BA907" s="24">
        <f t="shared" si="474"/>
        <v>10</v>
      </c>
      <c r="BB907" s="83">
        <v>44739</v>
      </c>
    </row>
    <row r="908" spans="1:56" ht="14.25" x14ac:dyDescent="0.15">
      <c r="A908" s="23" t="s">
        <v>48</v>
      </c>
      <c r="B908" s="14"/>
      <c r="C908" s="15"/>
      <c r="D908" s="15"/>
      <c r="E908" s="15"/>
      <c r="F908" s="15"/>
      <c r="G908" s="24">
        <f t="shared" si="465"/>
        <v>0</v>
      </c>
      <c r="H908" s="14"/>
      <c r="I908" s="15"/>
      <c r="J908" s="15"/>
      <c r="K908" s="15"/>
      <c r="L908" s="15"/>
      <c r="M908" s="24">
        <f t="shared" si="466"/>
        <v>0</v>
      </c>
      <c r="N908" s="15"/>
      <c r="O908" s="55"/>
      <c r="P908" s="55"/>
      <c r="Q908" s="55"/>
      <c r="R908" s="67">
        <v>1</v>
      </c>
      <c r="S908" s="24">
        <f t="shared" si="467"/>
        <v>1</v>
      </c>
      <c r="T908" s="15"/>
      <c r="U908" s="55"/>
      <c r="V908" s="55"/>
      <c r="W908" s="55"/>
      <c r="X908" s="67"/>
      <c r="Y908" s="24">
        <f t="shared" si="468"/>
        <v>0</v>
      </c>
      <c r="Z908" s="24">
        <f t="shared" si="469"/>
        <v>1</v>
      </c>
      <c r="AA908" s="93">
        <v>44734</v>
      </c>
      <c r="AB908" s="23" t="s">
        <v>526</v>
      </c>
      <c r="AC908" s="41"/>
      <c r="AD908" s="42"/>
      <c r="AE908" s="42">
        <v>5</v>
      </c>
      <c r="AF908" s="42"/>
      <c r="AG908" s="42"/>
      <c r="AH908" s="37">
        <f t="shared" si="475"/>
        <v>5</v>
      </c>
      <c r="AI908" s="41"/>
      <c r="AJ908" s="42">
        <v>5</v>
      </c>
      <c r="AK908" s="42"/>
      <c r="AL908" s="42"/>
      <c r="AM908" s="42">
        <v>5</v>
      </c>
      <c r="AN908" s="114">
        <f t="shared" si="476"/>
        <v>10</v>
      </c>
      <c r="AO908" s="41"/>
      <c r="AP908" s="53"/>
      <c r="AQ908" s="53"/>
      <c r="AR908" s="53"/>
      <c r="AS908" s="72"/>
      <c r="AT908" s="24">
        <f t="shared" si="477"/>
        <v>0</v>
      </c>
      <c r="AU908" s="42"/>
      <c r="AV908" s="53"/>
      <c r="AW908" s="53"/>
      <c r="AX908" s="53"/>
      <c r="AY908" s="72"/>
      <c r="AZ908" s="24">
        <f t="shared" si="478"/>
        <v>0</v>
      </c>
      <c r="BA908" s="24">
        <f t="shared" si="474"/>
        <v>15</v>
      </c>
      <c r="BB908" s="83">
        <v>44747</v>
      </c>
    </row>
    <row r="909" spans="1:56" ht="14.25" x14ac:dyDescent="0.15">
      <c r="A909" s="23" t="s">
        <v>48</v>
      </c>
      <c r="B909" s="41"/>
      <c r="C909" s="42"/>
      <c r="D909" s="42">
        <v>1</v>
      </c>
      <c r="E909" s="42"/>
      <c r="F909" s="42"/>
      <c r="G909" s="43">
        <f t="shared" si="465"/>
        <v>1</v>
      </c>
      <c r="H909" s="41"/>
      <c r="I909" s="42"/>
      <c r="J909" s="42"/>
      <c r="K909" s="42"/>
      <c r="L909" s="42"/>
      <c r="M909" s="43">
        <f t="shared" si="466"/>
        <v>0</v>
      </c>
      <c r="N909" s="42"/>
      <c r="O909" s="53"/>
      <c r="P909" s="53"/>
      <c r="Q909" s="53"/>
      <c r="R909" s="72"/>
      <c r="S909" s="24">
        <f t="shared" si="467"/>
        <v>0</v>
      </c>
      <c r="T909" s="42"/>
      <c r="U909" s="53"/>
      <c r="V909" s="53"/>
      <c r="W909" s="53"/>
      <c r="X909" s="72"/>
      <c r="Y909" s="24">
        <f t="shared" si="468"/>
        <v>0</v>
      </c>
      <c r="Z909" s="24">
        <f t="shared" si="469"/>
        <v>1</v>
      </c>
      <c r="AA909" s="93">
        <v>44735</v>
      </c>
      <c r="AB909" s="23" t="s">
        <v>531</v>
      </c>
      <c r="AC909" s="41">
        <v>1</v>
      </c>
      <c r="AD909" s="42"/>
      <c r="AE909" s="42"/>
      <c r="AF909" s="42"/>
      <c r="AG909" s="42"/>
      <c r="AH909" s="43">
        <f t="shared" si="475"/>
        <v>1</v>
      </c>
      <c r="AI909" s="41"/>
      <c r="AJ909" s="42"/>
      <c r="AK909" s="42"/>
      <c r="AL909" s="42"/>
      <c r="AM909" s="42"/>
      <c r="AN909" s="43">
        <f t="shared" si="476"/>
        <v>0</v>
      </c>
      <c r="AO909" s="42"/>
      <c r="AP909" s="53"/>
      <c r="AQ909" s="53"/>
      <c r="AR909" s="53"/>
      <c r="AS909" s="72"/>
      <c r="AT909" s="24">
        <f t="shared" si="477"/>
        <v>0</v>
      </c>
      <c r="AU909" s="42"/>
      <c r="AV909" s="53"/>
      <c r="AW909" s="53"/>
      <c r="AX909" s="53"/>
      <c r="AY909" s="72"/>
      <c r="AZ909" s="24">
        <f t="shared" si="478"/>
        <v>0</v>
      </c>
      <c r="BA909" s="24">
        <f t="shared" si="474"/>
        <v>1</v>
      </c>
      <c r="BB909" s="83">
        <v>44747</v>
      </c>
    </row>
    <row r="910" spans="1:56" ht="14.25" x14ac:dyDescent="0.15">
      <c r="A910" s="23" t="s">
        <v>48</v>
      </c>
      <c r="B910" s="41"/>
      <c r="C910" s="42">
        <f>1+1</f>
        <v>2</v>
      </c>
      <c r="D910" s="42"/>
      <c r="E910" s="42"/>
      <c r="F910" s="42"/>
      <c r="G910" s="43">
        <f t="shared" si="465"/>
        <v>2</v>
      </c>
      <c r="H910" s="41"/>
      <c r="I910" s="42"/>
      <c r="J910" s="42"/>
      <c r="K910" s="42"/>
      <c r="L910" s="42"/>
      <c r="M910" s="43">
        <f t="shared" si="466"/>
        <v>0</v>
      </c>
      <c r="N910" s="42"/>
      <c r="O910" s="53"/>
      <c r="P910" s="53"/>
      <c r="Q910" s="53"/>
      <c r="R910" s="72"/>
      <c r="S910" s="24">
        <f t="shared" si="467"/>
        <v>0</v>
      </c>
      <c r="T910" s="42"/>
      <c r="U910" s="53"/>
      <c r="V910" s="53"/>
      <c r="W910" s="53"/>
      <c r="X910" s="72"/>
      <c r="Y910" s="24">
        <f t="shared" si="468"/>
        <v>0</v>
      </c>
      <c r="Z910" s="24">
        <f t="shared" si="469"/>
        <v>2</v>
      </c>
      <c r="AA910" s="83">
        <v>44740</v>
      </c>
      <c r="AB910" s="23" t="s">
        <v>438</v>
      </c>
      <c r="AC910" s="41"/>
      <c r="AD910" s="42"/>
      <c r="AE910" s="42"/>
      <c r="AF910" s="42"/>
      <c r="AG910" s="42">
        <v>1</v>
      </c>
      <c r="AH910" s="43">
        <f t="shared" si="475"/>
        <v>1</v>
      </c>
      <c r="AI910" s="41"/>
      <c r="AJ910" s="42"/>
      <c r="AK910" s="42"/>
      <c r="AL910" s="42"/>
      <c r="AM910" s="42"/>
      <c r="AN910" s="43">
        <f t="shared" si="476"/>
        <v>0</v>
      </c>
      <c r="AO910" s="42"/>
      <c r="AP910" s="53"/>
      <c r="AQ910" s="53"/>
      <c r="AR910" s="53"/>
      <c r="AS910" s="72"/>
      <c r="AT910" s="24">
        <f t="shared" si="477"/>
        <v>0</v>
      </c>
      <c r="AU910" s="42"/>
      <c r="AV910" s="53"/>
      <c r="AW910" s="53">
        <v>1</v>
      </c>
      <c r="AX910" s="53"/>
      <c r="AY910" s="72">
        <v>1</v>
      </c>
      <c r="AZ910" s="24">
        <f t="shared" si="478"/>
        <v>2</v>
      </c>
      <c r="BA910" s="24">
        <f t="shared" si="474"/>
        <v>3</v>
      </c>
      <c r="BB910" s="83">
        <v>44748</v>
      </c>
    </row>
    <row r="911" spans="1:56" ht="14.25" x14ac:dyDescent="0.15">
      <c r="A911" s="23" t="s">
        <v>48</v>
      </c>
      <c r="B911" s="171"/>
      <c r="C911" s="42"/>
      <c r="D911" s="42">
        <v>1</v>
      </c>
      <c r="E911" s="42"/>
      <c r="F911" s="42"/>
      <c r="G911" s="43">
        <f t="shared" si="465"/>
        <v>1</v>
      </c>
      <c r="H911" s="41"/>
      <c r="I911" s="42"/>
      <c r="J911" s="42"/>
      <c r="K911" s="42"/>
      <c r="L911" s="42"/>
      <c r="M911" s="43">
        <f t="shared" si="466"/>
        <v>0</v>
      </c>
      <c r="N911" s="42"/>
      <c r="O911" s="53"/>
      <c r="P911" s="53"/>
      <c r="Q911" s="53"/>
      <c r="R911" s="72"/>
      <c r="S911" s="24">
        <f t="shared" si="467"/>
        <v>0</v>
      </c>
      <c r="T911" s="42"/>
      <c r="U911" s="53"/>
      <c r="V911" s="53"/>
      <c r="W911" s="53"/>
      <c r="X911" s="72"/>
      <c r="Y911" s="24">
        <f t="shared" si="468"/>
        <v>0</v>
      </c>
      <c r="Z911" s="24">
        <f t="shared" si="469"/>
        <v>1</v>
      </c>
      <c r="AA911" s="83">
        <v>44741</v>
      </c>
      <c r="AB911" s="23" t="s">
        <v>533</v>
      </c>
      <c r="AC911" s="41"/>
      <c r="AD911" s="42"/>
      <c r="AE911" s="42"/>
      <c r="AF911" s="42">
        <v>5</v>
      </c>
      <c r="AG911" s="42">
        <v>5</v>
      </c>
      <c r="AH911" s="37">
        <f t="shared" si="475"/>
        <v>10</v>
      </c>
      <c r="AI911" s="41"/>
      <c r="AJ911" s="42"/>
      <c r="AK911" s="42">
        <v>5</v>
      </c>
      <c r="AL911" s="42"/>
      <c r="AM911" s="42"/>
      <c r="AN911" s="114">
        <f t="shared" si="476"/>
        <v>5</v>
      </c>
      <c r="AO911" s="41"/>
      <c r="AP911" s="53"/>
      <c r="AQ911" s="53"/>
      <c r="AR911" s="53"/>
      <c r="AS911" s="72"/>
      <c r="AT911" s="24">
        <f t="shared" si="477"/>
        <v>0</v>
      </c>
      <c r="AU911" s="42"/>
      <c r="AV911" s="53"/>
      <c r="AW911" s="53"/>
      <c r="AX911" s="53"/>
      <c r="AY911" s="72"/>
      <c r="AZ911" s="24">
        <f t="shared" si="478"/>
        <v>0</v>
      </c>
      <c r="BA911" s="24">
        <f t="shared" si="474"/>
        <v>15</v>
      </c>
      <c r="BB911" s="83">
        <v>44754</v>
      </c>
    </row>
    <row r="912" spans="1:56" ht="14.25" x14ac:dyDescent="0.15">
      <c r="A912" s="23" t="s">
        <v>48</v>
      </c>
      <c r="B912" s="41"/>
      <c r="C912" s="42">
        <v>1</v>
      </c>
      <c r="D912" s="42"/>
      <c r="E912" s="42"/>
      <c r="F912" s="42"/>
      <c r="G912" s="43">
        <f t="shared" si="465"/>
        <v>1</v>
      </c>
      <c r="H912" s="41"/>
      <c r="I912" s="42"/>
      <c r="J912" s="42"/>
      <c r="K912" s="42"/>
      <c r="L912" s="42"/>
      <c r="M912" s="43">
        <f t="shared" si="466"/>
        <v>0</v>
      </c>
      <c r="N912" s="42"/>
      <c r="O912" s="53"/>
      <c r="P912" s="53"/>
      <c r="Q912" s="53"/>
      <c r="R912" s="72"/>
      <c r="S912" s="24">
        <f t="shared" si="467"/>
        <v>0</v>
      </c>
      <c r="T912" s="42"/>
      <c r="U912" s="53"/>
      <c r="V912" s="53"/>
      <c r="W912" s="53"/>
      <c r="X912" s="72"/>
      <c r="Y912" s="24">
        <f t="shared" si="468"/>
        <v>0</v>
      </c>
      <c r="Z912" s="24">
        <f t="shared" si="469"/>
        <v>1</v>
      </c>
      <c r="AA912" s="83">
        <v>44742</v>
      </c>
      <c r="AB912" s="23" t="s">
        <v>534</v>
      </c>
      <c r="AC912" s="41"/>
      <c r="AD912" s="42"/>
      <c r="AE912" s="42">
        <v>3</v>
      </c>
      <c r="AF912" s="42">
        <v>3</v>
      </c>
      <c r="AG912" s="42">
        <v>3</v>
      </c>
      <c r="AH912" s="43">
        <f t="shared" ref="AH912" si="483">SUM(AC912:AG912)</f>
        <v>9</v>
      </c>
      <c r="AI912" s="41"/>
      <c r="AJ912" s="42"/>
      <c r="AK912" s="42"/>
      <c r="AL912" s="42"/>
      <c r="AM912" s="42"/>
      <c r="AN912" s="43">
        <f t="shared" ref="AN912" si="484">SUM(AI912:AM912)</f>
        <v>0</v>
      </c>
      <c r="AO912" s="42"/>
      <c r="AP912" s="53"/>
      <c r="AQ912" s="53"/>
      <c r="AR912" s="53"/>
      <c r="AS912" s="72"/>
      <c r="AT912" s="24">
        <f t="shared" ref="AT912" si="485">SUM(AO912:AS912)</f>
        <v>0</v>
      </c>
      <c r="AU912" s="42"/>
      <c r="AV912" s="53"/>
      <c r="AW912" s="53"/>
      <c r="AX912" s="53"/>
      <c r="AY912" s="72"/>
      <c r="AZ912" s="24">
        <f t="shared" ref="AZ912" si="486">SUM(AU912:AY912)</f>
        <v>0</v>
      </c>
      <c r="BA912" s="24">
        <f t="shared" si="474"/>
        <v>9</v>
      </c>
      <c r="BB912" s="83">
        <v>44749</v>
      </c>
      <c r="BC912" s="111"/>
      <c r="BD912" s="111"/>
    </row>
    <row r="913" spans="1:56" ht="14.25" x14ac:dyDescent="0.15">
      <c r="A913" s="23" t="s">
        <v>48</v>
      </c>
      <c r="B913" s="41"/>
      <c r="C913" s="42"/>
      <c r="D913" s="42"/>
      <c r="E913" s="42"/>
      <c r="F913" s="42">
        <v>1</v>
      </c>
      <c r="G913" s="43">
        <f t="shared" si="465"/>
        <v>1</v>
      </c>
      <c r="H913" s="41"/>
      <c r="I913" s="42"/>
      <c r="J913" s="42">
        <v>1</v>
      </c>
      <c r="K913" s="42"/>
      <c r="L913" s="42"/>
      <c r="M913" s="43">
        <f t="shared" si="466"/>
        <v>1</v>
      </c>
      <c r="N913" s="42"/>
      <c r="O913" s="53"/>
      <c r="P913" s="53"/>
      <c r="Q913" s="53"/>
      <c r="R913" s="72"/>
      <c r="S913" s="24">
        <f t="shared" si="467"/>
        <v>0</v>
      </c>
      <c r="T913" s="42"/>
      <c r="U913" s="53"/>
      <c r="V913" s="53"/>
      <c r="W913" s="53"/>
      <c r="X913" s="72"/>
      <c r="Y913" s="24">
        <f t="shared" si="468"/>
        <v>0</v>
      </c>
      <c r="Z913" s="24">
        <f t="shared" si="469"/>
        <v>2</v>
      </c>
      <c r="AA913" s="83">
        <v>44743</v>
      </c>
      <c r="AB913" s="23" t="s">
        <v>438</v>
      </c>
      <c r="AC913" s="38"/>
      <c r="AD913" s="39"/>
      <c r="AE913" s="39"/>
      <c r="AF913" s="39"/>
      <c r="AG913" s="39"/>
      <c r="AH913" s="43">
        <f t="shared" si="475"/>
        <v>0</v>
      </c>
      <c r="AI913" s="38"/>
      <c r="AJ913" s="39"/>
      <c r="AK913" s="39"/>
      <c r="AL913" s="39"/>
      <c r="AM913" s="39"/>
      <c r="AN913" s="43">
        <f t="shared" si="476"/>
        <v>0</v>
      </c>
      <c r="AO913" s="42"/>
      <c r="AP913" s="53"/>
      <c r="AQ913" s="53">
        <v>1</v>
      </c>
      <c r="AR913" s="53"/>
      <c r="AS913" s="72"/>
      <c r="AT913" s="24">
        <f t="shared" si="477"/>
        <v>1</v>
      </c>
      <c r="AU913" s="42"/>
      <c r="AV913" s="53"/>
      <c r="AW913" s="53"/>
      <c r="AX913" s="53"/>
      <c r="AY913" s="72"/>
      <c r="AZ913" s="24">
        <f t="shared" si="478"/>
        <v>0</v>
      </c>
      <c r="BA913" s="24">
        <f t="shared" si="474"/>
        <v>1</v>
      </c>
      <c r="BB913" s="83">
        <v>44750</v>
      </c>
      <c r="BC913" s="111"/>
      <c r="BD913" s="111"/>
    </row>
    <row r="914" spans="1:56" ht="14.25" x14ac:dyDescent="0.15">
      <c r="A914" s="23" t="s">
        <v>48</v>
      </c>
      <c r="B914" s="41"/>
      <c r="C914" s="42"/>
      <c r="D914" s="42"/>
      <c r="E914" s="42"/>
      <c r="F914" s="42">
        <v>1</v>
      </c>
      <c r="G914" s="43">
        <f t="shared" si="465"/>
        <v>1</v>
      </c>
      <c r="H914" s="41"/>
      <c r="I914" s="42"/>
      <c r="J914" s="42"/>
      <c r="K914" s="42"/>
      <c r="L914" s="42"/>
      <c r="M914" s="43">
        <f t="shared" si="466"/>
        <v>0</v>
      </c>
      <c r="N914" s="42"/>
      <c r="O914" s="53"/>
      <c r="P914" s="53"/>
      <c r="Q914" s="53"/>
      <c r="R914" s="72"/>
      <c r="S914" s="24">
        <f t="shared" si="467"/>
        <v>0</v>
      </c>
      <c r="T914" s="42"/>
      <c r="U914" s="53"/>
      <c r="V914" s="53"/>
      <c r="W914" s="53"/>
      <c r="X914" s="72"/>
      <c r="Y914" s="24">
        <f t="shared" si="468"/>
        <v>0</v>
      </c>
      <c r="Z914" s="24">
        <f t="shared" si="469"/>
        <v>1</v>
      </c>
      <c r="AA914" s="83">
        <v>44744</v>
      </c>
      <c r="AB914" s="23" t="s">
        <v>535</v>
      </c>
      <c r="AC914" s="14"/>
      <c r="AD914" s="15"/>
      <c r="AE914" s="15"/>
      <c r="AF914" s="15">
        <v>5</v>
      </c>
      <c r="AG914" s="15"/>
      <c r="AH914" s="24">
        <f t="shared" si="475"/>
        <v>5</v>
      </c>
      <c r="AI914" s="14"/>
      <c r="AJ914" s="15">
        <v>5</v>
      </c>
      <c r="AK914" s="15">
        <v>5</v>
      </c>
      <c r="AL914" s="15"/>
      <c r="AM914" s="15"/>
      <c r="AN914" s="24">
        <f t="shared" si="476"/>
        <v>10</v>
      </c>
      <c r="AO914" s="15"/>
      <c r="AP914" s="55"/>
      <c r="AQ914" s="55"/>
      <c r="AR914" s="55"/>
      <c r="AS914" s="67"/>
      <c r="AT914" s="24">
        <f t="shared" si="477"/>
        <v>0</v>
      </c>
      <c r="AU914" s="15"/>
      <c r="AV914" s="55"/>
      <c r="AW914" s="55"/>
      <c r="AX914" s="55"/>
      <c r="AY914" s="67"/>
      <c r="AZ914" s="24">
        <f t="shared" si="478"/>
        <v>0</v>
      </c>
      <c r="BA914" s="24">
        <f t="shared" si="474"/>
        <v>15</v>
      </c>
      <c r="BB914" s="83">
        <v>44756</v>
      </c>
      <c r="BC914" s="111"/>
      <c r="BD914" s="111"/>
    </row>
    <row r="915" spans="1:56" ht="14.25" x14ac:dyDescent="0.15">
      <c r="A915" s="23" t="s">
        <v>532</v>
      </c>
      <c r="B915" s="41"/>
      <c r="C915" s="42"/>
      <c r="D915" s="42"/>
      <c r="E915" s="42">
        <v>1</v>
      </c>
      <c r="F915" s="42"/>
      <c r="G915" s="43">
        <f t="shared" si="465"/>
        <v>1</v>
      </c>
      <c r="H915" s="41"/>
      <c r="I915" s="42"/>
      <c r="J915" s="42"/>
      <c r="K915" s="42"/>
      <c r="L915" s="42"/>
      <c r="M915" s="43">
        <f t="shared" si="466"/>
        <v>0</v>
      </c>
      <c r="N915" s="42"/>
      <c r="O915" s="53"/>
      <c r="P915" s="53"/>
      <c r="Q915" s="53"/>
      <c r="R915" s="72"/>
      <c r="S915" s="24">
        <f t="shared" si="467"/>
        <v>0</v>
      </c>
      <c r="T915" s="42"/>
      <c r="U915" s="53"/>
      <c r="V915" s="53"/>
      <c r="W915" s="53"/>
      <c r="X915" s="72"/>
      <c r="Y915" s="24">
        <f t="shared" si="468"/>
        <v>0</v>
      </c>
      <c r="Z915" s="24">
        <f t="shared" si="469"/>
        <v>1</v>
      </c>
      <c r="AA915" s="83">
        <v>44747</v>
      </c>
      <c r="AB915" s="23" t="s">
        <v>438</v>
      </c>
      <c r="AC915" s="41"/>
      <c r="AD915" s="42"/>
      <c r="AE915" s="42">
        <v>1</v>
      </c>
      <c r="AF915" s="42">
        <v>1</v>
      </c>
      <c r="AG915" s="42">
        <v>3</v>
      </c>
      <c r="AH915" s="43">
        <f t="shared" si="475"/>
        <v>5</v>
      </c>
      <c r="AI915" s="41"/>
      <c r="AJ915" s="42"/>
      <c r="AK915" s="42"/>
      <c r="AL915" s="42"/>
      <c r="AM915" s="42"/>
      <c r="AN915" s="43">
        <f t="shared" si="476"/>
        <v>0</v>
      </c>
      <c r="AO915" s="42">
        <v>1</v>
      </c>
      <c r="AP915" s="53"/>
      <c r="AQ915" s="53">
        <v>1</v>
      </c>
      <c r="AR915" s="53"/>
      <c r="AS915" s="72"/>
      <c r="AT915" s="24">
        <f t="shared" si="477"/>
        <v>2</v>
      </c>
      <c r="AU915" s="42"/>
      <c r="AV915" s="53"/>
      <c r="AW915" s="53"/>
      <c r="AX915" s="53"/>
      <c r="AY915" s="72"/>
      <c r="AZ915" s="24">
        <f t="shared" si="478"/>
        <v>0</v>
      </c>
      <c r="BA915" s="24">
        <f t="shared" si="474"/>
        <v>7</v>
      </c>
      <c r="BB915" s="83">
        <v>44762</v>
      </c>
      <c r="BC915" s="111"/>
      <c r="BD915" s="111"/>
    </row>
    <row r="916" spans="1:56" ht="14.25" x14ac:dyDescent="0.15">
      <c r="A916" s="23" t="s">
        <v>48</v>
      </c>
      <c r="B916" s="44"/>
      <c r="C916" s="45"/>
      <c r="D916" s="45"/>
      <c r="E916" s="45"/>
      <c r="F916" s="45"/>
      <c r="G916" s="43">
        <f t="shared" si="465"/>
        <v>0</v>
      </c>
      <c r="H916" s="44"/>
      <c r="I916" s="45"/>
      <c r="J916" s="45"/>
      <c r="K916" s="45">
        <v>1</v>
      </c>
      <c r="L916" s="45"/>
      <c r="M916" s="43">
        <f t="shared" si="466"/>
        <v>1</v>
      </c>
      <c r="N916" s="42"/>
      <c r="O916" s="53"/>
      <c r="P916" s="53"/>
      <c r="Q916" s="53"/>
      <c r="R916" s="72"/>
      <c r="S916" s="24">
        <f t="shared" si="467"/>
        <v>0</v>
      </c>
      <c r="T916" s="42"/>
      <c r="U916" s="53"/>
      <c r="V916" s="53"/>
      <c r="W916" s="53"/>
      <c r="X916" s="72"/>
      <c r="Y916" s="24">
        <f t="shared" si="468"/>
        <v>0</v>
      </c>
      <c r="Z916" s="24">
        <f t="shared" si="469"/>
        <v>1</v>
      </c>
      <c r="AA916" s="93">
        <v>44746</v>
      </c>
      <c r="AB916" s="23" t="s">
        <v>538</v>
      </c>
      <c r="AC916" s="44"/>
      <c r="AD916" s="45"/>
      <c r="AE916" s="45">
        <v>5</v>
      </c>
      <c r="AF916" s="45"/>
      <c r="AG916" s="45"/>
      <c r="AH916" s="43">
        <f t="shared" si="475"/>
        <v>5</v>
      </c>
      <c r="AI916" s="44">
        <v>5</v>
      </c>
      <c r="AJ916" s="45">
        <v>10</v>
      </c>
      <c r="AK916" s="45"/>
      <c r="AL916" s="45"/>
      <c r="AM916" s="45"/>
      <c r="AN916" s="43">
        <f t="shared" si="476"/>
        <v>15</v>
      </c>
      <c r="AO916" s="42"/>
      <c r="AP916" s="53"/>
      <c r="AQ916" s="53"/>
      <c r="AR916" s="53"/>
      <c r="AS916" s="72"/>
      <c r="AT916" s="24">
        <f t="shared" si="477"/>
        <v>0</v>
      </c>
      <c r="AU916" s="42"/>
      <c r="AV916" s="53"/>
      <c r="AW916" s="53"/>
      <c r="AX916" s="53"/>
      <c r="AY916" s="72"/>
      <c r="AZ916" s="24">
        <f t="shared" si="478"/>
        <v>0</v>
      </c>
      <c r="BA916" s="24">
        <f t="shared" si="474"/>
        <v>20</v>
      </c>
      <c r="BB916" s="83">
        <v>44768</v>
      </c>
      <c r="BC916" s="111"/>
      <c r="BD916" s="111"/>
    </row>
    <row r="917" spans="1:56" ht="14.25" x14ac:dyDescent="0.15">
      <c r="A917" s="23" t="s">
        <v>48</v>
      </c>
      <c r="B917" s="41"/>
      <c r="C917" s="42">
        <v>1</v>
      </c>
      <c r="D917" s="42"/>
      <c r="E917" s="42">
        <v>1</v>
      </c>
      <c r="F917" s="42"/>
      <c r="G917" s="43">
        <f t="shared" si="465"/>
        <v>2</v>
      </c>
      <c r="H917" s="41"/>
      <c r="I917" s="42"/>
      <c r="J917" s="42"/>
      <c r="K917" s="42"/>
      <c r="L917" s="42"/>
      <c r="M917" s="43">
        <f t="shared" si="466"/>
        <v>0</v>
      </c>
      <c r="N917" s="42"/>
      <c r="O917" s="53"/>
      <c r="P917" s="53"/>
      <c r="Q917" s="53"/>
      <c r="R917" s="72"/>
      <c r="S917" s="24">
        <f t="shared" si="467"/>
        <v>0</v>
      </c>
      <c r="T917" s="42"/>
      <c r="U917" s="53"/>
      <c r="V917" s="53"/>
      <c r="W917" s="53"/>
      <c r="X917" s="72"/>
      <c r="Y917" s="24">
        <f t="shared" si="468"/>
        <v>0</v>
      </c>
      <c r="Z917" s="24">
        <f t="shared" si="469"/>
        <v>2</v>
      </c>
      <c r="AA917" s="83">
        <v>44747</v>
      </c>
      <c r="AB917" s="23" t="s">
        <v>438</v>
      </c>
      <c r="AC917" s="14"/>
      <c r="AD917" s="15"/>
      <c r="AE917" s="15">
        <v>2</v>
      </c>
      <c r="AF917" s="15"/>
      <c r="AG917" s="15">
        <v>2</v>
      </c>
      <c r="AH917" s="24">
        <f>SUM(AC917:AG917)</f>
        <v>4</v>
      </c>
      <c r="AI917" s="14"/>
      <c r="AJ917" s="15"/>
      <c r="AK917" s="15"/>
      <c r="AL917" s="15"/>
      <c r="AM917" s="15"/>
      <c r="AN917" s="24">
        <f>SUM(AI917:AM917)</f>
        <v>0</v>
      </c>
      <c r="AO917" s="15"/>
      <c r="AP917" s="55"/>
      <c r="AQ917" s="55"/>
      <c r="AR917" s="55">
        <v>2</v>
      </c>
      <c r="AS917" s="67"/>
      <c r="AT917" s="24">
        <f>SUM(AO917:AS917)</f>
        <v>2</v>
      </c>
      <c r="AU917" s="15"/>
      <c r="AV917" s="55"/>
      <c r="AW917" s="55"/>
      <c r="AX917" s="55"/>
      <c r="AY917" s="67"/>
      <c r="AZ917" s="24">
        <f>SUM(AU917:AY917)</f>
        <v>0</v>
      </c>
      <c r="BA917" s="24">
        <f>AH917+AN917+AT917+AZ917</f>
        <v>6</v>
      </c>
      <c r="BB917" s="83">
        <v>44763</v>
      </c>
      <c r="BC917" s="111"/>
      <c r="BD917" s="111"/>
    </row>
    <row r="918" spans="1:56" ht="14.25" x14ac:dyDescent="0.15">
      <c r="A918" s="23" t="s">
        <v>48</v>
      </c>
      <c r="B918" s="41"/>
      <c r="C918" s="42"/>
      <c r="D918" s="42"/>
      <c r="E918" s="42">
        <v>1</v>
      </c>
      <c r="F918" s="42"/>
      <c r="G918" s="43">
        <f t="shared" si="465"/>
        <v>1</v>
      </c>
      <c r="H918" s="41">
        <v>1</v>
      </c>
      <c r="I918" s="42"/>
      <c r="J918" s="42"/>
      <c r="K918" s="42"/>
      <c r="L918" s="42"/>
      <c r="M918" s="43">
        <f t="shared" si="466"/>
        <v>1</v>
      </c>
      <c r="N918" s="42"/>
      <c r="O918" s="53"/>
      <c r="P918" s="53"/>
      <c r="Q918" s="53"/>
      <c r="R918" s="72"/>
      <c r="S918" s="24">
        <f t="shared" si="467"/>
        <v>0</v>
      </c>
      <c r="T918" s="42"/>
      <c r="U918" s="53"/>
      <c r="V918" s="53"/>
      <c r="W918" s="53"/>
      <c r="X918" s="72"/>
      <c r="Y918" s="24">
        <f t="shared" si="468"/>
        <v>0</v>
      </c>
      <c r="Z918" s="24">
        <f t="shared" si="469"/>
        <v>2</v>
      </c>
      <c r="AA918" s="93">
        <v>44748</v>
      </c>
      <c r="AB918" s="23" t="s">
        <v>126</v>
      </c>
      <c r="AC918" s="41"/>
      <c r="AD918" s="42"/>
      <c r="AE918" s="42"/>
      <c r="AF918" s="42">
        <v>5</v>
      </c>
      <c r="AG918" s="42"/>
      <c r="AH918" s="43">
        <f t="shared" ref="AH918:AH925" si="487">SUM(AC918:AG918)</f>
        <v>5</v>
      </c>
      <c r="AI918" s="41"/>
      <c r="AJ918" s="42"/>
      <c r="AK918" s="42"/>
      <c r="AL918" s="42">
        <v>3</v>
      </c>
      <c r="AM918" s="42"/>
      <c r="AN918" s="43">
        <f t="shared" ref="AN918:AN925" si="488">SUM(AI918:AM918)</f>
        <v>3</v>
      </c>
      <c r="AO918" s="42"/>
      <c r="AP918" s="53"/>
      <c r="AQ918" s="53"/>
      <c r="AR918" s="53"/>
      <c r="AS918" s="72">
        <v>5</v>
      </c>
      <c r="AT918" s="24">
        <f t="shared" ref="AT918:AT925" si="489">SUM(AO918:AS918)</f>
        <v>5</v>
      </c>
      <c r="AU918" s="42"/>
      <c r="AV918" s="53"/>
      <c r="AW918" s="53"/>
      <c r="AX918" s="53"/>
      <c r="AY918" s="72"/>
      <c r="AZ918" s="24">
        <f t="shared" ref="AZ918:AZ925" si="490">SUM(AU918:AY918)</f>
        <v>0</v>
      </c>
      <c r="BA918" s="24">
        <f t="shared" ref="BA918:BA925" si="491">AH918+AN918+AT918+AZ918</f>
        <v>13</v>
      </c>
      <c r="BB918" s="83">
        <v>44763</v>
      </c>
      <c r="BC918" s="111"/>
      <c r="BD918" s="111"/>
    </row>
    <row r="919" spans="1:56" ht="14.25" x14ac:dyDescent="0.15">
      <c r="A919" s="23" t="s">
        <v>48</v>
      </c>
      <c r="B919" s="41"/>
      <c r="C919" s="42"/>
      <c r="D919" s="42"/>
      <c r="E919" s="42"/>
      <c r="F919" s="42"/>
      <c r="G919" s="43">
        <f t="shared" si="465"/>
        <v>0</v>
      </c>
      <c r="H919" s="41"/>
      <c r="I919" s="42"/>
      <c r="J919" s="42"/>
      <c r="K919" s="42">
        <v>1</v>
      </c>
      <c r="L919" s="42"/>
      <c r="M919" s="43">
        <f t="shared" si="466"/>
        <v>1</v>
      </c>
      <c r="N919" s="42"/>
      <c r="O919" s="53"/>
      <c r="P919" s="53"/>
      <c r="Q919" s="53"/>
      <c r="R919" s="72"/>
      <c r="S919" s="24">
        <f t="shared" si="467"/>
        <v>0</v>
      </c>
      <c r="T919" s="42"/>
      <c r="U919" s="53"/>
      <c r="V919" s="53"/>
      <c r="W919" s="53"/>
      <c r="X919" s="72"/>
      <c r="Y919" s="24">
        <f t="shared" si="468"/>
        <v>0</v>
      </c>
      <c r="Z919" s="24">
        <f t="shared" si="469"/>
        <v>1</v>
      </c>
      <c r="AA919" s="83">
        <v>44750</v>
      </c>
      <c r="AB919" s="23" t="s">
        <v>438</v>
      </c>
      <c r="AC919" s="14"/>
      <c r="AD919" s="15"/>
      <c r="AE919" s="15">
        <v>3</v>
      </c>
      <c r="AF919" s="15"/>
      <c r="AG919" s="15"/>
      <c r="AH919" s="24">
        <f t="shared" si="487"/>
        <v>3</v>
      </c>
      <c r="AI919" s="14"/>
      <c r="AJ919" s="15"/>
      <c r="AK919" s="15"/>
      <c r="AL919" s="15"/>
      <c r="AM919" s="15"/>
      <c r="AN919" s="185">
        <f t="shared" si="488"/>
        <v>0</v>
      </c>
      <c r="AO919" s="14">
        <v>1</v>
      </c>
      <c r="AP919" s="55"/>
      <c r="AQ919" s="55"/>
      <c r="AR919" s="55"/>
      <c r="AS919" s="67"/>
      <c r="AT919" s="24">
        <f t="shared" si="489"/>
        <v>1</v>
      </c>
      <c r="AU919" s="15"/>
      <c r="AV919" s="55"/>
      <c r="AW919" s="55"/>
      <c r="AX919" s="55"/>
      <c r="AY919" s="67"/>
      <c r="AZ919" s="24">
        <f t="shared" si="490"/>
        <v>0</v>
      </c>
      <c r="BA919" s="24">
        <f t="shared" si="491"/>
        <v>4</v>
      </c>
      <c r="BB919" s="83">
        <v>44764</v>
      </c>
      <c r="BC919" s="111"/>
      <c r="BD919" s="111"/>
    </row>
    <row r="920" spans="1:56" ht="14.25" x14ac:dyDescent="0.15">
      <c r="A920" s="23" t="s">
        <v>438</v>
      </c>
      <c r="B920" s="38"/>
      <c r="C920" s="39"/>
      <c r="D920" s="39"/>
      <c r="E920" s="39"/>
      <c r="F920" s="39">
        <v>1</v>
      </c>
      <c r="G920" s="37">
        <f t="shared" si="465"/>
        <v>1</v>
      </c>
      <c r="H920" s="38"/>
      <c r="I920" s="39"/>
      <c r="J920" s="39"/>
      <c r="K920" s="39"/>
      <c r="L920" s="39"/>
      <c r="M920" s="37">
        <f t="shared" si="466"/>
        <v>0</v>
      </c>
      <c r="N920" s="42"/>
      <c r="O920" s="53"/>
      <c r="P920" s="53"/>
      <c r="Q920" s="53"/>
      <c r="R920" s="72">
        <v>1</v>
      </c>
      <c r="S920" s="24">
        <f t="shared" si="467"/>
        <v>1</v>
      </c>
      <c r="T920" s="42"/>
      <c r="U920" s="53"/>
      <c r="V920" s="53"/>
      <c r="W920" s="53"/>
      <c r="X920" s="72"/>
      <c r="Y920" s="24">
        <f t="shared" si="468"/>
        <v>0</v>
      </c>
      <c r="Z920" s="24">
        <f t="shared" si="469"/>
        <v>2</v>
      </c>
      <c r="AA920" s="83">
        <v>44754</v>
      </c>
      <c r="AB920" s="23" t="s">
        <v>438</v>
      </c>
      <c r="AC920" s="38"/>
      <c r="AD920" s="39"/>
      <c r="AE920" s="39">
        <v>6</v>
      </c>
      <c r="AF920" s="39"/>
      <c r="AG920" s="39"/>
      <c r="AH920" s="37">
        <f t="shared" si="487"/>
        <v>6</v>
      </c>
      <c r="AI920" s="38"/>
      <c r="AJ920" s="39"/>
      <c r="AK920" s="39"/>
      <c r="AL920" s="39"/>
      <c r="AM920" s="39"/>
      <c r="AN920" s="37">
        <f t="shared" si="488"/>
        <v>0</v>
      </c>
      <c r="AO920" s="39"/>
      <c r="AP920" s="56"/>
      <c r="AQ920" s="56">
        <v>1</v>
      </c>
      <c r="AR920" s="56">
        <v>1</v>
      </c>
      <c r="AS920" s="71"/>
      <c r="AT920" s="16">
        <f t="shared" si="489"/>
        <v>2</v>
      </c>
      <c r="AU920" s="39"/>
      <c r="AV920" s="56"/>
      <c r="AW920" s="56"/>
      <c r="AX920" s="56">
        <v>1</v>
      </c>
      <c r="AY920" s="71"/>
      <c r="AZ920" s="16">
        <f t="shared" si="490"/>
        <v>1</v>
      </c>
      <c r="BA920" s="16">
        <f t="shared" si="491"/>
        <v>9</v>
      </c>
      <c r="BB920" s="83">
        <v>44767</v>
      </c>
      <c r="BC920" s="111"/>
      <c r="BD920" s="111"/>
    </row>
    <row r="921" spans="1:56" ht="14.25" x14ac:dyDescent="0.15">
      <c r="A921" s="23" t="s">
        <v>48</v>
      </c>
      <c r="B921" s="41"/>
      <c r="C921" s="42"/>
      <c r="D921" s="42">
        <v>1</v>
      </c>
      <c r="E921" s="42">
        <v>1</v>
      </c>
      <c r="F921" s="42"/>
      <c r="G921" s="43">
        <f t="shared" si="465"/>
        <v>2</v>
      </c>
      <c r="H921" s="41">
        <v>1</v>
      </c>
      <c r="I921" s="42"/>
      <c r="J921" s="42">
        <v>1</v>
      </c>
      <c r="K921" s="42"/>
      <c r="L921" s="42"/>
      <c r="M921" s="43">
        <f t="shared" si="466"/>
        <v>2</v>
      </c>
      <c r="N921" s="42"/>
      <c r="O921" s="53"/>
      <c r="P921" s="53"/>
      <c r="Q921" s="53"/>
      <c r="R921" s="72"/>
      <c r="S921" s="24">
        <f t="shared" si="467"/>
        <v>0</v>
      </c>
      <c r="T921" s="42"/>
      <c r="U921" s="53"/>
      <c r="V921" s="53"/>
      <c r="W921" s="53"/>
      <c r="X921" s="72"/>
      <c r="Y921" s="24">
        <f t="shared" si="468"/>
        <v>0</v>
      </c>
      <c r="Z921" s="24">
        <f t="shared" si="469"/>
        <v>4</v>
      </c>
      <c r="AA921" s="93">
        <v>44753</v>
      </c>
      <c r="AB921" s="23"/>
      <c r="AC921" s="41"/>
      <c r="AD921" s="42"/>
      <c r="AE921" s="42"/>
      <c r="AF921" s="42"/>
      <c r="AG921" s="42"/>
      <c r="AH921" s="43">
        <f t="shared" si="487"/>
        <v>0</v>
      </c>
      <c r="AI921" s="41"/>
      <c r="AJ921" s="42"/>
      <c r="AK921" s="42"/>
      <c r="AL921" s="42"/>
      <c r="AM921" s="42"/>
      <c r="AN921" s="43">
        <f t="shared" si="488"/>
        <v>0</v>
      </c>
      <c r="AO921" s="42"/>
      <c r="AP921" s="53"/>
      <c r="AQ921" s="53"/>
      <c r="AR921" s="53"/>
      <c r="AS921" s="72"/>
      <c r="AT921" s="24">
        <f t="shared" si="489"/>
        <v>0</v>
      </c>
      <c r="AU921" s="42"/>
      <c r="AV921" s="53"/>
      <c r="AW921" s="53"/>
      <c r="AX921" s="53"/>
      <c r="AY921" s="72"/>
      <c r="AZ921" s="24">
        <f t="shared" si="490"/>
        <v>0</v>
      </c>
      <c r="BA921" s="24">
        <f t="shared" si="491"/>
        <v>0</v>
      </c>
      <c r="BB921" s="83"/>
      <c r="BC921" s="111"/>
      <c r="BD921" s="111"/>
    </row>
    <row r="922" spans="1:56" ht="14.25" x14ac:dyDescent="0.15">
      <c r="A922" s="23" t="s">
        <v>438</v>
      </c>
      <c r="B922" s="41"/>
      <c r="C922" s="42"/>
      <c r="D922" s="42">
        <v>1</v>
      </c>
      <c r="E922" s="42">
        <v>1</v>
      </c>
      <c r="F922" s="42"/>
      <c r="G922" s="43">
        <f t="shared" ref="G922:G932" si="492">SUM(B922:F922)</f>
        <v>2</v>
      </c>
      <c r="H922" s="41"/>
      <c r="I922" s="42"/>
      <c r="J922" s="42"/>
      <c r="K922" s="42"/>
      <c r="L922" s="42"/>
      <c r="M922" s="43">
        <f t="shared" si="466"/>
        <v>0</v>
      </c>
      <c r="N922" s="42"/>
      <c r="O922" s="53"/>
      <c r="P922" s="53"/>
      <c r="Q922" s="53"/>
      <c r="R922" s="72"/>
      <c r="S922" s="24">
        <f t="shared" si="467"/>
        <v>0</v>
      </c>
      <c r="T922" s="42">
        <v>1</v>
      </c>
      <c r="U922" s="53"/>
      <c r="V922" s="53"/>
      <c r="W922" s="53"/>
      <c r="X922" s="72">
        <v>1</v>
      </c>
      <c r="Y922" s="24">
        <f t="shared" si="468"/>
        <v>2</v>
      </c>
      <c r="Z922" s="24">
        <f t="shared" si="469"/>
        <v>4</v>
      </c>
      <c r="AA922" s="83">
        <v>44756</v>
      </c>
      <c r="AB922" s="23"/>
      <c r="AC922" s="41"/>
      <c r="AD922" s="42"/>
      <c r="AE922" s="42"/>
      <c r="AF922" s="42"/>
      <c r="AG922" s="42"/>
      <c r="AH922" s="43">
        <f t="shared" si="487"/>
        <v>0</v>
      </c>
      <c r="AI922" s="41"/>
      <c r="AJ922" s="42"/>
      <c r="AK922" s="42"/>
      <c r="AL922" s="42"/>
      <c r="AM922" s="42"/>
      <c r="AN922" s="43">
        <f t="shared" si="488"/>
        <v>0</v>
      </c>
      <c r="AO922" s="42"/>
      <c r="AP922" s="53"/>
      <c r="AQ922" s="53"/>
      <c r="AR922" s="53"/>
      <c r="AS922" s="72"/>
      <c r="AT922" s="24">
        <f t="shared" si="489"/>
        <v>0</v>
      </c>
      <c r="AU922" s="42"/>
      <c r="AV922" s="53"/>
      <c r="AW922" s="53"/>
      <c r="AX922" s="53"/>
      <c r="AY922" s="72"/>
      <c r="AZ922" s="24">
        <f t="shared" si="490"/>
        <v>0</v>
      </c>
      <c r="BA922" s="24">
        <f t="shared" si="491"/>
        <v>0</v>
      </c>
      <c r="BB922" s="83"/>
      <c r="BC922" s="111"/>
      <c r="BD922" s="111"/>
    </row>
    <row r="923" spans="1:56" ht="14.25" x14ac:dyDescent="0.15">
      <c r="A923" s="23" t="s">
        <v>438</v>
      </c>
      <c r="B923" s="14"/>
      <c r="C923" s="15"/>
      <c r="D923" s="15"/>
      <c r="E923" s="15">
        <v>1</v>
      </c>
      <c r="F923" s="15">
        <v>1</v>
      </c>
      <c r="G923" s="24">
        <f t="shared" si="492"/>
        <v>2</v>
      </c>
      <c r="H923" s="14"/>
      <c r="I923" s="15"/>
      <c r="J923" s="15"/>
      <c r="K923" s="15"/>
      <c r="L923" s="15"/>
      <c r="M923" s="24">
        <f t="shared" si="466"/>
        <v>0</v>
      </c>
      <c r="N923" s="15">
        <v>1</v>
      </c>
      <c r="O923" s="55"/>
      <c r="P923" s="55"/>
      <c r="Q923" s="55"/>
      <c r="R923" s="67">
        <v>1</v>
      </c>
      <c r="S923" s="24">
        <f t="shared" si="467"/>
        <v>2</v>
      </c>
      <c r="T923" s="15"/>
      <c r="U923" s="55"/>
      <c r="V923" s="55">
        <v>1</v>
      </c>
      <c r="W923" s="55"/>
      <c r="X923" s="67"/>
      <c r="Y923" s="24">
        <f t="shared" si="468"/>
        <v>1</v>
      </c>
      <c r="Z923" s="24">
        <f t="shared" si="469"/>
        <v>5</v>
      </c>
      <c r="AA923" s="83">
        <v>44757</v>
      </c>
      <c r="AB923" s="23"/>
      <c r="AC923" s="14"/>
      <c r="AD923" s="15"/>
      <c r="AE923" s="15"/>
      <c r="AF923" s="15"/>
      <c r="AG923" s="15"/>
      <c r="AH923" s="24">
        <f t="shared" si="487"/>
        <v>0</v>
      </c>
      <c r="AI923" s="14"/>
      <c r="AJ923" s="15"/>
      <c r="AK923" s="15"/>
      <c r="AL923" s="15"/>
      <c r="AM923" s="15"/>
      <c r="AN923" s="24">
        <f t="shared" si="488"/>
        <v>0</v>
      </c>
      <c r="AO923" s="15"/>
      <c r="AP923" s="55"/>
      <c r="AQ923" s="55"/>
      <c r="AR923" s="55"/>
      <c r="AS923" s="67"/>
      <c r="AT923" s="24">
        <f t="shared" si="489"/>
        <v>0</v>
      </c>
      <c r="AU923" s="15"/>
      <c r="AV923" s="55"/>
      <c r="AW923" s="55"/>
      <c r="AX923" s="55"/>
      <c r="AY923" s="67"/>
      <c r="AZ923" s="24">
        <f t="shared" si="490"/>
        <v>0</v>
      </c>
      <c r="BA923" s="24">
        <f t="shared" si="491"/>
        <v>0</v>
      </c>
      <c r="BB923" s="83"/>
      <c r="BC923" s="111"/>
      <c r="BD923" s="111"/>
    </row>
    <row r="924" spans="1:56" ht="14.25" x14ac:dyDescent="0.15">
      <c r="A924" s="23" t="s">
        <v>438</v>
      </c>
      <c r="B924" s="14"/>
      <c r="C924" s="15"/>
      <c r="D924" s="15"/>
      <c r="E924" s="15"/>
      <c r="F924" s="15"/>
      <c r="G924" s="24">
        <f t="shared" si="492"/>
        <v>0</v>
      </c>
      <c r="H924" s="14"/>
      <c r="I924" s="15"/>
      <c r="J924" s="15"/>
      <c r="K924" s="15"/>
      <c r="L924" s="15"/>
      <c r="M924" s="24">
        <f t="shared" si="466"/>
        <v>0</v>
      </c>
      <c r="N924" s="15"/>
      <c r="O924" s="55"/>
      <c r="P924" s="55"/>
      <c r="Q924" s="55"/>
      <c r="R924" s="67"/>
      <c r="S924" s="24">
        <f t="shared" si="467"/>
        <v>0</v>
      </c>
      <c r="T924" s="15"/>
      <c r="U924" s="55">
        <v>1</v>
      </c>
      <c r="V924" s="55">
        <v>1</v>
      </c>
      <c r="W924" s="55"/>
      <c r="X924" s="67"/>
      <c r="Y924" s="24">
        <f t="shared" si="468"/>
        <v>2</v>
      </c>
      <c r="Z924" s="24">
        <f t="shared" si="469"/>
        <v>2</v>
      </c>
      <c r="AA924" s="83">
        <v>44761</v>
      </c>
      <c r="AB924" s="180"/>
      <c r="AC924" s="14"/>
      <c r="AD924" s="15"/>
      <c r="AE924" s="15"/>
      <c r="AF924" s="15"/>
      <c r="AG924" s="15"/>
      <c r="AH924" s="24">
        <f t="shared" si="487"/>
        <v>0</v>
      </c>
      <c r="AI924" s="14"/>
      <c r="AJ924" s="15"/>
      <c r="AK924" s="15"/>
      <c r="AL924" s="15"/>
      <c r="AM924" s="15"/>
      <c r="AN924" s="24">
        <f t="shared" si="488"/>
        <v>0</v>
      </c>
      <c r="AO924" s="15"/>
      <c r="AP924" s="55"/>
      <c r="AQ924" s="55"/>
      <c r="AR924" s="55"/>
      <c r="AS924" s="67"/>
      <c r="AT924" s="24">
        <f t="shared" si="489"/>
        <v>0</v>
      </c>
      <c r="AU924" s="15"/>
      <c r="AV924" s="55"/>
      <c r="AW924" s="55"/>
      <c r="AX924" s="55"/>
      <c r="AY924" s="67"/>
      <c r="AZ924" s="24">
        <f t="shared" si="490"/>
        <v>0</v>
      </c>
      <c r="BA924" s="24">
        <f t="shared" si="491"/>
        <v>0</v>
      </c>
    </row>
    <row r="925" spans="1:56" ht="14.25" x14ac:dyDescent="0.15">
      <c r="A925" s="23" t="s">
        <v>48</v>
      </c>
      <c r="B925" s="14"/>
      <c r="C925" s="15"/>
      <c r="D925" s="15"/>
      <c r="E925" s="15"/>
      <c r="F925" s="15"/>
      <c r="G925" s="24">
        <f t="shared" si="492"/>
        <v>0</v>
      </c>
      <c r="H925" s="14"/>
      <c r="I925" s="15"/>
      <c r="J925" s="15"/>
      <c r="K925" s="15"/>
      <c r="L925" s="15">
        <v>1</v>
      </c>
      <c r="M925" s="24">
        <f t="shared" si="466"/>
        <v>1</v>
      </c>
      <c r="N925" s="15"/>
      <c r="O925" s="55"/>
      <c r="P925" s="55"/>
      <c r="Q925" s="55">
        <v>1</v>
      </c>
      <c r="R925" s="67"/>
      <c r="S925" s="24">
        <f t="shared" si="467"/>
        <v>1</v>
      </c>
      <c r="T925" s="15"/>
      <c r="U925" s="55"/>
      <c r="V925" s="55"/>
      <c r="W925" s="55"/>
      <c r="X925" s="67"/>
      <c r="Y925" s="24">
        <f t="shared" si="468"/>
        <v>0</v>
      </c>
      <c r="Z925" s="24">
        <f t="shared" si="469"/>
        <v>2</v>
      </c>
      <c r="AA925" s="93">
        <v>44757</v>
      </c>
      <c r="AB925" s="180"/>
      <c r="AC925" s="14"/>
      <c r="AD925" s="15"/>
      <c r="AE925" s="15"/>
      <c r="AF925" s="15"/>
      <c r="AG925" s="15"/>
      <c r="AH925" s="24">
        <f t="shared" si="487"/>
        <v>0</v>
      </c>
      <c r="AI925" s="14"/>
      <c r="AJ925" s="15"/>
      <c r="AK925" s="15"/>
      <c r="AL925" s="15"/>
      <c r="AM925" s="15"/>
      <c r="AN925" s="24">
        <f t="shared" si="488"/>
        <v>0</v>
      </c>
      <c r="AO925" s="15"/>
      <c r="AP925" s="55"/>
      <c r="AQ925" s="55"/>
      <c r="AR925" s="55"/>
      <c r="AS925" s="67"/>
      <c r="AT925" s="24">
        <f t="shared" si="489"/>
        <v>0</v>
      </c>
      <c r="AU925" s="15"/>
      <c r="AV925" s="55"/>
      <c r="AW925" s="55"/>
      <c r="AX925" s="55"/>
      <c r="AY925" s="67"/>
      <c r="AZ925" s="24">
        <f t="shared" si="490"/>
        <v>0</v>
      </c>
      <c r="BA925" s="24">
        <f t="shared" si="491"/>
        <v>0</v>
      </c>
    </row>
    <row r="926" spans="1:56" ht="14.25" x14ac:dyDescent="0.15">
      <c r="A926" s="23" t="s">
        <v>48</v>
      </c>
      <c r="B926" s="14"/>
      <c r="C926" s="15"/>
      <c r="D926" s="15"/>
      <c r="E926" s="15">
        <v>1</v>
      </c>
      <c r="F926" s="15">
        <v>1</v>
      </c>
      <c r="G926" s="24">
        <f t="shared" si="492"/>
        <v>2</v>
      </c>
      <c r="H926" s="14"/>
      <c r="I926" s="15"/>
      <c r="J926" s="15"/>
      <c r="K926" s="15"/>
      <c r="L926" s="15"/>
      <c r="M926" s="24">
        <f t="shared" si="466"/>
        <v>0</v>
      </c>
      <c r="N926" s="15"/>
      <c r="O926" s="55"/>
      <c r="P926" s="55"/>
      <c r="Q926" s="55"/>
      <c r="R926" s="67"/>
      <c r="S926" s="24">
        <f t="shared" si="467"/>
        <v>0</v>
      </c>
      <c r="T926" s="15"/>
      <c r="U926" s="55"/>
      <c r="V926" s="55"/>
      <c r="W926" s="55"/>
      <c r="X926" s="67"/>
      <c r="Y926" s="24">
        <f t="shared" si="468"/>
        <v>0</v>
      </c>
      <c r="Z926" s="24">
        <f t="shared" si="469"/>
        <v>2</v>
      </c>
      <c r="AA926" s="83">
        <v>44761</v>
      </c>
      <c r="AB926" s="180"/>
      <c r="AC926" s="14"/>
      <c r="AD926" s="15"/>
      <c r="AE926" s="15"/>
      <c r="AF926" s="15"/>
      <c r="AG926" s="15"/>
      <c r="AH926" s="24">
        <f t="shared" ref="AH926:AH930" si="493">SUM(AC926:AG926)</f>
        <v>0</v>
      </c>
      <c r="AI926" s="14"/>
      <c r="AJ926" s="15"/>
      <c r="AK926" s="15"/>
      <c r="AL926" s="15"/>
      <c r="AM926" s="15"/>
      <c r="AN926" s="24">
        <f t="shared" ref="AN926:AN930" si="494">SUM(AI926:AM926)</f>
        <v>0</v>
      </c>
      <c r="AO926" s="15"/>
      <c r="AP926" s="55"/>
      <c r="AQ926" s="55"/>
      <c r="AR926" s="55"/>
      <c r="AS926" s="67"/>
      <c r="AT926" s="24">
        <f t="shared" ref="AT926:AT930" si="495">SUM(AO926:AS926)</f>
        <v>0</v>
      </c>
      <c r="AU926" s="15"/>
      <c r="AV926" s="55"/>
      <c r="AW926" s="55"/>
      <c r="AX926" s="55"/>
      <c r="AY926" s="67"/>
      <c r="AZ926" s="24">
        <f t="shared" ref="AZ926:AZ930" si="496">SUM(AU926:AY926)</f>
        <v>0</v>
      </c>
      <c r="BA926" s="24">
        <f t="shared" ref="BA926:BA930" si="497">AH926+AN926+AT926+AZ926</f>
        <v>0</v>
      </c>
    </row>
    <row r="927" spans="1:56" ht="14.25" x14ac:dyDescent="0.15">
      <c r="A927" s="23" t="s">
        <v>539</v>
      </c>
      <c r="B927" s="14"/>
      <c r="C927" s="15"/>
      <c r="D927" s="15"/>
      <c r="E927" s="15">
        <v>-5</v>
      </c>
      <c r="F927" s="15"/>
      <c r="G927" s="24">
        <f t="shared" si="492"/>
        <v>-5</v>
      </c>
      <c r="H927" s="14"/>
      <c r="I927" s="15"/>
      <c r="J927" s="15"/>
      <c r="K927" s="15">
        <v>-3</v>
      </c>
      <c r="L927" s="15"/>
      <c r="M927" s="24">
        <f t="shared" si="466"/>
        <v>-3</v>
      </c>
      <c r="N927" s="15"/>
      <c r="O927" s="55"/>
      <c r="P927" s="55"/>
      <c r="Q927" s="55"/>
      <c r="R927" s="67">
        <v>-5</v>
      </c>
      <c r="S927" s="24">
        <f t="shared" si="467"/>
        <v>-5</v>
      </c>
      <c r="T927" s="15"/>
      <c r="U927" s="55"/>
      <c r="V927" s="55"/>
      <c r="W927" s="55"/>
      <c r="X927" s="67"/>
      <c r="Y927" s="24">
        <f t="shared" si="468"/>
        <v>0</v>
      </c>
      <c r="Z927" s="24">
        <f t="shared" si="469"/>
        <v>-13</v>
      </c>
      <c r="AA927" s="83">
        <v>44763</v>
      </c>
      <c r="AB927" s="180"/>
      <c r="AC927" s="14"/>
      <c r="AD927" s="15"/>
      <c r="AE927" s="15"/>
      <c r="AF927" s="15"/>
      <c r="AG927" s="15"/>
      <c r="AH927" s="24">
        <f t="shared" si="493"/>
        <v>0</v>
      </c>
      <c r="AI927" s="14"/>
      <c r="AJ927" s="15"/>
      <c r="AK927" s="15"/>
      <c r="AL927" s="15"/>
      <c r="AM927" s="15"/>
      <c r="AN927" s="24">
        <f t="shared" si="494"/>
        <v>0</v>
      </c>
      <c r="AO927" s="15"/>
      <c r="AP927" s="55"/>
      <c r="AQ927" s="55"/>
      <c r="AR927" s="55"/>
      <c r="AS927" s="67"/>
      <c r="AT927" s="24">
        <f t="shared" si="495"/>
        <v>0</v>
      </c>
      <c r="AU927" s="15"/>
      <c r="AV927" s="55"/>
      <c r="AW927" s="55"/>
      <c r="AX927" s="55"/>
      <c r="AY927" s="67"/>
      <c r="AZ927" s="24">
        <f t="shared" si="496"/>
        <v>0</v>
      </c>
      <c r="BA927" s="24">
        <f t="shared" si="497"/>
        <v>0</v>
      </c>
      <c r="BB927" s="190"/>
    </row>
    <row r="928" spans="1:56" ht="14.25" x14ac:dyDescent="0.15">
      <c r="A928" s="23" t="s">
        <v>48</v>
      </c>
      <c r="B928" s="44"/>
      <c r="C928" s="45"/>
      <c r="D928" s="45"/>
      <c r="E928" s="45"/>
      <c r="F928" s="45"/>
      <c r="G928" s="43">
        <f t="shared" si="492"/>
        <v>0</v>
      </c>
      <c r="H928" s="44"/>
      <c r="I928" s="45">
        <v>1</v>
      </c>
      <c r="J928" s="45"/>
      <c r="K928" s="45"/>
      <c r="L928" s="45">
        <v>1</v>
      </c>
      <c r="M928" s="43">
        <f t="shared" si="466"/>
        <v>2</v>
      </c>
      <c r="N928" s="42">
        <v>1</v>
      </c>
      <c r="O928" s="53"/>
      <c r="P928" s="53"/>
      <c r="Q928" s="53"/>
      <c r="R928" s="72"/>
      <c r="S928" s="24">
        <f t="shared" si="467"/>
        <v>1</v>
      </c>
      <c r="T928" s="42"/>
      <c r="U928" s="53"/>
      <c r="V928" s="53"/>
      <c r="W928" s="53"/>
      <c r="X928" s="72"/>
      <c r="Y928" s="24">
        <f t="shared" si="468"/>
        <v>0</v>
      </c>
      <c r="Z928" s="24">
        <f t="shared" si="469"/>
        <v>3</v>
      </c>
      <c r="AA928" s="93">
        <v>44762</v>
      </c>
      <c r="AB928" s="180"/>
      <c r="AC928" s="14"/>
      <c r="AD928" s="15"/>
      <c r="AE928" s="15"/>
      <c r="AF928" s="15"/>
      <c r="AG928" s="15"/>
      <c r="AH928" s="24">
        <f t="shared" si="493"/>
        <v>0</v>
      </c>
      <c r="AI928" s="14"/>
      <c r="AJ928" s="15"/>
      <c r="AK928" s="15"/>
      <c r="AL928" s="15"/>
      <c r="AM928" s="15"/>
      <c r="AN928" s="24">
        <f t="shared" si="494"/>
        <v>0</v>
      </c>
      <c r="AO928" s="15"/>
      <c r="AP928" s="55"/>
      <c r="AQ928" s="55"/>
      <c r="AR928" s="55"/>
      <c r="AS928" s="67"/>
      <c r="AT928" s="24">
        <f t="shared" si="495"/>
        <v>0</v>
      </c>
      <c r="AU928" s="15"/>
      <c r="AV928" s="55"/>
      <c r="AW928" s="55"/>
      <c r="AX928" s="55"/>
      <c r="AY928" s="67"/>
      <c r="AZ928" s="24">
        <f t="shared" si="496"/>
        <v>0</v>
      </c>
      <c r="BA928" s="24">
        <f t="shared" si="497"/>
        <v>0</v>
      </c>
      <c r="BB928" s="190"/>
    </row>
    <row r="929" spans="1:55" ht="14.25" x14ac:dyDescent="0.15">
      <c r="A929" s="23" t="s">
        <v>48</v>
      </c>
      <c r="B929" s="41"/>
      <c r="C929" s="42"/>
      <c r="D929" s="42"/>
      <c r="E929" s="42">
        <v>1</v>
      </c>
      <c r="F929" s="42"/>
      <c r="G929" s="43">
        <f t="shared" si="492"/>
        <v>1</v>
      </c>
      <c r="H929" s="41"/>
      <c r="I929" s="42"/>
      <c r="J929" s="42"/>
      <c r="K929" s="42"/>
      <c r="L929" s="42"/>
      <c r="M929" s="43">
        <f t="shared" si="466"/>
        <v>0</v>
      </c>
      <c r="N929" s="42"/>
      <c r="O929" s="53"/>
      <c r="P929" s="53"/>
      <c r="Q929" s="53"/>
      <c r="R929" s="72"/>
      <c r="S929" s="24">
        <f t="shared" si="467"/>
        <v>0</v>
      </c>
      <c r="T929" s="42"/>
      <c r="U929" s="53"/>
      <c r="V929" s="53"/>
      <c r="W929" s="53"/>
      <c r="X929" s="72"/>
      <c r="Y929" s="24">
        <f t="shared" si="468"/>
        <v>0</v>
      </c>
      <c r="Z929" s="24">
        <f t="shared" si="469"/>
        <v>1</v>
      </c>
      <c r="AA929" s="93">
        <v>44763</v>
      </c>
      <c r="AB929" s="180"/>
      <c r="AC929" s="14"/>
      <c r="AD929" s="15"/>
      <c r="AE929" s="15"/>
      <c r="AF929" s="15"/>
      <c r="AG929" s="15"/>
      <c r="AH929" s="24">
        <f t="shared" si="493"/>
        <v>0</v>
      </c>
      <c r="AI929" s="14"/>
      <c r="AJ929" s="15"/>
      <c r="AK929" s="15"/>
      <c r="AL929" s="15"/>
      <c r="AM929" s="15"/>
      <c r="AN929" s="24">
        <f t="shared" si="494"/>
        <v>0</v>
      </c>
      <c r="AO929" s="15"/>
      <c r="AP929" s="55"/>
      <c r="AQ929" s="55"/>
      <c r="AR929" s="55"/>
      <c r="AS929" s="67"/>
      <c r="AT929" s="24">
        <f t="shared" si="495"/>
        <v>0</v>
      </c>
      <c r="AU929" s="15"/>
      <c r="AV929" s="55"/>
      <c r="AW929" s="55"/>
      <c r="AX929" s="55"/>
      <c r="AY929" s="67"/>
      <c r="AZ929" s="24">
        <f t="shared" si="496"/>
        <v>0</v>
      </c>
      <c r="BA929" s="24">
        <f t="shared" si="497"/>
        <v>0</v>
      </c>
      <c r="BB929" s="190"/>
    </row>
    <row r="930" spans="1:55" ht="14.25" x14ac:dyDescent="0.15">
      <c r="A930" s="23" t="s">
        <v>48</v>
      </c>
      <c r="B930" s="41"/>
      <c r="C930" s="42"/>
      <c r="D930" s="42"/>
      <c r="E930" s="42">
        <f>1+1</f>
        <v>2</v>
      </c>
      <c r="F930" s="42"/>
      <c r="G930" s="43">
        <f t="shared" si="492"/>
        <v>2</v>
      </c>
      <c r="H930" s="41"/>
      <c r="I930" s="42"/>
      <c r="J930" s="42"/>
      <c r="K930" s="42"/>
      <c r="L930" s="42">
        <v>1</v>
      </c>
      <c r="M930" s="43">
        <f t="shared" si="466"/>
        <v>1</v>
      </c>
      <c r="N930" s="42"/>
      <c r="O930" s="53"/>
      <c r="P930" s="53"/>
      <c r="Q930" s="53"/>
      <c r="R930" s="72"/>
      <c r="S930" s="24">
        <f t="shared" si="467"/>
        <v>0</v>
      </c>
      <c r="T930" s="42"/>
      <c r="U930" s="53"/>
      <c r="V930" s="53"/>
      <c r="W930" s="53"/>
      <c r="X930" s="72"/>
      <c r="Y930" s="24">
        <f t="shared" si="468"/>
        <v>0</v>
      </c>
      <c r="Z930" s="24">
        <f t="shared" si="469"/>
        <v>3</v>
      </c>
      <c r="AA930" s="93">
        <v>44764</v>
      </c>
      <c r="AB930" s="180"/>
      <c r="AC930" s="14"/>
      <c r="AD930" s="15"/>
      <c r="AE930" s="15"/>
      <c r="AF930" s="15"/>
      <c r="AG930" s="15"/>
      <c r="AH930" s="24">
        <f t="shared" si="493"/>
        <v>0</v>
      </c>
      <c r="AI930" s="14"/>
      <c r="AJ930" s="15"/>
      <c r="AK930" s="15"/>
      <c r="AL930" s="15"/>
      <c r="AM930" s="15"/>
      <c r="AN930" s="24">
        <f t="shared" si="494"/>
        <v>0</v>
      </c>
      <c r="AO930" s="15"/>
      <c r="AP930" s="55"/>
      <c r="AQ930" s="55"/>
      <c r="AR930" s="55"/>
      <c r="AS930" s="67"/>
      <c r="AT930" s="24">
        <f t="shared" si="495"/>
        <v>0</v>
      </c>
      <c r="AU930" s="15"/>
      <c r="AV930" s="55"/>
      <c r="AW930" s="55"/>
      <c r="AX930" s="55"/>
      <c r="AY930" s="67"/>
      <c r="AZ930" s="24">
        <f t="shared" si="496"/>
        <v>0</v>
      </c>
      <c r="BA930" s="24">
        <f t="shared" si="497"/>
        <v>0</v>
      </c>
      <c r="BB930" s="190"/>
      <c r="BC930" s="111"/>
    </row>
    <row r="931" spans="1:55" ht="14.25" x14ac:dyDescent="0.15">
      <c r="A931" s="23"/>
      <c r="B931" s="41"/>
      <c r="C931" s="42"/>
      <c r="D931" s="42"/>
      <c r="E931" s="42"/>
      <c r="F931" s="42"/>
      <c r="G931" s="43">
        <f t="shared" si="492"/>
        <v>0</v>
      </c>
      <c r="H931" s="41"/>
      <c r="I931" s="42"/>
      <c r="J931" s="42"/>
      <c r="K931" s="42"/>
      <c r="L931" s="42"/>
      <c r="M931" s="43">
        <f t="shared" si="466"/>
        <v>0</v>
      </c>
      <c r="N931" s="42"/>
      <c r="O931" s="53"/>
      <c r="P931" s="53"/>
      <c r="Q931" s="53"/>
      <c r="R931" s="72"/>
      <c r="S931" s="24">
        <f>SUM(N931:R931)</f>
        <v>0</v>
      </c>
      <c r="T931" s="42"/>
      <c r="U931" s="53"/>
      <c r="V931" s="53"/>
      <c r="W931" s="53"/>
      <c r="X931" s="72"/>
      <c r="Y931" s="24">
        <f>SUM(T931:X931)</f>
        <v>0</v>
      </c>
      <c r="Z931" s="24">
        <f>G931+M931+S931+Y931</f>
        <v>0</v>
      </c>
      <c r="AB931" s="47" t="s">
        <v>521</v>
      </c>
      <c r="AC931" s="14"/>
      <c r="AD931" s="15"/>
      <c r="AE931" s="15"/>
      <c r="AF931" s="15"/>
      <c r="AG931" s="15"/>
      <c r="AH931" s="24">
        <f>SUM(AC931:AG931)</f>
        <v>0</v>
      </c>
      <c r="AI931" s="14"/>
      <c r="AJ931" s="15"/>
      <c r="AK931" s="15"/>
      <c r="AL931" s="15"/>
      <c r="AM931" s="15"/>
      <c r="AN931" s="24">
        <f>SUM(AI931:AM931)</f>
        <v>0</v>
      </c>
      <c r="AO931" s="15"/>
      <c r="AP931" s="55"/>
      <c r="AQ931" s="55"/>
      <c r="AR931" s="55"/>
      <c r="AS931" s="67"/>
      <c r="AT931" s="24">
        <f>SUM(AO931:AS931)</f>
        <v>0</v>
      </c>
      <c r="AU931" s="15"/>
      <c r="AV931" s="55"/>
      <c r="AW931" s="55"/>
      <c r="AX931" s="55"/>
      <c r="AY931" s="67"/>
      <c r="AZ931" s="24">
        <f>SUM(AU931:AY931)</f>
        <v>0</v>
      </c>
      <c r="BA931" s="24">
        <f>AH931+AN931+AT931+AZ931</f>
        <v>0</v>
      </c>
      <c r="BB931" s="128" t="s">
        <v>522</v>
      </c>
    </row>
    <row r="932" spans="1:55" ht="14.25" thickBot="1" x14ac:dyDescent="0.2">
      <c r="A932" s="182"/>
      <c r="B932" s="44"/>
      <c r="C932" s="45"/>
      <c r="D932" s="45"/>
      <c r="E932" s="45"/>
      <c r="F932" s="45"/>
      <c r="G932" s="43">
        <f t="shared" si="492"/>
        <v>0</v>
      </c>
      <c r="H932" s="44"/>
      <c r="I932" s="45"/>
      <c r="J932" s="45"/>
      <c r="K932" s="45"/>
      <c r="L932" s="45"/>
      <c r="M932" s="112">
        <f t="shared" si="466"/>
        <v>0</v>
      </c>
      <c r="N932" s="45"/>
      <c r="O932" s="78"/>
      <c r="P932" s="78"/>
      <c r="Q932" s="78"/>
      <c r="R932" s="79"/>
      <c r="S932" s="113">
        <f>SUM(N932:R932)</f>
        <v>0</v>
      </c>
      <c r="T932" s="45"/>
      <c r="U932" s="78"/>
      <c r="V932" s="78"/>
      <c r="W932" s="78"/>
      <c r="X932" s="79"/>
      <c r="Y932" s="113">
        <f>SUM(T932:X932)</f>
        <v>0</v>
      </c>
      <c r="Z932" s="82">
        <f>G932+M932+S932+Y932</f>
        <v>0</v>
      </c>
      <c r="AB932" s="47" t="s">
        <v>517</v>
      </c>
      <c r="AC932" s="14"/>
      <c r="AD932" s="15"/>
      <c r="AE932" s="15"/>
      <c r="AF932" s="15"/>
      <c r="AG932" s="15"/>
      <c r="AH932" s="24">
        <f>SUM(AC932:AG932)</f>
        <v>0</v>
      </c>
      <c r="AI932" s="14"/>
      <c r="AJ932" s="15"/>
      <c r="AK932" s="15"/>
      <c r="AL932" s="15"/>
      <c r="AM932" s="15"/>
      <c r="AN932" s="24">
        <f>SUM(AI932:AM932)</f>
        <v>0</v>
      </c>
      <c r="AO932" s="15"/>
      <c r="AP932" s="55"/>
      <c r="AQ932" s="55"/>
      <c r="AR932" s="55"/>
      <c r="AS932" s="67"/>
      <c r="AT932" s="24">
        <f>SUM(AO932:AS932)</f>
        <v>0</v>
      </c>
      <c r="AU932" s="15"/>
      <c r="AV932" s="55"/>
      <c r="AW932" s="55"/>
      <c r="AX932" s="55"/>
      <c r="AY932" s="67"/>
      <c r="AZ932" s="24">
        <f>SUM(AU932:AY932)</f>
        <v>0</v>
      </c>
      <c r="BA932" s="24">
        <f>AH932+AN932+AT932+AZ932</f>
        <v>0</v>
      </c>
      <c r="BB932" s="128" t="s">
        <v>518</v>
      </c>
    </row>
    <row r="933" spans="1:55" ht="15" thickBot="1" x14ac:dyDescent="0.2">
      <c r="A933" s="9" t="s">
        <v>13</v>
      </c>
      <c r="B933" s="25">
        <f>SUM(B907:B932)</f>
        <v>0</v>
      </c>
      <c r="C933" s="26">
        <f>SUM(C907:C932)</f>
        <v>4</v>
      </c>
      <c r="D933" s="26">
        <f>SUM(D907:D932)</f>
        <v>4</v>
      </c>
      <c r="E933" s="26">
        <f>SUM(E907:E932)</f>
        <v>6</v>
      </c>
      <c r="F933" s="27">
        <f>SUM(F907:F932)</f>
        <v>5</v>
      </c>
      <c r="G933" s="19">
        <f>SUM(B933:F933)</f>
        <v>19</v>
      </c>
      <c r="H933" s="25">
        <f>SUM(H907:H932)</f>
        <v>2</v>
      </c>
      <c r="I933" s="26">
        <f>SUM(I907:I932)</f>
        <v>1</v>
      </c>
      <c r="J933" s="26">
        <f>SUM(J907:J932)</f>
        <v>2</v>
      </c>
      <c r="K933" s="26">
        <f>SUM(K907:K932)</f>
        <v>-1</v>
      </c>
      <c r="L933" s="27">
        <f>SUM(L907:L932)</f>
        <v>3</v>
      </c>
      <c r="M933" s="25">
        <f>SUM(H933:L933)</f>
        <v>7</v>
      </c>
      <c r="N933" s="65">
        <f>SUM(N907:N932)</f>
        <v>2</v>
      </c>
      <c r="O933" s="18">
        <f>SUM(O907:O932)</f>
        <v>0</v>
      </c>
      <c r="P933" s="18">
        <f>SUM(P907:P932)</f>
        <v>0</v>
      </c>
      <c r="Q933" s="18">
        <f>SUM(Q907:Q932)</f>
        <v>1</v>
      </c>
      <c r="R933" s="70">
        <f>SUM(R907:R932)</f>
        <v>-2</v>
      </c>
      <c r="S933" s="49">
        <f>SUM(N933:R933)</f>
        <v>1</v>
      </c>
      <c r="T933" s="74">
        <f>SUM(T907:T932)</f>
        <v>1</v>
      </c>
      <c r="U933" s="18">
        <f>SUM(U907:U932)</f>
        <v>1</v>
      </c>
      <c r="V933" s="18">
        <f>SUM(V907:V932)</f>
        <v>2</v>
      </c>
      <c r="W933" s="18">
        <f>SUM(W907:W932)</f>
        <v>0</v>
      </c>
      <c r="X933" s="70">
        <f>SUM(X907:X932)</f>
        <v>1</v>
      </c>
      <c r="Y933" s="49">
        <f>SUM(T933:X933)</f>
        <v>5</v>
      </c>
      <c r="Z933" s="137">
        <f>G933+M933+S933+Y933</f>
        <v>32</v>
      </c>
      <c r="AB933" s="9" t="s">
        <v>13</v>
      </c>
      <c r="AC933" s="25">
        <f>SUM(AC907:AC932)</f>
        <v>1</v>
      </c>
      <c r="AD933" s="26">
        <f>SUM(AD907:AD932)</f>
        <v>0</v>
      </c>
      <c r="AE933" s="26">
        <f>SUM(AE907:AE932)</f>
        <v>27</v>
      </c>
      <c r="AF933" s="26">
        <f>SUM(AF907:AF932)</f>
        <v>19</v>
      </c>
      <c r="AG933" s="27">
        <f>SUM(AG907:AG932)</f>
        <v>16</v>
      </c>
      <c r="AH933" s="19">
        <f>SUM(AC933:AG933)</f>
        <v>63</v>
      </c>
      <c r="AI933" s="25">
        <f>SUM(AI907:AI932)</f>
        <v>7</v>
      </c>
      <c r="AJ933" s="26">
        <f>SUM(AJ907:AJ932)</f>
        <v>22</v>
      </c>
      <c r="AK933" s="26">
        <f>SUM(AK907:AK932)</f>
        <v>12</v>
      </c>
      <c r="AL933" s="26">
        <f>SUM(AL907:AL932)</f>
        <v>3</v>
      </c>
      <c r="AM933" s="27">
        <f>SUM(AM907:AM932)</f>
        <v>5</v>
      </c>
      <c r="AN933" s="25">
        <f>SUM(AI933:AM933)</f>
        <v>49</v>
      </c>
      <c r="AO933" s="65">
        <f>SUM(AO907:AO932)</f>
        <v>2</v>
      </c>
      <c r="AP933" s="18">
        <f>SUM(AP907:AP932)</f>
        <v>0</v>
      </c>
      <c r="AQ933" s="18">
        <f>SUM(AQ907:AQ932)</f>
        <v>3</v>
      </c>
      <c r="AR933" s="18">
        <f>SUM(AR907:AR932)</f>
        <v>3</v>
      </c>
      <c r="AS933" s="70">
        <f>SUM(AS907:AS932)</f>
        <v>5</v>
      </c>
      <c r="AT933" s="49">
        <f>SUM(AO933:AS933)</f>
        <v>13</v>
      </c>
      <c r="AU933" s="74">
        <f>SUM(AU907:AU932)</f>
        <v>0</v>
      </c>
      <c r="AV933" s="18">
        <f>SUM(AV907:AV932)</f>
        <v>0</v>
      </c>
      <c r="AW933" s="18">
        <f>SUM(AW907:AW932)</f>
        <v>1</v>
      </c>
      <c r="AX933" s="18">
        <f>SUM(AX907:AX932)</f>
        <v>1</v>
      </c>
      <c r="AY933" s="70">
        <f>SUM(AY907:AY932)</f>
        <v>1</v>
      </c>
      <c r="AZ933" s="49">
        <f>SUM(AU933:AY933)</f>
        <v>3</v>
      </c>
      <c r="BA933" s="77">
        <f>AH933+AN933+AT933+AZ933</f>
        <v>128</v>
      </c>
    </row>
    <row r="934" spans="1:55" ht="15" thickBot="1" x14ac:dyDescent="0.2">
      <c r="A934" s="32" t="s">
        <v>14</v>
      </c>
      <c r="B934" s="29">
        <f t="shared" ref="B934:Y934" si="498">B906-B933</f>
        <v>4</v>
      </c>
      <c r="C934" s="30">
        <f t="shared" si="498"/>
        <v>1</v>
      </c>
      <c r="D934" s="30">
        <f t="shared" si="498"/>
        <v>4</v>
      </c>
      <c r="E934" s="30">
        <f t="shared" si="498"/>
        <v>3</v>
      </c>
      <c r="F934" s="31">
        <f t="shared" si="498"/>
        <v>5</v>
      </c>
      <c r="G934" s="31">
        <f t="shared" si="498"/>
        <v>17</v>
      </c>
      <c r="H934" s="29">
        <f t="shared" si="498"/>
        <v>3</v>
      </c>
      <c r="I934" s="30">
        <f t="shared" si="498"/>
        <v>4</v>
      </c>
      <c r="J934" s="30">
        <f t="shared" si="498"/>
        <v>3</v>
      </c>
      <c r="K934" s="30">
        <f t="shared" si="498"/>
        <v>5</v>
      </c>
      <c r="L934" s="31">
        <f t="shared" si="498"/>
        <v>3</v>
      </c>
      <c r="M934" s="66">
        <f t="shared" si="498"/>
        <v>18</v>
      </c>
      <c r="N934" s="29">
        <f t="shared" si="498"/>
        <v>3</v>
      </c>
      <c r="O934" s="30">
        <f t="shared" si="498"/>
        <v>4</v>
      </c>
      <c r="P934" s="30">
        <f t="shared" si="498"/>
        <v>7</v>
      </c>
      <c r="Q934" s="30">
        <f t="shared" si="498"/>
        <v>5</v>
      </c>
      <c r="R934" s="66">
        <f t="shared" si="498"/>
        <v>7</v>
      </c>
      <c r="S934" s="33">
        <f t="shared" si="498"/>
        <v>26</v>
      </c>
      <c r="T934" s="75">
        <f t="shared" si="498"/>
        <v>3</v>
      </c>
      <c r="U934" s="30">
        <f t="shared" si="498"/>
        <v>5</v>
      </c>
      <c r="V934" s="30">
        <f t="shared" si="498"/>
        <v>4</v>
      </c>
      <c r="W934" s="30">
        <f t="shared" si="498"/>
        <v>6</v>
      </c>
      <c r="X934" s="66">
        <f t="shared" si="498"/>
        <v>5</v>
      </c>
      <c r="Y934" s="33">
        <f t="shared" si="498"/>
        <v>23</v>
      </c>
      <c r="Z934" s="77">
        <f>G934+M934+S934+Y934</f>
        <v>84</v>
      </c>
      <c r="AB934" s="32" t="s">
        <v>14</v>
      </c>
      <c r="AC934" s="29">
        <f t="shared" ref="AC934:AZ934" si="499">AC906-AC933</f>
        <v>80</v>
      </c>
      <c r="AD934" s="30">
        <f t="shared" si="499"/>
        <v>16</v>
      </c>
      <c r="AE934" s="30">
        <f t="shared" si="499"/>
        <v>23</v>
      </c>
      <c r="AF934" s="30">
        <f t="shared" si="499"/>
        <v>49</v>
      </c>
      <c r="AG934" s="31">
        <f t="shared" si="499"/>
        <v>40</v>
      </c>
      <c r="AH934" s="31">
        <f t="shared" si="499"/>
        <v>208</v>
      </c>
      <c r="AI934" s="29">
        <f t="shared" si="499"/>
        <v>42</v>
      </c>
      <c r="AJ934" s="30">
        <f t="shared" si="499"/>
        <v>25</v>
      </c>
      <c r="AK934" s="30">
        <f t="shared" si="499"/>
        <v>50</v>
      </c>
      <c r="AL934" s="30">
        <f t="shared" si="499"/>
        <v>56</v>
      </c>
      <c r="AM934" s="31">
        <f t="shared" si="499"/>
        <v>63</v>
      </c>
      <c r="AN934" s="66">
        <f t="shared" si="499"/>
        <v>236</v>
      </c>
      <c r="AO934" s="29">
        <f t="shared" si="499"/>
        <v>162</v>
      </c>
      <c r="AP934" s="30">
        <f t="shared" si="499"/>
        <v>141</v>
      </c>
      <c r="AQ934" s="30">
        <f t="shared" si="499"/>
        <v>130</v>
      </c>
      <c r="AR934" s="30">
        <f t="shared" si="499"/>
        <v>140</v>
      </c>
      <c r="AS934" s="66">
        <f t="shared" si="499"/>
        <v>152</v>
      </c>
      <c r="AT934" s="33">
        <f t="shared" si="499"/>
        <v>725</v>
      </c>
      <c r="AU934" s="75">
        <f t="shared" si="499"/>
        <v>119</v>
      </c>
      <c r="AV934" s="30">
        <f t="shared" si="499"/>
        <v>73</v>
      </c>
      <c r="AW934" s="30">
        <f t="shared" si="499"/>
        <v>65</v>
      </c>
      <c r="AX934" s="30">
        <f t="shared" si="499"/>
        <v>66</v>
      </c>
      <c r="AY934" s="66">
        <f t="shared" si="499"/>
        <v>109</v>
      </c>
      <c r="AZ934" s="33">
        <f t="shared" si="499"/>
        <v>432</v>
      </c>
      <c r="BA934" s="77">
        <f>AH934+AN934+AT934+AZ934</f>
        <v>1601</v>
      </c>
    </row>
    <row r="935" spans="1:55" x14ac:dyDescent="0.15">
      <c r="AC935" s="149">
        <f>AC933+AC894+AC855+AC816+AC777+AC738+AC699+AC660+AC621+AC582+AC543+AC504+AC465+AC426+AC387+AC350</f>
        <v>270</v>
      </c>
      <c r="AD935" s="149">
        <f t="shared" ref="AD935:BA935" si="500">AD933+AD894+AD855+AD816+AD777+AD738+AD699+AD660+AD621+AD582+AD543+AD504+AD465+AD426+AD387+AD350</f>
        <v>454</v>
      </c>
      <c r="AE935" s="149">
        <f t="shared" si="500"/>
        <v>464</v>
      </c>
      <c r="AF935" s="149">
        <f t="shared" si="500"/>
        <v>419</v>
      </c>
      <c r="AG935" s="149">
        <f t="shared" si="500"/>
        <v>449</v>
      </c>
      <c r="AH935" s="149">
        <f t="shared" si="500"/>
        <v>2056</v>
      </c>
      <c r="AI935" s="149">
        <f t="shared" si="500"/>
        <v>173</v>
      </c>
      <c r="AJ935" s="149">
        <f t="shared" si="500"/>
        <v>253</v>
      </c>
      <c r="AK935" s="149">
        <f t="shared" si="500"/>
        <v>218</v>
      </c>
      <c r="AL935" s="149">
        <f t="shared" si="500"/>
        <v>200</v>
      </c>
      <c r="AM935" s="149">
        <f t="shared" si="500"/>
        <v>195</v>
      </c>
      <c r="AN935" s="149">
        <f t="shared" si="500"/>
        <v>1039</v>
      </c>
      <c r="AO935" s="149">
        <f t="shared" si="500"/>
        <v>115</v>
      </c>
      <c r="AP935" s="149">
        <f t="shared" si="500"/>
        <v>182</v>
      </c>
      <c r="AQ935" s="149">
        <f t="shared" si="500"/>
        <v>146</v>
      </c>
      <c r="AR935" s="149">
        <f t="shared" si="500"/>
        <v>150</v>
      </c>
      <c r="AS935" s="149">
        <f t="shared" si="500"/>
        <v>164</v>
      </c>
      <c r="AT935" s="149">
        <f t="shared" si="500"/>
        <v>757</v>
      </c>
      <c r="AU935" s="149">
        <f t="shared" si="500"/>
        <v>80</v>
      </c>
      <c r="AV935" s="149">
        <f t="shared" si="500"/>
        <v>171</v>
      </c>
      <c r="AW935" s="149">
        <f t="shared" si="500"/>
        <v>168</v>
      </c>
      <c r="AX935" s="149">
        <f t="shared" si="500"/>
        <v>163</v>
      </c>
      <c r="AY935" s="149">
        <f t="shared" si="500"/>
        <v>173</v>
      </c>
      <c r="AZ935" s="149">
        <f t="shared" si="500"/>
        <v>755</v>
      </c>
      <c r="BA935" s="149">
        <f t="shared" si="500"/>
        <v>2750</v>
      </c>
    </row>
    <row r="936" spans="1:55" x14ac:dyDescent="0.15">
      <c r="AC936" s="196">
        <f>AC935/$AH$935*100</f>
        <v>13.132295719844359</v>
      </c>
      <c r="AD936" s="196">
        <f t="shared" ref="AD936:AH936" si="501">AD935/$AH$935*100</f>
        <v>22.081712062256809</v>
      </c>
      <c r="AE936" s="196">
        <f t="shared" si="501"/>
        <v>22.568093385214009</v>
      </c>
      <c r="AF936" s="196">
        <f t="shared" si="501"/>
        <v>20.379377431906615</v>
      </c>
      <c r="AG936" s="196">
        <f t="shared" si="501"/>
        <v>21.838521400778209</v>
      </c>
      <c r="AH936" s="196">
        <f t="shared" si="501"/>
        <v>100</v>
      </c>
      <c r="AU936" s="196">
        <f>AU935/$AZ$935*100</f>
        <v>10.596026490066226</v>
      </c>
      <c r="AV936" s="196">
        <f t="shared" ref="AV936:AZ936" si="502">AV935/$AZ$935*100</f>
        <v>22.649006622516556</v>
      </c>
      <c r="AW936" s="196">
        <f t="shared" si="502"/>
        <v>22.251655629139073</v>
      </c>
      <c r="AX936" s="196">
        <f t="shared" si="502"/>
        <v>21.589403973509931</v>
      </c>
      <c r="AY936" s="196">
        <f t="shared" si="502"/>
        <v>22.913907284768211</v>
      </c>
      <c r="AZ936" s="196">
        <f t="shared" si="502"/>
        <v>100</v>
      </c>
    </row>
    <row r="937" spans="1:55" ht="19.5" thickBot="1" x14ac:dyDescent="0.25">
      <c r="A937" s="1" t="s">
        <v>15</v>
      </c>
      <c r="AB937" s="1" t="s">
        <v>16</v>
      </c>
    </row>
    <row r="938" spans="1:55" ht="15" thickBot="1" x14ac:dyDescent="0.2">
      <c r="A938" s="4"/>
      <c r="B938" s="245" t="s">
        <v>17</v>
      </c>
      <c r="C938" s="246"/>
      <c r="D938" s="246"/>
      <c r="E938" s="246"/>
      <c r="F938" s="246"/>
      <c r="G938" s="247"/>
      <c r="H938" s="245" t="s">
        <v>18</v>
      </c>
      <c r="I938" s="246"/>
      <c r="J938" s="246"/>
      <c r="K938" s="246"/>
      <c r="L938" s="246"/>
      <c r="M938" s="247"/>
      <c r="N938" s="248" t="s">
        <v>27</v>
      </c>
      <c r="O938" s="249"/>
      <c r="P938" s="249"/>
      <c r="Q938" s="249"/>
      <c r="R938" s="249"/>
      <c r="S938" s="250"/>
      <c r="T938" s="248" t="s">
        <v>28</v>
      </c>
      <c r="U938" s="249"/>
      <c r="V938" s="249"/>
      <c r="W938" s="249"/>
      <c r="X938" s="249"/>
      <c r="Y938" s="250"/>
      <c r="Z938" s="251" t="s">
        <v>1</v>
      </c>
      <c r="AB938" s="4"/>
      <c r="AC938" s="253" t="s">
        <v>17</v>
      </c>
      <c r="AD938" s="249"/>
      <c r="AE938" s="249"/>
      <c r="AF938" s="249"/>
      <c r="AG938" s="249"/>
      <c r="AH938" s="250"/>
      <c r="AI938" s="248" t="s">
        <v>18</v>
      </c>
      <c r="AJ938" s="249"/>
      <c r="AK938" s="249"/>
      <c r="AL938" s="249"/>
      <c r="AM938" s="249"/>
      <c r="AN938" s="250"/>
      <c r="AO938" s="248" t="s">
        <v>27</v>
      </c>
      <c r="AP938" s="249"/>
      <c r="AQ938" s="249"/>
      <c r="AR938" s="249"/>
      <c r="AS938" s="249"/>
      <c r="AT938" s="250"/>
      <c r="AU938" s="248" t="s">
        <v>28</v>
      </c>
      <c r="AV938" s="249"/>
      <c r="AW938" s="249"/>
      <c r="AX938" s="249"/>
      <c r="AY938" s="249"/>
      <c r="AZ938" s="250"/>
      <c r="BA938" s="243" t="s">
        <v>1</v>
      </c>
    </row>
    <row r="939" spans="1:55" ht="15" thickBot="1" x14ac:dyDescent="0.2">
      <c r="A939" s="9" t="s">
        <v>2</v>
      </c>
      <c r="B939" s="6" t="s">
        <v>3</v>
      </c>
      <c r="C939" s="7" t="s">
        <v>4</v>
      </c>
      <c r="D939" s="7" t="s">
        <v>5</v>
      </c>
      <c r="E939" s="48" t="s">
        <v>20</v>
      </c>
      <c r="F939" s="8" t="s">
        <v>21</v>
      </c>
      <c r="G939" s="5" t="s">
        <v>6</v>
      </c>
      <c r="H939" s="6" t="s">
        <v>3</v>
      </c>
      <c r="I939" s="7" t="s">
        <v>4</v>
      </c>
      <c r="J939" s="7" t="s">
        <v>5</v>
      </c>
      <c r="K939" s="48" t="s">
        <v>20</v>
      </c>
      <c r="L939" s="8" t="s">
        <v>21</v>
      </c>
      <c r="M939" s="5" t="s">
        <v>6</v>
      </c>
      <c r="N939" s="6" t="s">
        <v>3</v>
      </c>
      <c r="O939" s="7" t="s">
        <v>4</v>
      </c>
      <c r="P939" s="7" t="s">
        <v>5</v>
      </c>
      <c r="Q939" s="48" t="s">
        <v>20</v>
      </c>
      <c r="R939" s="8" t="s">
        <v>21</v>
      </c>
      <c r="S939" s="5" t="s">
        <v>6</v>
      </c>
      <c r="T939" s="7" t="s">
        <v>3</v>
      </c>
      <c r="U939" s="7" t="s">
        <v>4</v>
      </c>
      <c r="V939" s="7" t="s">
        <v>5</v>
      </c>
      <c r="W939" s="48" t="s">
        <v>20</v>
      </c>
      <c r="X939" s="109" t="s">
        <v>21</v>
      </c>
      <c r="Y939" s="62" t="s">
        <v>6</v>
      </c>
      <c r="Z939" s="252"/>
      <c r="AB939" s="9" t="s">
        <v>2</v>
      </c>
      <c r="AC939" s="6" t="s">
        <v>3</v>
      </c>
      <c r="AD939" s="7" t="s">
        <v>4</v>
      </c>
      <c r="AE939" s="7" t="s">
        <v>5</v>
      </c>
      <c r="AF939" s="48" t="s">
        <v>20</v>
      </c>
      <c r="AG939" s="8" t="s">
        <v>21</v>
      </c>
      <c r="AH939" s="5" t="s">
        <v>6</v>
      </c>
      <c r="AI939" s="6" t="s">
        <v>3</v>
      </c>
      <c r="AJ939" s="7" t="s">
        <v>4</v>
      </c>
      <c r="AK939" s="7" t="s">
        <v>5</v>
      </c>
      <c r="AL939" s="48" t="s">
        <v>20</v>
      </c>
      <c r="AM939" s="8" t="s">
        <v>21</v>
      </c>
      <c r="AN939" s="5" t="s">
        <v>6</v>
      </c>
      <c r="AO939" s="6" t="s">
        <v>3</v>
      </c>
      <c r="AP939" s="7" t="s">
        <v>4</v>
      </c>
      <c r="AQ939" s="7" t="s">
        <v>5</v>
      </c>
      <c r="AR939" s="48" t="s">
        <v>20</v>
      </c>
      <c r="AS939" s="8" t="s">
        <v>21</v>
      </c>
      <c r="AT939" s="5" t="s">
        <v>6</v>
      </c>
      <c r="AU939" s="7" t="s">
        <v>3</v>
      </c>
      <c r="AV939" s="7" t="s">
        <v>4</v>
      </c>
      <c r="AW939" s="7" t="s">
        <v>5</v>
      </c>
      <c r="AX939" s="48" t="s">
        <v>20</v>
      </c>
      <c r="AY939" s="109" t="s">
        <v>21</v>
      </c>
      <c r="AZ939" s="62" t="s">
        <v>6</v>
      </c>
      <c r="BA939" s="244"/>
    </row>
    <row r="940" spans="1:55" ht="14.25" x14ac:dyDescent="0.15">
      <c r="A940" s="103" t="s">
        <v>43</v>
      </c>
      <c r="B940" s="104">
        <f>B934</f>
        <v>4</v>
      </c>
      <c r="C940" s="105">
        <f>C934</f>
        <v>1</v>
      </c>
      <c r="D940" s="105">
        <f>D934</f>
        <v>4</v>
      </c>
      <c r="E940" s="105">
        <f>E934</f>
        <v>3</v>
      </c>
      <c r="F940" s="105">
        <f>F934</f>
        <v>5</v>
      </c>
      <c r="G940" s="106">
        <f t="shared" ref="G940:G960" si="503">SUM(B940:F940)</f>
        <v>17</v>
      </c>
      <c r="H940" s="104">
        <f>H934</f>
        <v>3</v>
      </c>
      <c r="I940" s="105">
        <f>I934</f>
        <v>4</v>
      </c>
      <c r="J940" s="105">
        <f>J934</f>
        <v>3</v>
      </c>
      <c r="K940" s="105">
        <f>K934</f>
        <v>5</v>
      </c>
      <c r="L940" s="105">
        <f>L934</f>
        <v>3</v>
      </c>
      <c r="M940" s="107">
        <f t="shared" ref="M940:M971" si="504">SUM(H940:L940)</f>
        <v>18</v>
      </c>
      <c r="N940" s="104">
        <f>N934</f>
        <v>3</v>
      </c>
      <c r="O940" s="105">
        <f>O934</f>
        <v>4</v>
      </c>
      <c r="P940" s="105">
        <f>P934</f>
        <v>7</v>
      </c>
      <c r="Q940" s="105">
        <f>Q934</f>
        <v>5</v>
      </c>
      <c r="R940" s="105">
        <f>R934</f>
        <v>7</v>
      </c>
      <c r="S940" s="108">
        <f t="shared" ref="S940:S969" si="505">SUM(N940:R940)</f>
        <v>26</v>
      </c>
      <c r="T940" s="104">
        <f>T934</f>
        <v>3</v>
      </c>
      <c r="U940" s="105">
        <f>U934</f>
        <v>5</v>
      </c>
      <c r="V940" s="105">
        <f>V934</f>
        <v>4</v>
      </c>
      <c r="W940" s="105">
        <f>W934</f>
        <v>6</v>
      </c>
      <c r="X940" s="105">
        <f>X934</f>
        <v>5</v>
      </c>
      <c r="Y940" s="106">
        <f t="shared" ref="Y940:Y969" si="506">SUM(T940:X940)</f>
        <v>23</v>
      </c>
      <c r="Z940" s="106">
        <f t="shared" ref="Z940:Z969" si="507">G940+M940+S940+Y940</f>
        <v>84</v>
      </c>
      <c r="AB940" s="103" t="s">
        <v>43</v>
      </c>
      <c r="AC940" s="104">
        <f>AC934</f>
        <v>80</v>
      </c>
      <c r="AD940" s="105">
        <f>AD934</f>
        <v>16</v>
      </c>
      <c r="AE940" s="105">
        <f>AE934</f>
        <v>23</v>
      </c>
      <c r="AF940" s="105">
        <f>AF934</f>
        <v>49</v>
      </c>
      <c r="AG940" s="105">
        <f>AG934</f>
        <v>40</v>
      </c>
      <c r="AH940" s="106">
        <f>SUM(AC940:AG940)</f>
        <v>208</v>
      </c>
      <c r="AI940" s="104">
        <f>AI934</f>
        <v>42</v>
      </c>
      <c r="AJ940" s="105">
        <f>AJ934</f>
        <v>25</v>
      </c>
      <c r="AK940" s="105">
        <f>AK934</f>
        <v>50</v>
      </c>
      <c r="AL940" s="105">
        <f>AL934</f>
        <v>56</v>
      </c>
      <c r="AM940" s="105">
        <f>AM934</f>
        <v>63</v>
      </c>
      <c r="AN940" s="107">
        <f>SUM(AI940:AM940)</f>
        <v>236</v>
      </c>
      <c r="AO940" s="104">
        <f>AO934</f>
        <v>162</v>
      </c>
      <c r="AP940" s="105">
        <f>AP934</f>
        <v>141</v>
      </c>
      <c r="AQ940" s="105">
        <f>AQ934</f>
        <v>130</v>
      </c>
      <c r="AR940" s="105">
        <f>AR934</f>
        <v>140</v>
      </c>
      <c r="AS940" s="105">
        <f>AS934</f>
        <v>152</v>
      </c>
      <c r="AT940" s="108">
        <f>SUM(AO940:AS940)</f>
        <v>725</v>
      </c>
      <c r="AU940" s="104">
        <f>AU934</f>
        <v>119</v>
      </c>
      <c r="AV940" s="105">
        <f>AV934</f>
        <v>73</v>
      </c>
      <c r="AW940" s="105">
        <f>AW934</f>
        <v>65</v>
      </c>
      <c r="AX940" s="105">
        <f>AX934</f>
        <v>66</v>
      </c>
      <c r="AY940" s="105">
        <f>AY934</f>
        <v>109</v>
      </c>
      <c r="AZ940" s="106">
        <f>SUM(AU940:AY940)</f>
        <v>432</v>
      </c>
      <c r="BA940" s="106">
        <f>AH940+AN940+AT940+AZ940</f>
        <v>1601</v>
      </c>
    </row>
    <row r="941" spans="1:55" ht="14.25" x14ac:dyDescent="0.15">
      <c r="A941" s="10" t="s">
        <v>181</v>
      </c>
      <c r="B941" s="14"/>
      <c r="C941" s="15"/>
      <c r="D941" s="15"/>
      <c r="E941" s="15">
        <v>3</v>
      </c>
      <c r="F941" s="15">
        <v>3</v>
      </c>
      <c r="G941" s="16">
        <f t="shared" si="503"/>
        <v>6</v>
      </c>
      <c r="H941" s="14">
        <v>3</v>
      </c>
      <c r="I941" s="15"/>
      <c r="J941" s="15">
        <v>3</v>
      </c>
      <c r="K941" s="15"/>
      <c r="L941" s="15">
        <v>5</v>
      </c>
      <c r="M941" s="57">
        <f t="shared" si="504"/>
        <v>11</v>
      </c>
      <c r="N941" s="14">
        <v>3</v>
      </c>
      <c r="O941" s="55"/>
      <c r="P941" s="55"/>
      <c r="Q941" s="55"/>
      <c r="R941" s="67"/>
      <c r="S941" s="24">
        <f t="shared" si="505"/>
        <v>3</v>
      </c>
      <c r="T941" s="15">
        <v>3</v>
      </c>
      <c r="U941" s="55"/>
      <c r="V941" s="55"/>
      <c r="W941" s="55"/>
      <c r="X941" s="67"/>
      <c r="Y941" s="24">
        <f t="shared" si="506"/>
        <v>3</v>
      </c>
      <c r="Z941" s="24">
        <f t="shared" si="507"/>
        <v>23</v>
      </c>
      <c r="AA941" s="83">
        <v>44767</v>
      </c>
      <c r="AB941" s="10" t="s">
        <v>80</v>
      </c>
      <c r="AC941" s="41"/>
      <c r="AD941" s="42"/>
      <c r="AE941" s="42">
        <v>1</v>
      </c>
      <c r="AF941" s="42"/>
      <c r="AG941" s="42"/>
      <c r="AH941" s="37">
        <f t="shared" ref="AH941" si="508">SUM(AC941:AG941)</f>
        <v>1</v>
      </c>
      <c r="AI941" s="41"/>
      <c r="AJ941" s="42"/>
      <c r="AK941" s="42"/>
      <c r="AL941" s="42"/>
      <c r="AM941" s="42"/>
      <c r="AN941" s="114">
        <f t="shared" ref="AN941" si="509">SUM(AI941:AM941)</f>
        <v>0</v>
      </c>
      <c r="AO941" s="41">
        <v>1</v>
      </c>
      <c r="AP941" s="53"/>
      <c r="AQ941" s="53"/>
      <c r="AR941" s="53"/>
      <c r="AS941" s="72"/>
      <c r="AT941" s="24">
        <f t="shared" ref="AT941" si="510">SUM(AO941:AS941)</f>
        <v>1</v>
      </c>
      <c r="AU941" s="42"/>
      <c r="AV941" s="53"/>
      <c r="AW941" s="53">
        <v>1</v>
      </c>
      <c r="AX941" s="53"/>
      <c r="AY941" s="72"/>
      <c r="AZ941" s="24">
        <f t="shared" ref="AZ941" si="511">SUM(AU941:AY941)</f>
        <v>1</v>
      </c>
      <c r="BA941" s="24">
        <f t="shared" ref="BA941" si="512">AH941+AN941+AT941+AZ941</f>
        <v>3</v>
      </c>
      <c r="BB941" s="83">
        <v>44772</v>
      </c>
    </row>
    <row r="942" spans="1:55" ht="14.25" x14ac:dyDescent="0.15">
      <c r="A942" s="10" t="s">
        <v>77</v>
      </c>
      <c r="B942" s="41"/>
      <c r="C942" s="42"/>
      <c r="D942" s="42">
        <v>1</v>
      </c>
      <c r="E942" s="42"/>
      <c r="F942" s="42"/>
      <c r="G942" s="37">
        <f t="shared" si="503"/>
        <v>1</v>
      </c>
      <c r="H942" s="41">
        <v>2</v>
      </c>
      <c r="I942" s="42"/>
      <c r="J942" s="42"/>
      <c r="K942" s="42"/>
      <c r="L942" s="42"/>
      <c r="M942" s="114">
        <f t="shared" si="504"/>
        <v>2</v>
      </c>
      <c r="N942" s="41">
        <v>1</v>
      </c>
      <c r="O942" s="53"/>
      <c r="P942" s="53"/>
      <c r="Q942" s="53"/>
      <c r="R942" s="72"/>
      <c r="S942" s="24">
        <f t="shared" si="505"/>
        <v>1</v>
      </c>
      <c r="T942" s="42"/>
      <c r="U942" s="53"/>
      <c r="V942" s="53">
        <v>1</v>
      </c>
      <c r="W942" s="53"/>
      <c r="X942" s="72"/>
      <c r="Y942" s="24">
        <f t="shared" si="506"/>
        <v>1</v>
      </c>
      <c r="Z942" s="24">
        <f t="shared" si="507"/>
        <v>5</v>
      </c>
      <c r="AA942" s="83">
        <v>44771</v>
      </c>
      <c r="AB942" s="10" t="s">
        <v>181</v>
      </c>
      <c r="AC942" s="14"/>
      <c r="AD942" s="15"/>
      <c r="AE942" s="15"/>
      <c r="AF942" s="15"/>
      <c r="AG942" s="15"/>
      <c r="AH942" s="43">
        <f t="shared" ref="AH942:AH944" si="513">SUM(AC942:AG942)</f>
        <v>0</v>
      </c>
      <c r="AI942" s="14"/>
      <c r="AJ942" s="15"/>
      <c r="AK942" s="15"/>
      <c r="AL942" s="15"/>
      <c r="AM942" s="15"/>
      <c r="AN942" s="43">
        <f t="shared" ref="AN942:AN944" si="514">SUM(AI942:AM942)</f>
        <v>0</v>
      </c>
      <c r="AO942" s="14"/>
      <c r="AP942" s="55"/>
      <c r="AQ942" s="55"/>
      <c r="AR942" s="55"/>
      <c r="AS942" s="67"/>
      <c r="AT942" s="24">
        <f t="shared" ref="AT942:AT944" si="515">SUM(AO942:AS942)</f>
        <v>0</v>
      </c>
      <c r="AU942" s="15"/>
      <c r="AV942" s="55"/>
      <c r="AW942" s="55"/>
      <c r="AX942" s="55"/>
      <c r="AY942" s="67"/>
      <c r="AZ942" s="24">
        <f t="shared" ref="AZ942:AZ944" si="516">SUM(AU942:AY942)</f>
        <v>0</v>
      </c>
      <c r="BA942" s="24">
        <f t="shared" ref="BA942:BA955" si="517">AH942+AN942+AT942+AZ942</f>
        <v>0</v>
      </c>
    </row>
    <row r="943" spans="1:55" ht="14.25" x14ac:dyDescent="0.15">
      <c r="A943" s="10" t="s">
        <v>181</v>
      </c>
      <c r="B943" s="14"/>
      <c r="C943" s="15"/>
      <c r="D943" s="15"/>
      <c r="E943" s="15"/>
      <c r="F943" s="15"/>
      <c r="G943" s="16">
        <f t="shared" si="503"/>
        <v>0</v>
      </c>
      <c r="H943" s="14"/>
      <c r="I943" s="15">
        <v>5</v>
      </c>
      <c r="J943" s="15"/>
      <c r="K943" s="15"/>
      <c r="L943" s="15"/>
      <c r="M943" s="57">
        <f t="shared" si="504"/>
        <v>5</v>
      </c>
      <c r="N943" s="14"/>
      <c r="O943" s="55"/>
      <c r="P943" s="55"/>
      <c r="Q943" s="55"/>
      <c r="R943" s="67"/>
      <c r="S943" s="24">
        <f t="shared" si="505"/>
        <v>0</v>
      </c>
      <c r="T943" s="15"/>
      <c r="U943" s="55"/>
      <c r="V943" s="55"/>
      <c r="W943" s="55"/>
      <c r="X943" s="67"/>
      <c r="Y943" s="24">
        <f t="shared" si="506"/>
        <v>0</v>
      </c>
      <c r="Z943" s="24">
        <f t="shared" si="507"/>
        <v>5</v>
      </c>
      <c r="AA943" s="83">
        <v>44791</v>
      </c>
      <c r="AB943" s="10" t="s">
        <v>181</v>
      </c>
      <c r="AC943" s="41"/>
      <c r="AD943" s="42"/>
      <c r="AE943" s="42"/>
      <c r="AF943" s="42"/>
      <c r="AG943" s="42"/>
      <c r="AH943" s="43">
        <f t="shared" si="513"/>
        <v>0</v>
      </c>
      <c r="AI943" s="41"/>
      <c r="AJ943" s="42"/>
      <c r="AK943" s="42"/>
      <c r="AL943" s="42"/>
      <c r="AM943" s="42"/>
      <c r="AN943" s="43">
        <f t="shared" si="514"/>
        <v>0</v>
      </c>
      <c r="AO943" s="42"/>
      <c r="AP943" s="53"/>
      <c r="AQ943" s="53"/>
      <c r="AR943" s="53"/>
      <c r="AS943" s="72"/>
      <c r="AT943" s="24">
        <f t="shared" si="515"/>
        <v>0</v>
      </c>
      <c r="AU943" s="42"/>
      <c r="AV943" s="53"/>
      <c r="AW943" s="53"/>
      <c r="AX943" s="53"/>
      <c r="AY943" s="72"/>
      <c r="AZ943" s="24">
        <f t="shared" si="516"/>
        <v>0</v>
      </c>
      <c r="BA943" s="24">
        <f t="shared" si="517"/>
        <v>0</v>
      </c>
    </row>
    <row r="944" spans="1:55" ht="15" thickBot="1" x14ac:dyDescent="0.2">
      <c r="A944" s="138" t="s">
        <v>557</v>
      </c>
      <c r="B944" s="139">
        <v>0</v>
      </c>
      <c r="C944" s="140">
        <v>0</v>
      </c>
      <c r="D944" s="140">
        <v>0</v>
      </c>
      <c r="E944" s="140">
        <v>0</v>
      </c>
      <c r="F944" s="140">
        <v>0</v>
      </c>
      <c r="G944" s="141">
        <f t="shared" si="503"/>
        <v>0</v>
      </c>
      <c r="H944" s="139">
        <v>0</v>
      </c>
      <c r="I944" s="140">
        <v>0</v>
      </c>
      <c r="J944" s="140">
        <v>0</v>
      </c>
      <c r="K944" s="140">
        <v>-1</v>
      </c>
      <c r="L944" s="140">
        <v>0</v>
      </c>
      <c r="M944" s="142">
        <f t="shared" si="504"/>
        <v>-1</v>
      </c>
      <c r="N944" s="143">
        <v>0</v>
      </c>
      <c r="O944" s="144">
        <v>0</v>
      </c>
      <c r="P944" s="144">
        <v>0</v>
      </c>
      <c r="Q944" s="144">
        <v>0</v>
      </c>
      <c r="R944" s="145">
        <v>0</v>
      </c>
      <c r="S944" s="146">
        <f t="shared" si="505"/>
        <v>0</v>
      </c>
      <c r="T944" s="147">
        <v>0</v>
      </c>
      <c r="U944" s="144">
        <v>0</v>
      </c>
      <c r="V944" s="144">
        <v>-1</v>
      </c>
      <c r="W944" s="144">
        <v>0</v>
      </c>
      <c r="X944" s="145">
        <v>0</v>
      </c>
      <c r="Y944" s="146">
        <f t="shared" si="506"/>
        <v>-1</v>
      </c>
      <c r="Z944" s="146">
        <f t="shared" si="507"/>
        <v>-2</v>
      </c>
      <c r="AA944" s="197">
        <v>44797</v>
      </c>
      <c r="AB944" s="10" t="s">
        <v>181</v>
      </c>
      <c r="AC944" s="14"/>
      <c r="AD944" s="15"/>
      <c r="AE944" s="15"/>
      <c r="AF944" s="15"/>
      <c r="AG944" s="15"/>
      <c r="AH944" s="43">
        <f t="shared" si="513"/>
        <v>0</v>
      </c>
      <c r="AI944" s="14"/>
      <c r="AJ944" s="15"/>
      <c r="AK944" s="15"/>
      <c r="AL944" s="15"/>
      <c r="AM944" s="15"/>
      <c r="AN944" s="43">
        <f t="shared" si="514"/>
        <v>0</v>
      </c>
      <c r="AO944" s="63"/>
      <c r="AP944" s="64"/>
      <c r="AQ944" s="64"/>
      <c r="AR944" s="64"/>
      <c r="AS944" s="69"/>
      <c r="AT944" s="24">
        <f t="shared" si="515"/>
        <v>0</v>
      </c>
      <c r="AU944" s="73"/>
      <c r="AV944" s="64"/>
      <c r="AW944" s="64"/>
      <c r="AX944" s="64"/>
      <c r="AY944" s="69"/>
      <c r="AZ944" s="24">
        <f t="shared" si="516"/>
        <v>0</v>
      </c>
      <c r="BA944" s="24">
        <f t="shared" si="517"/>
        <v>0</v>
      </c>
    </row>
    <row r="945" spans="1:55" ht="15" thickBot="1" x14ac:dyDescent="0.2">
      <c r="A945" s="4" t="s">
        <v>12</v>
      </c>
      <c r="B945" s="17">
        <f>SUM(B940:B944)</f>
        <v>4</v>
      </c>
      <c r="C945" s="18">
        <f>SUM(C940:C944)</f>
        <v>1</v>
      </c>
      <c r="D945" s="18">
        <f>SUM(D940:D944)</f>
        <v>5</v>
      </c>
      <c r="E945" s="18">
        <f>SUM(E940:E944)</f>
        <v>6</v>
      </c>
      <c r="F945" s="18">
        <f>SUM(F940:F944)</f>
        <v>8</v>
      </c>
      <c r="G945" s="19">
        <f t="shared" si="503"/>
        <v>24</v>
      </c>
      <c r="H945" s="17">
        <f>SUM(H940:H944)</f>
        <v>8</v>
      </c>
      <c r="I945" s="18">
        <f>SUM(I940:I944)</f>
        <v>9</v>
      </c>
      <c r="J945" s="18">
        <f>SUM(J940:J944)</f>
        <v>6</v>
      </c>
      <c r="K945" s="18">
        <f>SUM(K940:K944)</f>
        <v>4</v>
      </c>
      <c r="L945" s="18">
        <f>SUM(L940:L944)</f>
        <v>8</v>
      </c>
      <c r="M945" s="25">
        <f t="shared" si="504"/>
        <v>35</v>
      </c>
      <c r="N945" s="65">
        <f>SUM(N940:N944)</f>
        <v>7</v>
      </c>
      <c r="O945" s="18">
        <f>SUM(O940:O944)</f>
        <v>4</v>
      </c>
      <c r="P945" s="18">
        <f>SUM(P940:P944)</f>
        <v>7</v>
      </c>
      <c r="Q945" s="18">
        <f>SUM(Q940:Q944)</f>
        <v>5</v>
      </c>
      <c r="R945" s="70">
        <f>SUM(R940:R944)</f>
        <v>7</v>
      </c>
      <c r="S945" s="49">
        <f t="shared" si="505"/>
        <v>30</v>
      </c>
      <c r="T945" s="74">
        <f>SUM(T940:T944)</f>
        <v>6</v>
      </c>
      <c r="U945" s="18">
        <f>SUM(U940:U944)</f>
        <v>5</v>
      </c>
      <c r="V945" s="18">
        <f>SUM(V940:V944)</f>
        <v>4</v>
      </c>
      <c r="W945" s="18">
        <f>SUM(W940:W944)</f>
        <v>6</v>
      </c>
      <c r="X945" s="70">
        <f>SUM(X940:X944)</f>
        <v>5</v>
      </c>
      <c r="Y945" s="49">
        <f t="shared" si="506"/>
        <v>26</v>
      </c>
      <c r="Z945" s="33">
        <f t="shared" si="507"/>
        <v>115</v>
      </c>
      <c r="AB945" s="4" t="s">
        <v>12</v>
      </c>
      <c r="AC945" s="17">
        <f>SUM(AC940:AC944)</f>
        <v>80</v>
      </c>
      <c r="AD945" s="18">
        <f>SUM(AD940:AD944)</f>
        <v>16</v>
      </c>
      <c r="AE945" s="18">
        <f>SUM(AE940:AE944)</f>
        <v>24</v>
      </c>
      <c r="AF945" s="18">
        <f>SUM(AF940:AF944)</f>
        <v>49</v>
      </c>
      <c r="AG945" s="18">
        <f>SUM(AG940:AG944)</f>
        <v>40</v>
      </c>
      <c r="AH945" s="148">
        <f t="shared" ref="AH945:AH955" si="518">SUM(AC945:AG945)</f>
        <v>209</v>
      </c>
      <c r="AI945" s="17">
        <f>SUM(AI940:AI944)</f>
        <v>42</v>
      </c>
      <c r="AJ945" s="18">
        <f>SUM(AJ940:AJ944)</f>
        <v>25</v>
      </c>
      <c r="AK945" s="18">
        <f>SUM(AK940:AK944)</f>
        <v>50</v>
      </c>
      <c r="AL945" s="18">
        <f>SUM(AL940:AL944)</f>
        <v>56</v>
      </c>
      <c r="AM945" s="18">
        <f>SUM(AM940:AM944)</f>
        <v>63</v>
      </c>
      <c r="AN945" s="148">
        <f t="shared" ref="AN945:AN955" si="519">SUM(AI945:AM945)</f>
        <v>236</v>
      </c>
      <c r="AO945" s="65">
        <f>SUM(AO940:AO944)</f>
        <v>163</v>
      </c>
      <c r="AP945" s="18">
        <f>SUM(AP940:AP944)</f>
        <v>141</v>
      </c>
      <c r="AQ945" s="18">
        <f>SUM(AQ940:AQ944)</f>
        <v>130</v>
      </c>
      <c r="AR945" s="18">
        <f>SUM(AR940:AR944)</f>
        <v>140</v>
      </c>
      <c r="AS945" s="70">
        <f>SUM(AS940:AS944)</f>
        <v>152</v>
      </c>
      <c r="AT945" s="49">
        <f t="shared" ref="AT945:AT955" si="520">SUM(AO945:AS945)</f>
        <v>726</v>
      </c>
      <c r="AU945" s="74">
        <f>SUM(AU940:AU944)</f>
        <v>119</v>
      </c>
      <c r="AV945" s="18">
        <f>SUM(AV940:AV944)</f>
        <v>73</v>
      </c>
      <c r="AW945" s="18">
        <f>SUM(AW940:AW944)</f>
        <v>66</v>
      </c>
      <c r="AX945" s="18">
        <f>SUM(AX940:AX944)</f>
        <v>66</v>
      </c>
      <c r="AY945" s="70">
        <f>SUM(AY940:AY944)</f>
        <v>109</v>
      </c>
      <c r="AZ945" s="49">
        <f t="shared" ref="AZ945:AZ955" si="521">SUM(AU945:AY945)</f>
        <v>433</v>
      </c>
      <c r="BA945" s="33">
        <f t="shared" si="517"/>
        <v>1604</v>
      </c>
    </row>
    <row r="946" spans="1:55" ht="14.25" x14ac:dyDescent="0.15">
      <c r="A946" s="23" t="s">
        <v>48</v>
      </c>
      <c r="B946" s="34"/>
      <c r="C946" s="35"/>
      <c r="D946" s="35"/>
      <c r="E946" s="35">
        <v>1</v>
      </c>
      <c r="F946" s="35"/>
      <c r="G946" s="36">
        <f t="shared" si="503"/>
        <v>1</v>
      </c>
      <c r="H946" s="34"/>
      <c r="I946" s="35">
        <v>1</v>
      </c>
      <c r="J946" s="35"/>
      <c r="K946" s="35"/>
      <c r="L946" s="35"/>
      <c r="M946" s="36">
        <f t="shared" si="504"/>
        <v>1</v>
      </c>
      <c r="N946" s="39"/>
      <c r="O946" s="56"/>
      <c r="P946" s="56"/>
      <c r="Q946" s="56"/>
      <c r="R946" s="71"/>
      <c r="S946" s="16">
        <f t="shared" si="505"/>
        <v>0</v>
      </c>
      <c r="T946" s="39"/>
      <c r="U946" s="56"/>
      <c r="V946" s="56"/>
      <c r="W946" s="56"/>
      <c r="X946" s="71"/>
      <c r="Y946" s="16">
        <f t="shared" si="506"/>
        <v>0</v>
      </c>
      <c r="Z946" s="16">
        <f t="shared" si="507"/>
        <v>2</v>
      </c>
      <c r="AA946" s="83">
        <v>44767</v>
      </c>
      <c r="AB946" s="23" t="s">
        <v>541</v>
      </c>
      <c r="AC946" s="14"/>
      <c r="AD946" s="15"/>
      <c r="AE946" s="15"/>
      <c r="AF946" s="15">
        <v>3</v>
      </c>
      <c r="AG946" s="15">
        <v>3</v>
      </c>
      <c r="AH946" s="24">
        <f t="shared" si="518"/>
        <v>6</v>
      </c>
      <c r="AI946" s="14">
        <v>3</v>
      </c>
      <c r="AJ946" s="15"/>
      <c r="AK946" s="15">
        <v>3</v>
      </c>
      <c r="AL946" s="15"/>
      <c r="AM946" s="15">
        <v>5</v>
      </c>
      <c r="AN946" s="24">
        <f t="shared" si="519"/>
        <v>11</v>
      </c>
      <c r="AO946" s="15">
        <v>3</v>
      </c>
      <c r="AP946" s="55"/>
      <c r="AQ946" s="55"/>
      <c r="AR946" s="55"/>
      <c r="AS946" s="67"/>
      <c r="AT946" s="24">
        <f t="shared" si="520"/>
        <v>3</v>
      </c>
      <c r="AU946" s="15">
        <v>3</v>
      </c>
      <c r="AV946" s="55"/>
      <c r="AW946" s="55"/>
      <c r="AX946" s="55"/>
      <c r="AY946" s="67"/>
      <c r="AZ946" s="24">
        <f t="shared" si="521"/>
        <v>3</v>
      </c>
      <c r="BA946" s="24">
        <f t="shared" si="517"/>
        <v>23</v>
      </c>
      <c r="BB946" s="83">
        <v>44767</v>
      </c>
    </row>
    <row r="947" spans="1:55" ht="14.25" x14ac:dyDescent="0.15">
      <c r="A947" s="23" t="s">
        <v>48</v>
      </c>
      <c r="B947" s="14"/>
      <c r="C947" s="15"/>
      <c r="D947" s="15"/>
      <c r="E947" s="15"/>
      <c r="F947" s="15"/>
      <c r="G947" s="24">
        <f t="shared" si="503"/>
        <v>0</v>
      </c>
      <c r="H947" s="14"/>
      <c r="I947" s="15">
        <v>1</v>
      </c>
      <c r="J947" s="15"/>
      <c r="K947" s="15"/>
      <c r="L947" s="15"/>
      <c r="M947" s="24">
        <f t="shared" si="504"/>
        <v>1</v>
      </c>
      <c r="N947" s="15"/>
      <c r="O947" s="55"/>
      <c r="P947" s="55"/>
      <c r="Q947" s="55"/>
      <c r="R947" s="67"/>
      <c r="S947" s="24">
        <f t="shared" si="505"/>
        <v>0</v>
      </c>
      <c r="T947" s="15"/>
      <c r="U947" s="55"/>
      <c r="V947" s="55"/>
      <c r="W947" s="55"/>
      <c r="X947" s="67"/>
      <c r="Y947" s="24">
        <f t="shared" si="506"/>
        <v>0</v>
      </c>
      <c r="Z947" s="24">
        <f t="shared" si="507"/>
        <v>1</v>
      </c>
      <c r="AA947" s="93">
        <v>44768</v>
      </c>
      <c r="AB947" s="23" t="s">
        <v>542</v>
      </c>
      <c r="AC947" s="41"/>
      <c r="AD947" s="42">
        <v>1</v>
      </c>
      <c r="AE947" s="42">
        <v>1</v>
      </c>
      <c r="AF947" s="42"/>
      <c r="AG947" s="42"/>
      <c r="AH947" s="37">
        <f t="shared" si="518"/>
        <v>2</v>
      </c>
      <c r="AI947" s="41"/>
      <c r="AJ947" s="42"/>
      <c r="AK947" s="42"/>
      <c r="AL947" s="42"/>
      <c r="AM947" s="42"/>
      <c r="AN947" s="114">
        <f t="shared" si="519"/>
        <v>0</v>
      </c>
      <c r="AO947" s="41"/>
      <c r="AP947" s="53"/>
      <c r="AQ947" s="53"/>
      <c r="AR947" s="53"/>
      <c r="AS947" s="72"/>
      <c r="AT947" s="24">
        <f t="shared" si="520"/>
        <v>0</v>
      </c>
      <c r="AU947" s="42"/>
      <c r="AV947" s="53">
        <v>1</v>
      </c>
      <c r="AW947" s="53"/>
      <c r="AX947" s="53"/>
      <c r="AY947" s="72"/>
      <c r="AZ947" s="24">
        <f t="shared" si="521"/>
        <v>1</v>
      </c>
      <c r="BA947" s="24">
        <f t="shared" si="517"/>
        <v>3</v>
      </c>
      <c r="BB947" s="83">
        <v>44768</v>
      </c>
      <c r="BC947" s="111"/>
    </row>
    <row r="948" spans="1:55" ht="14.25" x14ac:dyDescent="0.15">
      <c r="A948" s="23" t="s">
        <v>48</v>
      </c>
      <c r="B948" s="41"/>
      <c r="C948" s="42"/>
      <c r="D948" s="42"/>
      <c r="E948" s="42"/>
      <c r="F948" s="42"/>
      <c r="G948" s="43">
        <f t="shared" si="503"/>
        <v>0</v>
      </c>
      <c r="H948" s="41"/>
      <c r="I948" s="42">
        <v>1</v>
      </c>
      <c r="J948" s="42"/>
      <c r="K948" s="42"/>
      <c r="L948" s="42"/>
      <c r="M948" s="43">
        <f t="shared" si="504"/>
        <v>1</v>
      </c>
      <c r="N948" s="42"/>
      <c r="O948" s="53"/>
      <c r="P948" s="53"/>
      <c r="Q948" s="53"/>
      <c r="R948" s="72"/>
      <c r="S948" s="24">
        <f t="shared" si="505"/>
        <v>0</v>
      </c>
      <c r="T948" s="42"/>
      <c r="U948" s="53"/>
      <c r="V948" s="53"/>
      <c r="W948" s="53"/>
      <c r="X948" s="72"/>
      <c r="Y948" s="24">
        <f t="shared" si="506"/>
        <v>0</v>
      </c>
      <c r="Z948" s="24">
        <f t="shared" si="507"/>
        <v>1</v>
      </c>
      <c r="AA948" s="93">
        <v>44769</v>
      </c>
      <c r="AB948" s="23" t="s">
        <v>438</v>
      </c>
      <c r="AC948" s="41">
        <v>1</v>
      </c>
      <c r="AD948" s="42"/>
      <c r="AE948" s="42"/>
      <c r="AF948" s="42">
        <v>1</v>
      </c>
      <c r="AG948" s="42"/>
      <c r="AH948" s="43">
        <f t="shared" si="518"/>
        <v>2</v>
      </c>
      <c r="AI948" s="41"/>
      <c r="AJ948" s="42"/>
      <c r="AK948" s="42"/>
      <c r="AL948" s="42"/>
      <c r="AM948" s="42"/>
      <c r="AN948" s="43">
        <f t="shared" si="519"/>
        <v>0</v>
      </c>
      <c r="AO948" s="42"/>
      <c r="AP948" s="53"/>
      <c r="AQ948" s="53"/>
      <c r="AR948" s="53"/>
      <c r="AS948" s="72"/>
      <c r="AT948" s="24">
        <f t="shared" si="520"/>
        <v>0</v>
      </c>
      <c r="AU948" s="42"/>
      <c r="AV948" s="53"/>
      <c r="AW948" s="53">
        <v>1</v>
      </c>
      <c r="AX948" s="53"/>
      <c r="AY948" s="72"/>
      <c r="AZ948" s="24">
        <f t="shared" si="521"/>
        <v>1</v>
      </c>
      <c r="BA948" s="24">
        <f t="shared" si="517"/>
        <v>3</v>
      </c>
      <c r="BB948" s="83">
        <v>44769</v>
      </c>
      <c r="BC948" s="111"/>
    </row>
    <row r="949" spans="1:55" ht="14.25" x14ac:dyDescent="0.15">
      <c r="A949" s="23" t="s">
        <v>546</v>
      </c>
      <c r="B949" s="41"/>
      <c r="C949" s="42"/>
      <c r="D949" s="42"/>
      <c r="E949" s="42">
        <v>1</v>
      </c>
      <c r="F949" s="42"/>
      <c r="G949" s="43">
        <f t="shared" si="503"/>
        <v>1</v>
      </c>
      <c r="H949" s="41"/>
      <c r="I949" s="42"/>
      <c r="J949" s="42"/>
      <c r="K949" s="42"/>
      <c r="L949" s="42"/>
      <c r="M949" s="43">
        <f t="shared" si="504"/>
        <v>0</v>
      </c>
      <c r="N949" s="42"/>
      <c r="O949" s="53"/>
      <c r="P949" s="53"/>
      <c r="Q949" s="53"/>
      <c r="R949" s="72"/>
      <c r="S949" s="24">
        <f t="shared" si="505"/>
        <v>0</v>
      </c>
      <c r="T949" s="42"/>
      <c r="U949" s="53"/>
      <c r="V949" s="53"/>
      <c r="W949" s="53">
        <v>1</v>
      </c>
      <c r="X949" s="72">
        <v>1</v>
      </c>
      <c r="Y949" s="24">
        <f t="shared" si="506"/>
        <v>2</v>
      </c>
      <c r="Z949" s="24">
        <f t="shared" si="507"/>
        <v>3</v>
      </c>
      <c r="AA949" s="83">
        <v>44771</v>
      </c>
      <c r="AB949" s="23" t="s">
        <v>545</v>
      </c>
      <c r="AC949" s="41"/>
      <c r="AD949" s="42"/>
      <c r="AE949" s="42"/>
      <c r="AF949" s="42"/>
      <c r="AG949" s="42">
        <v>5</v>
      </c>
      <c r="AH949" s="43">
        <f t="shared" si="518"/>
        <v>5</v>
      </c>
      <c r="AI949" s="41"/>
      <c r="AJ949" s="42"/>
      <c r="AK949" s="42"/>
      <c r="AL949" s="42">
        <v>5</v>
      </c>
      <c r="AM949" s="42"/>
      <c r="AN949" s="43">
        <f t="shared" si="519"/>
        <v>5</v>
      </c>
      <c r="AO949" s="42"/>
      <c r="AP949" s="53"/>
      <c r="AQ949" s="53"/>
      <c r="AR949" s="53"/>
      <c r="AS949" s="72"/>
      <c r="AT949" s="24">
        <f t="shared" si="520"/>
        <v>0</v>
      </c>
      <c r="AU949" s="42"/>
      <c r="AV949" s="53"/>
      <c r="AW949" s="53"/>
      <c r="AX949" s="53"/>
      <c r="AY949" s="72"/>
      <c r="AZ949" s="24">
        <f t="shared" si="521"/>
        <v>0</v>
      </c>
      <c r="BA949" s="24">
        <f t="shared" si="517"/>
        <v>10</v>
      </c>
      <c r="BB949" s="83">
        <v>44775</v>
      </c>
    </row>
    <row r="950" spans="1:55" ht="14.25" x14ac:dyDescent="0.15">
      <c r="A950" s="23" t="s">
        <v>48</v>
      </c>
      <c r="B950" s="171"/>
      <c r="C950" s="42"/>
      <c r="D950" s="42"/>
      <c r="E950" s="42"/>
      <c r="F950" s="42"/>
      <c r="G950" s="43">
        <f t="shared" si="503"/>
        <v>0</v>
      </c>
      <c r="H950" s="41"/>
      <c r="I950" s="42"/>
      <c r="J950" s="42"/>
      <c r="K950" s="42"/>
      <c r="L950" s="42"/>
      <c r="M950" s="43">
        <f t="shared" si="504"/>
        <v>0</v>
      </c>
      <c r="N950" s="42"/>
      <c r="O950" s="53"/>
      <c r="P950" s="53"/>
      <c r="Q950" s="53"/>
      <c r="R950" s="72"/>
      <c r="S950" s="24">
        <f t="shared" si="505"/>
        <v>0</v>
      </c>
      <c r="T950" s="42"/>
      <c r="U950" s="53"/>
      <c r="V950" s="53"/>
      <c r="W950" s="53"/>
      <c r="X950" s="72">
        <v>1</v>
      </c>
      <c r="Y950" s="24">
        <f t="shared" si="506"/>
        <v>1</v>
      </c>
      <c r="Z950" s="24">
        <f t="shared" si="507"/>
        <v>1</v>
      </c>
      <c r="AA950" s="83">
        <v>44770</v>
      </c>
      <c r="AB950" s="23" t="s">
        <v>438</v>
      </c>
      <c r="AC950" s="41"/>
      <c r="AD950" s="42"/>
      <c r="AE950" s="42"/>
      <c r="AF950" s="42"/>
      <c r="AG950" s="42"/>
      <c r="AH950" s="37">
        <f t="shared" si="518"/>
        <v>0</v>
      </c>
      <c r="AI950" s="41"/>
      <c r="AJ950" s="42"/>
      <c r="AK950" s="42"/>
      <c r="AL950" s="42"/>
      <c r="AM950" s="42"/>
      <c r="AN950" s="114">
        <f t="shared" si="519"/>
        <v>0</v>
      </c>
      <c r="AO950" s="41"/>
      <c r="AP950" s="53">
        <v>1</v>
      </c>
      <c r="AQ950" s="53"/>
      <c r="AR950" s="53"/>
      <c r="AS950" s="72"/>
      <c r="AT950" s="24">
        <f t="shared" si="520"/>
        <v>1</v>
      </c>
      <c r="AU950" s="42"/>
      <c r="AV950" s="53"/>
      <c r="AW950" s="53"/>
      <c r="AX950" s="53"/>
      <c r="AY950" s="72"/>
      <c r="AZ950" s="24">
        <f t="shared" si="521"/>
        <v>0</v>
      </c>
      <c r="BA950" s="24">
        <f t="shared" si="517"/>
        <v>1</v>
      </c>
      <c r="BB950" s="83">
        <v>44770</v>
      </c>
    </row>
    <row r="951" spans="1:55" ht="14.25" x14ac:dyDescent="0.15">
      <c r="A951" s="23" t="s">
        <v>547</v>
      </c>
      <c r="B951" s="41"/>
      <c r="C951" s="42"/>
      <c r="D951" s="42"/>
      <c r="E951" s="42"/>
      <c r="F951" s="42">
        <v>1</v>
      </c>
      <c r="G951" s="43">
        <f t="shared" si="503"/>
        <v>1</v>
      </c>
      <c r="H951" s="41"/>
      <c r="I951" s="42"/>
      <c r="J951" s="42"/>
      <c r="K951" s="42"/>
      <c r="L951" s="42"/>
      <c r="M951" s="43">
        <f t="shared" si="504"/>
        <v>0</v>
      </c>
      <c r="N951" s="42"/>
      <c r="O951" s="53"/>
      <c r="P951" s="53"/>
      <c r="Q951" s="53"/>
      <c r="R951" s="72"/>
      <c r="S951" s="24">
        <f t="shared" si="505"/>
        <v>0</v>
      </c>
      <c r="T951" s="42"/>
      <c r="U951" s="53"/>
      <c r="V951" s="53"/>
      <c r="W951" s="53"/>
      <c r="X951" s="72"/>
      <c r="Y951" s="24">
        <f t="shared" si="506"/>
        <v>0</v>
      </c>
      <c r="Z951" s="24">
        <f t="shared" si="507"/>
        <v>1</v>
      </c>
      <c r="AA951" s="83">
        <v>44771</v>
      </c>
      <c r="AB951" s="23" t="s">
        <v>438</v>
      </c>
      <c r="AC951" s="41"/>
      <c r="AD951" s="42"/>
      <c r="AE951" s="42"/>
      <c r="AF951" s="42"/>
      <c r="AG951" s="42"/>
      <c r="AH951" s="43">
        <f t="shared" si="518"/>
        <v>0</v>
      </c>
      <c r="AI951" s="41"/>
      <c r="AJ951" s="42"/>
      <c r="AK951" s="42"/>
      <c r="AL951" s="42"/>
      <c r="AM951" s="42"/>
      <c r="AN951" s="43">
        <f t="shared" si="519"/>
        <v>0</v>
      </c>
      <c r="AO951" s="42"/>
      <c r="AP951" s="53"/>
      <c r="AQ951" s="53"/>
      <c r="AR951" s="53"/>
      <c r="AS951" s="72"/>
      <c r="AT951" s="24">
        <f t="shared" si="520"/>
        <v>0</v>
      </c>
      <c r="AU951" s="42"/>
      <c r="AV951" s="53"/>
      <c r="AW951" s="53"/>
      <c r="AX951" s="53">
        <v>1</v>
      </c>
      <c r="AY951" s="72"/>
      <c r="AZ951" s="24">
        <f t="shared" si="521"/>
        <v>1</v>
      </c>
      <c r="BA951" s="24">
        <f t="shared" si="517"/>
        <v>1</v>
      </c>
      <c r="BB951" s="83">
        <v>44775</v>
      </c>
    </row>
    <row r="952" spans="1:55" ht="14.25" x14ac:dyDescent="0.15">
      <c r="A952" s="23" t="s">
        <v>548</v>
      </c>
      <c r="B952" s="41"/>
      <c r="C952" s="42"/>
      <c r="D952" s="42">
        <v>1</v>
      </c>
      <c r="E952" s="42"/>
      <c r="F952" s="42"/>
      <c r="G952" s="43">
        <f t="shared" si="503"/>
        <v>1</v>
      </c>
      <c r="H952" s="41"/>
      <c r="I952" s="42"/>
      <c r="J952" s="42"/>
      <c r="K952" s="42"/>
      <c r="L952" s="42"/>
      <c r="M952" s="43">
        <f t="shared" si="504"/>
        <v>0</v>
      </c>
      <c r="N952" s="42">
        <v>1</v>
      </c>
      <c r="O952" s="53"/>
      <c r="P952" s="53"/>
      <c r="Q952" s="53"/>
      <c r="R952" s="72"/>
      <c r="S952" s="24">
        <f t="shared" si="505"/>
        <v>1</v>
      </c>
      <c r="T952" s="42"/>
      <c r="U952" s="53"/>
      <c r="V952" s="53">
        <v>1</v>
      </c>
      <c r="W952" s="53"/>
      <c r="X952" s="72"/>
      <c r="Y952" s="24">
        <f t="shared" si="506"/>
        <v>1</v>
      </c>
      <c r="Z952" s="24">
        <f t="shared" si="507"/>
        <v>3</v>
      </c>
      <c r="AA952" s="83">
        <v>44772</v>
      </c>
      <c r="AB952" s="23" t="s">
        <v>438</v>
      </c>
      <c r="AC952" s="38"/>
      <c r="AD952" s="39"/>
      <c r="AE952" s="39"/>
      <c r="AF952" s="39"/>
      <c r="AG952" s="39"/>
      <c r="AH952" s="43">
        <f t="shared" si="518"/>
        <v>0</v>
      </c>
      <c r="AI952" s="38"/>
      <c r="AJ952" s="39"/>
      <c r="AK952" s="39"/>
      <c r="AL952" s="39"/>
      <c r="AM952" s="39"/>
      <c r="AN952" s="43">
        <f t="shared" si="519"/>
        <v>0</v>
      </c>
      <c r="AO952" s="42"/>
      <c r="AP952" s="53"/>
      <c r="AQ952" s="53"/>
      <c r="AR952" s="53"/>
      <c r="AS952" s="72">
        <v>1</v>
      </c>
      <c r="AT952" s="24">
        <f t="shared" si="520"/>
        <v>1</v>
      </c>
      <c r="AU952" s="42"/>
      <c r="AV952" s="53"/>
      <c r="AW952" s="53"/>
      <c r="AX952" s="53"/>
      <c r="AY952" s="72"/>
      <c r="AZ952" s="24">
        <f t="shared" si="521"/>
        <v>0</v>
      </c>
      <c r="BA952" s="24">
        <f t="shared" si="517"/>
        <v>1</v>
      </c>
      <c r="BB952" s="83">
        <v>44776</v>
      </c>
    </row>
    <row r="953" spans="1:55" ht="14.25" x14ac:dyDescent="0.15">
      <c r="A953" s="23" t="s">
        <v>48</v>
      </c>
      <c r="B953" s="41"/>
      <c r="C953" s="42"/>
      <c r="D953" s="42"/>
      <c r="E953" s="42"/>
      <c r="F953" s="42">
        <v>1</v>
      </c>
      <c r="G953" s="43">
        <f t="shared" si="503"/>
        <v>1</v>
      </c>
      <c r="H953" s="41"/>
      <c r="I953" s="42"/>
      <c r="J953" s="42"/>
      <c r="K953" s="42">
        <v>1</v>
      </c>
      <c r="L953" s="42">
        <v>1</v>
      </c>
      <c r="M953" s="43">
        <f t="shared" si="504"/>
        <v>2</v>
      </c>
      <c r="N953" s="42"/>
      <c r="O953" s="53"/>
      <c r="P953" s="53"/>
      <c r="Q953" s="53"/>
      <c r="R953" s="72"/>
      <c r="S953" s="24">
        <f t="shared" si="505"/>
        <v>0</v>
      </c>
      <c r="T953" s="42"/>
      <c r="U953" s="53"/>
      <c r="V953" s="53"/>
      <c r="W953" s="53"/>
      <c r="X953" s="72"/>
      <c r="Y953" s="24">
        <f t="shared" si="506"/>
        <v>0</v>
      </c>
      <c r="Z953" s="24">
        <f t="shared" si="507"/>
        <v>3</v>
      </c>
      <c r="AA953" s="83">
        <v>44774</v>
      </c>
      <c r="AB953" s="23" t="s">
        <v>549</v>
      </c>
      <c r="AC953" s="14"/>
      <c r="AD953" s="15"/>
      <c r="AE953" s="15"/>
      <c r="AF953" s="15"/>
      <c r="AG953" s="15"/>
      <c r="AH953" s="24">
        <f t="shared" si="518"/>
        <v>0</v>
      </c>
      <c r="AI953" s="14"/>
      <c r="AJ953" s="15"/>
      <c r="AK953" s="15">
        <v>5</v>
      </c>
      <c r="AL953" s="15"/>
      <c r="AM953" s="15"/>
      <c r="AN953" s="24">
        <f t="shared" si="519"/>
        <v>5</v>
      </c>
      <c r="AO953" s="15"/>
      <c r="AP953" s="55"/>
      <c r="AQ953" s="55"/>
      <c r="AR953" s="55"/>
      <c r="AS953" s="67"/>
      <c r="AT953" s="24">
        <f t="shared" si="520"/>
        <v>0</v>
      </c>
      <c r="AU953" s="15"/>
      <c r="AV953" s="55"/>
      <c r="AW953" s="55"/>
      <c r="AX953" s="55"/>
      <c r="AY953" s="67"/>
      <c r="AZ953" s="24">
        <f t="shared" si="521"/>
        <v>0</v>
      </c>
      <c r="BA953" s="24">
        <f t="shared" si="517"/>
        <v>5</v>
      </c>
      <c r="BB953" s="83">
        <v>44782</v>
      </c>
    </row>
    <row r="954" spans="1:55" ht="14.25" x14ac:dyDescent="0.15">
      <c r="A954" s="23" t="s">
        <v>48</v>
      </c>
      <c r="B954" s="41"/>
      <c r="C954" s="42"/>
      <c r="D954" s="42"/>
      <c r="E954" s="42"/>
      <c r="F954" s="42"/>
      <c r="G954" s="43">
        <f t="shared" si="503"/>
        <v>0</v>
      </c>
      <c r="H954" s="41"/>
      <c r="I954" s="42"/>
      <c r="J954" s="42"/>
      <c r="K954" s="42"/>
      <c r="L954" s="42">
        <v>1</v>
      </c>
      <c r="M954" s="43">
        <f t="shared" si="504"/>
        <v>1</v>
      </c>
      <c r="N954" s="42"/>
      <c r="O954" s="53"/>
      <c r="P954" s="53"/>
      <c r="Q954" s="53"/>
      <c r="R954" s="72"/>
      <c r="S954" s="24">
        <f t="shared" si="505"/>
        <v>0</v>
      </c>
      <c r="T954" s="42"/>
      <c r="U954" s="53"/>
      <c r="V954" s="53"/>
      <c r="W954" s="53"/>
      <c r="X954" s="72"/>
      <c r="Y954" s="24">
        <f t="shared" si="506"/>
        <v>0</v>
      </c>
      <c r="Z954" s="24">
        <f t="shared" si="507"/>
        <v>1</v>
      </c>
      <c r="AA954" s="83">
        <v>44775</v>
      </c>
      <c r="AB954" s="23" t="s">
        <v>438</v>
      </c>
      <c r="AC954" s="41"/>
      <c r="AD954" s="42">
        <v>1</v>
      </c>
      <c r="AE954" s="42"/>
      <c r="AF954" s="42"/>
      <c r="AG954" s="42"/>
      <c r="AH954" s="43">
        <f t="shared" si="518"/>
        <v>1</v>
      </c>
      <c r="AI954" s="41"/>
      <c r="AJ954" s="42"/>
      <c r="AK954" s="42"/>
      <c r="AL954" s="42"/>
      <c r="AM954" s="42"/>
      <c r="AN954" s="43">
        <f t="shared" si="519"/>
        <v>0</v>
      </c>
      <c r="AO954" s="42"/>
      <c r="AP954" s="53"/>
      <c r="AQ954" s="53"/>
      <c r="AR954" s="53"/>
      <c r="AS954" s="72"/>
      <c r="AT954" s="24">
        <f t="shared" si="520"/>
        <v>0</v>
      </c>
      <c r="AU954" s="42"/>
      <c r="AV954" s="53"/>
      <c r="AW954" s="53"/>
      <c r="AX954" s="53"/>
      <c r="AY954" s="72"/>
      <c r="AZ954" s="24">
        <f t="shared" si="521"/>
        <v>0</v>
      </c>
      <c r="BA954" s="24">
        <f t="shared" si="517"/>
        <v>1</v>
      </c>
      <c r="BB954" s="83">
        <v>44782</v>
      </c>
    </row>
    <row r="955" spans="1:55" ht="14.25" x14ac:dyDescent="0.15">
      <c r="A955" s="23" t="s">
        <v>48</v>
      </c>
      <c r="B955" s="44"/>
      <c r="C955" s="45"/>
      <c r="D955" s="45"/>
      <c r="E955" s="45"/>
      <c r="F955" s="45"/>
      <c r="G955" s="43">
        <f t="shared" si="503"/>
        <v>0</v>
      </c>
      <c r="H955" s="44"/>
      <c r="I955" s="45">
        <v>1</v>
      </c>
      <c r="J955" s="45"/>
      <c r="K955" s="45"/>
      <c r="L955" s="45"/>
      <c r="M955" s="43">
        <f t="shared" si="504"/>
        <v>1</v>
      </c>
      <c r="N955" s="42"/>
      <c r="O955" s="53"/>
      <c r="P955" s="53"/>
      <c r="Q955" s="53"/>
      <c r="R955" s="72"/>
      <c r="S955" s="24">
        <f t="shared" si="505"/>
        <v>0</v>
      </c>
      <c r="T955" s="42"/>
      <c r="U955" s="53"/>
      <c r="V955" s="53"/>
      <c r="W955" s="53"/>
      <c r="X955" s="72"/>
      <c r="Y955" s="24">
        <f t="shared" si="506"/>
        <v>0</v>
      </c>
      <c r="Z955" s="24">
        <f t="shared" si="507"/>
        <v>1</v>
      </c>
      <c r="AA955" s="93">
        <v>44783</v>
      </c>
      <c r="AB955" s="23" t="s">
        <v>552</v>
      </c>
      <c r="AC955" s="44"/>
      <c r="AD955" s="45"/>
      <c r="AE955" s="45"/>
      <c r="AF955" s="45"/>
      <c r="AG955" s="45">
        <v>5</v>
      </c>
      <c r="AH955" s="43">
        <f t="shared" si="518"/>
        <v>5</v>
      </c>
      <c r="AI955" s="44"/>
      <c r="AJ955" s="45"/>
      <c r="AK955" s="45"/>
      <c r="AL955" s="45"/>
      <c r="AM955" s="45"/>
      <c r="AN955" s="43">
        <f t="shared" si="519"/>
        <v>0</v>
      </c>
      <c r="AO955" s="42"/>
      <c r="AP955" s="53"/>
      <c r="AQ955" s="53"/>
      <c r="AR955" s="53"/>
      <c r="AS955" s="72"/>
      <c r="AT955" s="24">
        <f t="shared" si="520"/>
        <v>0</v>
      </c>
      <c r="AU955" s="42"/>
      <c r="AV955" s="53"/>
      <c r="AW955" s="53"/>
      <c r="AX955" s="53"/>
      <c r="AY955" s="72"/>
      <c r="AZ955" s="24">
        <f t="shared" si="521"/>
        <v>0</v>
      </c>
      <c r="BA955" s="24">
        <f t="shared" si="517"/>
        <v>5</v>
      </c>
      <c r="BB955" s="83">
        <v>44789</v>
      </c>
    </row>
    <row r="956" spans="1:55" ht="14.25" x14ac:dyDescent="0.15">
      <c r="A956" s="23" t="s">
        <v>48</v>
      </c>
      <c r="B956" s="41"/>
      <c r="C956" s="42"/>
      <c r="D956" s="42"/>
      <c r="E956" s="42"/>
      <c r="F956" s="42"/>
      <c r="G956" s="43">
        <f t="shared" si="503"/>
        <v>0</v>
      </c>
      <c r="H956" s="41"/>
      <c r="I956" s="42"/>
      <c r="J956" s="42"/>
      <c r="K956" s="42"/>
      <c r="L956" s="42"/>
      <c r="M956" s="43">
        <f t="shared" si="504"/>
        <v>0</v>
      </c>
      <c r="N956" s="42"/>
      <c r="O956" s="53">
        <v>1</v>
      </c>
      <c r="P956" s="53"/>
      <c r="Q956" s="53"/>
      <c r="R956" s="72"/>
      <c r="S956" s="24">
        <f t="shared" si="505"/>
        <v>1</v>
      </c>
      <c r="T956" s="42"/>
      <c r="U956" s="53"/>
      <c r="V956" s="53"/>
      <c r="W956" s="53"/>
      <c r="X956" s="72"/>
      <c r="Y956" s="24">
        <f t="shared" si="506"/>
        <v>0</v>
      </c>
      <c r="Z956" s="24">
        <f t="shared" si="507"/>
        <v>1</v>
      </c>
      <c r="AA956" s="83">
        <v>44784</v>
      </c>
      <c r="AB956" s="23" t="s">
        <v>438</v>
      </c>
      <c r="AC956" s="14">
        <v>1</v>
      </c>
      <c r="AD956" s="15">
        <v>1</v>
      </c>
      <c r="AE956" s="15"/>
      <c r="AF956" s="15"/>
      <c r="AG956" s="15"/>
      <c r="AH956" s="24">
        <f>SUM(AC956:AG956)</f>
        <v>2</v>
      </c>
      <c r="AI956" s="14"/>
      <c r="AJ956" s="15"/>
      <c r="AK956" s="15"/>
      <c r="AL956" s="15"/>
      <c r="AM956" s="15"/>
      <c r="AN956" s="24">
        <f>SUM(AI956:AM956)</f>
        <v>0</v>
      </c>
      <c r="AO956" s="15"/>
      <c r="AP956" s="55"/>
      <c r="AQ956" s="55"/>
      <c r="AR956" s="55"/>
      <c r="AS956" s="67"/>
      <c r="AT956" s="24">
        <f>SUM(AO956:AS956)</f>
        <v>0</v>
      </c>
      <c r="AU956" s="15"/>
      <c r="AV956" s="55"/>
      <c r="AW956" s="55"/>
      <c r="AX956" s="55">
        <v>1</v>
      </c>
      <c r="AY956" s="67"/>
      <c r="AZ956" s="24">
        <f>SUM(AU956:AY956)</f>
        <v>1</v>
      </c>
      <c r="BA956" s="24">
        <f>AH956+AN956+AT956+AZ956</f>
        <v>3</v>
      </c>
      <c r="BB956" s="83">
        <v>44785</v>
      </c>
    </row>
    <row r="957" spans="1:55" ht="14.25" x14ac:dyDescent="0.15">
      <c r="A957" s="23" t="s">
        <v>48</v>
      </c>
      <c r="B957" s="41"/>
      <c r="C957" s="42"/>
      <c r="D957" s="42"/>
      <c r="E957" s="42">
        <v>1</v>
      </c>
      <c r="F957" s="42"/>
      <c r="G957" s="43">
        <f t="shared" si="503"/>
        <v>1</v>
      </c>
      <c r="H957" s="41"/>
      <c r="I957" s="42"/>
      <c r="J957" s="42"/>
      <c r="K957" s="42"/>
      <c r="L957" s="42"/>
      <c r="M957" s="43">
        <f t="shared" si="504"/>
        <v>0</v>
      </c>
      <c r="N957" s="42"/>
      <c r="O957" s="53">
        <v>1</v>
      </c>
      <c r="P957" s="53"/>
      <c r="Q957" s="53"/>
      <c r="R957" s="72"/>
      <c r="S957" s="24">
        <f t="shared" si="505"/>
        <v>1</v>
      </c>
      <c r="T957" s="42"/>
      <c r="U957" s="53"/>
      <c r="V957" s="53"/>
      <c r="W957" s="53"/>
      <c r="X957" s="72">
        <v>1</v>
      </c>
      <c r="Y957" s="24">
        <f t="shared" si="506"/>
        <v>1</v>
      </c>
      <c r="Z957" s="24">
        <f t="shared" si="507"/>
        <v>3</v>
      </c>
      <c r="AA957" s="93">
        <v>44790</v>
      </c>
      <c r="AB957" s="23" t="s">
        <v>438</v>
      </c>
      <c r="AC957" s="41"/>
      <c r="AD957" s="42"/>
      <c r="AE957" s="42"/>
      <c r="AF957" s="42">
        <v>1</v>
      </c>
      <c r="AG957" s="42">
        <v>5</v>
      </c>
      <c r="AH957" s="43">
        <f t="shared" ref="AH957:AH965" si="522">SUM(AC957:AG957)</f>
        <v>6</v>
      </c>
      <c r="AI957" s="41"/>
      <c r="AJ957" s="42"/>
      <c r="AK957" s="42"/>
      <c r="AL957" s="42"/>
      <c r="AM957" s="42"/>
      <c r="AN957" s="43">
        <f t="shared" ref="AN957:AN965" si="523">SUM(AI957:AM957)</f>
        <v>0</v>
      </c>
      <c r="AO957" s="42"/>
      <c r="AP957" s="53"/>
      <c r="AQ957" s="53"/>
      <c r="AR957" s="53">
        <v>1</v>
      </c>
      <c r="AS957" s="72">
        <v>1</v>
      </c>
      <c r="AT957" s="24">
        <f t="shared" ref="AT957:AT965" si="524">SUM(AO957:AS957)</f>
        <v>2</v>
      </c>
      <c r="AU957" s="42"/>
      <c r="AV957" s="53"/>
      <c r="AW957" s="53"/>
      <c r="AX957" s="53">
        <v>1</v>
      </c>
      <c r="AY957" s="72">
        <v>7</v>
      </c>
      <c r="AZ957" s="24">
        <f t="shared" ref="AZ957:AZ965" si="525">SUM(AU957:AY957)</f>
        <v>8</v>
      </c>
      <c r="BA957" s="24">
        <f t="shared" ref="BA957:BA965" si="526">AH957+AN957+AT957+AZ957</f>
        <v>16</v>
      </c>
      <c r="BB957" s="83">
        <v>44791</v>
      </c>
    </row>
    <row r="958" spans="1:55" ht="14.25" x14ac:dyDescent="0.15">
      <c r="A958" s="23" t="s">
        <v>48</v>
      </c>
      <c r="B958" s="41"/>
      <c r="C958" s="42"/>
      <c r="D958" s="42"/>
      <c r="E958" s="42"/>
      <c r="F958" s="42"/>
      <c r="G958" s="43">
        <f t="shared" si="503"/>
        <v>0</v>
      </c>
      <c r="H958" s="41"/>
      <c r="I958" s="42">
        <v>1</v>
      </c>
      <c r="J958" s="42">
        <v>1</v>
      </c>
      <c r="K958" s="42"/>
      <c r="L958" s="42"/>
      <c r="M958" s="43">
        <f t="shared" si="504"/>
        <v>2</v>
      </c>
      <c r="N958" s="42"/>
      <c r="O958" s="53"/>
      <c r="P958" s="53"/>
      <c r="Q958" s="53"/>
      <c r="R958" s="72"/>
      <c r="S958" s="24">
        <f t="shared" si="505"/>
        <v>0</v>
      </c>
      <c r="T958" s="42"/>
      <c r="U958" s="53"/>
      <c r="V958" s="53"/>
      <c r="W958" s="53"/>
      <c r="X958" s="72"/>
      <c r="Y958" s="24">
        <f t="shared" si="506"/>
        <v>0</v>
      </c>
      <c r="Z958" s="24">
        <f t="shared" si="507"/>
        <v>2</v>
      </c>
      <c r="AA958" s="83">
        <v>44791</v>
      </c>
      <c r="AB958" s="23" t="s">
        <v>553</v>
      </c>
      <c r="AC958" s="14">
        <v>5</v>
      </c>
      <c r="AD958" s="15"/>
      <c r="AE958" s="15">
        <v>5</v>
      </c>
      <c r="AF958" s="15"/>
      <c r="AG958" s="15"/>
      <c r="AH958" s="24">
        <f t="shared" si="522"/>
        <v>10</v>
      </c>
      <c r="AI958" s="14"/>
      <c r="AJ958" s="15"/>
      <c r="AK958" s="15"/>
      <c r="AL958" s="15"/>
      <c r="AM958" s="15"/>
      <c r="AN958" s="185">
        <f t="shared" si="523"/>
        <v>0</v>
      </c>
      <c r="AO958" s="14"/>
      <c r="AP958" s="55"/>
      <c r="AQ958" s="55"/>
      <c r="AR958" s="55"/>
      <c r="AS958" s="67"/>
      <c r="AT958" s="24">
        <f t="shared" si="524"/>
        <v>0</v>
      </c>
      <c r="AU958" s="15"/>
      <c r="AV958" s="55"/>
      <c r="AW958" s="55"/>
      <c r="AX958" s="55"/>
      <c r="AY958" s="67"/>
      <c r="AZ958" s="24">
        <f t="shared" si="525"/>
        <v>0</v>
      </c>
      <c r="BA958" s="24">
        <f t="shared" si="526"/>
        <v>10</v>
      </c>
      <c r="BB958" s="83">
        <v>44796</v>
      </c>
    </row>
    <row r="959" spans="1:55" ht="14.25" x14ac:dyDescent="0.15">
      <c r="A959" s="23" t="s">
        <v>48</v>
      </c>
      <c r="B959" s="38"/>
      <c r="C959" s="39"/>
      <c r="D959" s="39"/>
      <c r="E959" s="39">
        <v>1</v>
      </c>
      <c r="F959" s="39"/>
      <c r="G959" s="37">
        <f t="shared" si="503"/>
        <v>1</v>
      </c>
      <c r="H959" s="38"/>
      <c r="I959" s="39"/>
      <c r="J959" s="39"/>
      <c r="K959" s="39">
        <v>1</v>
      </c>
      <c r="L959" s="39"/>
      <c r="M959" s="37">
        <f t="shared" si="504"/>
        <v>1</v>
      </c>
      <c r="N959" s="42"/>
      <c r="O959" s="53"/>
      <c r="P959" s="53"/>
      <c r="Q959" s="53"/>
      <c r="R959" s="72"/>
      <c r="S959" s="24">
        <f t="shared" si="505"/>
        <v>0</v>
      </c>
      <c r="T959" s="42"/>
      <c r="U959" s="53"/>
      <c r="V959" s="53"/>
      <c r="W959" s="53"/>
      <c r="X959" s="72"/>
      <c r="Y959" s="24">
        <f t="shared" si="506"/>
        <v>0</v>
      </c>
      <c r="Z959" s="24">
        <f t="shared" si="507"/>
        <v>2</v>
      </c>
      <c r="AA959" s="83">
        <v>44793</v>
      </c>
      <c r="AB959" s="23" t="s">
        <v>554</v>
      </c>
      <c r="AC959" s="38"/>
      <c r="AD959" s="39"/>
      <c r="AE959" s="39"/>
      <c r="AF959" s="39"/>
      <c r="AG959" s="39"/>
      <c r="AH959" s="37">
        <f t="shared" si="522"/>
        <v>0</v>
      </c>
      <c r="AI959" s="38"/>
      <c r="AJ959" s="39">
        <v>5</v>
      </c>
      <c r="AK959" s="39"/>
      <c r="AL959" s="39"/>
      <c r="AM959" s="39"/>
      <c r="AN959" s="37">
        <f t="shared" si="523"/>
        <v>5</v>
      </c>
      <c r="AO959" s="39"/>
      <c r="AP959" s="56"/>
      <c r="AQ959" s="56"/>
      <c r="AR959" s="56"/>
      <c r="AS959" s="71"/>
      <c r="AT959" s="16">
        <f t="shared" si="524"/>
        <v>0</v>
      </c>
      <c r="AU959" s="39"/>
      <c r="AV959" s="56"/>
      <c r="AW959" s="56"/>
      <c r="AX959" s="56"/>
      <c r="AY959" s="71"/>
      <c r="AZ959" s="16">
        <f t="shared" si="525"/>
        <v>0</v>
      </c>
      <c r="BA959" s="16">
        <f t="shared" si="526"/>
        <v>5</v>
      </c>
      <c r="BB959" s="83">
        <v>44791</v>
      </c>
    </row>
    <row r="960" spans="1:55" ht="14.25" x14ac:dyDescent="0.15">
      <c r="A960" s="23" t="s">
        <v>48</v>
      </c>
      <c r="B960" s="41"/>
      <c r="C960" s="42"/>
      <c r="D960" s="42"/>
      <c r="E960" s="42"/>
      <c r="F960" s="42"/>
      <c r="G960" s="43">
        <f t="shared" si="503"/>
        <v>0</v>
      </c>
      <c r="H960" s="41"/>
      <c r="I960" s="42">
        <v>1</v>
      </c>
      <c r="J960" s="42"/>
      <c r="K960" s="42"/>
      <c r="L960" s="42"/>
      <c r="M960" s="43">
        <f t="shared" si="504"/>
        <v>1</v>
      </c>
      <c r="N960" s="42"/>
      <c r="O960" s="53"/>
      <c r="P960" s="53"/>
      <c r="Q960" s="53"/>
      <c r="R960" s="72"/>
      <c r="S960" s="24">
        <f t="shared" si="505"/>
        <v>0</v>
      </c>
      <c r="T960" s="42"/>
      <c r="U960" s="53"/>
      <c r="V960" s="53"/>
      <c r="W960" s="53"/>
      <c r="X960" s="72"/>
      <c r="Y960" s="24">
        <f t="shared" si="506"/>
        <v>0</v>
      </c>
      <c r="Z960" s="24">
        <f t="shared" si="507"/>
        <v>1</v>
      </c>
      <c r="AA960" s="93">
        <v>44796</v>
      </c>
      <c r="AB960" s="23" t="s">
        <v>555</v>
      </c>
      <c r="AC960" s="41"/>
      <c r="AD960" s="42"/>
      <c r="AE960" s="42">
        <v>5</v>
      </c>
      <c r="AF960" s="42"/>
      <c r="AG960" s="42"/>
      <c r="AH960" s="43">
        <f t="shared" si="522"/>
        <v>5</v>
      </c>
      <c r="AI960" s="41"/>
      <c r="AJ960" s="42"/>
      <c r="AK960" s="42"/>
      <c r="AL960" s="42"/>
      <c r="AM960" s="42"/>
      <c r="AN960" s="43">
        <f t="shared" si="523"/>
        <v>0</v>
      </c>
      <c r="AO960" s="42"/>
      <c r="AP960" s="53"/>
      <c r="AQ960" s="53"/>
      <c r="AR960" s="53"/>
      <c r="AS960" s="72"/>
      <c r="AT960" s="24">
        <f t="shared" si="524"/>
        <v>0</v>
      </c>
      <c r="AU960" s="42"/>
      <c r="AV960" s="53"/>
      <c r="AW960" s="53"/>
      <c r="AX960" s="53"/>
      <c r="AY960" s="72"/>
      <c r="AZ960" s="24">
        <f t="shared" si="525"/>
        <v>0</v>
      </c>
      <c r="BA960" s="24">
        <f t="shared" si="526"/>
        <v>5</v>
      </c>
      <c r="BB960" s="83">
        <v>44798</v>
      </c>
    </row>
    <row r="961" spans="1:55" ht="14.25" x14ac:dyDescent="0.15">
      <c r="A961" s="23" t="s">
        <v>48</v>
      </c>
      <c r="B961" s="41"/>
      <c r="C961" s="42"/>
      <c r="D961" s="42">
        <v>1</v>
      </c>
      <c r="E961" s="42"/>
      <c r="F961" s="42"/>
      <c r="G961" s="43">
        <f t="shared" ref="G961:G971" si="527">SUM(B961:F961)</f>
        <v>1</v>
      </c>
      <c r="H961" s="41"/>
      <c r="I961" s="42"/>
      <c r="J961" s="42"/>
      <c r="K961" s="42"/>
      <c r="L961" s="42"/>
      <c r="M961" s="43">
        <f t="shared" si="504"/>
        <v>0</v>
      </c>
      <c r="N961" s="42"/>
      <c r="O961" s="53"/>
      <c r="P961" s="53"/>
      <c r="Q961" s="53"/>
      <c r="R961" s="72"/>
      <c r="S961" s="24">
        <f t="shared" si="505"/>
        <v>0</v>
      </c>
      <c r="T961" s="42"/>
      <c r="U961" s="53"/>
      <c r="V961" s="53"/>
      <c r="W961" s="53"/>
      <c r="X961" s="72"/>
      <c r="Y961" s="24">
        <f t="shared" si="506"/>
        <v>0</v>
      </c>
      <c r="Z961" s="24">
        <f t="shared" si="507"/>
        <v>1</v>
      </c>
      <c r="AA961" s="83">
        <v>44797</v>
      </c>
      <c r="AB961" s="23" t="s">
        <v>438</v>
      </c>
      <c r="AC961" s="41"/>
      <c r="AD961" s="42"/>
      <c r="AE961" s="42"/>
      <c r="AF961" s="42">
        <v>1</v>
      </c>
      <c r="AG961" s="42"/>
      <c r="AH961" s="43">
        <f t="shared" si="522"/>
        <v>1</v>
      </c>
      <c r="AI961" s="41"/>
      <c r="AJ961" s="42"/>
      <c r="AK961" s="42"/>
      <c r="AL961" s="42"/>
      <c r="AM961" s="42"/>
      <c r="AN961" s="43">
        <f t="shared" si="523"/>
        <v>0</v>
      </c>
      <c r="AO961" s="42"/>
      <c r="AP961" s="53"/>
      <c r="AQ961" s="53"/>
      <c r="AR961" s="53"/>
      <c r="AS961" s="72"/>
      <c r="AT961" s="24">
        <f t="shared" si="524"/>
        <v>0</v>
      </c>
      <c r="AU961" s="42"/>
      <c r="AV961" s="53"/>
      <c r="AW961" s="53">
        <v>1</v>
      </c>
      <c r="AX961" s="53"/>
      <c r="AY961" s="72"/>
      <c r="AZ961" s="24">
        <f t="shared" si="525"/>
        <v>1</v>
      </c>
      <c r="BA961" s="24">
        <f t="shared" si="526"/>
        <v>2</v>
      </c>
      <c r="BB961" s="83">
        <v>44795</v>
      </c>
    </row>
    <row r="962" spans="1:55" ht="14.25" x14ac:dyDescent="0.15">
      <c r="A962" s="23" t="s">
        <v>438</v>
      </c>
      <c r="B962" s="14"/>
      <c r="C962" s="15"/>
      <c r="D962" s="15"/>
      <c r="E962" s="15"/>
      <c r="F962" s="15"/>
      <c r="G962" s="24">
        <f t="shared" si="527"/>
        <v>0</v>
      </c>
      <c r="H962" s="14"/>
      <c r="I962" s="15"/>
      <c r="J962" s="15"/>
      <c r="K962" s="15"/>
      <c r="L962" s="15"/>
      <c r="M962" s="24">
        <f t="shared" si="504"/>
        <v>0</v>
      </c>
      <c r="N962" s="15"/>
      <c r="O962" s="55">
        <v>1</v>
      </c>
      <c r="P962" s="55"/>
      <c r="Q962" s="55"/>
      <c r="R962" s="67"/>
      <c r="S962" s="24">
        <f t="shared" si="505"/>
        <v>1</v>
      </c>
      <c r="T962" s="15"/>
      <c r="U962" s="55"/>
      <c r="V962" s="55"/>
      <c r="W962" s="55"/>
      <c r="X962" s="67"/>
      <c r="Y962" s="24">
        <f t="shared" si="506"/>
        <v>0</v>
      </c>
      <c r="Z962" s="24">
        <f t="shared" si="507"/>
        <v>1</v>
      </c>
      <c r="AA962" s="83">
        <v>44799</v>
      </c>
      <c r="AB962" s="23" t="s">
        <v>438</v>
      </c>
      <c r="AC962" s="14"/>
      <c r="AD962" s="15"/>
      <c r="AE962" s="15"/>
      <c r="AF962" s="15">
        <v>1</v>
      </c>
      <c r="AG962" s="15"/>
      <c r="AH962" s="24">
        <f t="shared" si="522"/>
        <v>1</v>
      </c>
      <c r="AI962" s="14"/>
      <c r="AJ962" s="15"/>
      <c r="AK962" s="15"/>
      <c r="AL962" s="15"/>
      <c r="AM962" s="15"/>
      <c r="AN962" s="24">
        <f t="shared" si="523"/>
        <v>0</v>
      </c>
      <c r="AO962" s="15"/>
      <c r="AP962" s="55"/>
      <c r="AQ962" s="55"/>
      <c r="AR962" s="55">
        <v>1</v>
      </c>
      <c r="AS962" s="67"/>
      <c r="AT962" s="24">
        <f t="shared" si="524"/>
        <v>1</v>
      </c>
      <c r="AU962" s="15"/>
      <c r="AV962" s="55"/>
      <c r="AW962" s="55"/>
      <c r="AX962" s="55">
        <v>1</v>
      </c>
      <c r="AY962" s="67"/>
      <c r="AZ962" s="24">
        <f t="shared" si="525"/>
        <v>1</v>
      </c>
      <c r="BA962" s="24">
        <f t="shared" si="526"/>
        <v>3</v>
      </c>
      <c r="BB962" s="83">
        <v>44796</v>
      </c>
    </row>
    <row r="963" spans="1:55" ht="14.25" x14ac:dyDescent="0.15">
      <c r="A963" s="23"/>
      <c r="B963" s="14"/>
      <c r="C963" s="15"/>
      <c r="D963" s="15"/>
      <c r="E963" s="15"/>
      <c r="F963" s="15"/>
      <c r="G963" s="24">
        <f t="shared" si="527"/>
        <v>0</v>
      </c>
      <c r="H963" s="14"/>
      <c r="I963" s="15"/>
      <c r="J963" s="15"/>
      <c r="K963" s="15"/>
      <c r="L963" s="15"/>
      <c r="M963" s="24">
        <f t="shared" si="504"/>
        <v>0</v>
      </c>
      <c r="N963" s="15"/>
      <c r="O963" s="55"/>
      <c r="P963" s="55"/>
      <c r="Q963" s="55"/>
      <c r="R963" s="67"/>
      <c r="S963" s="24">
        <f t="shared" si="505"/>
        <v>0</v>
      </c>
      <c r="T963" s="15"/>
      <c r="U963" s="55"/>
      <c r="V963" s="55"/>
      <c r="W963" s="55"/>
      <c r="X963" s="67"/>
      <c r="Y963" s="24">
        <f t="shared" si="506"/>
        <v>0</v>
      </c>
      <c r="Z963" s="24">
        <f t="shared" si="507"/>
        <v>0</v>
      </c>
      <c r="AA963" s="83"/>
      <c r="AB963" s="23" t="s">
        <v>438</v>
      </c>
      <c r="AC963" s="14"/>
      <c r="AD963" s="15"/>
      <c r="AE963" s="15"/>
      <c r="AF963" s="15"/>
      <c r="AG963" s="15"/>
      <c r="AH963" s="24">
        <f t="shared" si="522"/>
        <v>0</v>
      </c>
      <c r="AI963" s="14"/>
      <c r="AJ963" s="15"/>
      <c r="AK963" s="15"/>
      <c r="AL963" s="15"/>
      <c r="AM963" s="15"/>
      <c r="AN963" s="24">
        <f t="shared" si="523"/>
        <v>0</v>
      </c>
      <c r="AO963" s="15"/>
      <c r="AP963" s="55"/>
      <c r="AQ963" s="55">
        <v>1</v>
      </c>
      <c r="AR963" s="55"/>
      <c r="AS963" s="67"/>
      <c r="AT963" s="24">
        <f t="shared" si="524"/>
        <v>1</v>
      </c>
      <c r="AU963" s="15"/>
      <c r="AV963" s="55"/>
      <c r="AW963" s="55"/>
      <c r="AX963" s="55"/>
      <c r="AY963" s="67"/>
      <c r="AZ963" s="24">
        <f t="shared" si="525"/>
        <v>0</v>
      </c>
      <c r="BA963" s="24">
        <f t="shared" si="526"/>
        <v>1</v>
      </c>
      <c r="BB963" s="83">
        <v>44797</v>
      </c>
    </row>
    <row r="964" spans="1:55" ht="14.25" x14ac:dyDescent="0.15">
      <c r="A964" s="23"/>
      <c r="B964" s="14"/>
      <c r="C964" s="15"/>
      <c r="D964" s="15"/>
      <c r="E964" s="15"/>
      <c r="F964" s="15"/>
      <c r="G964" s="24">
        <f t="shared" si="527"/>
        <v>0</v>
      </c>
      <c r="H964" s="14"/>
      <c r="I964" s="15"/>
      <c r="J964" s="15"/>
      <c r="K964" s="15"/>
      <c r="L964" s="15"/>
      <c r="M964" s="24">
        <f t="shared" si="504"/>
        <v>0</v>
      </c>
      <c r="N964" s="15"/>
      <c r="O964" s="55"/>
      <c r="P964" s="55"/>
      <c r="Q964" s="55"/>
      <c r="R964" s="67"/>
      <c r="S964" s="24">
        <f t="shared" si="505"/>
        <v>0</v>
      </c>
      <c r="T964" s="15"/>
      <c r="U964" s="55"/>
      <c r="V964" s="55"/>
      <c r="W964" s="55"/>
      <c r="X964" s="67"/>
      <c r="Y964" s="24">
        <f t="shared" si="506"/>
        <v>0</v>
      </c>
      <c r="Z964" s="24">
        <f t="shared" si="507"/>
        <v>0</v>
      </c>
      <c r="AA964" s="93"/>
      <c r="AB964" s="23" t="s">
        <v>556</v>
      </c>
      <c r="AC964" s="14"/>
      <c r="AD964" s="15"/>
      <c r="AE964" s="15"/>
      <c r="AF964" s="15">
        <v>5</v>
      </c>
      <c r="AG964" s="15"/>
      <c r="AH964" s="24">
        <f t="shared" si="522"/>
        <v>5</v>
      </c>
      <c r="AI964" s="14"/>
      <c r="AJ964" s="15">
        <v>5</v>
      </c>
      <c r="AK964" s="15"/>
      <c r="AL964" s="15">
        <v>5</v>
      </c>
      <c r="AM964" s="15"/>
      <c r="AN964" s="24">
        <f t="shared" si="523"/>
        <v>10</v>
      </c>
      <c r="AO964" s="15"/>
      <c r="AP964" s="55"/>
      <c r="AQ964" s="55"/>
      <c r="AR964" s="55"/>
      <c r="AS964" s="67"/>
      <c r="AT964" s="24">
        <f t="shared" si="524"/>
        <v>0</v>
      </c>
      <c r="AU964" s="15"/>
      <c r="AV964" s="55"/>
      <c r="AW964" s="55"/>
      <c r="AX964" s="55"/>
      <c r="AY964" s="67"/>
      <c r="AZ964" s="24">
        <f t="shared" si="525"/>
        <v>0</v>
      </c>
      <c r="BA964" s="24">
        <f t="shared" si="526"/>
        <v>15</v>
      </c>
      <c r="BB964" s="83">
        <v>44803</v>
      </c>
    </row>
    <row r="965" spans="1:55" ht="14.25" x14ac:dyDescent="0.15">
      <c r="A965" s="23"/>
      <c r="B965" s="14"/>
      <c r="C965" s="15"/>
      <c r="D965" s="15"/>
      <c r="E965" s="15"/>
      <c r="F965" s="15"/>
      <c r="G965" s="24">
        <f t="shared" si="527"/>
        <v>0</v>
      </c>
      <c r="H965" s="14"/>
      <c r="I965" s="15"/>
      <c r="J965" s="15"/>
      <c r="K965" s="15"/>
      <c r="L965" s="15"/>
      <c r="M965" s="24">
        <f t="shared" si="504"/>
        <v>0</v>
      </c>
      <c r="N965" s="15"/>
      <c r="O965" s="55"/>
      <c r="P965" s="55"/>
      <c r="Q965" s="55"/>
      <c r="R965" s="67"/>
      <c r="S965" s="24">
        <f t="shared" si="505"/>
        <v>0</v>
      </c>
      <c r="T965" s="15"/>
      <c r="U965" s="55"/>
      <c r="V965" s="55"/>
      <c r="W965" s="55"/>
      <c r="X965" s="67"/>
      <c r="Y965" s="24">
        <f t="shared" si="506"/>
        <v>0</v>
      </c>
      <c r="Z965" s="24">
        <f t="shared" si="507"/>
        <v>0</v>
      </c>
      <c r="AA965" s="83"/>
      <c r="AB965" s="23" t="s">
        <v>438</v>
      </c>
      <c r="AC965" s="14">
        <v>1</v>
      </c>
      <c r="AD965" s="15">
        <v>2</v>
      </c>
      <c r="AE965" s="15">
        <v>2</v>
      </c>
      <c r="AF965" s="15">
        <v>1</v>
      </c>
      <c r="AG965" s="15">
        <v>2</v>
      </c>
      <c r="AH965" s="24">
        <f t="shared" si="522"/>
        <v>8</v>
      </c>
      <c r="AI965" s="14"/>
      <c r="AJ965" s="15"/>
      <c r="AK965" s="15"/>
      <c r="AL965" s="15"/>
      <c r="AM965" s="15"/>
      <c r="AN965" s="24">
        <f t="shared" si="523"/>
        <v>0</v>
      </c>
      <c r="AO965" s="15">
        <v>1</v>
      </c>
      <c r="AP965" s="55"/>
      <c r="AQ965" s="55"/>
      <c r="AR965" s="55">
        <v>1</v>
      </c>
      <c r="AS965" s="67">
        <v>1</v>
      </c>
      <c r="AT965" s="24">
        <f t="shared" si="524"/>
        <v>3</v>
      </c>
      <c r="AU965" s="15"/>
      <c r="AV965" s="55"/>
      <c r="AW965" s="55">
        <v>1</v>
      </c>
      <c r="AX965" s="55">
        <v>1</v>
      </c>
      <c r="AY965" s="67">
        <v>2</v>
      </c>
      <c r="AZ965" s="24">
        <f t="shared" si="525"/>
        <v>4</v>
      </c>
      <c r="BA965" s="24">
        <f t="shared" si="526"/>
        <v>15</v>
      </c>
      <c r="BB965" s="83">
        <v>44798</v>
      </c>
      <c r="BC965" s="111"/>
    </row>
    <row r="966" spans="1:55" ht="14.25" x14ac:dyDescent="0.15">
      <c r="A966" s="23"/>
      <c r="B966" s="14"/>
      <c r="C966" s="15"/>
      <c r="D966" s="15"/>
      <c r="E966" s="15"/>
      <c r="F966" s="15"/>
      <c r="G966" s="24">
        <f t="shared" si="527"/>
        <v>0</v>
      </c>
      <c r="H966" s="14"/>
      <c r="I966" s="15"/>
      <c r="J966" s="15"/>
      <c r="K966" s="15"/>
      <c r="L966" s="15"/>
      <c r="M966" s="24">
        <f t="shared" si="504"/>
        <v>0</v>
      </c>
      <c r="N966" s="15"/>
      <c r="O966" s="55"/>
      <c r="P966" s="55"/>
      <c r="Q966" s="55"/>
      <c r="R966" s="67"/>
      <c r="S966" s="24">
        <f t="shared" si="505"/>
        <v>0</v>
      </c>
      <c r="T966" s="15"/>
      <c r="U966" s="55"/>
      <c r="V966" s="55"/>
      <c r="W966" s="55"/>
      <c r="X966" s="67"/>
      <c r="Y966" s="24">
        <f t="shared" si="506"/>
        <v>0</v>
      </c>
      <c r="Z966" s="24">
        <f t="shared" si="507"/>
        <v>0</v>
      </c>
      <c r="AA966" s="83"/>
      <c r="AB966" s="23" t="s">
        <v>438</v>
      </c>
      <c r="AC966" s="14"/>
      <c r="AD966" s="15"/>
      <c r="AE966" s="15"/>
      <c r="AF966" s="15"/>
      <c r="AG966" s="15"/>
      <c r="AH966" s="24">
        <f t="shared" ref="AH966:AH969" si="528">SUM(AC966:AG966)</f>
        <v>0</v>
      </c>
      <c r="AI966" s="14"/>
      <c r="AJ966" s="15"/>
      <c r="AK966" s="15"/>
      <c r="AL966" s="15"/>
      <c r="AM966" s="15"/>
      <c r="AN966" s="24">
        <f t="shared" ref="AN966:AN969" si="529">SUM(AI966:AM966)</f>
        <v>0</v>
      </c>
      <c r="AO966" s="15"/>
      <c r="AP966" s="55"/>
      <c r="AQ966" s="55"/>
      <c r="AR966" s="55"/>
      <c r="AS966" s="67"/>
      <c r="AT966" s="24">
        <f t="shared" ref="AT966:AT969" si="530">SUM(AO966:AS966)</f>
        <v>0</v>
      </c>
      <c r="AU966" s="15"/>
      <c r="AV966" s="55">
        <v>1</v>
      </c>
      <c r="AW966" s="55"/>
      <c r="AX966" s="55"/>
      <c r="AY966" s="67"/>
      <c r="AZ966" s="24">
        <f t="shared" ref="AZ966:AZ969" si="531">SUM(AU966:AY966)</f>
        <v>1</v>
      </c>
      <c r="BA966" s="24">
        <f t="shared" ref="BA966:BA969" si="532">AH966+AN966+AT966+AZ966</f>
        <v>1</v>
      </c>
      <c r="BB966" s="83">
        <v>44802</v>
      </c>
      <c r="BC966" s="111"/>
    </row>
    <row r="967" spans="1:55" ht="14.25" x14ac:dyDescent="0.15">
      <c r="A967" s="23"/>
      <c r="B967" s="44"/>
      <c r="C967" s="45"/>
      <c r="D967" s="45"/>
      <c r="E967" s="45"/>
      <c r="F967" s="45"/>
      <c r="G967" s="43">
        <f t="shared" si="527"/>
        <v>0</v>
      </c>
      <c r="H967" s="44"/>
      <c r="I967" s="45"/>
      <c r="J967" s="45"/>
      <c r="K967" s="45"/>
      <c r="L967" s="45"/>
      <c r="M967" s="43">
        <f t="shared" si="504"/>
        <v>0</v>
      </c>
      <c r="N967" s="42"/>
      <c r="O967" s="53"/>
      <c r="P967" s="53"/>
      <c r="Q967" s="53"/>
      <c r="R967" s="72"/>
      <c r="S967" s="24">
        <f t="shared" si="505"/>
        <v>0</v>
      </c>
      <c r="T967" s="42"/>
      <c r="U967" s="53"/>
      <c r="V967" s="53"/>
      <c r="W967" s="53"/>
      <c r="X967" s="72"/>
      <c r="Y967" s="24">
        <f t="shared" si="506"/>
        <v>0</v>
      </c>
      <c r="Z967" s="24">
        <f t="shared" si="507"/>
        <v>0</v>
      </c>
      <c r="AA967" s="93"/>
      <c r="AB967" s="21"/>
      <c r="AC967" s="14"/>
      <c r="AD967" s="15"/>
      <c r="AE967" s="15"/>
      <c r="AF967" s="15"/>
      <c r="AG967" s="15"/>
      <c r="AH967" s="24">
        <f t="shared" si="528"/>
        <v>0</v>
      </c>
      <c r="AI967" s="14"/>
      <c r="AJ967" s="15"/>
      <c r="AK967" s="15"/>
      <c r="AL967" s="15"/>
      <c r="AM967" s="15"/>
      <c r="AN967" s="24">
        <f t="shared" si="529"/>
        <v>0</v>
      </c>
      <c r="AO967" s="15"/>
      <c r="AP967" s="55"/>
      <c r="AQ967" s="55"/>
      <c r="AR967" s="55"/>
      <c r="AS967" s="67"/>
      <c r="AT967" s="24">
        <f t="shared" si="530"/>
        <v>0</v>
      </c>
      <c r="AU967" s="15"/>
      <c r="AV967" s="55"/>
      <c r="AW967" s="55"/>
      <c r="AX967" s="55"/>
      <c r="AY967" s="67"/>
      <c r="AZ967" s="24">
        <f t="shared" si="531"/>
        <v>0</v>
      </c>
      <c r="BA967" s="24">
        <f t="shared" si="532"/>
        <v>0</v>
      </c>
    </row>
    <row r="968" spans="1:55" ht="14.25" x14ac:dyDescent="0.15">
      <c r="A968" s="23"/>
      <c r="B968" s="41"/>
      <c r="C968" s="42"/>
      <c r="D968" s="42"/>
      <c r="E968" s="42"/>
      <c r="F968" s="42"/>
      <c r="G968" s="43">
        <f t="shared" si="527"/>
        <v>0</v>
      </c>
      <c r="H968" s="41"/>
      <c r="I968" s="42"/>
      <c r="J968" s="42"/>
      <c r="K968" s="42"/>
      <c r="L968" s="42"/>
      <c r="M968" s="43">
        <f t="shared" si="504"/>
        <v>0</v>
      </c>
      <c r="N968" s="42"/>
      <c r="O968" s="53"/>
      <c r="P968" s="53"/>
      <c r="Q968" s="53"/>
      <c r="R968" s="72"/>
      <c r="S968" s="24">
        <f t="shared" si="505"/>
        <v>0</v>
      </c>
      <c r="T968" s="42"/>
      <c r="U968" s="53"/>
      <c r="V968" s="53"/>
      <c r="W968" s="53"/>
      <c r="X968" s="72"/>
      <c r="Y968" s="24">
        <f t="shared" si="506"/>
        <v>0</v>
      </c>
      <c r="Z968" s="24">
        <f t="shared" si="507"/>
        <v>0</v>
      </c>
      <c r="AA968" s="93"/>
      <c r="AB968" s="21"/>
      <c r="AC968" s="14"/>
      <c r="AD968" s="15"/>
      <c r="AE968" s="15"/>
      <c r="AF968" s="15"/>
      <c r="AG968" s="15"/>
      <c r="AH968" s="24">
        <f t="shared" si="528"/>
        <v>0</v>
      </c>
      <c r="AI968" s="14"/>
      <c r="AJ968" s="15"/>
      <c r="AK968" s="15"/>
      <c r="AL968" s="15"/>
      <c r="AM968" s="15"/>
      <c r="AN968" s="24">
        <f t="shared" si="529"/>
        <v>0</v>
      </c>
      <c r="AO968" s="15"/>
      <c r="AP968" s="55"/>
      <c r="AQ968" s="55"/>
      <c r="AR968" s="55"/>
      <c r="AS968" s="67"/>
      <c r="AT968" s="24">
        <f t="shared" si="530"/>
        <v>0</v>
      </c>
      <c r="AU968" s="15"/>
      <c r="AV968" s="55"/>
      <c r="AW968" s="55"/>
      <c r="AX968" s="55"/>
      <c r="AY968" s="67"/>
      <c r="AZ968" s="24">
        <f t="shared" si="531"/>
        <v>0</v>
      </c>
      <c r="BA968" s="24">
        <f t="shared" si="532"/>
        <v>0</v>
      </c>
    </row>
    <row r="969" spans="1:55" ht="14.25" x14ac:dyDescent="0.15">
      <c r="A969" s="23"/>
      <c r="B969" s="41"/>
      <c r="C969" s="42"/>
      <c r="D969" s="42"/>
      <c r="E969" s="42"/>
      <c r="F969" s="42"/>
      <c r="G969" s="43">
        <f t="shared" si="527"/>
        <v>0</v>
      </c>
      <c r="H969" s="41"/>
      <c r="I969" s="42"/>
      <c r="J969" s="42"/>
      <c r="K969" s="42"/>
      <c r="L969" s="42"/>
      <c r="M969" s="43">
        <f t="shared" si="504"/>
        <v>0</v>
      </c>
      <c r="N969" s="42"/>
      <c r="O969" s="53"/>
      <c r="P969" s="53"/>
      <c r="Q969" s="53"/>
      <c r="R969" s="72"/>
      <c r="S969" s="24">
        <f t="shared" si="505"/>
        <v>0</v>
      </c>
      <c r="T969" s="42"/>
      <c r="U969" s="53"/>
      <c r="V969" s="53"/>
      <c r="W969" s="53"/>
      <c r="X969" s="72"/>
      <c r="Y969" s="24">
        <f t="shared" si="506"/>
        <v>0</v>
      </c>
      <c r="Z969" s="24">
        <f t="shared" si="507"/>
        <v>0</v>
      </c>
      <c r="AA969" s="93"/>
      <c r="AB969" s="21"/>
      <c r="AC969" s="14"/>
      <c r="AD969" s="15"/>
      <c r="AE969" s="15"/>
      <c r="AF969" s="15"/>
      <c r="AG969" s="15"/>
      <c r="AH969" s="24">
        <f t="shared" si="528"/>
        <v>0</v>
      </c>
      <c r="AI969" s="14"/>
      <c r="AJ969" s="15"/>
      <c r="AK969" s="15"/>
      <c r="AL969" s="15"/>
      <c r="AM969" s="15"/>
      <c r="AN969" s="24">
        <f t="shared" si="529"/>
        <v>0</v>
      </c>
      <c r="AO969" s="15"/>
      <c r="AP969" s="55"/>
      <c r="AQ969" s="55"/>
      <c r="AR969" s="55"/>
      <c r="AS969" s="67"/>
      <c r="AT969" s="24">
        <f t="shared" si="530"/>
        <v>0</v>
      </c>
      <c r="AU969" s="15"/>
      <c r="AV969" s="55"/>
      <c r="AW969" s="55"/>
      <c r="AX969" s="55"/>
      <c r="AY969" s="67"/>
      <c r="AZ969" s="24">
        <f t="shared" si="531"/>
        <v>0</v>
      </c>
      <c r="BA969" s="24">
        <f t="shared" si="532"/>
        <v>0</v>
      </c>
    </row>
    <row r="970" spans="1:55" ht="14.25" x14ac:dyDescent="0.15">
      <c r="A970" s="23"/>
      <c r="B970" s="41"/>
      <c r="C970" s="42"/>
      <c r="D970" s="42"/>
      <c r="E970" s="42"/>
      <c r="F970" s="42"/>
      <c r="G970" s="43">
        <f t="shared" si="527"/>
        <v>0</v>
      </c>
      <c r="H970" s="41"/>
      <c r="I970" s="42"/>
      <c r="J970" s="42"/>
      <c r="K970" s="42"/>
      <c r="L970" s="42"/>
      <c r="M970" s="43">
        <f t="shared" si="504"/>
        <v>0</v>
      </c>
      <c r="N970" s="42"/>
      <c r="O970" s="53"/>
      <c r="P970" s="53"/>
      <c r="Q970" s="53"/>
      <c r="R970" s="72"/>
      <c r="S970" s="24">
        <f>SUM(N970:R970)</f>
        <v>0</v>
      </c>
      <c r="T970" s="42"/>
      <c r="U970" s="53"/>
      <c r="V970" s="53"/>
      <c r="W970" s="53"/>
      <c r="X970" s="72"/>
      <c r="Y970" s="24">
        <f>SUM(T970:X970)</f>
        <v>0</v>
      </c>
      <c r="Z970" s="24">
        <f>G970+M970+S970+Y970</f>
        <v>0</v>
      </c>
      <c r="AB970" s="47" t="s">
        <v>529</v>
      </c>
      <c r="AC970" s="14"/>
      <c r="AD970" s="15"/>
      <c r="AE970" s="15"/>
      <c r="AF970" s="15"/>
      <c r="AG970" s="15"/>
      <c r="AH970" s="24">
        <f t="shared" ref="AH970" si="533">SUM(AC970:AG970)</f>
        <v>0</v>
      </c>
      <c r="AI970" s="191"/>
      <c r="AJ970" s="192"/>
      <c r="AK970" s="192"/>
      <c r="AL970" s="192"/>
      <c r="AM970" s="192"/>
      <c r="AN970" s="24">
        <f t="shared" ref="AN970" si="534">SUM(AI970:AM970)</f>
        <v>0</v>
      </c>
      <c r="AO970" s="14"/>
      <c r="AP970" s="15"/>
      <c r="AQ970" s="15"/>
      <c r="AR970" s="15"/>
      <c r="AS970" s="15"/>
      <c r="AT970" s="24">
        <f t="shared" ref="AT970" si="535">SUM(AO970:AS970)</f>
        <v>0</v>
      </c>
      <c r="AU970" s="14"/>
      <c r="AV970" s="15"/>
      <c r="AW970" s="15"/>
      <c r="AX970" s="15"/>
      <c r="AY970" s="15"/>
      <c r="AZ970" s="24">
        <f t="shared" ref="AZ970" si="536">SUM(AU970:AY970)</f>
        <v>0</v>
      </c>
      <c r="BA970" s="24">
        <f t="shared" ref="BA970" si="537">AH970+AN970+AT970+AZ970</f>
        <v>0</v>
      </c>
      <c r="BB970" s="128" t="s">
        <v>530</v>
      </c>
    </row>
    <row r="971" spans="1:55" ht="14.25" thickBot="1" x14ac:dyDescent="0.2">
      <c r="A971" s="182"/>
      <c r="B971" s="44"/>
      <c r="C971" s="45"/>
      <c r="D971" s="45"/>
      <c r="E971" s="45"/>
      <c r="F971" s="45"/>
      <c r="G971" s="43">
        <f t="shared" si="527"/>
        <v>0</v>
      </c>
      <c r="H971" s="44"/>
      <c r="I971" s="45"/>
      <c r="J971" s="45"/>
      <c r="K971" s="45"/>
      <c r="L971" s="45"/>
      <c r="M971" s="112">
        <f t="shared" si="504"/>
        <v>0</v>
      </c>
      <c r="N971" s="45"/>
      <c r="O971" s="78"/>
      <c r="P971" s="78"/>
      <c r="Q971" s="78"/>
      <c r="R971" s="79"/>
      <c r="S971" s="113">
        <f>SUM(N971:R971)</f>
        <v>0</v>
      </c>
      <c r="T971" s="45"/>
      <c r="U971" s="78"/>
      <c r="V971" s="78"/>
      <c r="W971" s="78"/>
      <c r="X971" s="79"/>
      <c r="Y971" s="113">
        <f>SUM(T971:X971)</f>
        <v>0</v>
      </c>
      <c r="Z971" s="82">
        <f>G971+M971+S971+Y971</f>
        <v>0</v>
      </c>
      <c r="AB971" s="47" t="s">
        <v>527</v>
      </c>
      <c r="AC971" s="14"/>
      <c r="AD971" s="15"/>
      <c r="AE971" s="15"/>
      <c r="AF971" s="15"/>
      <c r="AG971" s="15"/>
      <c r="AH971" s="24">
        <f>SUM(AC971:AG971)</f>
        <v>0</v>
      </c>
      <c r="AI971" s="191"/>
      <c r="AJ971" s="192"/>
      <c r="AK971" s="192"/>
      <c r="AL971" s="192"/>
      <c r="AM971" s="192"/>
      <c r="AN971" s="24">
        <f>SUM(AI971:AM971)</f>
        <v>0</v>
      </c>
      <c r="AO971" s="14"/>
      <c r="AP971" s="15"/>
      <c r="AQ971" s="15"/>
      <c r="AR971" s="15"/>
      <c r="AS971" s="15"/>
      <c r="AT971" s="24">
        <f>SUM(AO971:AS971)</f>
        <v>0</v>
      </c>
      <c r="AU971" s="14"/>
      <c r="AV971" s="15"/>
      <c r="AW971" s="15"/>
      <c r="AX971" s="15"/>
      <c r="AY971" s="15"/>
      <c r="AZ971" s="24">
        <f>SUM(AU971:AY971)</f>
        <v>0</v>
      </c>
      <c r="BA971" s="24">
        <f>AH971+AN971+AT971+AZ971</f>
        <v>0</v>
      </c>
      <c r="BB971" s="128" t="s">
        <v>528</v>
      </c>
    </row>
    <row r="972" spans="1:55" ht="15" thickBot="1" x14ac:dyDescent="0.2">
      <c r="A972" s="9" t="s">
        <v>13</v>
      </c>
      <c r="B972" s="25">
        <f>SUM(B946:B971)</f>
        <v>0</v>
      </c>
      <c r="C972" s="26">
        <f>SUM(C946:C971)</f>
        <v>0</v>
      </c>
      <c r="D972" s="26">
        <f>SUM(D946:D971)</f>
        <v>2</v>
      </c>
      <c r="E972" s="26">
        <f>SUM(E946:E971)</f>
        <v>4</v>
      </c>
      <c r="F972" s="27">
        <f>SUM(F946:F971)</f>
        <v>2</v>
      </c>
      <c r="G972" s="19">
        <f>SUM(B972:F972)</f>
        <v>8</v>
      </c>
      <c r="H972" s="25">
        <f>SUM(H946:H971)</f>
        <v>0</v>
      </c>
      <c r="I972" s="26">
        <f>SUM(I946:I971)</f>
        <v>6</v>
      </c>
      <c r="J972" s="26">
        <f>SUM(J946:J971)</f>
        <v>1</v>
      </c>
      <c r="K972" s="26">
        <f>SUM(K946:K971)</f>
        <v>2</v>
      </c>
      <c r="L972" s="27">
        <f>SUM(L946:L971)</f>
        <v>2</v>
      </c>
      <c r="M972" s="25">
        <f>SUM(H972:L972)</f>
        <v>11</v>
      </c>
      <c r="N972" s="65">
        <f>SUM(N946:N971)</f>
        <v>1</v>
      </c>
      <c r="O972" s="18">
        <f>SUM(O946:O971)</f>
        <v>3</v>
      </c>
      <c r="P972" s="18">
        <f>SUM(P946:P971)</f>
        <v>0</v>
      </c>
      <c r="Q972" s="18">
        <f>SUM(Q946:Q971)</f>
        <v>0</v>
      </c>
      <c r="R972" s="70">
        <f>SUM(R946:R971)</f>
        <v>0</v>
      </c>
      <c r="S972" s="49">
        <f>SUM(N972:R972)</f>
        <v>4</v>
      </c>
      <c r="T972" s="74">
        <f>SUM(T946:T971)</f>
        <v>0</v>
      </c>
      <c r="U972" s="18">
        <f>SUM(U946:U971)</f>
        <v>0</v>
      </c>
      <c r="V972" s="18">
        <f>SUM(V946:V971)</f>
        <v>1</v>
      </c>
      <c r="W972" s="18">
        <f>SUM(W946:W971)</f>
        <v>1</v>
      </c>
      <c r="X972" s="70">
        <f>SUM(X946:X971)</f>
        <v>3</v>
      </c>
      <c r="Y972" s="49">
        <f>SUM(T972:X972)</f>
        <v>5</v>
      </c>
      <c r="Z972" s="137">
        <f>G972+M972+S972+Y972</f>
        <v>28</v>
      </c>
      <c r="AB972" s="9" t="s">
        <v>13</v>
      </c>
      <c r="AC972" s="25">
        <f>SUM(AC946:AC971)</f>
        <v>8</v>
      </c>
      <c r="AD972" s="26">
        <f>SUM(AD946:AD971)</f>
        <v>5</v>
      </c>
      <c r="AE972" s="26">
        <f>SUM(AE946:AE971)</f>
        <v>13</v>
      </c>
      <c r="AF972" s="26">
        <f>SUM(AF946:AF971)</f>
        <v>13</v>
      </c>
      <c r="AG972" s="27">
        <f>SUM(AG946:AG971)</f>
        <v>20</v>
      </c>
      <c r="AH972" s="19">
        <f>SUM(AC972:AG972)</f>
        <v>59</v>
      </c>
      <c r="AI972" s="25">
        <f>SUM(AI946:AI971)</f>
        <v>3</v>
      </c>
      <c r="AJ972" s="26">
        <f>SUM(AJ946:AJ971)</f>
        <v>10</v>
      </c>
      <c r="AK972" s="26">
        <f>SUM(AK946:AK971)</f>
        <v>8</v>
      </c>
      <c r="AL972" s="26">
        <f>SUM(AL946:AL971)</f>
        <v>10</v>
      </c>
      <c r="AM972" s="27">
        <f>SUM(AM946:AM971)</f>
        <v>5</v>
      </c>
      <c r="AN972" s="25">
        <f>SUM(AI972:AM972)</f>
        <v>36</v>
      </c>
      <c r="AO972" s="65">
        <f>SUM(AO946:AO971)</f>
        <v>4</v>
      </c>
      <c r="AP972" s="18">
        <f>SUM(AP946:AP971)</f>
        <v>1</v>
      </c>
      <c r="AQ972" s="18">
        <f>SUM(AQ946:AQ971)</f>
        <v>1</v>
      </c>
      <c r="AR972" s="18">
        <f>SUM(AR946:AR971)</f>
        <v>3</v>
      </c>
      <c r="AS972" s="70">
        <f>SUM(AS946:AS971)</f>
        <v>3</v>
      </c>
      <c r="AT972" s="49">
        <f>SUM(AO972:AS972)</f>
        <v>12</v>
      </c>
      <c r="AU972" s="74">
        <f>SUM(AU946:AU971)</f>
        <v>3</v>
      </c>
      <c r="AV972" s="18">
        <f>SUM(AV946:AV971)</f>
        <v>2</v>
      </c>
      <c r="AW972" s="18">
        <f>SUM(AW946:AW971)</f>
        <v>3</v>
      </c>
      <c r="AX972" s="18">
        <f>SUM(AX946:AX971)</f>
        <v>5</v>
      </c>
      <c r="AY972" s="70">
        <f>SUM(AY946:AY971)</f>
        <v>9</v>
      </c>
      <c r="AZ972" s="49">
        <f>SUM(AU972:AY972)</f>
        <v>22</v>
      </c>
      <c r="BA972" s="77">
        <f>AH972+AN972+AT972+AZ972</f>
        <v>129</v>
      </c>
    </row>
    <row r="973" spans="1:55" ht="15" thickBot="1" x14ac:dyDescent="0.2">
      <c r="A973" s="32" t="s">
        <v>14</v>
      </c>
      <c r="B973" s="29">
        <f t="shared" ref="B973:Y973" si="538">B945-B972</f>
        <v>4</v>
      </c>
      <c r="C973" s="30">
        <f t="shared" si="538"/>
        <v>1</v>
      </c>
      <c r="D973" s="30">
        <f t="shared" si="538"/>
        <v>3</v>
      </c>
      <c r="E973" s="30">
        <f t="shared" si="538"/>
        <v>2</v>
      </c>
      <c r="F973" s="31">
        <f t="shared" si="538"/>
        <v>6</v>
      </c>
      <c r="G973" s="31">
        <f t="shared" si="538"/>
        <v>16</v>
      </c>
      <c r="H973" s="29">
        <f t="shared" si="538"/>
        <v>8</v>
      </c>
      <c r="I973" s="30">
        <f t="shared" si="538"/>
        <v>3</v>
      </c>
      <c r="J973" s="30">
        <f t="shared" si="538"/>
        <v>5</v>
      </c>
      <c r="K973" s="30">
        <f t="shared" si="538"/>
        <v>2</v>
      </c>
      <c r="L973" s="31">
        <f t="shared" si="538"/>
        <v>6</v>
      </c>
      <c r="M973" s="66">
        <f t="shared" si="538"/>
        <v>24</v>
      </c>
      <c r="N973" s="29">
        <f t="shared" si="538"/>
        <v>6</v>
      </c>
      <c r="O973" s="30">
        <f t="shared" si="538"/>
        <v>1</v>
      </c>
      <c r="P973" s="30">
        <f t="shared" si="538"/>
        <v>7</v>
      </c>
      <c r="Q973" s="30">
        <f t="shared" si="538"/>
        <v>5</v>
      </c>
      <c r="R973" s="66">
        <f t="shared" si="538"/>
        <v>7</v>
      </c>
      <c r="S973" s="33">
        <f t="shared" si="538"/>
        <v>26</v>
      </c>
      <c r="T973" s="75">
        <f t="shared" si="538"/>
        <v>6</v>
      </c>
      <c r="U973" s="30">
        <f t="shared" si="538"/>
        <v>5</v>
      </c>
      <c r="V973" s="30">
        <f t="shared" si="538"/>
        <v>3</v>
      </c>
      <c r="W973" s="30">
        <f t="shared" si="538"/>
        <v>5</v>
      </c>
      <c r="X973" s="66">
        <f t="shared" si="538"/>
        <v>2</v>
      </c>
      <c r="Y973" s="33">
        <f t="shared" si="538"/>
        <v>21</v>
      </c>
      <c r="Z973" s="77">
        <f>G973+M973+S973+Y973</f>
        <v>87</v>
      </c>
      <c r="AB973" s="32" t="s">
        <v>14</v>
      </c>
      <c r="AC973" s="29">
        <f t="shared" ref="AC973:AZ973" si="539">AC945-AC972</f>
        <v>72</v>
      </c>
      <c r="AD973" s="30">
        <f t="shared" si="539"/>
        <v>11</v>
      </c>
      <c r="AE973" s="30">
        <f t="shared" si="539"/>
        <v>11</v>
      </c>
      <c r="AF973" s="30">
        <f t="shared" si="539"/>
        <v>36</v>
      </c>
      <c r="AG973" s="31">
        <f t="shared" si="539"/>
        <v>20</v>
      </c>
      <c r="AH973" s="31">
        <f t="shared" si="539"/>
        <v>150</v>
      </c>
      <c r="AI973" s="29">
        <f t="shared" si="539"/>
        <v>39</v>
      </c>
      <c r="AJ973" s="30">
        <f t="shared" si="539"/>
        <v>15</v>
      </c>
      <c r="AK973" s="30">
        <f t="shared" si="539"/>
        <v>42</v>
      </c>
      <c r="AL973" s="30">
        <f t="shared" si="539"/>
        <v>46</v>
      </c>
      <c r="AM973" s="31">
        <f t="shared" si="539"/>
        <v>58</v>
      </c>
      <c r="AN973" s="66">
        <f t="shared" si="539"/>
        <v>200</v>
      </c>
      <c r="AO973" s="29">
        <f t="shared" si="539"/>
        <v>159</v>
      </c>
      <c r="AP973" s="30">
        <f t="shared" si="539"/>
        <v>140</v>
      </c>
      <c r="AQ973" s="30">
        <f t="shared" si="539"/>
        <v>129</v>
      </c>
      <c r="AR973" s="30">
        <f t="shared" si="539"/>
        <v>137</v>
      </c>
      <c r="AS973" s="66">
        <f t="shared" si="539"/>
        <v>149</v>
      </c>
      <c r="AT973" s="33">
        <f t="shared" si="539"/>
        <v>714</v>
      </c>
      <c r="AU973" s="75">
        <f t="shared" si="539"/>
        <v>116</v>
      </c>
      <c r="AV973" s="30">
        <f t="shared" si="539"/>
        <v>71</v>
      </c>
      <c r="AW973" s="30">
        <f t="shared" si="539"/>
        <v>63</v>
      </c>
      <c r="AX973" s="30">
        <f t="shared" si="539"/>
        <v>61</v>
      </c>
      <c r="AY973" s="66">
        <f t="shared" si="539"/>
        <v>100</v>
      </c>
      <c r="AZ973" s="33">
        <f t="shared" si="539"/>
        <v>411</v>
      </c>
      <c r="BA973" s="77">
        <f>AH973+AN973+AT973+AZ973</f>
        <v>1475</v>
      </c>
    </row>
    <row r="976" spans="1:55" ht="19.5" thickBot="1" x14ac:dyDescent="0.25">
      <c r="A976" s="1" t="s">
        <v>15</v>
      </c>
      <c r="AB976" s="1" t="s">
        <v>16</v>
      </c>
    </row>
    <row r="977" spans="1:54" ht="15" thickBot="1" x14ac:dyDescent="0.2">
      <c r="A977" s="4"/>
      <c r="B977" s="245" t="s">
        <v>17</v>
      </c>
      <c r="C977" s="246"/>
      <c r="D977" s="246"/>
      <c r="E977" s="246"/>
      <c r="F977" s="246"/>
      <c r="G977" s="247"/>
      <c r="H977" s="245" t="s">
        <v>18</v>
      </c>
      <c r="I977" s="246"/>
      <c r="J977" s="246"/>
      <c r="K977" s="246"/>
      <c r="L977" s="246"/>
      <c r="M977" s="247"/>
      <c r="N977" s="248" t="s">
        <v>27</v>
      </c>
      <c r="O977" s="249"/>
      <c r="P977" s="249"/>
      <c r="Q977" s="249"/>
      <c r="R977" s="249"/>
      <c r="S977" s="250"/>
      <c r="T977" s="248" t="s">
        <v>28</v>
      </c>
      <c r="U977" s="249"/>
      <c r="V977" s="249"/>
      <c r="W977" s="249"/>
      <c r="X977" s="249"/>
      <c r="Y977" s="250"/>
      <c r="Z977" s="251" t="s">
        <v>1</v>
      </c>
      <c r="AB977" s="4"/>
      <c r="AC977" s="253" t="s">
        <v>17</v>
      </c>
      <c r="AD977" s="249"/>
      <c r="AE977" s="249"/>
      <c r="AF977" s="249"/>
      <c r="AG977" s="249"/>
      <c r="AH977" s="250"/>
      <c r="AI977" s="248" t="s">
        <v>18</v>
      </c>
      <c r="AJ977" s="249"/>
      <c r="AK977" s="249"/>
      <c r="AL977" s="249"/>
      <c r="AM977" s="249"/>
      <c r="AN977" s="250"/>
      <c r="AO977" s="248" t="s">
        <v>27</v>
      </c>
      <c r="AP977" s="249"/>
      <c r="AQ977" s="249"/>
      <c r="AR977" s="249"/>
      <c r="AS977" s="249"/>
      <c r="AT977" s="250"/>
      <c r="AU977" s="248" t="s">
        <v>28</v>
      </c>
      <c r="AV977" s="249"/>
      <c r="AW977" s="249"/>
      <c r="AX977" s="249"/>
      <c r="AY977" s="249"/>
      <c r="AZ977" s="250"/>
      <c r="BA977" s="243" t="s">
        <v>1</v>
      </c>
    </row>
    <row r="978" spans="1:54" ht="15" thickBot="1" x14ac:dyDescent="0.2">
      <c r="A978" s="9" t="s">
        <v>2</v>
      </c>
      <c r="B978" s="6" t="s">
        <v>3</v>
      </c>
      <c r="C978" s="7" t="s">
        <v>4</v>
      </c>
      <c r="D978" s="7" t="s">
        <v>5</v>
      </c>
      <c r="E978" s="48" t="s">
        <v>20</v>
      </c>
      <c r="F978" s="8" t="s">
        <v>21</v>
      </c>
      <c r="G978" s="5" t="s">
        <v>6</v>
      </c>
      <c r="H978" s="6" t="s">
        <v>3</v>
      </c>
      <c r="I978" s="7" t="s">
        <v>4</v>
      </c>
      <c r="J978" s="7" t="s">
        <v>5</v>
      </c>
      <c r="K978" s="48" t="s">
        <v>20</v>
      </c>
      <c r="L978" s="8" t="s">
        <v>21</v>
      </c>
      <c r="M978" s="5" t="s">
        <v>6</v>
      </c>
      <c r="N978" s="6" t="s">
        <v>3</v>
      </c>
      <c r="O978" s="7" t="s">
        <v>4</v>
      </c>
      <c r="P978" s="7" t="s">
        <v>5</v>
      </c>
      <c r="Q978" s="48" t="s">
        <v>20</v>
      </c>
      <c r="R978" s="8" t="s">
        <v>21</v>
      </c>
      <c r="S978" s="5" t="s">
        <v>6</v>
      </c>
      <c r="T978" s="7" t="s">
        <v>3</v>
      </c>
      <c r="U978" s="7" t="s">
        <v>4</v>
      </c>
      <c r="V978" s="7" t="s">
        <v>5</v>
      </c>
      <c r="W978" s="48" t="s">
        <v>20</v>
      </c>
      <c r="X978" s="109" t="s">
        <v>21</v>
      </c>
      <c r="Y978" s="62" t="s">
        <v>6</v>
      </c>
      <c r="Z978" s="252"/>
      <c r="AB978" s="9" t="s">
        <v>2</v>
      </c>
      <c r="AC978" s="6" t="s">
        <v>3</v>
      </c>
      <c r="AD978" s="7" t="s">
        <v>4</v>
      </c>
      <c r="AE978" s="7" t="s">
        <v>5</v>
      </c>
      <c r="AF978" s="48" t="s">
        <v>20</v>
      </c>
      <c r="AG978" s="8" t="s">
        <v>21</v>
      </c>
      <c r="AH978" s="5" t="s">
        <v>6</v>
      </c>
      <c r="AI978" s="6" t="s">
        <v>3</v>
      </c>
      <c r="AJ978" s="7" t="s">
        <v>4</v>
      </c>
      <c r="AK978" s="7" t="s">
        <v>5</v>
      </c>
      <c r="AL978" s="48" t="s">
        <v>20</v>
      </c>
      <c r="AM978" s="8" t="s">
        <v>21</v>
      </c>
      <c r="AN978" s="5" t="s">
        <v>6</v>
      </c>
      <c r="AO978" s="6" t="s">
        <v>3</v>
      </c>
      <c r="AP978" s="7" t="s">
        <v>4</v>
      </c>
      <c r="AQ978" s="7" t="s">
        <v>5</v>
      </c>
      <c r="AR978" s="48" t="s">
        <v>20</v>
      </c>
      <c r="AS978" s="8" t="s">
        <v>21</v>
      </c>
      <c r="AT978" s="5" t="s">
        <v>6</v>
      </c>
      <c r="AU978" s="7" t="s">
        <v>3</v>
      </c>
      <c r="AV978" s="7" t="s">
        <v>4</v>
      </c>
      <c r="AW978" s="7" t="s">
        <v>5</v>
      </c>
      <c r="AX978" s="48" t="s">
        <v>20</v>
      </c>
      <c r="AY978" s="109" t="s">
        <v>21</v>
      </c>
      <c r="AZ978" s="62" t="s">
        <v>6</v>
      </c>
      <c r="BA978" s="244"/>
    </row>
    <row r="979" spans="1:54" ht="14.25" x14ac:dyDescent="0.15">
      <c r="A979" s="103" t="s">
        <v>43</v>
      </c>
      <c r="B979" s="104">
        <f>B973</f>
        <v>4</v>
      </c>
      <c r="C979" s="105">
        <f>C973</f>
        <v>1</v>
      </c>
      <c r="D979" s="105">
        <f>D973</f>
        <v>3</v>
      </c>
      <c r="E979" s="105">
        <f>E973</f>
        <v>2</v>
      </c>
      <c r="F979" s="105">
        <f>F973</f>
        <v>6</v>
      </c>
      <c r="G979" s="106">
        <f t="shared" ref="G979:G999" si="540">SUM(B979:F979)</f>
        <v>16</v>
      </c>
      <c r="H979" s="104">
        <f>H973</f>
        <v>8</v>
      </c>
      <c r="I979" s="105">
        <f>I973</f>
        <v>3</v>
      </c>
      <c r="J979" s="105">
        <f>J973</f>
        <v>5</v>
      </c>
      <c r="K979" s="105">
        <f>K973</f>
        <v>2</v>
      </c>
      <c r="L979" s="105">
        <f>L973</f>
        <v>6</v>
      </c>
      <c r="M979" s="107">
        <f t="shared" ref="M979:M1010" si="541">SUM(H979:L979)</f>
        <v>24</v>
      </c>
      <c r="N979" s="104">
        <f>N973</f>
        <v>6</v>
      </c>
      <c r="O979" s="105">
        <f>O973</f>
        <v>1</v>
      </c>
      <c r="P979" s="105">
        <f>P973</f>
        <v>7</v>
      </c>
      <c r="Q979" s="105">
        <f>Q973</f>
        <v>5</v>
      </c>
      <c r="R979" s="105">
        <f>R973</f>
        <v>7</v>
      </c>
      <c r="S979" s="108">
        <f t="shared" ref="S979:S1008" si="542">SUM(N979:R979)</f>
        <v>26</v>
      </c>
      <c r="T979" s="104">
        <f>T973</f>
        <v>6</v>
      </c>
      <c r="U979" s="105">
        <f>U973</f>
        <v>5</v>
      </c>
      <c r="V979" s="105">
        <f>V973</f>
        <v>3</v>
      </c>
      <c r="W979" s="105">
        <f>W973</f>
        <v>5</v>
      </c>
      <c r="X979" s="105">
        <f>X973</f>
        <v>2</v>
      </c>
      <c r="Y979" s="106">
        <f t="shared" ref="Y979:Y1008" si="543">SUM(T979:X979)</f>
        <v>21</v>
      </c>
      <c r="Z979" s="106">
        <f t="shared" ref="Z979:Z1008" si="544">G979+M979+S979+Y979</f>
        <v>87</v>
      </c>
      <c r="AB979" s="103" t="s">
        <v>43</v>
      </c>
      <c r="AC979" s="104">
        <f>AC973</f>
        <v>72</v>
      </c>
      <c r="AD979" s="105">
        <f>AD973</f>
        <v>11</v>
      </c>
      <c r="AE979" s="105">
        <f>AE973</f>
        <v>11</v>
      </c>
      <c r="AF979" s="105">
        <f>AF973</f>
        <v>36</v>
      </c>
      <c r="AG979" s="105">
        <f>AG973</f>
        <v>20</v>
      </c>
      <c r="AH979" s="106">
        <f>SUM(AC979:AG979)</f>
        <v>150</v>
      </c>
      <c r="AI979" s="104">
        <f>AI973</f>
        <v>39</v>
      </c>
      <c r="AJ979" s="105">
        <f>AJ973</f>
        <v>15</v>
      </c>
      <c r="AK979" s="105">
        <f>AK973</f>
        <v>42</v>
      </c>
      <c r="AL979" s="105">
        <f>AL973</f>
        <v>46</v>
      </c>
      <c r="AM979" s="105">
        <f>AM973</f>
        <v>58</v>
      </c>
      <c r="AN979" s="107">
        <f>SUM(AI979:AM979)</f>
        <v>200</v>
      </c>
      <c r="AO979" s="104">
        <f>AO973</f>
        <v>159</v>
      </c>
      <c r="AP979" s="105">
        <f>AP973</f>
        <v>140</v>
      </c>
      <c r="AQ979" s="105">
        <f>AQ973</f>
        <v>129</v>
      </c>
      <c r="AR979" s="105">
        <f>AR973</f>
        <v>137</v>
      </c>
      <c r="AS979" s="105">
        <f>AS973</f>
        <v>149</v>
      </c>
      <c r="AT979" s="108">
        <f>SUM(AO979:AS979)</f>
        <v>714</v>
      </c>
      <c r="AU979" s="104">
        <f>AU973</f>
        <v>116</v>
      </c>
      <c r="AV979" s="105">
        <f>AV973</f>
        <v>71</v>
      </c>
      <c r="AW979" s="105">
        <f>AW973</f>
        <v>63</v>
      </c>
      <c r="AX979" s="105">
        <f>AX973</f>
        <v>61</v>
      </c>
      <c r="AY979" s="105">
        <f>AY973</f>
        <v>100</v>
      </c>
      <c r="AZ979" s="106">
        <f>SUM(AU979:AY979)</f>
        <v>411</v>
      </c>
      <c r="BA979" s="106">
        <f>AH979+AN979+AT979+AZ979</f>
        <v>1475</v>
      </c>
    </row>
    <row r="980" spans="1:54" ht="14.25" x14ac:dyDescent="0.15">
      <c r="A980" s="10" t="s">
        <v>181</v>
      </c>
      <c r="B980" s="14"/>
      <c r="C980" s="15"/>
      <c r="D980" s="15"/>
      <c r="E980" s="15"/>
      <c r="F980" s="15"/>
      <c r="G980" s="16">
        <f t="shared" si="540"/>
        <v>0</v>
      </c>
      <c r="H980" s="14"/>
      <c r="I980" s="15"/>
      <c r="J980" s="15"/>
      <c r="K980" s="15">
        <v>5</v>
      </c>
      <c r="L980" s="15"/>
      <c r="M980" s="57">
        <f t="shared" si="541"/>
        <v>5</v>
      </c>
      <c r="N980" s="14"/>
      <c r="O980" s="55">
        <v>5</v>
      </c>
      <c r="P980" s="55"/>
      <c r="Q980" s="55"/>
      <c r="R980" s="67"/>
      <c r="S980" s="24">
        <f t="shared" si="542"/>
        <v>5</v>
      </c>
      <c r="T980" s="15"/>
      <c r="U980" s="55"/>
      <c r="V980" s="55"/>
      <c r="W980" s="55"/>
      <c r="X980" s="67">
        <v>5</v>
      </c>
      <c r="Y980" s="24">
        <f t="shared" si="543"/>
        <v>5</v>
      </c>
      <c r="Z980" s="24">
        <f t="shared" si="544"/>
        <v>15</v>
      </c>
      <c r="AA980" s="83">
        <v>44799</v>
      </c>
      <c r="AB980" s="10" t="s">
        <v>181</v>
      </c>
      <c r="AC980" s="41"/>
      <c r="AD980" s="42"/>
      <c r="AE980" s="42"/>
      <c r="AF980" s="42"/>
      <c r="AG980" s="42"/>
      <c r="AH980" s="37">
        <f t="shared" ref="AH980" si="545">SUM(AC980:AG980)</f>
        <v>0</v>
      </c>
      <c r="AI980" s="41"/>
      <c r="AJ980" s="42"/>
      <c r="AK980" s="42"/>
      <c r="AL980" s="42"/>
      <c r="AM980" s="42"/>
      <c r="AN980" s="114">
        <f t="shared" ref="AN980" si="546">SUM(AI980:AM980)</f>
        <v>0</v>
      </c>
      <c r="AO980" s="41"/>
      <c r="AP980" s="53"/>
      <c r="AQ980" s="53"/>
      <c r="AR980" s="53"/>
      <c r="AS980" s="72"/>
      <c r="AT980" s="24">
        <f t="shared" ref="AT980" si="547">SUM(AO980:AS980)</f>
        <v>0</v>
      </c>
      <c r="AU980" s="42"/>
      <c r="AV980" s="53"/>
      <c r="AW980" s="53"/>
      <c r="AX980" s="53"/>
      <c r="AY980" s="72"/>
      <c r="AZ980" s="24">
        <f t="shared" ref="AZ980" si="548">SUM(AU980:AY980)</f>
        <v>0</v>
      </c>
      <c r="BA980" s="24">
        <f t="shared" ref="BA980:BA994" si="549">AH980+AN980+AT980+AZ980</f>
        <v>0</v>
      </c>
    </row>
    <row r="981" spans="1:54" ht="14.25" x14ac:dyDescent="0.15">
      <c r="A981" s="10" t="s">
        <v>181</v>
      </c>
      <c r="B981" s="41"/>
      <c r="C981" s="42">
        <v>3</v>
      </c>
      <c r="D981" s="42">
        <v>3</v>
      </c>
      <c r="E981" s="42">
        <v>3</v>
      </c>
      <c r="F981" s="42"/>
      <c r="G981" s="37">
        <f t="shared" si="540"/>
        <v>9</v>
      </c>
      <c r="H981" s="41"/>
      <c r="I981" s="42">
        <v>3</v>
      </c>
      <c r="J981" s="42"/>
      <c r="K981" s="42"/>
      <c r="L981" s="42"/>
      <c r="M981" s="114">
        <f t="shared" si="541"/>
        <v>3</v>
      </c>
      <c r="N981" s="41"/>
      <c r="O981" s="53"/>
      <c r="P981" s="53"/>
      <c r="Q981" s="53"/>
      <c r="R981" s="72"/>
      <c r="S981" s="24">
        <f t="shared" si="542"/>
        <v>0</v>
      </c>
      <c r="T981" s="42"/>
      <c r="U981" s="53"/>
      <c r="V981" s="53"/>
      <c r="W981" s="53"/>
      <c r="X981" s="72"/>
      <c r="Y981" s="24">
        <f t="shared" si="543"/>
        <v>0</v>
      </c>
      <c r="Z981" s="24">
        <f t="shared" si="544"/>
        <v>12</v>
      </c>
      <c r="AA981" s="83">
        <v>44809</v>
      </c>
      <c r="AB981" s="10" t="s">
        <v>181</v>
      </c>
      <c r="AC981" s="41"/>
      <c r="AD981" s="42"/>
      <c r="AE981" s="42"/>
      <c r="AF981" s="42"/>
      <c r="AG981" s="42"/>
      <c r="AH981" s="43">
        <f t="shared" ref="AH981" si="550">SUM(AC981:AG981)</f>
        <v>0</v>
      </c>
      <c r="AI981" s="41"/>
      <c r="AJ981" s="42"/>
      <c r="AK981" s="42"/>
      <c r="AL981" s="42"/>
      <c r="AM981" s="42"/>
      <c r="AN981" s="43">
        <f t="shared" ref="AN981" si="551">SUM(AI981:AM981)</f>
        <v>0</v>
      </c>
      <c r="AO981" s="42"/>
      <c r="AP981" s="53"/>
      <c r="AQ981" s="53"/>
      <c r="AR981" s="53"/>
      <c r="AS981" s="72"/>
      <c r="AT981" s="24">
        <f t="shared" ref="AT981" si="552">SUM(AO981:AS981)</f>
        <v>0</v>
      </c>
      <c r="AU981" s="42"/>
      <c r="AV981" s="53"/>
      <c r="AW981" s="53"/>
      <c r="AX981" s="53"/>
      <c r="AY981" s="72"/>
      <c r="AZ981" s="24">
        <f t="shared" ref="AZ981" si="553">SUM(AU981:AY981)</f>
        <v>0</v>
      </c>
      <c r="BA981" s="24">
        <f t="shared" ref="BA981" si="554">AH981+AN981+AT981+AZ981</f>
        <v>0</v>
      </c>
    </row>
    <row r="982" spans="1:54" ht="14.25" x14ac:dyDescent="0.15">
      <c r="A982" s="10" t="s">
        <v>181</v>
      </c>
      <c r="B982" s="14"/>
      <c r="C982" s="15">
        <v>3</v>
      </c>
      <c r="D982" s="15"/>
      <c r="E982" s="15">
        <v>2</v>
      </c>
      <c r="F982" s="15"/>
      <c r="G982" s="16">
        <f t="shared" si="540"/>
        <v>5</v>
      </c>
      <c r="H982" s="14"/>
      <c r="I982" s="15"/>
      <c r="J982" s="15"/>
      <c r="K982" s="15"/>
      <c r="L982" s="15"/>
      <c r="M982" s="57">
        <f t="shared" si="541"/>
        <v>0</v>
      </c>
      <c r="N982" s="14"/>
      <c r="O982" s="55"/>
      <c r="P982" s="55"/>
      <c r="Q982" s="55"/>
      <c r="R982" s="67"/>
      <c r="S982" s="24">
        <f t="shared" si="542"/>
        <v>0</v>
      </c>
      <c r="T982" s="15"/>
      <c r="U982" s="55"/>
      <c r="V982" s="55">
        <v>2</v>
      </c>
      <c r="W982" s="55">
        <v>2</v>
      </c>
      <c r="X982" s="67"/>
      <c r="Y982" s="24">
        <f t="shared" si="543"/>
        <v>4</v>
      </c>
      <c r="Z982" s="24">
        <f t="shared" si="544"/>
        <v>9</v>
      </c>
      <c r="AA982" s="83">
        <v>44816</v>
      </c>
      <c r="AB982" s="10" t="s">
        <v>181</v>
      </c>
      <c r="AC982" s="41"/>
      <c r="AD982" s="42"/>
      <c r="AE982" s="42"/>
      <c r="AF982" s="42"/>
      <c r="AG982" s="42"/>
      <c r="AH982" s="43">
        <f t="shared" ref="AH982:AH993" si="555">SUM(AC982:AG982)</f>
        <v>0</v>
      </c>
      <c r="AI982" s="41"/>
      <c r="AJ982" s="42"/>
      <c r="AK982" s="42"/>
      <c r="AL982" s="42"/>
      <c r="AM982" s="42"/>
      <c r="AN982" s="43">
        <f t="shared" ref="AN982:AN993" si="556">SUM(AI982:AM982)</f>
        <v>0</v>
      </c>
      <c r="AO982" s="42"/>
      <c r="AP982" s="53"/>
      <c r="AQ982" s="53"/>
      <c r="AR982" s="53"/>
      <c r="AS982" s="72"/>
      <c r="AT982" s="24">
        <f t="shared" ref="AT982:AT993" si="557">SUM(AO982:AS982)</f>
        <v>0</v>
      </c>
      <c r="AU982" s="42"/>
      <c r="AV982" s="53"/>
      <c r="AW982" s="53"/>
      <c r="AX982" s="53"/>
      <c r="AY982" s="72"/>
      <c r="AZ982" s="24">
        <f t="shared" ref="AZ982:AZ993" si="558">SUM(AU982:AY982)</f>
        <v>0</v>
      </c>
      <c r="BA982" s="24">
        <f t="shared" si="549"/>
        <v>0</v>
      </c>
    </row>
    <row r="983" spans="1:54" ht="15" thickBot="1" x14ac:dyDescent="0.2">
      <c r="A983" s="10" t="s">
        <v>563</v>
      </c>
      <c r="B983" s="14">
        <v>1</v>
      </c>
      <c r="C983" s="15"/>
      <c r="D983" s="15">
        <v>1</v>
      </c>
      <c r="E983" s="15"/>
      <c r="F983" s="15">
        <v>1</v>
      </c>
      <c r="G983" s="16">
        <f t="shared" si="540"/>
        <v>3</v>
      </c>
      <c r="H983" s="14"/>
      <c r="I983" s="15">
        <v>1</v>
      </c>
      <c r="J983" s="15"/>
      <c r="K983" s="15">
        <v>1</v>
      </c>
      <c r="L983" s="15"/>
      <c r="M983" s="57">
        <f t="shared" si="541"/>
        <v>2</v>
      </c>
      <c r="N983" s="63"/>
      <c r="O983" s="64"/>
      <c r="P983" s="64"/>
      <c r="Q983" s="64"/>
      <c r="R983" s="69"/>
      <c r="S983" s="82">
        <f t="shared" si="542"/>
        <v>0</v>
      </c>
      <c r="T983" s="73"/>
      <c r="U983" s="64"/>
      <c r="V983" s="64"/>
      <c r="W983" s="64"/>
      <c r="X983" s="69"/>
      <c r="Y983" s="82">
        <f t="shared" si="543"/>
        <v>0</v>
      </c>
      <c r="Z983" s="82">
        <f t="shared" si="544"/>
        <v>5</v>
      </c>
      <c r="AA983" s="93">
        <v>44825</v>
      </c>
      <c r="AB983" s="10" t="s">
        <v>181</v>
      </c>
      <c r="AC983" s="14"/>
      <c r="AD983" s="15"/>
      <c r="AE983" s="15"/>
      <c r="AF983" s="15"/>
      <c r="AG983" s="15"/>
      <c r="AH983" s="43">
        <f t="shared" si="555"/>
        <v>0</v>
      </c>
      <c r="AI983" s="14"/>
      <c r="AJ983" s="15"/>
      <c r="AK983" s="15"/>
      <c r="AL983" s="15"/>
      <c r="AM983" s="15"/>
      <c r="AN983" s="43">
        <f t="shared" si="556"/>
        <v>0</v>
      </c>
      <c r="AO983" s="63"/>
      <c r="AP983" s="64"/>
      <c r="AQ983" s="64"/>
      <c r="AR983" s="64"/>
      <c r="AS983" s="69"/>
      <c r="AT983" s="24">
        <f t="shared" si="557"/>
        <v>0</v>
      </c>
      <c r="AU983" s="73"/>
      <c r="AV983" s="64"/>
      <c r="AW983" s="64"/>
      <c r="AX983" s="64"/>
      <c r="AY983" s="69"/>
      <c r="AZ983" s="24">
        <f t="shared" si="558"/>
        <v>0</v>
      </c>
      <c r="BA983" s="24">
        <f t="shared" si="549"/>
        <v>0</v>
      </c>
    </row>
    <row r="984" spans="1:54" ht="15" thickBot="1" x14ac:dyDescent="0.2">
      <c r="A984" s="4" t="s">
        <v>12</v>
      </c>
      <c r="B984" s="17">
        <f>SUM(B979:B983)</f>
        <v>5</v>
      </c>
      <c r="C984" s="18">
        <f>SUM(C979:C983)</f>
        <v>7</v>
      </c>
      <c r="D984" s="18">
        <f>SUM(D979:D983)</f>
        <v>7</v>
      </c>
      <c r="E984" s="18">
        <f>SUM(E979:E983)</f>
        <v>7</v>
      </c>
      <c r="F984" s="18">
        <f>SUM(F979:F983)</f>
        <v>7</v>
      </c>
      <c r="G984" s="19">
        <f t="shared" si="540"/>
        <v>33</v>
      </c>
      <c r="H984" s="17">
        <f>SUM(H979:H983)</f>
        <v>8</v>
      </c>
      <c r="I984" s="18">
        <f>SUM(I979:I983)</f>
        <v>7</v>
      </c>
      <c r="J984" s="18">
        <f>SUM(J979:J983)</f>
        <v>5</v>
      </c>
      <c r="K984" s="18">
        <f>SUM(K979:K983)</f>
        <v>8</v>
      </c>
      <c r="L984" s="18">
        <f>SUM(L979:L983)</f>
        <v>6</v>
      </c>
      <c r="M984" s="25">
        <f t="shared" si="541"/>
        <v>34</v>
      </c>
      <c r="N984" s="65">
        <f>SUM(N979:N983)</f>
        <v>6</v>
      </c>
      <c r="O984" s="18">
        <f>SUM(O979:O983)</f>
        <v>6</v>
      </c>
      <c r="P984" s="18">
        <f>SUM(P979:P983)</f>
        <v>7</v>
      </c>
      <c r="Q984" s="18">
        <f>SUM(Q979:Q983)</f>
        <v>5</v>
      </c>
      <c r="R984" s="70">
        <f>SUM(R979:R983)</f>
        <v>7</v>
      </c>
      <c r="S984" s="49">
        <f t="shared" si="542"/>
        <v>31</v>
      </c>
      <c r="T984" s="74">
        <f>SUM(T979:T983)</f>
        <v>6</v>
      </c>
      <c r="U984" s="18">
        <f>SUM(U979:U983)</f>
        <v>5</v>
      </c>
      <c r="V984" s="18">
        <f>SUM(V979:V983)</f>
        <v>5</v>
      </c>
      <c r="W984" s="18">
        <f>SUM(W979:W983)</f>
        <v>7</v>
      </c>
      <c r="X984" s="70">
        <f>SUM(X979:X983)</f>
        <v>7</v>
      </c>
      <c r="Y984" s="49">
        <f t="shared" si="543"/>
        <v>30</v>
      </c>
      <c r="Z984" s="33">
        <f t="shared" si="544"/>
        <v>128</v>
      </c>
      <c r="AB984" s="4" t="s">
        <v>12</v>
      </c>
      <c r="AC984" s="17">
        <f>SUM(AC979:AC983)</f>
        <v>72</v>
      </c>
      <c r="AD984" s="18">
        <f>SUM(AD979:AD983)</f>
        <v>11</v>
      </c>
      <c r="AE984" s="18">
        <f>SUM(AE979:AE983)</f>
        <v>11</v>
      </c>
      <c r="AF984" s="18">
        <f>SUM(AF979:AF983)</f>
        <v>36</v>
      </c>
      <c r="AG984" s="18">
        <f>SUM(AG979:AG983)</f>
        <v>20</v>
      </c>
      <c r="AH984" s="148">
        <f t="shared" si="555"/>
        <v>150</v>
      </c>
      <c r="AI984" s="17">
        <f>SUM(AI979:AI983)</f>
        <v>39</v>
      </c>
      <c r="AJ984" s="18">
        <f>SUM(AJ979:AJ983)</f>
        <v>15</v>
      </c>
      <c r="AK984" s="18">
        <f>SUM(AK979:AK983)</f>
        <v>42</v>
      </c>
      <c r="AL984" s="18">
        <f>SUM(AL979:AL983)</f>
        <v>46</v>
      </c>
      <c r="AM984" s="18">
        <f>SUM(AM979:AM983)</f>
        <v>58</v>
      </c>
      <c r="AN984" s="148">
        <f t="shared" si="556"/>
        <v>200</v>
      </c>
      <c r="AO984" s="65">
        <f>SUM(AO979:AO983)</f>
        <v>159</v>
      </c>
      <c r="AP984" s="18">
        <f>SUM(AP979:AP983)</f>
        <v>140</v>
      </c>
      <c r="AQ984" s="18">
        <f>SUM(AQ979:AQ983)</f>
        <v>129</v>
      </c>
      <c r="AR984" s="18">
        <f>SUM(AR979:AR983)</f>
        <v>137</v>
      </c>
      <c r="AS984" s="70">
        <f>SUM(AS979:AS983)</f>
        <v>149</v>
      </c>
      <c r="AT984" s="49">
        <f t="shared" si="557"/>
        <v>714</v>
      </c>
      <c r="AU984" s="74">
        <f>SUM(AU979:AU983)</f>
        <v>116</v>
      </c>
      <c r="AV984" s="18">
        <f>SUM(AV979:AV983)</f>
        <v>71</v>
      </c>
      <c r="AW984" s="18">
        <f>SUM(AW979:AW983)</f>
        <v>63</v>
      </c>
      <c r="AX984" s="18">
        <f>SUM(AX979:AX983)</f>
        <v>61</v>
      </c>
      <c r="AY984" s="70">
        <f>SUM(AY979:AY983)</f>
        <v>100</v>
      </c>
      <c r="AZ984" s="49">
        <f t="shared" si="558"/>
        <v>411</v>
      </c>
      <c r="BA984" s="33">
        <f t="shared" si="549"/>
        <v>1475</v>
      </c>
    </row>
    <row r="985" spans="1:54" ht="14.25" x14ac:dyDescent="0.15">
      <c r="A985" s="23" t="s">
        <v>48</v>
      </c>
      <c r="B985" s="34"/>
      <c r="C985" s="35"/>
      <c r="D985" s="35"/>
      <c r="E985" s="35">
        <v>1</v>
      </c>
      <c r="F985" s="35"/>
      <c r="G985" s="36">
        <f t="shared" si="540"/>
        <v>1</v>
      </c>
      <c r="H985" s="34"/>
      <c r="I985" s="35"/>
      <c r="J985" s="35"/>
      <c r="K985" s="35"/>
      <c r="L985" s="35"/>
      <c r="M985" s="36">
        <f t="shared" si="541"/>
        <v>0</v>
      </c>
      <c r="N985" s="39"/>
      <c r="O985" s="56"/>
      <c r="P985" s="56"/>
      <c r="Q985" s="56"/>
      <c r="R985" s="71">
        <v>1</v>
      </c>
      <c r="S985" s="16">
        <f t="shared" si="542"/>
        <v>1</v>
      </c>
      <c r="T985" s="39"/>
      <c r="U985" s="56"/>
      <c r="V985" s="56"/>
      <c r="W985" s="56"/>
      <c r="X985" s="71"/>
      <c r="Y985" s="16">
        <f t="shared" si="543"/>
        <v>0</v>
      </c>
      <c r="Z985" s="16">
        <f t="shared" si="544"/>
        <v>2</v>
      </c>
      <c r="AA985" s="93">
        <v>44802</v>
      </c>
      <c r="AB985" s="23" t="s">
        <v>558</v>
      </c>
      <c r="AC985" s="14"/>
      <c r="AD985" s="15"/>
      <c r="AE985" s="15"/>
      <c r="AF985" s="15"/>
      <c r="AG985" s="15"/>
      <c r="AH985" s="24">
        <f t="shared" si="555"/>
        <v>0</v>
      </c>
      <c r="AI985" s="14"/>
      <c r="AJ985" s="15"/>
      <c r="AK985" s="15"/>
      <c r="AL985" s="15">
        <v>5</v>
      </c>
      <c r="AM985" s="15"/>
      <c r="AN985" s="24">
        <f t="shared" si="556"/>
        <v>5</v>
      </c>
      <c r="AO985" s="15"/>
      <c r="AP985" s="55">
        <v>5</v>
      </c>
      <c r="AQ985" s="55"/>
      <c r="AR985" s="55"/>
      <c r="AS985" s="67"/>
      <c r="AT985" s="24">
        <f t="shared" si="557"/>
        <v>5</v>
      </c>
      <c r="AU985" s="15"/>
      <c r="AV985" s="55"/>
      <c r="AW985" s="55"/>
      <c r="AX985" s="55"/>
      <c r="AY985" s="67">
        <v>5</v>
      </c>
      <c r="AZ985" s="24">
        <f t="shared" si="558"/>
        <v>5</v>
      </c>
      <c r="BA985" s="24">
        <f t="shared" si="549"/>
        <v>15</v>
      </c>
      <c r="BB985" s="83">
        <v>44799</v>
      </c>
    </row>
    <row r="986" spans="1:54" ht="14.25" x14ac:dyDescent="0.15">
      <c r="A986" s="23" t="s">
        <v>561</v>
      </c>
      <c r="B986" s="14"/>
      <c r="C986" s="15"/>
      <c r="D986" s="15">
        <v>1</v>
      </c>
      <c r="E986" s="15"/>
      <c r="F986" s="15"/>
      <c r="G986" s="24">
        <f t="shared" si="540"/>
        <v>1</v>
      </c>
      <c r="H986" s="14"/>
      <c r="I986" s="15"/>
      <c r="J986" s="15"/>
      <c r="K986" s="15"/>
      <c r="L986" s="15"/>
      <c r="M986" s="24">
        <f t="shared" si="541"/>
        <v>0</v>
      </c>
      <c r="N986" s="15"/>
      <c r="O986" s="55"/>
      <c r="P986" s="55"/>
      <c r="Q986" s="55"/>
      <c r="R986" s="67"/>
      <c r="S986" s="24">
        <f t="shared" si="542"/>
        <v>0</v>
      </c>
      <c r="T986" s="15"/>
      <c r="U986" s="55"/>
      <c r="V986" s="55"/>
      <c r="W986" s="55"/>
      <c r="X986" s="67"/>
      <c r="Y986" s="24">
        <f t="shared" si="543"/>
        <v>0</v>
      </c>
      <c r="Z986" s="24">
        <f t="shared" si="544"/>
        <v>1</v>
      </c>
      <c r="AA986" s="83">
        <v>44809</v>
      </c>
      <c r="AB986" s="23" t="s">
        <v>438</v>
      </c>
      <c r="AC986" s="41"/>
      <c r="AD986" s="42"/>
      <c r="AE986" s="42"/>
      <c r="AF986" s="42"/>
      <c r="AG986" s="42"/>
      <c r="AH986" s="37">
        <f t="shared" si="555"/>
        <v>0</v>
      </c>
      <c r="AI986" s="41"/>
      <c r="AJ986" s="42"/>
      <c r="AK986" s="42"/>
      <c r="AL986" s="42"/>
      <c r="AM986" s="42"/>
      <c r="AN986" s="114">
        <f t="shared" si="556"/>
        <v>0</v>
      </c>
      <c r="AO986" s="41"/>
      <c r="AP986" s="53">
        <v>1</v>
      </c>
      <c r="AQ986" s="53"/>
      <c r="AR986" s="53"/>
      <c r="AS986" s="72"/>
      <c r="AT986" s="24">
        <f t="shared" si="557"/>
        <v>1</v>
      </c>
      <c r="AU986" s="42"/>
      <c r="AV986" s="53"/>
      <c r="AW986" s="53"/>
      <c r="AX986" s="53"/>
      <c r="AY986" s="72"/>
      <c r="AZ986" s="24">
        <f t="shared" si="558"/>
        <v>0</v>
      </c>
      <c r="BA986" s="24">
        <f t="shared" si="549"/>
        <v>1</v>
      </c>
      <c r="BB986" s="83">
        <v>44803</v>
      </c>
    </row>
    <row r="987" spans="1:54" ht="14.25" x14ac:dyDescent="0.15">
      <c r="A987" s="23" t="s">
        <v>48</v>
      </c>
      <c r="B987" s="41"/>
      <c r="C987" s="42"/>
      <c r="D987" s="42"/>
      <c r="E987" s="42"/>
      <c r="F987" s="42"/>
      <c r="G987" s="43">
        <f t="shared" si="540"/>
        <v>0</v>
      </c>
      <c r="H987" s="41"/>
      <c r="I987" s="42">
        <v>1</v>
      </c>
      <c r="J987" s="42"/>
      <c r="K987" s="42"/>
      <c r="L987" s="42"/>
      <c r="M987" s="43">
        <f t="shared" si="541"/>
        <v>1</v>
      </c>
      <c r="N987" s="42"/>
      <c r="O987" s="53"/>
      <c r="P987" s="53"/>
      <c r="Q987" s="53"/>
      <c r="R987" s="72"/>
      <c r="S987" s="24">
        <f t="shared" si="542"/>
        <v>0</v>
      </c>
      <c r="T987" s="42"/>
      <c r="U987" s="53"/>
      <c r="V987" s="53"/>
      <c r="W987" s="53"/>
      <c r="X987" s="72"/>
      <c r="Y987" s="24">
        <f t="shared" si="543"/>
        <v>0</v>
      </c>
      <c r="Z987" s="24">
        <f t="shared" si="544"/>
        <v>1</v>
      </c>
      <c r="AA987" s="83">
        <v>44806</v>
      </c>
      <c r="AB987" s="23" t="s">
        <v>438</v>
      </c>
      <c r="AC987" s="41"/>
      <c r="AD987" s="42">
        <v>1</v>
      </c>
      <c r="AE987" s="42"/>
      <c r="AF987" s="42"/>
      <c r="AG987" s="42"/>
      <c r="AH987" s="43">
        <f t="shared" si="555"/>
        <v>1</v>
      </c>
      <c r="AI987" s="41"/>
      <c r="AJ987" s="42"/>
      <c r="AK987" s="42"/>
      <c r="AL987" s="42"/>
      <c r="AM987" s="42"/>
      <c r="AN987" s="43">
        <f t="shared" si="556"/>
        <v>0</v>
      </c>
      <c r="AO987" s="42"/>
      <c r="AP987" s="53"/>
      <c r="AQ987" s="53"/>
      <c r="AR987" s="53"/>
      <c r="AS987" s="72"/>
      <c r="AT987" s="24">
        <f t="shared" si="557"/>
        <v>0</v>
      </c>
      <c r="AU987" s="42"/>
      <c r="AV987" s="53"/>
      <c r="AW987" s="53"/>
      <c r="AX987" s="53"/>
      <c r="AY987" s="72"/>
      <c r="AZ987" s="24">
        <f t="shared" si="558"/>
        <v>0</v>
      </c>
      <c r="BA987" s="24">
        <f t="shared" si="549"/>
        <v>1</v>
      </c>
      <c r="BB987" s="83">
        <v>44805</v>
      </c>
    </row>
    <row r="988" spans="1:54" ht="14.25" x14ac:dyDescent="0.15">
      <c r="A988" s="23" t="s">
        <v>48</v>
      </c>
      <c r="B988" s="41"/>
      <c r="C988" s="42"/>
      <c r="D988" s="42"/>
      <c r="E988" s="42"/>
      <c r="F988" s="42"/>
      <c r="G988" s="43">
        <f t="shared" si="540"/>
        <v>0</v>
      </c>
      <c r="H988" s="41">
        <v>1</v>
      </c>
      <c r="I988" s="42">
        <v>1</v>
      </c>
      <c r="J988" s="42"/>
      <c r="K988" s="42"/>
      <c r="L988" s="42"/>
      <c r="M988" s="43">
        <f t="shared" si="541"/>
        <v>2</v>
      </c>
      <c r="N988" s="42"/>
      <c r="O988" s="53"/>
      <c r="P988" s="53"/>
      <c r="Q988" s="53"/>
      <c r="R988" s="72"/>
      <c r="S988" s="24">
        <f t="shared" si="542"/>
        <v>0</v>
      </c>
      <c r="T988" s="42"/>
      <c r="U988" s="53"/>
      <c r="V988" s="53"/>
      <c r="W988" s="53"/>
      <c r="X988" s="72"/>
      <c r="Y988" s="24">
        <f t="shared" si="543"/>
        <v>0</v>
      </c>
      <c r="Z988" s="24">
        <f t="shared" si="544"/>
        <v>2</v>
      </c>
      <c r="AA988" s="93">
        <v>44809</v>
      </c>
      <c r="AB988" s="23" t="s">
        <v>559</v>
      </c>
      <c r="AC988" s="41"/>
      <c r="AD988" s="42"/>
      <c r="AE988" s="42"/>
      <c r="AF988" s="42"/>
      <c r="AG988" s="42"/>
      <c r="AH988" s="43">
        <f t="shared" si="555"/>
        <v>0</v>
      </c>
      <c r="AI988" s="41"/>
      <c r="AJ988" s="42"/>
      <c r="AK988" s="42">
        <v>5</v>
      </c>
      <c r="AL988" s="42"/>
      <c r="AM988" s="42"/>
      <c r="AN988" s="43">
        <f t="shared" si="556"/>
        <v>5</v>
      </c>
      <c r="AO988" s="42"/>
      <c r="AP988" s="53"/>
      <c r="AQ988" s="53"/>
      <c r="AR988" s="53"/>
      <c r="AS988" s="72"/>
      <c r="AT988" s="24">
        <f t="shared" si="557"/>
        <v>0</v>
      </c>
      <c r="AU988" s="42"/>
      <c r="AV988" s="53"/>
      <c r="AW988" s="53"/>
      <c r="AX988" s="53"/>
      <c r="AY988" s="72"/>
      <c r="AZ988" s="24">
        <f t="shared" si="558"/>
        <v>0</v>
      </c>
      <c r="BA988" s="24">
        <f t="shared" si="549"/>
        <v>5</v>
      </c>
      <c r="BB988" s="83">
        <v>44810</v>
      </c>
    </row>
    <row r="989" spans="1:54" ht="14.25" x14ac:dyDescent="0.15">
      <c r="A989" s="23" t="s">
        <v>438</v>
      </c>
      <c r="B989" s="171"/>
      <c r="C989" s="42"/>
      <c r="D989" s="42"/>
      <c r="E989" s="42">
        <v>1</v>
      </c>
      <c r="F989" s="42">
        <v>1</v>
      </c>
      <c r="G989" s="43">
        <f t="shared" si="540"/>
        <v>2</v>
      </c>
      <c r="H989" s="41"/>
      <c r="I989" s="42"/>
      <c r="J989" s="42"/>
      <c r="K989" s="42"/>
      <c r="L989" s="42"/>
      <c r="M989" s="43">
        <f t="shared" si="541"/>
        <v>0</v>
      </c>
      <c r="N989" s="42"/>
      <c r="O989" s="53"/>
      <c r="P989" s="53"/>
      <c r="Q989" s="53"/>
      <c r="R989" s="72"/>
      <c r="S989" s="24">
        <f t="shared" si="542"/>
        <v>0</v>
      </c>
      <c r="T989" s="42"/>
      <c r="U989" s="53"/>
      <c r="V989" s="53"/>
      <c r="W989" s="53">
        <v>1</v>
      </c>
      <c r="X989" s="72"/>
      <c r="Y989" s="24">
        <f t="shared" si="543"/>
        <v>1</v>
      </c>
      <c r="Z989" s="24">
        <f t="shared" si="544"/>
        <v>3</v>
      </c>
      <c r="AA989" s="83">
        <v>44811</v>
      </c>
      <c r="AB989" s="23" t="s">
        <v>560</v>
      </c>
      <c r="AC989" s="41"/>
      <c r="AD989" s="42"/>
      <c r="AE989" s="42"/>
      <c r="AF989" s="42"/>
      <c r="AG989" s="42"/>
      <c r="AH989" s="37">
        <f t="shared" si="555"/>
        <v>0</v>
      </c>
      <c r="AI989" s="41"/>
      <c r="AJ989" s="42"/>
      <c r="AK989" s="42">
        <v>5</v>
      </c>
      <c r="AL989" s="42"/>
      <c r="AM989" s="42"/>
      <c r="AN989" s="114">
        <f t="shared" si="556"/>
        <v>5</v>
      </c>
      <c r="AO989" s="41"/>
      <c r="AP989" s="53"/>
      <c r="AQ989" s="53"/>
      <c r="AR989" s="53"/>
      <c r="AS989" s="72"/>
      <c r="AT989" s="24">
        <f t="shared" si="557"/>
        <v>0</v>
      </c>
      <c r="AU989" s="42"/>
      <c r="AV989" s="53"/>
      <c r="AW989" s="53"/>
      <c r="AX989" s="53"/>
      <c r="AY989" s="72"/>
      <c r="AZ989" s="24">
        <f t="shared" si="558"/>
        <v>0</v>
      </c>
      <c r="BA989" s="24">
        <f t="shared" si="549"/>
        <v>5</v>
      </c>
      <c r="BB989" s="83">
        <v>44812</v>
      </c>
    </row>
    <row r="990" spans="1:54" ht="14.25" x14ac:dyDescent="0.15">
      <c r="A990" s="23" t="s">
        <v>48</v>
      </c>
      <c r="B990" s="41"/>
      <c r="C990" s="42"/>
      <c r="D990" s="42"/>
      <c r="E990" s="42"/>
      <c r="F990" s="42"/>
      <c r="G990" s="43">
        <f t="shared" si="540"/>
        <v>0</v>
      </c>
      <c r="H990" s="41"/>
      <c r="I990" s="42">
        <v>1</v>
      </c>
      <c r="J990" s="42">
        <v>1</v>
      </c>
      <c r="K990" s="42"/>
      <c r="L990" s="42"/>
      <c r="M990" s="43">
        <f t="shared" si="541"/>
        <v>2</v>
      </c>
      <c r="N990" s="42"/>
      <c r="O990" s="53"/>
      <c r="P990" s="53"/>
      <c r="Q990" s="53"/>
      <c r="R990" s="72"/>
      <c r="S990" s="24">
        <f t="shared" si="542"/>
        <v>0</v>
      </c>
      <c r="T990" s="42"/>
      <c r="U990" s="53"/>
      <c r="V990" s="53"/>
      <c r="W990" s="53"/>
      <c r="X990" s="72"/>
      <c r="Y990" s="24">
        <f t="shared" si="543"/>
        <v>0</v>
      </c>
      <c r="Z990" s="24">
        <f t="shared" si="544"/>
        <v>2</v>
      </c>
      <c r="AA990" s="93">
        <v>44810</v>
      </c>
      <c r="AB990" s="23" t="s">
        <v>438</v>
      </c>
      <c r="AC990" s="41"/>
      <c r="AD990" s="42"/>
      <c r="AE990" s="42"/>
      <c r="AF990" s="42"/>
      <c r="AG990" s="42"/>
      <c r="AH990" s="43">
        <f t="shared" si="555"/>
        <v>0</v>
      </c>
      <c r="AI990" s="41">
        <v>1</v>
      </c>
      <c r="AJ990" s="42">
        <v>1</v>
      </c>
      <c r="AK990" s="42">
        <v>1</v>
      </c>
      <c r="AL990" s="42">
        <v>1</v>
      </c>
      <c r="AM990" s="42">
        <v>1</v>
      </c>
      <c r="AN990" s="43">
        <f t="shared" si="556"/>
        <v>5</v>
      </c>
      <c r="AO990" s="42"/>
      <c r="AP990" s="53"/>
      <c r="AQ990" s="53"/>
      <c r="AR990" s="53"/>
      <c r="AS990" s="72"/>
      <c r="AT990" s="24">
        <f t="shared" si="557"/>
        <v>0</v>
      </c>
      <c r="AU990" s="42"/>
      <c r="AV990" s="53"/>
      <c r="AW990" s="53"/>
      <c r="AX990" s="53">
        <v>1</v>
      </c>
      <c r="AY990" s="72"/>
      <c r="AZ990" s="24">
        <f t="shared" si="558"/>
        <v>1</v>
      </c>
      <c r="BA990" s="24">
        <f t="shared" si="549"/>
        <v>6</v>
      </c>
      <c r="BB990" s="83">
        <v>44809</v>
      </c>
    </row>
    <row r="991" spans="1:54" ht="14.25" x14ac:dyDescent="0.15">
      <c r="A991" s="23" t="s">
        <v>48</v>
      </c>
      <c r="B991" s="41"/>
      <c r="C991" s="42">
        <v>1</v>
      </c>
      <c r="D991" s="42"/>
      <c r="E991" s="42"/>
      <c r="F991" s="42"/>
      <c r="G991" s="43">
        <f t="shared" si="540"/>
        <v>1</v>
      </c>
      <c r="H991" s="41"/>
      <c r="I991" s="42"/>
      <c r="J991" s="42"/>
      <c r="K991" s="42"/>
      <c r="L991" s="42"/>
      <c r="M991" s="43">
        <f t="shared" si="541"/>
        <v>0</v>
      </c>
      <c r="N991" s="42"/>
      <c r="O991" s="53"/>
      <c r="P991" s="53"/>
      <c r="Q991" s="53"/>
      <c r="R991" s="72"/>
      <c r="S991" s="24">
        <f t="shared" si="542"/>
        <v>0</v>
      </c>
      <c r="T991" s="42"/>
      <c r="U991" s="53"/>
      <c r="V991" s="53"/>
      <c r="W991" s="53"/>
      <c r="X991" s="72"/>
      <c r="Y991" s="24">
        <f t="shared" si="543"/>
        <v>0</v>
      </c>
      <c r="Z991" s="24">
        <f t="shared" si="544"/>
        <v>1</v>
      </c>
      <c r="AA991" s="83">
        <v>44811</v>
      </c>
      <c r="AB991" s="23" t="s">
        <v>562</v>
      </c>
      <c r="AC991" s="38"/>
      <c r="AD991" s="39">
        <v>2</v>
      </c>
      <c r="AE991" s="39">
        <v>3</v>
      </c>
      <c r="AF991" s="39">
        <v>3</v>
      </c>
      <c r="AG991" s="39"/>
      <c r="AH991" s="43">
        <f t="shared" si="555"/>
        <v>8</v>
      </c>
      <c r="AI991" s="38"/>
      <c r="AJ991" s="39">
        <v>3</v>
      </c>
      <c r="AK991" s="39"/>
      <c r="AL991" s="39"/>
      <c r="AM991" s="39"/>
      <c r="AN991" s="43">
        <f t="shared" si="556"/>
        <v>3</v>
      </c>
      <c r="AO991" s="42"/>
      <c r="AP991" s="53"/>
      <c r="AQ991" s="53"/>
      <c r="AR991" s="53"/>
      <c r="AS991" s="72"/>
      <c r="AT991" s="24">
        <f t="shared" si="557"/>
        <v>0</v>
      </c>
      <c r="AU991" s="42"/>
      <c r="AV991" s="53"/>
      <c r="AW991" s="53"/>
      <c r="AX991" s="53"/>
      <c r="AY991" s="72"/>
      <c r="AZ991" s="24">
        <f t="shared" si="558"/>
        <v>0</v>
      </c>
      <c r="BA991" s="24">
        <f t="shared" si="549"/>
        <v>11</v>
      </c>
      <c r="BB991" s="83">
        <v>44809</v>
      </c>
    </row>
    <row r="992" spans="1:54" ht="14.25" x14ac:dyDescent="0.15">
      <c r="A992" s="23" t="s">
        <v>438</v>
      </c>
      <c r="B992" s="41"/>
      <c r="C992" s="42"/>
      <c r="D992" s="42"/>
      <c r="E992" s="42"/>
      <c r="F992" s="42"/>
      <c r="G992" s="43">
        <f t="shared" si="540"/>
        <v>0</v>
      </c>
      <c r="H992" s="41"/>
      <c r="I992" s="42"/>
      <c r="J992" s="42"/>
      <c r="K992" s="42"/>
      <c r="L992" s="42"/>
      <c r="M992" s="43">
        <f t="shared" si="541"/>
        <v>0</v>
      </c>
      <c r="N992" s="42"/>
      <c r="O992" s="53"/>
      <c r="P992" s="53"/>
      <c r="Q992" s="53">
        <v>1</v>
      </c>
      <c r="R992" s="72"/>
      <c r="S992" s="24">
        <f t="shared" si="542"/>
        <v>1</v>
      </c>
      <c r="T992" s="42"/>
      <c r="U992" s="53"/>
      <c r="V992" s="53"/>
      <c r="W992" s="53">
        <v>1</v>
      </c>
      <c r="X992" s="72"/>
      <c r="Y992" s="24">
        <f t="shared" si="543"/>
        <v>1</v>
      </c>
      <c r="Z992" s="24">
        <f t="shared" si="544"/>
        <v>2</v>
      </c>
      <c r="AA992" s="83">
        <v>44813</v>
      </c>
      <c r="AB992" s="23" t="s">
        <v>438</v>
      </c>
      <c r="AC992" s="14"/>
      <c r="AD992" s="15">
        <v>1</v>
      </c>
      <c r="AE992" s="15"/>
      <c r="AF992" s="15"/>
      <c r="AG992" s="15"/>
      <c r="AH992" s="24">
        <f t="shared" si="555"/>
        <v>1</v>
      </c>
      <c r="AI992" s="14"/>
      <c r="AJ992" s="15"/>
      <c r="AK992" s="15"/>
      <c r="AL992" s="15"/>
      <c r="AM992" s="15"/>
      <c r="AN992" s="24">
        <f t="shared" si="556"/>
        <v>0</v>
      </c>
      <c r="AO992" s="15"/>
      <c r="AP992" s="55"/>
      <c r="AQ992" s="55"/>
      <c r="AR992" s="55"/>
      <c r="AS992" s="67"/>
      <c r="AT992" s="24">
        <f t="shared" si="557"/>
        <v>0</v>
      </c>
      <c r="AU992" s="15"/>
      <c r="AV992" s="55"/>
      <c r="AW992" s="55"/>
      <c r="AX992" s="55"/>
      <c r="AY992" s="67"/>
      <c r="AZ992" s="24">
        <f t="shared" si="558"/>
        <v>0</v>
      </c>
      <c r="BA992" s="24">
        <f t="shared" si="549"/>
        <v>1</v>
      </c>
      <c r="BB992" s="83">
        <v>44810</v>
      </c>
    </row>
    <row r="993" spans="1:55" ht="14.25" x14ac:dyDescent="0.15">
      <c r="A993" s="23" t="s">
        <v>48</v>
      </c>
      <c r="B993" s="41"/>
      <c r="C993" s="42"/>
      <c r="D993" s="42"/>
      <c r="E993" s="42"/>
      <c r="F993" s="42"/>
      <c r="G993" s="43">
        <f t="shared" si="540"/>
        <v>0</v>
      </c>
      <c r="H993" s="41"/>
      <c r="I993" s="42">
        <v>1</v>
      </c>
      <c r="J993" s="42"/>
      <c r="K993" s="42"/>
      <c r="L993" s="42"/>
      <c r="M993" s="43">
        <f t="shared" si="541"/>
        <v>1</v>
      </c>
      <c r="N993" s="42"/>
      <c r="O993" s="53"/>
      <c r="P993" s="53"/>
      <c r="Q993" s="53"/>
      <c r="R993" s="72"/>
      <c r="S993" s="24">
        <f t="shared" si="542"/>
        <v>0</v>
      </c>
      <c r="T993" s="42"/>
      <c r="U993" s="53"/>
      <c r="V993" s="53"/>
      <c r="W993" s="53"/>
      <c r="X993" s="72"/>
      <c r="Y993" s="24">
        <f t="shared" si="543"/>
        <v>0</v>
      </c>
      <c r="Z993" s="24">
        <f t="shared" si="544"/>
        <v>1</v>
      </c>
      <c r="AA993" s="93">
        <v>44812</v>
      </c>
      <c r="AB993" s="23" t="s">
        <v>438</v>
      </c>
      <c r="AC993" s="41"/>
      <c r="AD993" s="42"/>
      <c r="AE993" s="42"/>
      <c r="AF993" s="42">
        <v>2</v>
      </c>
      <c r="AG993" s="42"/>
      <c r="AH993" s="43">
        <f t="shared" si="555"/>
        <v>2</v>
      </c>
      <c r="AI993" s="41"/>
      <c r="AJ993" s="42"/>
      <c r="AK993" s="42"/>
      <c r="AL993" s="42"/>
      <c r="AM993" s="42"/>
      <c r="AN993" s="43">
        <f t="shared" si="556"/>
        <v>0</v>
      </c>
      <c r="AO993" s="42"/>
      <c r="AP993" s="53"/>
      <c r="AQ993" s="53"/>
      <c r="AR993" s="53"/>
      <c r="AS993" s="72"/>
      <c r="AT993" s="24">
        <f t="shared" si="557"/>
        <v>0</v>
      </c>
      <c r="AU993" s="42"/>
      <c r="AV993" s="53"/>
      <c r="AW993" s="53">
        <v>1</v>
      </c>
      <c r="AX993" s="53"/>
      <c r="AY993" s="72"/>
      <c r="AZ993" s="24">
        <f t="shared" si="558"/>
        <v>1</v>
      </c>
      <c r="BA993" s="24">
        <f t="shared" si="549"/>
        <v>3</v>
      </c>
      <c r="BB993" s="83">
        <v>44812</v>
      </c>
    </row>
    <row r="994" spans="1:55" ht="14.25" x14ac:dyDescent="0.15">
      <c r="A994" s="23" t="s">
        <v>48</v>
      </c>
      <c r="B994" s="44"/>
      <c r="C994" s="45">
        <v>2</v>
      </c>
      <c r="D994" s="45"/>
      <c r="E994" s="45"/>
      <c r="F994" s="45"/>
      <c r="G994" s="43">
        <f t="shared" si="540"/>
        <v>2</v>
      </c>
      <c r="H994" s="44"/>
      <c r="I994" s="45"/>
      <c r="J994" s="45"/>
      <c r="K994" s="45"/>
      <c r="L994" s="45"/>
      <c r="M994" s="43">
        <f t="shared" si="541"/>
        <v>0</v>
      </c>
      <c r="N994" s="42"/>
      <c r="O994" s="53"/>
      <c r="P994" s="53"/>
      <c r="Q994" s="53"/>
      <c r="R994" s="72"/>
      <c r="S994" s="24">
        <f t="shared" si="542"/>
        <v>0</v>
      </c>
      <c r="T994" s="42"/>
      <c r="U994" s="53"/>
      <c r="V994" s="53"/>
      <c r="W994" s="53"/>
      <c r="X994" s="72"/>
      <c r="Y994" s="24">
        <f t="shared" si="543"/>
        <v>0</v>
      </c>
      <c r="Z994" s="24">
        <f t="shared" si="544"/>
        <v>2</v>
      </c>
      <c r="AA994" s="93">
        <v>44813</v>
      </c>
      <c r="AB994" s="23" t="s">
        <v>126</v>
      </c>
      <c r="AC994" s="44"/>
      <c r="AD994" s="45">
        <v>3</v>
      </c>
      <c r="AE994" s="45"/>
      <c r="AF994" s="45">
        <v>2</v>
      </c>
      <c r="AG994" s="45"/>
      <c r="AH994" s="43">
        <f t="shared" ref="AH994" si="559">SUM(AC994:AG994)</f>
        <v>5</v>
      </c>
      <c r="AI994" s="44"/>
      <c r="AJ994" s="45"/>
      <c r="AK994" s="45"/>
      <c r="AL994" s="45"/>
      <c r="AM994" s="45"/>
      <c r="AN994" s="43">
        <f t="shared" ref="AN994" si="560">SUM(AI994:AM994)</f>
        <v>0</v>
      </c>
      <c r="AO994" s="42"/>
      <c r="AP994" s="53"/>
      <c r="AQ994" s="53"/>
      <c r="AR994" s="53"/>
      <c r="AS994" s="72"/>
      <c r="AT994" s="24">
        <f t="shared" ref="AT994" si="561">SUM(AO994:AS994)</f>
        <v>0</v>
      </c>
      <c r="AU994" s="42"/>
      <c r="AV994" s="53"/>
      <c r="AW994" s="53">
        <v>2</v>
      </c>
      <c r="AX994" s="53">
        <v>2</v>
      </c>
      <c r="AY994" s="72"/>
      <c r="AZ994" s="24">
        <f t="shared" ref="AZ994" si="562">SUM(AU994:AY994)</f>
        <v>4</v>
      </c>
      <c r="BA994" s="24">
        <f t="shared" si="549"/>
        <v>9</v>
      </c>
      <c r="BB994" s="83">
        <v>44816</v>
      </c>
    </row>
    <row r="995" spans="1:55" ht="14.25" x14ac:dyDescent="0.15">
      <c r="A995" s="23" t="s">
        <v>48</v>
      </c>
      <c r="B995" s="41"/>
      <c r="C995" s="42"/>
      <c r="D995" s="42"/>
      <c r="E995" s="42"/>
      <c r="F995" s="42"/>
      <c r="G995" s="43">
        <f t="shared" si="540"/>
        <v>0</v>
      </c>
      <c r="H995" s="41"/>
      <c r="I995" s="42"/>
      <c r="J995" s="42"/>
      <c r="K995" s="42">
        <v>1</v>
      </c>
      <c r="L995" s="42"/>
      <c r="M995" s="43">
        <f t="shared" si="541"/>
        <v>1</v>
      </c>
      <c r="N995" s="42"/>
      <c r="O995" s="53"/>
      <c r="P995" s="53"/>
      <c r="Q995" s="53"/>
      <c r="R995" s="72"/>
      <c r="S995" s="24">
        <f t="shared" si="542"/>
        <v>0</v>
      </c>
      <c r="T995" s="42"/>
      <c r="U995" s="53"/>
      <c r="V995" s="53"/>
      <c r="W995" s="53"/>
      <c r="X995" s="72"/>
      <c r="Y995" s="24">
        <f t="shared" si="543"/>
        <v>0</v>
      </c>
      <c r="Z995" s="24">
        <f t="shared" si="544"/>
        <v>1</v>
      </c>
      <c r="AA995" s="93">
        <v>44816</v>
      </c>
      <c r="AB995" s="23" t="s">
        <v>438</v>
      </c>
      <c r="AC995" s="14"/>
      <c r="AD995" s="15"/>
      <c r="AE995" s="15"/>
      <c r="AF995" s="15"/>
      <c r="AG995" s="15">
        <v>1</v>
      </c>
      <c r="AH995" s="24">
        <f>SUM(AC995:AG995)</f>
        <v>1</v>
      </c>
      <c r="AI995" s="14"/>
      <c r="AJ995" s="15"/>
      <c r="AK995" s="15">
        <v>1</v>
      </c>
      <c r="AL995" s="15"/>
      <c r="AM995" s="15"/>
      <c r="AN995" s="24">
        <f>SUM(AI995:AM995)</f>
        <v>1</v>
      </c>
      <c r="AO995" s="15"/>
      <c r="AP995" s="55"/>
      <c r="AQ995" s="55"/>
      <c r="AR995" s="55"/>
      <c r="AS995" s="67"/>
      <c r="AT995" s="24">
        <f>SUM(AO995:AS995)</f>
        <v>0</v>
      </c>
      <c r="AU995" s="15"/>
      <c r="AV995" s="55"/>
      <c r="AW995" s="55"/>
      <c r="AX995" s="55">
        <v>1</v>
      </c>
      <c r="AY995" s="67"/>
      <c r="AZ995" s="24">
        <f>SUM(AU995:AY995)</f>
        <v>1</v>
      </c>
      <c r="BA995" s="24">
        <f>AH995+AN995+AT995+AZ995</f>
        <v>3</v>
      </c>
      <c r="BB995" s="83">
        <v>44819</v>
      </c>
    </row>
    <row r="996" spans="1:55" ht="14.25" x14ac:dyDescent="0.15">
      <c r="A996" s="23" t="s">
        <v>438</v>
      </c>
      <c r="B996" s="41"/>
      <c r="C996" s="42"/>
      <c r="D996" s="42"/>
      <c r="E996" s="42"/>
      <c r="F996" s="42">
        <v>1</v>
      </c>
      <c r="G996" s="43">
        <f t="shared" si="540"/>
        <v>1</v>
      </c>
      <c r="H996" s="41"/>
      <c r="I996" s="42"/>
      <c r="J996" s="42"/>
      <c r="K996" s="42"/>
      <c r="L996" s="42"/>
      <c r="M996" s="43">
        <f t="shared" si="541"/>
        <v>0</v>
      </c>
      <c r="N996" s="42"/>
      <c r="O996" s="53"/>
      <c r="P996" s="53"/>
      <c r="Q996" s="53"/>
      <c r="R996" s="72"/>
      <c r="S996" s="24">
        <f t="shared" si="542"/>
        <v>0</v>
      </c>
      <c r="T996" s="42"/>
      <c r="U996" s="53"/>
      <c r="V996" s="53"/>
      <c r="W996" s="53">
        <v>1</v>
      </c>
      <c r="X996" s="72"/>
      <c r="Y996" s="24">
        <f t="shared" si="543"/>
        <v>1</v>
      </c>
      <c r="Z996" s="24">
        <f t="shared" si="544"/>
        <v>2</v>
      </c>
      <c r="AA996" s="83">
        <v>44825</v>
      </c>
      <c r="AB996" s="23" t="s">
        <v>438</v>
      </c>
      <c r="AC996" s="41"/>
      <c r="AD996" s="42">
        <v>1</v>
      </c>
      <c r="AE996" s="42"/>
      <c r="AF996" s="42"/>
      <c r="AG996" s="42"/>
      <c r="AH996" s="43">
        <f t="shared" ref="AH996:AH1004" si="563">SUM(AC996:AG996)</f>
        <v>1</v>
      </c>
      <c r="AI996" s="41"/>
      <c r="AJ996" s="42"/>
      <c r="AK996" s="42"/>
      <c r="AL996" s="42"/>
      <c r="AM996" s="42"/>
      <c r="AN996" s="43">
        <f t="shared" ref="AN996:AN1005" si="564">SUM(AI996:AM996)</f>
        <v>0</v>
      </c>
      <c r="AO996" s="42"/>
      <c r="AP996" s="53"/>
      <c r="AQ996" s="53"/>
      <c r="AR996" s="53"/>
      <c r="AS996" s="72"/>
      <c r="AT996" s="24">
        <f t="shared" ref="AT996:AT1005" si="565">SUM(AO996:AS996)</f>
        <v>0</v>
      </c>
      <c r="AU996" s="42"/>
      <c r="AV996" s="53"/>
      <c r="AW996" s="53"/>
      <c r="AX996" s="53"/>
      <c r="AY996" s="72"/>
      <c r="AZ996" s="24">
        <f t="shared" ref="AZ996:AZ1005" si="566">SUM(AU996:AY996)</f>
        <v>0</v>
      </c>
      <c r="BA996" s="24">
        <f t="shared" ref="BA996:BA1005" si="567">AH996+AN996+AT996+AZ996</f>
        <v>1</v>
      </c>
      <c r="BB996" s="83">
        <v>44820</v>
      </c>
    </row>
    <row r="997" spans="1:55" ht="14.25" x14ac:dyDescent="0.15">
      <c r="A997" s="23" t="s">
        <v>48</v>
      </c>
      <c r="B997" s="41"/>
      <c r="C997" s="42"/>
      <c r="D997" s="42">
        <f>1+1</f>
        <v>2</v>
      </c>
      <c r="E997" s="42"/>
      <c r="F997" s="42">
        <v>1</v>
      </c>
      <c r="G997" s="43">
        <f t="shared" si="540"/>
        <v>3</v>
      </c>
      <c r="H997" s="41">
        <v>1</v>
      </c>
      <c r="I997" s="42"/>
      <c r="J997" s="42"/>
      <c r="K997" s="42"/>
      <c r="L997" s="42"/>
      <c r="M997" s="43">
        <f t="shared" si="541"/>
        <v>1</v>
      </c>
      <c r="N997" s="42"/>
      <c r="O997" s="53">
        <v>1</v>
      </c>
      <c r="P997" s="53"/>
      <c r="Q997" s="53"/>
      <c r="R997" s="72"/>
      <c r="S997" s="24">
        <f t="shared" si="542"/>
        <v>1</v>
      </c>
      <c r="T997" s="42"/>
      <c r="U997" s="53"/>
      <c r="V997" s="53"/>
      <c r="W997" s="53"/>
      <c r="X997" s="72"/>
      <c r="Y997" s="24">
        <f t="shared" si="543"/>
        <v>0</v>
      </c>
      <c r="Z997" s="24">
        <f t="shared" si="544"/>
        <v>5</v>
      </c>
      <c r="AA997" s="93">
        <v>44824</v>
      </c>
      <c r="AB997" s="23" t="s">
        <v>438</v>
      </c>
      <c r="AC997" s="14"/>
      <c r="AD997" s="15"/>
      <c r="AE997" s="15"/>
      <c r="AF997" s="15"/>
      <c r="AG997" s="15"/>
      <c r="AH997" s="24">
        <f t="shared" si="563"/>
        <v>0</v>
      </c>
      <c r="AI997" s="14"/>
      <c r="AJ997" s="15"/>
      <c r="AK997" s="15">
        <v>2</v>
      </c>
      <c r="AL997" s="15"/>
      <c r="AM997" s="15"/>
      <c r="AN997" s="185">
        <f t="shared" si="564"/>
        <v>2</v>
      </c>
      <c r="AO997" s="14"/>
      <c r="AP997" s="55"/>
      <c r="AQ997" s="55"/>
      <c r="AR997" s="55"/>
      <c r="AS997" s="67"/>
      <c r="AT997" s="24">
        <f t="shared" si="565"/>
        <v>0</v>
      </c>
      <c r="AU997" s="15"/>
      <c r="AV997" s="55"/>
      <c r="AW997" s="55"/>
      <c r="AX997" s="55"/>
      <c r="AY997" s="67"/>
      <c r="AZ997" s="24">
        <f t="shared" si="566"/>
        <v>0</v>
      </c>
      <c r="BA997" s="24">
        <f t="shared" si="567"/>
        <v>2</v>
      </c>
      <c r="BB997" s="83">
        <v>44824</v>
      </c>
      <c r="BC997" s="111"/>
    </row>
    <row r="998" spans="1:55" ht="14.25" x14ac:dyDescent="0.15">
      <c r="A998" s="23" t="s">
        <v>438</v>
      </c>
      <c r="B998" s="38"/>
      <c r="C998" s="39"/>
      <c r="D998" s="39">
        <v>1</v>
      </c>
      <c r="E998" s="39"/>
      <c r="F998" s="39">
        <v>1</v>
      </c>
      <c r="G998" s="37">
        <f t="shared" si="540"/>
        <v>2</v>
      </c>
      <c r="H998" s="38"/>
      <c r="I998" s="39"/>
      <c r="J998" s="39"/>
      <c r="K998" s="39"/>
      <c r="L998" s="39"/>
      <c r="M998" s="37">
        <f t="shared" si="541"/>
        <v>0</v>
      </c>
      <c r="N998" s="42"/>
      <c r="O998" s="53"/>
      <c r="P998" s="53"/>
      <c r="Q998" s="53"/>
      <c r="R998" s="72"/>
      <c r="S998" s="24">
        <f t="shared" si="542"/>
        <v>0</v>
      </c>
      <c r="T998" s="42"/>
      <c r="U998" s="53"/>
      <c r="V998" s="53">
        <v>1</v>
      </c>
      <c r="W998" s="53"/>
      <c r="X998" s="72"/>
      <c r="Y998" s="24">
        <f t="shared" si="543"/>
        <v>1</v>
      </c>
      <c r="Z998" s="24">
        <f t="shared" si="544"/>
        <v>3</v>
      </c>
      <c r="AA998" s="83">
        <v>44826</v>
      </c>
      <c r="AB998" s="23" t="s">
        <v>126</v>
      </c>
      <c r="AC998" s="38"/>
      <c r="AD998" s="39">
        <v>3</v>
      </c>
      <c r="AE998" s="39">
        <v>3</v>
      </c>
      <c r="AF998" s="39">
        <v>3</v>
      </c>
      <c r="AG998" s="39">
        <v>5</v>
      </c>
      <c r="AH998" s="37">
        <f t="shared" ref="AH998" si="568">SUM(AC998:AG998)</f>
        <v>14</v>
      </c>
      <c r="AI998" s="38"/>
      <c r="AJ998" s="39">
        <v>3</v>
      </c>
      <c r="AK998" s="39">
        <v>3</v>
      </c>
      <c r="AL998" s="39"/>
      <c r="AM998" s="39"/>
      <c r="AN998" s="37">
        <f t="shared" si="564"/>
        <v>6</v>
      </c>
      <c r="AO998" s="39"/>
      <c r="AP998" s="56"/>
      <c r="AQ998" s="56"/>
      <c r="AR998" s="56"/>
      <c r="AS998" s="71"/>
      <c r="AT998" s="16">
        <f t="shared" si="565"/>
        <v>0</v>
      </c>
      <c r="AU998" s="39"/>
      <c r="AV998" s="56"/>
      <c r="AW998" s="56"/>
      <c r="AX998" s="56"/>
      <c r="AY998" s="71"/>
      <c r="AZ998" s="16">
        <f t="shared" si="566"/>
        <v>0</v>
      </c>
      <c r="BA998" s="16">
        <f t="shared" si="567"/>
        <v>20</v>
      </c>
      <c r="BB998" s="83">
        <v>44840</v>
      </c>
    </row>
    <row r="999" spans="1:55" ht="14.25" x14ac:dyDescent="0.15">
      <c r="A999" s="23" t="s">
        <v>438</v>
      </c>
      <c r="B999" s="41"/>
      <c r="C999" s="42"/>
      <c r="D999" s="42">
        <v>1</v>
      </c>
      <c r="E999" s="42"/>
      <c r="F999" s="42"/>
      <c r="G999" s="43">
        <f t="shared" si="540"/>
        <v>1</v>
      </c>
      <c r="H999" s="41"/>
      <c r="I999" s="42"/>
      <c r="J999" s="42"/>
      <c r="K999" s="42"/>
      <c r="L999" s="42"/>
      <c r="M999" s="43">
        <f t="shared" si="541"/>
        <v>0</v>
      </c>
      <c r="N999" s="42"/>
      <c r="O999" s="53"/>
      <c r="P999" s="53"/>
      <c r="Q999" s="53"/>
      <c r="R999" s="72"/>
      <c r="S999" s="24">
        <f t="shared" si="542"/>
        <v>0</v>
      </c>
      <c r="T999" s="42"/>
      <c r="U999" s="53"/>
      <c r="V999" s="53"/>
      <c r="W999" s="53"/>
      <c r="X999" s="72"/>
      <c r="Y999" s="24">
        <f t="shared" si="543"/>
        <v>0</v>
      </c>
      <c r="Z999" s="24">
        <f t="shared" si="544"/>
        <v>1</v>
      </c>
      <c r="AA999" s="83">
        <v>44831</v>
      </c>
      <c r="AB999" s="23"/>
      <c r="AC999" s="41"/>
      <c r="AD999" s="42"/>
      <c r="AE999" s="42"/>
      <c r="AF999" s="42"/>
      <c r="AG999" s="42"/>
      <c r="AH999" s="43">
        <f t="shared" si="563"/>
        <v>0</v>
      </c>
      <c r="AI999" s="41"/>
      <c r="AJ999" s="42"/>
      <c r="AK999" s="42"/>
      <c r="AL999" s="42"/>
      <c r="AM999" s="42"/>
      <c r="AN999" s="43">
        <f t="shared" si="564"/>
        <v>0</v>
      </c>
      <c r="AO999" s="42"/>
      <c r="AP999" s="53"/>
      <c r="AQ999" s="53"/>
      <c r="AR999" s="53"/>
      <c r="AS999" s="72"/>
      <c r="AT999" s="24">
        <f t="shared" si="565"/>
        <v>0</v>
      </c>
      <c r="AU999" s="42"/>
      <c r="AV999" s="53"/>
      <c r="AW999" s="53"/>
      <c r="AX999" s="53"/>
      <c r="AY999" s="72"/>
      <c r="AZ999" s="24">
        <f t="shared" si="566"/>
        <v>0</v>
      </c>
      <c r="BA999" s="24">
        <f t="shared" si="567"/>
        <v>0</v>
      </c>
      <c r="BB999" s="128"/>
    </row>
    <row r="1000" spans="1:55" ht="14.25" x14ac:dyDescent="0.15">
      <c r="A1000" s="23" t="s">
        <v>48</v>
      </c>
      <c r="B1000" s="41">
        <v>1</v>
      </c>
      <c r="C1000" s="42">
        <v>1</v>
      </c>
      <c r="D1000" s="42"/>
      <c r="E1000" s="42"/>
      <c r="F1000" s="42">
        <v>1</v>
      </c>
      <c r="G1000" s="43">
        <f t="shared" ref="G1000:G1010" si="569">SUM(B1000:F1000)</f>
        <v>3</v>
      </c>
      <c r="H1000" s="41"/>
      <c r="I1000" s="42"/>
      <c r="J1000" s="42">
        <v>1</v>
      </c>
      <c r="K1000" s="42"/>
      <c r="L1000" s="42"/>
      <c r="M1000" s="43">
        <f t="shared" si="541"/>
        <v>1</v>
      </c>
      <c r="N1000" s="42"/>
      <c r="O1000" s="53"/>
      <c r="P1000" s="53"/>
      <c r="Q1000" s="53"/>
      <c r="R1000" s="72"/>
      <c r="S1000" s="24">
        <f t="shared" si="542"/>
        <v>0</v>
      </c>
      <c r="T1000" s="42"/>
      <c r="U1000" s="53"/>
      <c r="V1000" s="53"/>
      <c r="W1000" s="53"/>
      <c r="X1000" s="72"/>
      <c r="Y1000" s="24">
        <f t="shared" si="543"/>
        <v>0</v>
      </c>
      <c r="Z1000" s="24">
        <f t="shared" si="544"/>
        <v>4</v>
      </c>
      <c r="AA1000" s="93">
        <v>44830</v>
      </c>
      <c r="AB1000" s="23"/>
      <c r="AC1000" s="41"/>
      <c r="AD1000" s="42"/>
      <c r="AE1000" s="42"/>
      <c r="AF1000" s="42"/>
      <c r="AG1000" s="42"/>
      <c r="AH1000" s="43">
        <f t="shared" si="563"/>
        <v>0</v>
      </c>
      <c r="AI1000" s="41"/>
      <c r="AJ1000" s="42"/>
      <c r="AK1000" s="42"/>
      <c r="AL1000" s="42"/>
      <c r="AM1000" s="42"/>
      <c r="AN1000" s="43">
        <f t="shared" si="564"/>
        <v>0</v>
      </c>
      <c r="AO1000" s="42"/>
      <c r="AP1000" s="53"/>
      <c r="AQ1000" s="53"/>
      <c r="AR1000" s="53"/>
      <c r="AS1000" s="72"/>
      <c r="AT1000" s="24">
        <f t="shared" si="565"/>
        <v>0</v>
      </c>
      <c r="AU1000" s="42"/>
      <c r="AV1000" s="53"/>
      <c r="AW1000" s="53"/>
      <c r="AX1000" s="53"/>
      <c r="AY1000" s="72"/>
      <c r="AZ1000" s="24">
        <f t="shared" si="566"/>
        <v>0</v>
      </c>
      <c r="BA1000" s="24">
        <f t="shared" si="567"/>
        <v>0</v>
      </c>
      <c r="BB1000" s="128"/>
    </row>
    <row r="1001" spans="1:55" ht="14.25" x14ac:dyDescent="0.15">
      <c r="A1001" s="23" t="s">
        <v>438</v>
      </c>
      <c r="B1001" s="14"/>
      <c r="C1001" s="15"/>
      <c r="D1001" s="15"/>
      <c r="E1001" s="15"/>
      <c r="F1001" s="15"/>
      <c r="G1001" s="24">
        <f t="shared" si="569"/>
        <v>0</v>
      </c>
      <c r="H1001" s="14"/>
      <c r="I1001" s="15"/>
      <c r="J1001" s="15"/>
      <c r="K1001" s="15">
        <v>1</v>
      </c>
      <c r="L1001" s="15"/>
      <c r="M1001" s="24">
        <f t="shared" si="541"/>
        <v>1</v>
      </c>
      <c r="N1001" s="15"/>
      <c r="O1001" s="55"/>
      <c r="P1001" s="55"/>
      <c r="Q1001" s="55"/>
      <c r="R1001" s="67"/>
      <c r="S1001" s="24">
        <f t="shared" si="542"/>
        <v>0</v>
      </c>
      <c r="T1001" s="15"/>
      <c r="U1001" s="55"/>
      <c r="V1001" s="55"/>
      <c r="W1001" s="55"/>
      <c r="X1001" s="67"/>
      <c r="Y1001" s="24">
        <f t="shared" si="543"/>
        <v>0</v>
      </c>
      <c r="Z1001" s="24">
        <f t="shared" si="544"/>
        <v>1</v>
      </c>
      <c r="AA1001" s="83">
        <v>44832</v>
      </c>
      <c r="AB1001" s="23"/>
      <c r="AC1001" s="14"/>
      <c r="AD1001" s="15"/>
      <c r="AE1001" s="15"/>
      <c r="AF1001" s="15"/>
      <c r="AG1001" s="15"/>
      <c r="AH1001" s="24">
        <f t="shared" si="563"/>
        <v>0</v>
      </c>
      <c r="AI1001" s="14"/>
      <c r="AJ1001" s="15"/>
      <c r="AK1001" s="15"/>
      <c r="AL1001" s="15"/>
      <c r="AM1001" s="15"/>
      <c r="AN1001" s="24">
        <f t="shared" si="564"/>
        <v>0</v>
      </c>
      <c r="AO1001" s="15"/>
      <c r="AP1001" s="55"/>
      <c r="AQ1001" s="55"/>
      <c r="AR1001" s="55"/>
      <c r="AS1001" s="67"/>
      <c r="AT1001" s="24">
        <f t="shared" si="565"/>
        <v>0</v>
      </c>
      <c r="AU1001" s="15"/>
      <c r="AV1001" s="55"/>
      <c r="AW1001" s="55"/>
      <c r="AX1001" s="55"/>
      <c r="AY1001" s="67"/>
      <c r="AZ1001" s="24">
        <f t="shared" si="566"/>
        <v>0</v>
      </c>
      <c r="BA1001" s="24">
        <f t="shared" si="567"/>
        <v>0</v>
      </c>
      <c r="BB1001" s="128"/>
    </row>
    <row r="1002" spans="1:55" ht="14.25" x14ac:dyDescent="0.15">
      <c r="A1002" s="23" t="s">
        <v>438</v>
      </c>
      <c r="B1002" s="14">
        <v>1</v>
      </c>
      <c r="C1002" s="15"/>
      <c r="D1002" s="15"/>
      <c r="E1002" s="15"/>
      <c r="F1002" s="15"/>
      <c r="G1002" s="24">
        <f t="shared" si="569"/>
        <v>1</v>
      </c>
      <c r="H1002" s="14"/>
      <c r="I1002" s="15"/>
      <c r="J1002" s="15"/>
      <c r="K1002" s="15"/>
      <c r="L1002" s="15"/>
      <c r="M1002" s="24">
        <f t="shared" si="541"/>
        <v>0</v>
      </c>
      <c r="N1002" s="15"/>
      <c r="O1002" s="55"/>
      <c r="P1002" s="55"/>
      <c r="Q1002" s="55"/>
      <c r="R1002" s="67"/>
      <c r="S1002" s="24">
        <f t="shared" si="542"/>
        <v>0</v>
      </c>
      <c r="T1002" s="15"/>
      <c r="U1002" s="55">
        <v>1</v>
      </c>
      <c r="V1002" s="55"/>
      <c r="W1002" s="55"/>
      <c r="X1002" s="67"/>
      <c r="Y1002" s="24">
        <f t="shared" si="543"/>
        <v>1</v>
      </c>
      <c r="Z1002" s="24">
        <f t="shared" si="544"/>
        <v>2</v>
      </c>
      <c r="AA1002" s="83">
        <v>44833</v>
      </c>
      <c r="AB1002" s="180"/>
      <c r="AC1002" s="14"/>
      <c r="AD1002" s="15"/>
      <c r="AE1002" s="15"/>
      <c r="AF1002" s="15"/>
      <c r="AG1002" s="15"/>
      <c r="AH1002" s="24">
        <f t="shared" si="563"/>
        <v>0</v>
      </c>
      <c r="AI1002" s="14"/>
      <c r="AJ1002" s="15"/>
      <c r="AK1002" s="15"/>
      <c r="AL1002" s="15"/>
      <c r="AM1002" s="15"/>
      <c r="AN1002" s="24">
        <f t="shared" si="564"/>
        <v>0</v>
      </c>
      <c r="AO1002" s="15"/>
      <c r="AP1002" s="55"/>
      <c r="AQ1002" s="55"/>
      <c r="AR1002" s="55"/>
      <c r="AS1002" s="67"/>
      <c r="AT1002" s="24">
        <f t="shared" si="565"/>
        <v>0</v>
      </c>
      <c r="AU1002" s="15"/>
      <c r="AV1002" s="55"/>
      <c r="AW1002" s="55"/>
      <c r="AX1002" s="55"/>
      <c r="AY1002" s="67"/>
      <c r="AZ1002" s="24">
        <f t="shared" si="566"/>
        <v>0</v>
      </c>
      <c r="BA1002" s="24">
        <f t="shared" si="567"/>
        <v>0</v>
      </c>
      <c r="BB1002" s="128"/>
    </row>
    <row r="1003" spans="1:55" ht="14.25" x14ac:dyDescent="0.15">
      <c r="A1003" s="23" t="s">
        <v>48</v>
      </c>
      <c r="B1003" s="14"/>
      <c r="C1003" s="15"/>
      <c r="D1003" s="15"/>
      <c r="E1003" s="15">
        <v>1</v>
      </c>
      <c r="F1003" s="15"/>
      <c r="G1003" s="24">
        <f t="shared" si="569"/>
        <v>1</v>
      </c>
      <c r="H1003" s="14"/>
      <c r="I1003" s="15"/>
      <c r="J1003" s="15"/>
      <c r="K1003" s="15"/>
      <c r="L1003" s="15"/>
      <c r="M1003" s="24">
        <f t="shared" si="541"/>
        <v>0</v>
      </c>
      <c r="N1003" s="15"/>
      <c r="O1003" s="55"/>
      <c r="P1003" s="55"/>
      <c r="Q1003" s="55"/>
      <c r="R1003" s="67"/>
      <c r="S1003" s="24">
        <f t="shared" si="542"/>
        <v>0</v>
      </c>
      <c r="T1003" s="15"/>
      <c r="U1003" s="55"/>
      <c r="V1003" s="55"/>
      <c r="W1003" s="55"/>
      <c r="X1003" s="67"/>
      <c r="Y1003" s="24">
        <f t="shared" si="543"/>
        <v>0</v>
      </c>
      <c r="Z1003" s="24">
        <f t="shared" si="544"/>
        <v>1</v>
      </c>
      <c r="AA1003" s="83">
        <v>44832</v>
      </c>
      <c r="AB1003" s="180"/>
      <c r="AC1003" s="14"/>
      <c r="AD1003" s="15"/>
      <c r="AE1003" s="15"/>
      <c r="AF1003" s="15"/>
      <c r="AG1003" s="15"/>
      <c r="AH1003" s="24">
        <f t="shared" si="563"/>
        <v>0</v>
      </c>
      <c r="AI1003" s="14"/>
      <c r="AJ1003" s="15"/>
      <c r="AK1003" s="15"/>
      <c r="AL1003" s="15"/>
      <c r="AM1003" s="15"/>
      <c r="AN1003" s="24">
        <f t="shared" si="564"/>
        <v>0</v>
      </c>
      <c r="AO1003" s="15"/>
      <c r="AP1003" s="55"/>
      <c r="AQ1003" s="55"/>
      <c r="AR1003" s="55"/>
      <c r="AS1003" s="67"/>
      <c r="AT1003" s="24">
        <f t="shared" si="565"/>
        <v>0</v>
      </c>
      <c r="AU1003" s="15"/>
      <c r="AV1003" s="55"/>
      <c r="AW1003" s="55"/>
      <c r="AX1003" s="55"/>
      <c r="AY1003" s="67"/>
      <c r="AZ1003" s="24">
        <f t="shared" si="566"/>
        <v>0</v>
      </c>
      <c r="BA1003" s="24">
        <f t="shared" si="567"/>
        <v>0</v>
      </c>
      <c r="BB1003" s="128"/>
    </row>
    <row r="1004" spans="1:55" ht="14.25" x14ac:dyDescent="0.15">
      <c r="A1004" s="23" t="s">
        <v>438</v>
      </c>
      <c r="B1004" s="14"/>
      <c r="C1004" s="15"/>
      <c r="D1004" s="15"/>
      <c r="E1004" s="15"/>
      <c r="F1004" s="15">
        <v>1</v>
      </c>
      <c r="G1004" s="24">
        <f t="shared" si="569"/>
        <v>1</v>
      </c>
      <c r="H1004" s="14"/>
      <c r="I1004" s="15"/>
      <c r="J1004" s="15"/>
      <c r="K1004" s="15"/>
      <c r="L1004" s="15"/>
      <c r="M1004" s="24">
        <f t="shared" si="541"/>
        <v>0</v>
      </c>
      <c r="N1004" s="15"/>
      <c r="O1004" s="55"/>
      <c r="P1004" s="55"/>
      <c r="Q1004" s="55"/>
      <c r="R1004" s="67"/>
      <c r="S1004" s="24">
        <f t="shared" si="542"/>
        <v>0</v>
      </c>
      <c r="T1004" s="15"/>
      <c r="U1004" s="55"/>
      <c r="V1004" s="55"/>
      <c r="W1004" s="55"/>
      <c r="X1004" s="67"/>
      <c r="Y1004" s="24">
        <f t="shared" si="543"/>
        <v>0</v>
      </c>
      <c r="Z1004" s="24">
        <f t="shared" si="544"/>
        <v>1</v>
      </c>
      <c r="AA1004" s="83">
        <v>44834</v>
      </c>
      <c r="AB1004" s="21"/>
      <c r="AC1004" s="14"/>
      <c r="AD1004" s="15"/>
      <c r="AE1004" s="15"/>
      <c r="AF1004" s="15"/>
      <c r="AG1004" s="15"/>
      <c r="AH1004" s="24">
        <f t="shared" si="563"/>
        <v>0</v>
      </c>
      <c r="AI1004" s="14"/>
      <c r="AJ1004" s="15"/>
      <c r="AK1004" s="15"/>
      <c r="AL1004" s="15"/>
      <c r="AM1004" s="15"/>
      <c r="AN1004" s="24">
        <f t="shared" si="564"/>
        <v>0</v>
      </c>
      <c r="AO1004" s="15"/>
      <c r="AP1004" s="55"/>
      <c r="AQ1004" s="55"/>
      <c r="AR1004" s="55"/>
      <c r="AS1004" s="67"/>
      <c r="AT1004" s="24">
        <f t="shared" si="565"/>
        <v>0</v>
      </c>
      <c r="AU1004" s="15"/>
      <c r="AV1004" s="55"/>
      <c r="AW1004" s="55"/>
      <c r="AX1004" s="55"/>
      <c r="AY1004" s="67"/>
      <c r="AZ1004" s="24">
        <f t="shared" si="566"/>
        <v>0</v>
      </c>
      <c r="BA1004" s="24">
        <f t="shared" si="567"/>
        <v>0</v>
      </c>
      <c r="BB1004" s="128"/>
    </row>
    <row r="1005" spans="1:55" ht="14.25" x14ac:dyDescent="0.15">
      <c r="A1005" s="23" t="s">
        <v>438</v>
      </c>
      <c r="B1005" s="14"/>
      <c r="C1005" s="15"/>
      <c r="D1005" s="15"/>
      <c r="E1005" s="15"/>
      <c r="F1005" s="15"/>
      <c r="G1005" s="24">
        <f t="shared" si="569"/>
        <v>0</v>
      </c>
      <c r="H1005" s="14"/>
      <c r="I1005" s="15"/>
      <c r="J1005" s="15"/>
      <c r="K1005" s="15"/>
      <c r="L1005" s="15"/>
      <c r="M1005" s="24">
        <f t="shared" si="541"/>
        <v>0</v>
      </c>
      <c r="N1005" s="15"/>
      <c r="O1005" s="55"/>
      <c r="P1005" s="55"/>
      <c r="Q1005" s="55"/>
      <c r="R1005" s="67">
        <v>1</v>
      </c>
      <c r="S1005" s="24">
        <f t="shared" si="542"/>
        <v>1</v>
      </c>
      <c r="T1005" s="15"/>
      <c r="U1005" s="55"/>
      <c r="V1005" s="55"/>
      <c r="W1005" s="55"/>
      <c r="X1005" s="67"/>
      <c r="Y1005" s="24">
        <f t="shared" si="543"/>
        <v>0</v>
      </c>
      <c r="Z1005" s="24">
        <f t="shared" si="544"/>
        <v>1</v>
      </c>
      <c r="AA1005" s="83">
        <v>44837</v>
      </c>
      <c r="AB1005" s="47"/>
      <c r="AC1005" s="14"/>
      <c r="AD1005" s="15"/>
      <c r="AE1005" s="15"/>
      <c r="AF1005" s="15"/>
      <c r="AG1005" s="15"/>
      <c r="AH1005" s="24">
        <f t="shared" ref="AH1005" si="570">SUM(AC1005:AG1005)</f>
        <v>0</v>
      </c>
      <c r="AI1005" s="14"/>
      <c r="AJ1005" s="15"/>
      <c r="AK1005" s="15"/>
      <c r="AL1005" s="15"/>
      <c r="AM1005" s="15"/>
      <c r="AN1005" s="24">
        <f t="shared" si="564"/>
        <v>0</v>
      </c>
      <c r="AO1005" s="15"/>
      <c r="AP1005" s="55"/>
      <c r="AQ1005" s="55"/>
      <c r="AR1005" s="55"/>
      <c r="AS1005" s="67"/>
      <c r="AT1005" s="24">
        <f t="shared" si="565"/>
        <v>0</v>
      </c>
      <c r="AU1005" s="15"/>
      <c r="AV1005" s="55"/>
      <c r="AW1005" s="55"/>
      <c r="AX1005" s="55"/>
      <c r="AY1005" s="67"/>
      <c r="AZ1005" s="24">
        <f t="shared" si="566"/>
        <v>0</v>
      </c>
      <c r="BA1005" s="24">
        <f t="shared" si="567"/>
        <v>0</v>
      </c>
      <c r="BB1005" s="128"/>
    </row>
    <row r="1006" spans="1:55" ht="14.25" x14ac:dyDescent="0.15">
      <c r="A1006" s="23" t="s">
        <v>48</v>
      </c>
      <c r="B1006" s="44"/>
      <c r="C1006" s="45"/>
      <c r="D1006" s="45"/>
      <c r="E1006" s="45"/>
      <c r="F1006" s="45"/>
      <c r="G1006" s="43">
        <f t="shared" si="569"/>
        <v>0</v>
      </c>
      <c r="H1006" s="44"/>
      <c r="I1006" s="45"/>
      <c r="J1006" s="45"/>
      <c r="K1006" s="45"/>
      <c r="L1006" s="45"/>
      <c r="M1006" s="43">
        <f t="shared" si="541"/>
        <v>0</v>
      </c>
      <c r="N1006" s="42"/>
      <c r="O1006" s="53"/>
      <c r="P1006" s="53"/>
      <c r="Q1006" s="53"/>
      <c r="R1006" s="72"/>
      <c r="S1006" s="24">
        <f t="shared" si="542"/>
        <v>0</v>
      </c>
      <c r="T1006" s="42"/>
      <c r="U1006" s="53"/>
      <c r="V1006" s="53"/>
      <c r="W1006" s="53"/>
      <c r="X1006" s="72">
        <v>1</v>
      </c>
      <c r="Y1006" s="24">
        <f t="shared" si="543"/>
        <v>1</v>
      </c>
      <c r="Z1006" s="24">
        <f t="shared" si="544"/>
        <v>1</v>
      </c>
      <c r="AA1006" s="93">
        <v>44834</v>
      </c>
      <c r="AB1006" s="47"/>
      <c r="AC1006" s="14"/>
      <c r="AD1006" s="15"/>
      <c r="AE1006" s="15"/>
      <c r="AF1006" s="15"/>
      <c r="AG1006" s="15"/>
      <c r="AH1006" s="24">
        <f>SUM(AC1006:AG1006)</f>
        <v>0</v>
      </c>
      <c r="AI1006" s="14"/>
      <c r="AJ1006" s="15"/>
      <c r="AK1006" s="15"/>
      <c r="AL1006" s="15"/>
      <c r="AM1006" s="15"/>
      <c r="AN1006" s="24">
        <f>SUM(AI1006:AM1006)</f>
        <v>0</v>
      </c>
      <c r="AO1006" s="15"/>
      <c r="AP1006" s="55"/>
      <c r="AQ1006" s="55"/>
      <c r="AR1006" s="55"/>
      <c r="AS1006" s="67"/>
      <c r="AT1006" s="24">
        <f>SUM(AO1006:AS1006)</f>
        <v>0</v>
      </c>
      <c r="AU1006" s="15"/>
      <c r="AV1006" s="55"/>
      <c r="AW1006" s="55"/>
      <c r="AX1006" s="55"/>
      <c r="AY1006" s="67"/>
      <c r="AZ1006" s="24">
        <f>SUM(AU1006:AY1006)</f>
        <v>0</v>
      </c>
      <c r="BA1006" s="24">
        <f>AH1006+AN1006+AT1006+AZ1006</f>
        <v>0</v>
      </c>
      <c r="BB1006" s="128"/>
    </row>
    <row r="1007" spans="1:55" ht="14.25" x14ac:dyDescent="0.15">
      <c r="A1007" s="122"/>
      <c r="B1007" s="41"/>
      <c r="C1007" s="42"/>
      <c r="D1007" s="42"/>
      <c r="E1007" s="42"/>
      <c r="F1007" s="42"/>
      <c r="G1007" s="43">
        <f t="shared" si="569"/>
        <v>0</v>
      </c>
      <c r="H1007" s="41"/>
      <c r="I1007" s="42"/>
      <c r="J1007" s="42"/>
      <c r="K1007" s="42"/>
      <c r="L1007" s="42"/>
      <c r="M1007" s="43">
        <f t="shared" si="541"/>
        <v>0</v>
      </c>
      <c r="N1007" s="42"/>
      <c r="O1007" s="53"/>
      <c r="P1007" s="53"/>
      <c r="Q1007" s="53"/>
      <c r="R1007" s="72"/>
      <c r="S1007" s="24">
        <f t="shared" si="542"/>
        <v>0</v>
      </c>
      <c r="T1007" s="42"/>
      <c r="U1007" s="53"/>
      <c r="V1007" s="53"/>
      <c r="W1007" s="53"/>
      <c r="X1007" s="72"/>
      <c r="Y1007" s="24">
        <f t="shared" si="543"/>
        <v>0</v>
      </c>
      <c r="Z1007" s="24">
        <f t="shared" si="544"/>
        <v>0</v>
      </c>
      <c r="AB1007" s="47" t="s">
        <v>540</v>
      </c>
      <c r="AC1007" s="14"/>
      <c r="AD1007" s="15"/>
      <c r="AE1007" s="15"/>
      <c r="AF1007" s="15"/>
      <c r="AG1007" s="15"/>
      <c r="AH1007" s="24">
        <f>SUM(AC1007:AG1007)</f>
        <v>0</v>
      </c>
      <c r="AI1007" s="191"/>
      <c r="AJ1007" s="192"/>
      <c r="AK1007" s="192"/>
      <c r="AL1007" s="192"/>
      <c r="AM1007" s="192"/>
      <c r="AN1007" s="24">
        <f>SUM(AI1007:AM1007)</f>
        <v>0</v>
      </c>
      <c r="AO1007" s="14"/>
      <c r="AP1007" s="15"/>
      <c r="AQ1007" s="15"/>
      <c r="AR1007" s="15"/>
      <c r="AS1007" s="15"/>
      <c r="AT1007" s="24">
        <f>SUM(AO1007:AS1007)</f>
        <v>0</v>
      </c>
      <c r="AU1007" s="14"/>
      <c r="AV1007" s="15"/>
      <c r="AW1007" s="15"/>
      <c r="AX1007" s="15"/>
      <c r="AY1007" s="15"/>
      <c r="AZ1007" s="24">
        <f>SUM(AU1007:AY1007)</f>
        <v>0</v>
      </c>
      <c r="BA1007" s="24">
        <f>AH1007+AN1007+AT1007+AZ1007</f>
        <v>0</v>
      </c>
      <c r="BB1007" s="128" t="s">
        <v>537</v>
      </c>
    </row>
    <row r="1008" spans="1:55" ht="14.25" x14ac:dyDescent="0.15">
      <c r="A1008" s="23"/>
      <c r="B1008" s="41"/>
      <c r="C1008" s="42"/>
      <c r="D1008" s="42"/>
      <c r="E1008" s="42"/>
      <c r="F1008" s="42"/>
      <c r="G1008" s="43">
        <f t="shared" si="569"/>
        <v>0</v>
      </c>
      <c r="H1008" s="41"/>
      <c r="I1008" s="42"/>
      <c r="J1008" s="42"/>
      <c r="K1008" s="42"/>
      <c r="L1008" s="42"/>
      <c r="M1008" s="43">
        <f t="shared" si="541"/>
        <v>0</v>
      </c>
      <c r="N1008" s="42"/>
      <c r="O1008" s="53"/>
      <c r="P1008" s="53"/>
      <c r="Q1008" s="53"/>
      <c r="R1008" s="72"/>
      <c r="S1008" s="24">
        <f t="shared" si="542"/>
        <v>0</v>
      </c>
      <c r="T1008" s="42"/>
      <c r="U1008" s="53"/>
      <c r="V1008" s="53"/>
      <c r="W1008" s="53"/>
      <c r="X1008" s="72"/>
      <c r="Y1008" s="24">
        <f t="shared" si="543"/>
        <v>0</v>
      </c>
      <c r="Z1008" s="24">
        <f t="shared" si="544"/>
        <v>0</v>
      </c>
      <c r="AB1008" s="47" t="s">
        <v>536</v>
      </c>
      <c r="AC1008" s="14"/>
      <c r="AD1008" s="15"/>
      <c r="AE1008" s="15"/>
      <c r="AF1008" s="15"/>
      <c r="AG1008" s="15"/>
      <c r="AH1008" s="24">
        <f>SUM(AC1008:AG1008)</f>
        <v>0</v>
      </c>
      <c r="AI1008" s="191"/>
      <c r="AJ1008" s="192"/>
      <c r="AK1008" s="192"/>
      <c r="AL1008" s="192"/>
      <c r="AM1008" s="192"/>
      <c r="AN1008" s="24">
        <f>SUM(AI1008:AM1008)</f>
        <v>0</v>
      </c>
      <c r="AO1008" s="14"/>
      <c r="AP1008" s="15"/>
      <c r="AQ1008" s="15"/>
      <c r="AR1008" s="15"/>
      <c r="AS1008" s="15"/>
      <c r="AT1008" s="24">
        <f>SUM(AO1008:AS1008)</f>
        <v>0</v>
      </c>
      <c r="AU1008" s="14"/>
      <c r="AV1008" s="15"/>
      <c r="AW1008" s="15"/>
      <c r="AX1008" s="15"/>
      <c r="AY1008" s="15"/>
      <c r="AZ1008" s="24">
        <f>SUM(AU1008:AY1008)</f>
        <v>0</v>
      </c>
      <c r="BA1008" s="24">
        <f>AH1008+AN1008+AT1008+AZ1008</f>
        <v>0</v>
      </c>
      <c r="BB1008" s="128" t="s">
        <v>537</v>
      </c>
    </row>
    <row r="1009" spans="1:56" ht="14.25" x14ac:dyDescent="0.15">
      <c r="A1009" s="23"/>
      <c r="B1009" s="41"/>
      <c r="C1009" s="42"/>
      <c r="D1009" s="42"/>
      <c r="E1009" s="42"/>
      <c r="F1009" s="42"/>
      <c r="G1009" s="43">
        <f t="shared" si="569"/>
        <v>0</v>
      </c>
      <c r="H1009" s="41"/>
      <c r="I1009" s="42"/>
      <c r="J1009" s="42"/>
      <c r="K1009" s="42"/>
      <c r="L1009" s="42"/>
      <c r="M1009" s="43">
        <f t="shared" si="541"/>
        <v>0</v>
      </c>
      <c r="N1009" s="42"/>
      <c r="O1009" s="53"/>
      <c r="P1009" s="53"/>
      <c r="Q1009" s="53"/>
      <c r="R1009" s="72"/>
      <c r="S1009" s="24">
        <f>SUM(N1009:R1009)</f>
        <v>0</v>
      </c>
      <c r="T1009" s="42"/>
      <c r="U1009" s="53"/>
      <c r="V1009" s="53"/>
      <c r="W1009" s="53"/>
      <c r="X1009" s="72"/>
      <c r="Y1009" s="24">
        <f>SUM(T1009:X1009)</f>
        <v>0</v>
      </c>
      <c r="Z1009" s="24">
        <f>G1009+M1009+S1009+Y1009</f>
        <v>0</v>
      </c>
      <c r="AB1009" s="47" t="s">
        <v>550</v>
      </c>
      <c r="AC1009" s="191"/>
      <c r="AD1009" s="192"/>
      <c r="AE1009" s="192"/>
      <c r="AF1009" s="192"/>
      <c r="AG1009" s="192"/>
      <c r="AH1009" s="24">
        <f t="shared" ref="AH1009" si="571">SUM(AC1009:AG1009)</f>
        <v>0</v>
      </c>
      <c r="AI1009" s="14"/>
      <c r="AJ1009" s="15"/>
      <c r="AK1009" s="15"/>
      <c r="AL1009" s="15"/>
      <c r="AM1009" s="15"/>
      <c r="AN1009" s="24">
        <f t="shared" ref="AN1009" si="572">SUM(AI1009:AM1009)</f>
        <v>0</v>
      </c>
      <c r="AO1009" s="14"/>
      <c r="AP1009" s="15"/>
      <c r="AQ1009" s="15"/>
      <c r="AR1009" s="15"/>
      <c r="AS1009" s="15"/>
      <c r="AT1009" s="24">
        <f t="shared" ref="AT1009" si="573">SUM(AO1009:AS1009)</f>
        <v>0</v>
      </c>
      <c r="AU1009" s="14"/>
      <c r="AV1009" s="15"/>
      <c r="AW1009" s="15"/>
      <c r="AX1009" s="15"/>
      <c r="AY1009" s="15"/>
      <c r="AZ1009" s="24">
        <f t="shared" ref="AZ1009" si="574">SUM(AU1009:AY1009)</f>
        <v>0</v>
      </c>
      <c r="BA1009" s="24">
        <f t="shared" ref="BA1009" si="575">AH1009+AN1009+AT1009+AZ1009</f>
        <v>0</v>
      </c>
      <c r="BB1009" s="128" t="s">
        <v>551</v>
      </c>
      <c r="BC1009" s="111"/>
      <c r="BD1009" s="111"/>
    </row>
    <row r="1010" spans="1:56" ht="14.25" thickBot="1" x14ac:dyDescent="0.2">
      <c r="A1010" s="182"/>
      <c r="B1010" s="44"/>
      <c r="C1010" s="45"/>
      <c r="D1010" s="45"/>
      <c r="E1010" s="45"/>
      <c r="F1010" s="45"/>
      <c r="G1010" s="43">
        <f t="shared" si="569"/>
        <v>0</v>
      </c>
      <c r="H1010" s="44"/>
      <c r="I1010" s="45"/>
      <c r="J1010" s="45"/>
      <c r="K1010" s="45"/>
      <c r="L1010" s="45"/>
      <c r="M1010" s="112">
        <f t="shared" si="541"/>
        <v>0</v>
      </c>
      <c r="N1010" s="45"/>
      <c r="O1010" s="78"/>
      <c r="P1010" s="78"/>
      <c r="Q1010" s="78"/>
      <c r="R1010" s="79"/>
      <c r="S1010" s="113">
        <f>SUM(N1010:R1010)</f>
        <v>0</v>
      </c>
      <c r="T1010" s="45"/>
      <c r="U1010" s="78"/>
      <c r="V1010" s="78"/>
      <c r="W1010" s="78"/>
      <c r="X1010" s="79"/>
      <c r="Y1010" s="113">
        <f>SUM(T1010:X1010)</f>
        <v>0</v>
      </c>
      <c r="Z1010" s="82">
        <f>G1010+M1010+S1010+Y1010</f>
        <v>0</v>
      </c>
      <c r="AB1010" s="47" t="s">
        <v>543</v>
      </c>
      <c r="AC1010" s="191"/>
      <c r="AD1010" s="192"/>
      <c r="AE1010" s="192"/>
      <c r="AF1010" s="192"/>
      <c r="AG1010" s="192"/>
      <c r="AH1010" s="24">
        <f>SUM(AC1010:AG1010)</f>
        <v>0</v>
      </c>
      <c r="AI1010" s="14"/>
      <c r="AJ1010" s="15"/>
      <c r="AK1010" s="15"/>
      <c r="AL1010" s="15"/>
      <c r="AM1010" s="15"/>
      <c r="AN1010" s="24">
        <f>SUM(AI1010:AM1010)</f>
        <v>0</v>
      </c>
      <c r="AO1010" s="14"/>
      <c r="AP1010" s="15"/>
      <c r="AQ1010" s="15"/>
      <c r="AR1010" s="15"/>
      <c r="AS1010" s="15"/>
      <c r="AT1010" s="24">
        <f>SUM(AO1010:AS1010)</f>
        <v>0</v>
      </c>
      <c r="AU1010" s="14"/>
      <c r="AV1010" s="15"/>
      <c r="AW1010" s="15"/>
      <c r="AX1010" s="15"/>
      <c r="AY1010" s="15"/>
      <c r="AZ1010" s="24">
        <f>SUM(AU1010:AY1010)</f>
        <v>0</v>
      </c>
      <c r="BA1010" s="24">
        <f>AH1010+AN1010+AT1010+AZ1010</f>
        <v>0</v>
      </c>
      <c r="BB1010" s="128" t="s">
        <v>544</v>
      </c>
      <c r="BC1010" s="111"/>
      <c r="BD1010" s="111"/>
    </row>
    <row r="1011" spans="1:56" ht="15" thickBot="1" x14ac:dyDescent="0.2">
      <c r="A1011" s="9" t="s">
        <v>13</v>
      </c>
      <c r="B1011" s="25">
        <f>SUM(B985:B1010)</f>
        <v>2</v>
      </c>
      <c r="C1011" s="26">
        <f>SUM(C985:C1010)</f>
        <v>4</v>
      </c>
      <c r="D1011" s="26">
        <f>SUM(D985:D1010)</f>
        <v>5</v>
      </c>
      <c r="E1011" s="26">
        <f>SUM(E985:E1010)</f>
        <v>3</v>
      </c>
      <c r="F1011" s="27">
        <f>SUM(F985:F1010)</f>
        <v>6</v>
      </c>
      <c r="G1011" s="19">
        <f>SUM(B1011:F1011)</f>
        <v>20</v>
      </c>
      <c r="H1011" s="25">
        <f>SUM(H985:H1010)</f>
        <v>2</v>
      </c>
      <c r="I1011" s="26">
        <f>SUM(I985:I1010)</f>
        <v>4</v>
      </c>
      <c r="J1011" s="26">
        <f>SUM(J985:J1010)</f>
        <v>2</v>
      </c>
      <c r="K1011" s="26">
        <f>SUM(K985:K1010)</f>
        <v>2</v>
      </c>
      <c r="L1011" s="27">
        <f>SUM(L985:L1010)</f>
        <v>0</v>
      </c>
      <c r="M1011" s="25">
        <f>SUM(H1011:L1011)</f>
        <v>10</v>
      </c>
      <c r="N1011" s="65">
        <f>SUM(N985:N1010)</f>
        <v>0</v>
      </c>
      <c r="O1011" s="18">
        <f>SUM(O985:O1010)</f>
        <v>1</v>
      </c>
      <c r="P1011" s="18">
        <f>SUM(P985:P1010)</f>
        <v>0</v>
      </c>
      <c r="Q1011" s="18">
        <f>SUM(Q985:Q1010)</f>
        <v>1</v>
      </c>
      <c r="R1011" s="70">
        <f>SUM(R985:R1010)</f>
        <v>2</v>
      </c>
      <c r="S1011" s="49">
        <f>SUM(N1011:R1011)</f>
        <v>4</v>
      </c>
      <c r="T1011" s="74">
        <f>SUM(T985:T1010)</f>
        <v>0</v>
      </c>
      <c r="U1011" s="18">
        <f>SUM(U985:U1010)</f>
        <v>1</v>
      </c>
      <c r="V1011" s="18">
        <f>SUM(V985:V1010)</f>
        <v>1</v>
      </c>
      <c r="W1011" s="18">
        <f>SUM(W985:W1010)</f>
        <v>3</v>
      </c>
      <c r="X1011" s="70">
        <f>SUM(X985:X1010)</f>
        <v>1</v>
      </c>
      <c r="Y1011" s="49">
        <f>SUM(T1011:X1011)</f>
        <v>6</v>
      </c>
      <c r="Z1011" s="137">
        <f>G1011+M1011+S1011+Y1011</f>
        <v>40</v>
      </c>
      <c r="AB1011" s="9" t="s">
        <v>13</v>
      </c>
      <c r="AC1011" s="25">
        <f>SUM(AC985:AC1010)</f>
        <v>0</v>
      </c>
      <c r="AD1011" s="26">
        <f>SUM(AD985:AD1010)</f>
        <v>11</v>
      </c>
      <c r="AE1011" s="26">
        <f>SUM(AE985:AE1010)</f>
        <v>6</v>
      </c>
      <c r="AF1011" s="26">
        <f>SUM(AF985:AF1010)</f>
        <v>10</v>
      </c>
      <c r="AG1011" s="27">
        <f>SUM(AG985:AG1010)</f>
        <v>6</v>
      </c>
      <c r="AH1011" s="19">
        <f>SUM(AC1011:AG1011)</f>
        <v>33</v>
      </c>
      <c r="AI1011" s="25">
        <f>SUM(AI985:AI1010)</f>
        <v>1</v>
      </c>
      <c r="AJ1011" s="26">
        <f>SUM(AJ985:AJ1010)</f>
        <v>7</v>
      </c>
      <c r="AK1011" s="26">
        <f>SUM(AK985:AK1010)</f>
        <v>17</v>
      </c>
      <c r="AL1011" s="26">
        <f>SUM(AL985:AL1010)</f>
        <v>6</v>
      </c>
      <c r="AM1011" s="27">
        <f>SUM(AM985:AM1010)</f>
        <v>1</v>
      </c>
      <c r="AN1011" s="25">
        <f>SUM(AI1011:AM1011)</f>
        <v>32</v>
      </c>
      <c r="AO1011" s="65">
        <f>SUM(AO985:AO1010)</f>
        <v>0</v>
      </c>
      <c r="AP1011" s="18">
        <f>SUM(AP985:AP1010)</f>
        <v>6</v>
      </c>
      <c r="AQ1011" s="18">
        <f>SUM(AQ985:AQ1010)</f>
        <v>0</v>
      </c>
      <c r="AR1011" s="18">
        <f>SUM(AR985:AR1010)</f>
        <v>0</v>
      </c>
      <c r="AS1011" s="70">
        <f>SUM(AS985:AS1010)</f>
        <v>0</v>
      </c>
      <c r="AT1011" s="49">
        <f>SUM(AO1011:AS1011)</f>
        <v>6</v>
      </c>
      <c r="AU1011" s="74">
        <f>SUM(AU985:AU1010)</f>
        <v>0</v>
      </c>
      <c r="AV1011" s="18">
        <f>SUM(AV985:AV1010)</f>
        <v>0</v>
      </c>
      <c r="AW1011" s="18">
        <f>SUM(AW985:AW1010)</f>
        <v>3</v>
      </c>
      <c r="AX1011" s="18">
        <f>SUM(AX985:AX1010)</f>
        <v>4</v>
      </c>
      <c r="AY1011" s="70">
        <f>SUM(AY985:AY1010)</f>
        <v>5</v>
      </c>
      <c r="AZ1011" s="49">
        <f>SUM(AU1011:AY1011)</f>
        <v>12</v>
      </c>
      <c r="BA1011" s="77">
        <f>AH1011+AN1011+AT1011+AZ1011</f>
        <v>83</v>
      </c>
    </row>
    <row r="1012" spans="1:56" ht="15" thickBot="1" x14ac:dyDescent="0.2">
      <c r="A1012" s="32" t="s">
        <v>14</v>
      </c>
      <c r="B1012" s="29">
        <f t="shared" ref="B1012:Y1012" si="576">B984-B1011</f>
        <v>3</v>
      </c>
      <c r="C1012" s="30">
        <f t="shared" si="576"/>
        <v>3</v>
      </c>
      <c r="D1012" s="30">
        <f t="shared" si="576"/>
        <v>2</v>
      </c>
      <c r="E1012" s="30">
        <f t="shared" si="576"/>
        <v>4</v>
      </c>
      <c r="F1012" s="31">
        <f t="shared" si="576"/>
        <v>1</v>
      </c>
      <c r="G1012" s="31">
        <f t="shared" si="576"/>
        <v>13</v>
      </c>
      <c r="H1012" s="29">
        <f t="shared" si="576"/>
        <v>6</v>
      </c>
      <c r="I1012" s="30">
        <f t="shared" si="576"/>
        <v>3</v>
      </c>
      <c r="J1012" s="30">
        <f t="shared" si="576"/>
        <v>3</v>
      </c>
      <c r="K1012" s="30">
        <f t="shared" si="576"/>
        <v>6</v>
      </c>
      <c r="L1012" s="31">
        <f t="shared" si="576"/>
        <v>6</v>
      </c>
      <c r="M1012" s="66">
        <f t="shared" si="576"/>
        <v>24</v>
      </c>
      <c r="N1012" s="29">
        <f t="shared" si="576"/>
        <v>6</v>
      </c>
      <c r="O1012" s="30">
        <f t="shared" si="576"/>
        <v>5</v>
      </c>
      <c r="P1012" s="30">
        <f t="shared" si="576"/>
        <v>7</v>
      </c>
      <c r="Q1012" s="30">
        <f t="shared" si="576"/>
        <v>4</v>
      </c>
      <c r="R1012" s="66">
        <f t="shared" si="576"/>
        <v>5</v>
      </c>
      <c r="S1012" s="33">
        <f t="shared" si="576"/>
        <v>27</v>
      </c>
      <c r="T1012" s="75">
        <f t="shared" si="576"/>
        <v>6</v>
      </c>
      <c r="U1012" s="30">
        <f t="shared" si="576"/>
        <v>4</v>
      </c>
      <c r="V1012" s="30">
        <f t="shared" si="576"/>
        <v>4</v>
      </c>
      <c r="W1012" s="30">
        <f t="shared" si="576"/>
        <v>4</v>
      </c>
      <c r="X1012" s="66">
        <f t="shared" si="576"/>
        <v>6</v>
      </c>
      <c r="Y1012" s="33">
        <f t="shared" si="576"/>
        <v>24</v>
      </c>
      <c r="Z1012" s="77">
        <f>G1012+M1012+S1012+Y1012</f>
        <v>88</v>
      </c>
      <c r="AB1012" s="32" t="s">
        <v>14</v>
      </c>
      <c r="AC1012" s="29">
        <f t="shared" ref="AC1012:AZ1012" si="577">AC984-AC1011</f>
        <v>72</v>
      </c>
      <c r="AD1012" s="30">
        <f t="shared" si="577"/>
        <v>0</v>
      </c>
      <c r="AE1012" s="30">
        <f t="shared" si="577"/>
        <v>5</v>
      </c>
      <c r="AF1012" s="30">
        <f t="shared" si="577"/>
        <v>26</v>
      </c>
      <c r="AG1012" s="31">
        <f t="shared" si="577"/>
        <v>14</v>
      </c>
      <c r="AH1012" s="31">
        <f t="shared" si="577"/>
        <v>117</v>
      </c>
      <c r="AI1012" s="29">
        <f t="shared" si="577"/>
        <v>38</v>
      </c>
      <c r="AJ1012" s="30">
        <f t="shared" si="577"/>
        <v>8</v>
      </c>
      <c r="AK1012" s="30">
        <f t="shared" si="577"/>
        <v>25</v>
      </c>
      <c r="AL1012" s="30">
        <f t="shared" si="577"/>
        <v>40</v>
      </c>
      <c r="AM1012" s="31">
        <f t="shared" si="577"/>
        <v>57</v>
      </c>
      <c r="AN1012" s="66">
        <f t="shared" si="577"/>
        <v>168</v>
      </c>
      <c r="AO1012" s="29">
        <f t="shared" si="577"/>
        <v>159</v>
      </c>
      <c r="AP1012" s="30">
        <f t="shared" si="577"/>
        <v>134</v>
      </c>
      <c r="AQ1012" s="30">
        <f t="shared" si="577"/>
        <v>129</v>
      </c>
      <c r="AR1012" s="30">
        <f t="shared" si="577"/>
        <v>137</v>
      </c>
      <c r="AS1012" s="66">
        <f t="shared" si="577"/>
        <v>149</v>
      </c>
      <c r="AT1012" s="33">
        <f t="shared" si="577"/>
        <v>708</v>
      </c>
      <c r="AU1012" s="75">
        <f t="shared" si="577"/>
        <v>116</v>
      </c>
      <c r="AV1012" s="30">
        <f t="shared" si="577"/>
        <v>71</v>
      </c>
      <c r="AW1012" s="30">
        <f t="shared" si="577"/>
        <v>60</v>
      </c>
      <c r="AX1012" s="30">
        <f t="shared" si="577"/>
        <v>57</v>
      </c>
      <c r="AY1012" s="66">
        <f t="shared" si="577"/>
        <v>95</v>
      </c>
      <c r="AZ1012" s="33">
        <f t="shared" si="577"/>
        <v>399</v>
      </c>
      <c r="BA1012" s="77">
        <f>AH1012+AN1012+AT1012+AZ1012</f>
        <v>1392</v>
      </c>
    </row>
    <row r="1015" spans="1:56" ht="19.5" thickBot="1" x14ac:dyDescent="0.25">
      <c r="A1015" s="1" t="s">
        <v>15</v>
      </c>
      <c r="AB1015" s="1" t="s">
        <v>16</v>
      </c>
    </row>
    <row r="1016" spans="1:56" ht="15" thickBot="1" x14ac:dyDescent="0.2">
      <c r="A1016" s="4"/>
      <c r="B1016" s="245" t="s">
        <v>17</v>
      </c>
      <c r="C1016" s="246"/>
      <c r="D1016" s="246"/>
      <c r="E1016" s="246"/>
      <c r="F1016" s="246"/>
      <c r="G1016" s="247"/>
      <c r="H1016" s="245" t="s">
        <v>18</v>
      </c>
      <c r="I1016" s="246"/>
      <c r="J1016" s="246"/>
      <c r="K1016" s="246"/>
      <c r="L1016" s="246"/>
      <c r="M1016" s="247"/>
      <c r="N1016" s="248" t="s">
        <v>27</v>
      </c>
      <c r="O1016" s="249"/>
      <c r="P1016" s="249"/>
      <c r="Q1016" s="249"/>
      <c r="R1016" s="249"/>
      <c r="S1016" s="250"/>
      <c r="T1016" s="248" t="s">
        <v>28</v>
      </c>
      <c r="U1016" s="249"/>
      <c r="V1016" s="249"/>
      <c r="W1016" s="249"/>
      <c r="X1016" s="249"/>
      <c r="Y1016" s="250"/>
      <c r="Z1016" s="251" t="s">
        <v>1</v>
      </c>
      <c r="AB1016" s="4"/>
      <c r="AC1016" s="253" t="s">
        <v>17</v>
      </c>
      <c r="AD1016" s="249"/>
      <c r="AE1016" s="249"/>
      <c r="AF1016" s="249"/>
      <c r="AG1016" s="249"/>
      <c r="AH1016" s="250"/>
      <c r="AI1016" s="248" t="s">
        <v>18</v>
      </c>
      <c r="AJ1016" s="249"/>
      <c r="AK1016" s="249"/>
      <c r="AL1016" s="249"/>
      <c r="AM1016" s="249"/>
      <c r="AN1016" s="250"/>
      <c r="AO1016" s="248" t="s">
        <v>27</v>
      </c>
      <c r="AP1016" s="249"/>
      <c r="AQ1016" s="249"/>
      <c r="AR1016" s="249"/>
      <c r="AS1016" s="249"/>
      <c r="AT1016" s="250"/>
      <c r="AU1016" s="248" t="s">
        <v>28</v>
      </c>
      <c r="AV1016" s="249"/>
      <c r="AW1016" s="249"/>
      <c r="AX1016" s="249"/>
      <c r="AY1016" s="249"/>
      <c r="AZ1016" s="250"/>
      <c r="BA1016" s="243" t="s">
        <v>1</v>
      </c>
    </row>
    <row r="1017" spans="1:56" ht="15" thickBot="1" x14ac:dyDescent="0.2">
      <c r="A1017" s="9" t="s">
        <v>2</v>
      </c>
      <c r="B1017" s="6" t="s">
        <v>3</v>
      </c>
      <c r="C1017" s="7" t="s">
        <v>4</v>
      </c>
      <c r="D1017" s="7" t="s">
        <v>5</v>
      </c>
      <c r="E1017" s="48" t="s">
        <v>20</v>
      </c>
      <c r="F1017" s="8" t="s">
        <v>21</v>
      </c>
      <c r="G1017" s="5" t="s">
        <v>6</v>
      </c>
      <c r="H1017" s="6" t="s">
        <v>3</v>
      </c>
      <c r="I1017" s="7" t="s">
        <v>4</v>
      </c>
      <c r="J1017" s="7" t="s">
        <v>5</v>
      </c>
      <c r="K1017" s="48" t="s">
        <v>20</v>
      </c>
      <c r="L1017" s="8" t="s">
        <v>21</v>
      </c>
      <c r="M1017" s="5" t="s">
        <v>6</v>
      </c>
      <c r="N1017" s="6" t="s">
        <v>3</v>
      </c>
      <c r="O1017" s="7" t="s">
        <v>4</v>
      </c>
      <c r="P1017" s="7" t="s">
        <v>5</v>
      </c>
      <c r="Q1017" s="48" t="s">
        <v>20</v>
      </c>
      <c r="R1017" s="8" t="s">
        <v>21</v>
      </c>
      <c r="S1017" s="5" t="s">
        <v>6</v>
      </c>
      <c r="T1017" s="7" t="s">
        <v>3</v>
      </c>
      <c r="U1017" s="7" t="s">
        <v>4</v>
      </c>
      <c r="V1017" s="7" t="s">
        <v>5</v>
      </c>
      <c r="W1017" s="48" t="s">
        <v>20</v>
      </c>
      <c r="X1017" s="109" t="s">
        <v>21</v>
      </c>
      <c r="Y1017" s="62" t="s">
        <v>6</v>
      </c>
      <c r="Z1017" s="252"/>
      <c r="AB1017" s="9" t="s">
        <v>2</v>
      </c>
      <c r="AC1017" s="6" t="s">
        <v>3</v>
      </c>
      <c r="AD1017" s="7" t="s">
        <v>4</v>
      </c>
      <c r="AE1017" s="7" t="s">
        <v>5</v>
      </c>
      <c r="AF1017" s="48" t="s">
        <v>20</v>
      </c>
      <c r="AG1017" s="8" t="s">
        <v>21</v>
      </c>
      <c r="AH1017" s="5" t="s">
        <v>6</v>
      </c>
      <c r="AI1017" s="6" t="s">
        <v>3</v>
      </c>
      <c r="AJ1017" s="7" t="s">
        <v>4</v>
      </c>
      <c r="AK1017" s="7" t="s">
        <v>5</v>
      </c>
      <c r="AL1017" s="48" t="s">
        <v>20</v>
      </c>
      <c r="AM1017" s="8" t="s">
        <v>21</v>
      </c>
      <c r="AN1017" s="5" t="s">
        <v>6</v>
      </c>
      <c r="AO1017" s="6" t="s">
        <v>3</v>
      </c>
      <c r="AP1017" s="7" t="s">
        <v>4</v>
      </c>
      <c r="AQ1017" s="7" t="s">
        <v>5</v>
      </c>
      <c r="AR1017" s="48" t="s">
        <v>20</v>
      </c>
      <c r="AS1017" s="8" t="s">
        <v>21</v>
      </c>
      <c r="AT1017" s="5" t="s">
        <v>6</v>
      </c>
      <c r="AU1017" s="7" t="s">
        <v>3</v>
      </c>
      <c r="AV1017" s="7" t="s">
        <v>4</v>
      </c>
      <c r="AW1017" s="7" t="s">
        <v>5</v>
      </c>
      <c r="AX1017" s="48" t="s">
        <v>20</v>
      </c>
      <c r="AY1017" s="109" t="s">
        <v>21</v>
      </c>
      <c r="AZ1017" s="62" t="s">
        <v>6</v>
      </c>
      <c r="BA1017" s="244"/>
    </row>
    <row r="1018" spans="1:56" ht="14.25" x14ac:dyDescent="0.15">
      <c r="A1018" s="103" t="s">
        <v>43</v>
      </c>
      <c r="B1018" s="104">
        <f>B1012</f>
        <v>3</v>
      </c>
      <c r="C1018" s="105">
        <f>C1012</f>
        <v>3</v>
      </c>
      <c r="D1018" s="105">
        <f>D1012</f>
        <v>2</v>
      </c>
      <c r="E1018" s="105">
        <f>E1012</f>
        <v>4</v>
      </c>
      <c r="F1018" s="105">
        <f>F1012</f>
        <v>1</v>
      </c>
      <c r="G1018" s="106">
        <f t="shared" ref="G1018:G1038" si="578">SUM(B1018:F1018)</f>
        <v>13</v>
      </c>
      <c r="H1018" s="104">
        <f>H1012</f>
        <v>6</v>
      </c>
      <c r="I1018" s="105">
        <f>I1012</f>
        <v>3</v>
      </c>
      <c r="J1018" s="105">
        <f>J1012</f>
        <v>3</v>
      </c>
      <c r="K1018" s="105">
        <f>K1012</f>
        <v>6</v>
      </c>
      <c r="L1018" s="105">
        <f>L1012</f>
        <v>6</v>
      </c>
      <c r="M1018" s="107">
        <f t="shared" ref="M1018:M1049" si="579">SUM(H1018:L1018)</f>
        <v>24</v>
      </c>
      <c r="N1018" s="104">
        <f>N1012</f>
        <v>6</v>
      </c>
      <c r="O1018" s="105">
        <f>O1012</f>
        <v>5</v>
      </c>
      <c r="P1018" s="105">
        <f>P1012</f>
        <v>7</v>
      </c>
      <c r="Q1018" s="105">
        <f>Q1012</f>
        <v>4</v>
      </c>
      <c r="R1018" s="105">
        <f>R1012</f>
        <v>5</v>
      </c>
      <c r="S1018" s="108">
        <f t="shared" ref="S1018:S1047" si="580">SUM(N1018:R1018)</f>
        <v>27</v>
      </c>
      <c r="T1018" s="104">
        <f>T1012</f>
        <v>6</v>
      </c>
      <c r="U1018" s="105">
        <f>U1012</f>
        <v>4</v>
      </c>
      <c r="V1018" s="105">
        <f>V1012</f>
        <v>4</v>
      </c>
      <c r="W1018" s="105">
        <f>W1012</f>
        <v>4</v>
      </c>
      <c r="X1018" s="105">
        <f>X1012</f>
        <v>6</v>
      </c>
      <c r="Y1018" s="106">
        <f t="shared" ref="Y1018:Y1047" si="581">SUM(T1018:X1018)</f>
        <v>24</v>
      </c>
      <c r="Z1018" s="106">
        <f t="shared" ref="Z1018:Z1047" si="582">G1018+M1018+S1018+Y1018</f>
        <v>88</v>
      </c>
      <c r="AB1018" s="103" t="s">
        <v>43</v>
      </c>
      <c r="AC1018" s="104">
        <f>AC1012</f>
        <v>72</v>
      </c>
      <c r="AD1018" s="105">
        <f>AD1012</f>
        <v>0</v>
      </c>
      <c r="AE1018" s="105">
        <f>AE1012</f>
        <v>5</v>
      </c>
      <c r="AF1018" s="105">
        <f>AF1012</f>
        <v>26</v>
      </c>
      <c r="AG1018" s="105">
        <f>AG1012</f>
        <v>14</v>
      </c>
      <c r="AH1018" s="106">
        <f>SUM(AC1018:AG1018)</f>
        <v>117</v>
      </c>
      <c r="AI1018" s="104">
        <f>AI1012</f>
        <v>38</v>
      </c>
      <c r="AJ1018" s="105">
        <f>AJ1012</f>
        <v>8</v>
      </c>
      <c r="AK1018" s="105">
        <f>AK1012</f>
        <v>25</v>
      </c>
      <c r="AL1018" s="105">
        <f>AL1012</f>
        <v>40</v>
      </c>
      <c r="AM1018" s="105">
        <f>AM1012</f>
        <v>57</v>
      </c>
      <c r="AN1018" s="107">
        <f>SUM(AI1018:AM1018)</f>
        <v>168</v>
      </c>
      <c r="AO1018" s="104">
        <f>AO1012</f>
        <v>159</v>
      </c>
      <c r="AP1018" s="105">
        <f>AP1012</f>
        <v>134</v>
      </c>
      <c r="AQ1018" s="105">
        <f>AQ1012</f>
        <v>129</v>
      </c>
      <c r="AR1018" s="105">
        <f>AR1012</f>
        <v>137</v>
      </c>
      <c r="AS1018" s="105">
        <f>AS1012</f>
        <v>149</v>
      </c>
      <c r="AT1018" s="108">
        <f>SUM(AO1018:AS1018)</f>
        <v>708</v>
      </c>
      <c r="AU1018" s="104">
        <f>AU1012</f>
        <v>116</v>
      </c>
      <c r="AV1018" s="105">
        <f>AV1012</f>
        <v>71</v>
      </c>
      <c r="AW1018" s="105">
        <f>AW1012</f>
        <v>60</v>
      </c>
      <c r="AX1018" s="105">
        <f>AX1012</f>
        <v>57</v>
      </c>
      <c r="AY1018" s="105">
        <f>AY1012</f>
        <v>95</v>
      </c>
      <c r="AZ1018" s="106">
        <f>SUM(AU1018:AY1018)</f>
        <v>399</v>
      </c>
      <c r="BA1018" s="106">
        <f>AH1018+AN1018+AT1018+AZ1018</f>
        <v>1392</v>
      </c>
    </row>
    <row r="1019" spans="1:56" ht="14.25" x14ac:dyDescent="0.15">
      <c r="A1019" s="123" t="s">
        <v>566</v>
      </c>
      <c r="B1019" s="41">
        <v>1</v>
      </c>
      <c r="C1019" s="42"/>
      <c r="D1019" s="42"/>
      <c r="E1019" s="42"/>
      <c r="F1019" s="42"/>
      <c r="G1019" s="43">
        <f t="shared" ref="G1019" si="583">SUM(B1019:F1019)</f>
        <v>1</v>
      </c>
      <c r="H1019" s="41">
        <v>1</v>
      </c>
      <c r="I1019" s="15"/>
      <c r="J1019" s="15"/>
      <c r="K1019" s="15"/>
      <c r="L1019" s="15"/>
      <c r="M1019" s="57">
        <f t="shared" si="579"/>
        <v>1</v>
      </c>
      <c r="N1019" s="14"/>
      <c r="O1019" s="55"/>
      <c r="P1019" s="55"/>
      <c r="Q1019" s="55"/>
      <c r="R1019" s="67"/>
      <c r="S1019" s="24">
        <f t="shared" si="580"/>
        <v>0</v>
      </c>
      <c r="T1019" s="15"/>
      <c r="U1019" s="55"/>
      <c r="V1019" s="55"/>
      <c r="W1019" s="55"/>
      <c r="X1019" s="67"/>
      <c r="Y1019" s="24">
        <f t="shared" si="581"/>
        <v>0</v>
      </c>
      <c r="Z1019" s="24">
        <f t="shared" si="582"/>
        <v>2</v>
      </c>
      <c r="AA1019" s="93">
        <v>44835</v>
      </c>
      <c r="AB1019" s="10" t="s">
        <v>564</v>
      </c>
      <c r="AC1019" s="41">
        <v>-1</v>
      </c>
      <c r="AD1019" s="42"/>
      <c r="AE1019" s="42">
        <v>-1</v>
      </c>
      <c r="AF1019" s="42"/>
      <c r="AG1019" s="42">
        <v>-1</v>
      </c>
      <c r="AH1019" s="43">
        <f t="shared" ref="AH1019" si="584">SUM(AC1019:AG1019)</f>
        <v>-3</v>
      </c>
      <c r="AI1019" s="41"/>
      <c r="AJ1019" s="42">
        <v>-1</v>
      </c>
      <c r="AK1019" s="42"/>
      <c r="AL1019" s="42">
        <v>-1</v>
      </c>
      <c r="AM1019" s="42"/>
      <c r="AN1019" s="43">
        <f t="shared" ref="AN1019" si="585">SUM(AI1019:AM1019)</f>
        <v>-2</v>
      </c>
      <c r="AO1019" s="42"/>
      <c r="AP1019" s="53"/>
      <c r="AQ1019" s="53"/>
      <c r="AR1019" s="53"/>
      <c r="AS1019" s="72"/>
      <c r="AT1019" s="24">
        <f t="shared" ref="AT1019" si="586">SUM(AO1019:AS1019)</f>
        <v>0</v>
      </c>
      <c r="AU1019" s="42"/>
      <c r="AV1019" s="53"/>
      <c r="AW1019" s="53"/>
      <c r="AX1019" s="53"/>
      <c r="AY1019" s="72"/>
      <c r="AZ1019" s="24">
        <f t="shared" ref="AZ1019" si="587">SUM(AU1019:AY1019)</f>
        <v>0</v>
      </c>
      <c r="BA1019" s="24">
        <f t="shared" ref="BA1019" si="588">AH1019+AN1019+AT1019+AZ1019</f>
        <v>-5</v>
      </c>
      <c r="BB1019" s="93">
        <v>44825</v>
      </c>
    </row>
    <row r="1020" spans="1:56" ht="14.25" x14ac:dyDescent="0.15">
      <c r="A1020" s="10" t="s">
        <v>181</v>
      </c>
      <c r="B1020" s="41"/>
      <c r="C1020" s="42">
        <v>3</v>
      </c>
      <c r="D1020" s="42">
        <v>3</v>
      </c>
      <c r="E1020" s="42">
        <v>3</v>
      </c>
      <c r="F1020" s="42">
        <v>5</v>
      </c>
      <c r="G1020" s="37">
        <f t="shared" si="578"/>
        <v>14</v>
      </c>
      <c r="H1020" s="41"/>
      <c r="I1020" s="42">
        <v>3</v>
      </c>
      <c r="J1020" s="42">
        <v>3</v>
      </c>
      <c r="K1020" s="42"/>
      <c r="L1020" s="42"/>
      <c r="M1020" s="114">
        <f t="shared" si="579"/>
        <v>6</v>
      </c>
      <c r="N1020" s="41"/>
      <c r="O1020" s="53"/>
      <c r="P1020" s="53"/>
      <c r="Q1020" s="53"/>
      <c r="R1020" s="72"/>
      <c r="S1020" s="24">
        <f t="shared" si="580"/>
        <v>0</v>
      </c>
      <c r="T1020" s="42"/>
      <c r="U1020" s="53"/>
      <c r="V1020" s="53"/>
      <c r="W1020" s="53"/>
      <c r="X1020" s="72"/>
      <c r="Y1020" s="24">
        <f t="shared" si="581"/>
        <v>0</v>
      </c>
      <c r="Z1020" s="24">
        <f t="shared" si="582"/>
        <v>20</v>
      </c>
      <c r="AA1020" s="83">
        <v>44840</v>
      </c>
      <c r="AB1020" s="10" t="s">
        <v>181</v>
      </c>
      <c r="AC1020" s="14">
        <v>19</v>
      </c>
      <c r="AD1020" s="15">
        <v>120</v>
      </c>
      <c r="AE1020" s="15">
        <v>119</v>
      </c>
      <c r="AF1020" s="15">
        <v>70</v>
      </c>
      <c r="AG1020" s="15">
        <v>69</v>
      </c>
      <c r="AH1020" s="43">
        <f t="shared" ref="AH1020:AH1033" si="589">SUM(AC1020:AG1020)</f>
        <v>397</v>
      </c>
      <c r="AI1020" s="14">
        <v>40</v>
      </c>
      <c r="AJ1020" s="15">
        <v>89</v>
      </c>
      <c r="AK1020" s="15">
        <v>80</v>
      </c>
      <c r="AL1020" s="15">
        <v>49</v>
      </c>
      <c r="AM1020" s="15">
        <v>40</v>
      </c>
      <c r="AN1020" s="43">
        <f t="shared" ref="AN1020:AN1033" si="590">SUM(AI1020:AM1020)</f>
        <v>298</v>
      </c>
      <c r="AO1020" s="14"/>
      <c r="AP1020" s="55"/>
      <c r="AQ1020" s="55"/>
      <c r="AR1020" s="55"/>
      <c r="AS1020" s="67"/>
      <c r="AT1020" s="24">
        <f t="shared" ref="AT1020:AT1033" si="591">SUM(AO1020:AS1020)</f>
        <v>0</v>
      </c>
      <c r="AU1020" s="15"/>
      <c r="AV1020" s="55"/>
      <c r="AW1020" s="55"/>
      <c r="AX1020" s="55"/>
      <c r="AY1020" s="67"/>
      <c r="AZ1020" s="24">
        <f t="shared" ref="AZ1020:AZ1033" si="592">SUM(AU1020:AY1020)</f>
        <v>0</v>
      </c>
      <c r="BA1020" s="24">
        <f t="shared" ref="BA1020:BA1033" si="593">AH1020+AN1020+AT1020+AZ1020</f>
        <v>695</v>
      </c>
      <c r="BB1020" s="83" t="s">
        <v>567</v>
      </c>
    </row>
    <row r="1021" spans="1:56" ht="14.25" x14ac:dyDescent="0.15">
      <c r="A1021" s="10" t="s">
        <v>77</v>
      </c>
      <c r="B1021" s="14"/>
      <c r="C1021" s="15"/>
      <c r="D1021" s="15"/>
      <c r="E1021" s="15"/>
      <c r="F1021" s="15"/>
      <c r="G1021" s="16">
        <f t="shared" si="578"/>
        <v>0</v>
      </c>
      <c r="H1021" s="14"/>
      <c r="I1021" s="15"/>
      <c r="J1021" s="15"/>
      <c r="K1021" s="15"/>
      <c r="L1021" s="15"/>
      <c r="M1021" s="57">
        <f t="shared" si="579"/>
        <v>0</v>
      </c>
      <c r="N1021" s="14"/>
      <c r="O1021" s="55"/>
      <c r="P1021" s="55"/>
      <c r="Q1021" s="55"/>
      <c r="R1021" s="67"/>
      <c r="S1021" s="24">
        <f t="shared" si="580"/>
        <v>0</v>
      </c>
      <c r="T1021" s="15"/>
      <c r="U1021" s="55"/>
      <c r="V1021" s="55"/>
      <c r="W1021" s="55"/>
      <c r="X1021" s="67">
        <v>1</v>
      </c>
      <c r="Y1021" s="24">
        <f t="shared" si="581"/>
        <v>1</v>
      </c>
      <c r="Z1021" s="24">
        <f t="shared" si="582"/>
        <v>1</v>
      </c>
      <c r="AA1021" s="83">
        <v>44848</v>
      </c>
      <c r="AB1021" s="10" t="s">
        <v>565</v>
      </c>
      <c r="AC1021" s="14"/>
      <c r="AD1021" s="15">
        <v>-1</v>
      </c>
      <c r="AE1021" s="15">
        <v>-2</v>
      </c>
      <c r="AF1021" s="15">
        <v>-1</v>
      </c>
      <c r="AG1021" s="15">
        <v>-2</v>
      </c>
      <c r="AH1021" s="43">
        <f t="shared" ref="AH1021" si="594">SUM(AC1021:AG1021)</f>
        <v>-6</v>
      </c>
      <c r="AI1021" s="14"/>
      <c r="AJ1021" s="15">
        <v>-5</v>
      </c>
      <c r="AK1021" s="15">
        <v>-1</v>
      </c>
      <c r="AL1021" s="15">
        <v>-1</v>
      </c>
      <c r="AM1021" s="15"/>
      <c r="AN1021" s="43">
        <f t="shared" ref="AN1021" si="595">SUM(AI1021:AM1021)</f>
        <v>-7</v>
      </c>
      <c r="AO1021" s="14"/>
      <c r="AP1021" s="55"/>
      <c r="AQ1021" s="55"/>
      <c r="AR1021" s="55"/>
      <c r="AS1021" s="67"/>
      <c r="AT1021" s="24">
        <f t="shared" ref="AT1021" si="596">SUM(AO1021:AS1021)</f>
        <v>0</v>
      </c>
      <c r="AU1021" s="15"/>
      <c r="AV1021" s="55"/>
      <c r="AW1021" s="55"/>
      <c r="AX1021" s="55"/>
      <c r="AY1021" s="67"/>
      <c r="AZ1021" s="24">
        <f t="shared" ref="AZ1021" si="597">SUM(AU1021:AY1021)</f>
        <v>0</v>
      </c>
      <c r="BA1021" s="24">
        <f t="shared" ref="BA1021" si="598">AH1021+AN1021+AT1021+AZ1021</f>
        <v>-13</v>
      </c>
      <c r="BB1021" s="128"/>
    </row>
    <row r="1022" spans="1:56" ht="15" thickBot="1" x14ac:dyDescent="0.2">
      <c r="A1022" s="10" t="s">
        <v>181</v>
      </c>
      <c r="B1022" s="14">
        <v>3</v>
      </c>
      <c r="C1022" s="15"/>
      <c r="D1022" s="15">
        <v>3</v>
      </c>
      <c r="E1022" s="15">
        <v>3</v>
      </c>
      <c r="F1022" s="15"/>
      <c r="G1022" s="16">
        <f t="shared" si="578"/>
        <v>9</v>
      </c>
      <c r="H1022" s="14"/>
      <c r="I1022" s="15"/>
      <c r="J1022" s="15"/>
      <c r="K1022" s="15">
        <v>3</v>
      </c>
      <c r="L1022" s="15"/>
      <c r="M1022" s="57">
        <f t="shared" si="579"/>
        <v>3</v>
      </c>
      <c r="N1022" s="63"/>
      <c r="O1022" s="64"/>
      <c r="P1022" s="64"/>
      <c r="Q1022" s="64"/>
      <c r="R1022" s="69"/>
      <c r="S1022" s="82">
        <f t="shared" si="580"/>
        <v>0</v>
      </c>
      <c r="T1022" s="73"/>
      <c r="U1022" s="64"/>
      <c r="V1022" s="64"/>
      <c r="W1022" s="64">
        <v>3</v>
      </c>
      <c r="X1022" s="69"/>
      <c r="Y1022" s="82">
        <f t="shared" si="581"/>
        <v>3</v>
      </c>
      <c r="Z1022" s="82">
        <f t="shared" si="582"/>
        <v>15</v>
      </c>
      <c r="AA1022" s="83">
        <v>44870</v>
      </c>
      <c r="AB1022" s="10" t="s">
        <v>181</v>
      </c>
      <c r="AC1022" s="86"/>
      <c r="AD1022" s="87"/>
      <c r="AE1022" s="87"/>
      <c r="AF1022" s="87"/>
      <c r="AG1022" s="87"/>
      <c r="AH1022" s="37">
        <f t="shared" si="589"/>
        <v>0</v>
      </c>
      <c r="AI1022" s="86"/>
      <c r="AJ1022" s="87"/>
      <c r="AK1022" s="87"/>
      <c r="AL1022" s="87"/>
      <c r="AM1022" s="87"/>
      <c r="AN1022" s="37">
        <f t="shared" si="590"/>
        <v>0</v>
      </c>
      <c r="AO1022" s="198"/>
      <c r="AP1022" s="199"/>
      <c r="AQ1022" s="199"/>
      <c r="AR1022" s="199"/>
      <c r="AS1022" s="200"/>
      <c r="AT1022" s="16">
        <f t="shared" si="591"/>
        <v>0</v>
      </c>
      <c r="AU1022" s="201"/>
      <c r="AV1022" s="199"/>
      <c r="AW1022" s="199"/>
      <c r="AX1022" s="199"/>
      <c r="AY1022" s="200"/>
      <c r="AZ1022" s="16">
        <f t="shared" si="592"/>
        <v>0</v>
      </c>
      <c r="BA1022" s="16">
        <f t="shared" si="593"/>
        <v>0</v>
      </c>
      <c r="BB1022" s="128"/>
    </row>
    <row r="1023" spans="1:56" ht="15" thickBot="1" x14ac:dyDescent="0.2">
      <c r="A1023" s="4" t="s">
        <v>12</v>
      </c>
      <c r="B1023" s="17">
        <f>SUM(B1018:B1022)</f>
        <v>7</v>
      </c>
      <c r="C1023" s="18">
        <f>SUM(C1018:C1022)</f>
        <v>6</v>
      </c>
      <c r="D1023" s="18">
        <f>SUM(D1018:D1022)</f>
        <v>8</v>
      </c>
      <c r="E1023" s="18">
        <f>SUM(E1018:E1022)</f>
        <v>10</v>
      </c>
      <c r="F1023" s="18">
        <f>SUM(F1018:F1022)</f>
        <v>6</v>
      </c>
      <c r="G1023" s="19">
        <f t="shared" si="578"/>
        <v>37</v>
      </c>
      <c r="H1023" s="17">
        <f>SUM(H1018:H1022)</f>
        <v>7</v>
      </c>
      <c r="I1023" s="18">
        <f>SUM(I1018:I1022)</f>
        <v>6</v>
      </c>
      <c r="J1023" s="18">
        <f>SUM(J1018:J1022)</f>
        <v>6</v>
      </c>
      <c r="K1023" s="18">
        <f>SUM(K1018:K1022)</f>
        <v>9</v>
      </c>
      <c r="L1023" s="18">
        <f>SUM(L1018:L1022)</f>
        <v>6</v>
      </c>
      <c r="M1023" s="25">
        <f t="shared" si="579"/>
        <v>34</v>
      </c>
      <c r="N1023" s="65">
        <f>SUM(N1018:N1022)</f>
        <v>6</v>
      </c>
      <c r="O1023" s="18">
        <f>SUM(O1018:O1022)</f>
        <v>5</v>
      </c>
      <c r="P1023" s="18">
        <f>SUM(P1018:P1022)</f>
        <v>7</v>
      </c>
      <c r="Q1023" s="18">
        <f>SUM(Q1018:Q1022)</f>
        <v>4</v>
      </c>
      <c r="R1023" s="70">
        <f>SUM(R1018:R1022)</f>
        <v>5</v>
      </c>
      <c r="S1023" s="49">
        <f t="shared" si="580"/>
        <v>27</v>
      </c>
      <c r="T1023" s="74">
        <f>SUM(T1018:T1022)</f>
        <v>6</v>
      </c>
      <c r="U1023" s="18">
        <f>SUM(U1018:U1022)</f>
        <v>4</v>
      </c>
      <c r="V1023" s="18">
        <f>SUM(V1018:V1022)</f>
        <v>4</v>
      </c>
      <c r="W1023" s="18">
        <f>SUM(W1018:W1022)</f>
        <v>7</v>
      </c>
      <c r="X1023" s="70">
        <f>SUM(X1018:X1022)</f>
        <v>7</v>
      </c>
      <c r="Y1023" s="49">
        <f t="shared" si="581"/>
        <v>28</v>
      </c>
      <c r="Z1023" s="33">
        <f t="shared" si="582"/>
        <v>126</v>
      </c>
      <c r="AB1023" s="4" t="s">
        <v>12</v>
      </c>
      <c r="AC1023" s="17">
        <f>SUM(AC1018:AC1022)</f>
        <v>90</v>
      </c>
      <c r="AD1023" s="18">
        <f>SUM(AD1018:AD1022)</f>
        <v>119</v>
      </c>
      <c r="AE1023" s="18">
        <f>SUM(AE1018:AE1022)</f>
        <v>121</v>
      </c>
      <c r="AF1023" s="18">
        <f>SUM(AF1018:AF1022)</f>
        <v>95</v>
      </c>
      <c r="AG1023" s="18">
        <f>SUM(AG1018:AG1022)</f>
        <v>80</v>
      </c>
      <c r="AH1023" s="148">
        <f t="shared" si="589"/>
        <v>505</v>
      </c>
      <c r="AI1023" s="17">
        <f>SUM(AI1018:AI1022)</f>
        <v>78</v>
      </c>
      <c r="AJ1023" s="18">
        <f>SUM(AJ1018:AJ1022)</f>
        <v>91</v>
      </c>
      <c r="AK1023" s="18">
        <f>SUM(AK1018:AK1022)</f>
        <v>104</v>
      </c>
      <c r="AL1023" s="18">
        <f>SUM(AL1018:AL1022)</f>
        <v>87</v>
      </c>
      <c r="AM1023" s="18">
        <f>SUM(AM1018:AM1022)</f>
        <v>97</v>
      </c>
      <c r="AN1023" s="148">
        <f t="shared" si="590"/>
        <v>457</v>
      </c>
      <c r="AO1023" s="65">
        <f>SUM(AO1018:AO1022)</f>
        <v>159</v>
      </c>
      <c r="AP1023" s="18">
        <f>SUM(AP1018:AP1022)</f>
        <v>134</v>
      </c>
      <c r="AQ1023" s="18">
        <f>SUM(AQ1018:AQ1022)</f>
        <v>129</v>
      </c>
      <c r="AR1023" s="18">
        <f>SUM(AR1018:AR1022)</f>
        <v>137</v>
      </c>
      <c r="AS1023" s="70">
        <f>SUM(AS1018:AS1022)</f>
        <v>149</v>
      </c>
      <c r="AT1023" s="49">
        <f t="shared" si="591"/>
        <v>708</v>
      </c>
      <c r="AU1023" s="74">
        <f>SUM(AU1018:AU1022)</f>
        <v>116</v>
      </c>
      <c r="AV1023" s="18">
        <f>SUM(AV1018:AV1022)</f>
        <v>71</v>
      </c>
      <c r="AW1023" s="18">
        <f>SUM(AW1018:AW1022)</f>
        <v>60</v>
      </c>
      <c r="AX1023" s="18">
        <f>SUM(AX1018:AX1022)</f>
        <v>57</v>
      </c>
      <c r="AY1023" s="70">
        <f>SUM(AY1018:AY1022)</f>
        <v>95</v>
      </c>
      <c r="AZ1023" s="49">
        <f t="shared" si="592"/>
        <v>399</v>
      </c>
      <c r="BA1023" s="33">
        <f t="shared" si="593"/>
        <v>2069</v>
      </c>
    </row>
    <row r="1024" spans="1:56" ht="14.25" x14ac:dyDescent="0.15">
      <c r="A1024" s="23" t="s">
        <v>438</v>
      </c>
      <c r="B1024" s="34"/>
      <c r="C1024" s="35"/>
      <c r="D1024" s="35"/>
      <c r="E1024" s="35">
        <v>1</v>
      </c>
      <c r="F1024" s="35"/>
      <c r="G1024" s="36">
        <f t="shared" si="578"/>
        <v>1</v>
      </c>
      <c r="H1024" s="34"/>
      <c r="I1024" s="35"/>
      <c r="J1024" s="35"/>
      <c r="K1024" s="35"/>
      <c r="L1024" s="35">
        <v>1</v>
      </c>
      <c r="M1024" s="36">
        <f t="shared" si="579"/>
        <v>1</v>
      </c>
      <c r="N1024" s="39"/>
      <c r="O1024" s="56"/>
      <c r="P1024" s="56">
        <v>1</v>
      </c>
      <c r="Q1024" s="56"/>
      <c r="R1024" s="71"/>
      <c r="S1024" s="16">
        <f t="shared" si="580"/>
        <v>1</v>
      </c>
      <c r="T1024" s="39"/>
      <c r="U1024" s="56"/>
      <c r="V1024" s="56"/>
      <c r="W1024" s="56"/>
      <c r="X1024" s="71"/>
      <c r="Y1024" s="16">
        <f t="shared" si="581"/>
        <v>0</v>
      </c>
      <c r="Z1024" s="16">
        <f t="shared" si="582"/>
        <v>3</v>
      </c>
      <c r="AA1024" s="83">
        <v>44839</v>
      </c>
      <c r="AB1024" s="23" t="s">
        <v>438</v>
      </c>
      <c r="AC1024" s="14"/>
      <c r="AD1024" s="15"/>
      <c r="AE1024" s="15"/>
      <c r="AF1024" s="15"/>
      <c r="AG1024" s="15">
        <v>1</v>
      </c>
      <c r="AH1024" s="24">
        <f t="shared" si="589"/>
        <v>1</v>
      </c>
      <c r="AI1024" s="14"/>
      <c r="AJ1024" s="15"/>
      <c r="AK1024" s="15"/>
      <c r="AL1024" s="15"/>
      <c r="AM1024" s="15"/>
      <c r="AN1024" s="24">
        <f t="shared" si="590"/>
        <v>0</v>
      </c>
      <c r="AO1024" s="15"/>
      <c r="AP1024" s="55"/>
      <c r="AQ1024" s="55"/>
      <c r="AR1024" s="55"/>
      <c r="AS1024" s="67"/>
      <c r="AT1024" s="24">
        <f t="shared" si="591"/>
        <v>0</v>
      </c>
      <c r="AU1024" s="15"/>
      <c r="AV1024" s="55"/>
      <c r="AW1024" s="55"/>
      <c r="AX1024" s="55"/>
      <c r="AY1024" s="67"/>
      <c r="AZ1024" s="24">
        <f t="shared" si="592"/>
        <v>0</v>
      </c>
      <c r="BA1024" s="24">
        <f t="shared" si="593"/>
        <v>1</v>
      </c>
      <c r="BB1024" s="83">
        <v>44853</v>
      </c>
    </row>
    <row r="1025" spans="1:54" ht="14.25" x14ac:dyDescent="0.15">
      <c r="A1025" s="23" t="s">
        <v>48</v>
      </c>
      <c r="B1025" s="14"/>
      <c r="C1025" s="15"/>
      <c r="D1025" s="15"/>
      <c r="E1025" s="15"/>
      <c r="F1025" s="15">
        <v>1</v>
      </c>
      <c r="G1025" s="24">
        <f t="shared" si="578"/>
        <v>1</v>
      </c>
      <c r="H1025" s="14"/>
      <c r="I1025" s="15"/>
      <c r="J1025" s="15"/>
      <c r="K1025" s="15"/>
      <c r="L1025" s="15"/>
      <c r="M1025" s="24">
        <f t="shared" si="579"/>
        <v>0</v>
      </c>
      <c r="N1025" s="15"/>
      <c r="O1025" s="55"/>
      <c r="P1025" s="55"/>
      <c r="Q1025" s="55"/>
      <c r="R1025" s="67"/>
      <c r="S1025" s="24">
        <f t="shared" si="580"/>
        <v>0</v>
      </c>
      <c r="T1025" s="15"/>
      <c r="U1025" s="55"/>
      <c r="V1025" s="55"/>
      <c r="W1025" s="55"/>
      <c r="X1025" s="67"/>
      <c r="Y1025" s="24">
        <f t="shared" si="581"/>
        <v>0</v>
      </c>
      <c r="Z1025" s="24">
        <f t="shared" si="582"/>
        <v>1</v>
      </c>
      <c r="AA1025" s="93">
        <v>44838</v>
      </c>
      <c r="AB1025" s="23" t="s">
        <v>126</v>
      </c>
      <c r="AC1025" s="41">
        <v>3</v>
      </c>
      <c r="AD1025" s="42"/>
      <c r="AE1025" s="42">
        <v>3</v>
      </c>
      <c r="AF1025" s="42">
        <v>3</v>
      </c>
      <c r="AG1025" s="42"/>
      <c r="AH1025" s="37">
        <f t="shared" ref="AH1025" si="599">SUM(AC1025:AG1025)</f>
        <v>9</v>
      </c>
      <c r="AI1025" s="41"/>
      <c r="AJ1025" s="42"/>
      <c r="AK1025" s="42"/>
      <c r="AL1025" s="42">
        <v>3</v>
      </c>
      <c r="AM1025" s="42"/>
      <c r="AN1025" s="114">
        <f t="shared" ref="AN1025" si="600">SUM(AI1025:AM1025)</f>
        <v>3</v>
      </c>
      <c r="AO1025" s="41"/>
      <c r="AP1025" s="53"/>
      <c r="AQ1025" s="53"/>
      <c r="AR1025" s="53"/>
      <c r="AS1025" s="72"/>
      <c r="AT1025" s="24">
        <f t="shared" ref="AT1025" si="601">SUM(AO1025:AS1025)</f>
        <v>0</v>
      </c>
      <c r="AU1025" s="42"/>
      <c r="AV1025" s="53"/>
      <c r="AW1025" s="53"/>
      <c r="AX1025" s="53">
        <v>3</v>
      </c>
      <c r="AY1025" s="72"/>
      <c r="AZ1025" s="24">
        <f t="shared" ref="AZ1025" si="602">SUM(AU1025:AY1025)</f>
        <v>3</v>
      </c>
      <c r="BA1025" s="24">
        <f t="shared" si="593"/>
        <v>15</v>
      </c>
      <c r="BB1025" s="83">
        <v>44870</v>
      </c>
    </row>
    <row r="1026" spans="1:54" ht="14.25" x14ac:dyDescent="0.15">
      <c r="A1026" s="23" t="s">
        <v>48</v>
      </c>
      <c r="B1026" s="41"/>
      <c r="C1026" s="42">
        <v>1</v>
      </c>
      <c r="D1026" s="42"/>
      <c r="E1026" s="42"/>
      <c r="F1026" s="42"/>
      <c r="G1026" s="43">
        <f t="shared" si="578"/>
        <v>1</v>
      </c>
      <c r="H1026" s="41"/>
      <c r="I1026" s="42"/>
      <c r="J1026" s="42"/>
      <c r="K1026" s="42"/>
      <c r="L1026" s="42"/>
      <c r="M1026" s="43">
        <f t="shared" si="579"/>
        <v>0</v>
      </c>
      <c r="N1026" s="42">
        <v>1</v>
      </c>
      <c r="O1026" s="53"/>
      <c r="P1026" s="53"/>
      <c r="Q1026" s="53"/>
      <c r="R1026" s="72"/>
      <c r="S1026" s="24">
        <f t="shared" si="580"/>
        <v>1</v>
      </c>
      <c r="T1026" s="42"/>
      <c r="U1026" s="53"/>
      <c r="V1026" s="53"/>
      <c r="W1026" s="53"/>
      <c r="X1026" s="72"/>
      <c r="Y1026" s="24">
        <f t="shared" si="581"/>
        <v>0</v>
      </c>
      <c r="Z1026" s="24">
        <f t="shared" si="582"/>
        <v>2</v>
      </c>
      <c r="AA1026" s="93">
        <v>44839</v>
      </c>
      <c r="AB1026" s="23"/>
      <c r="AC1026" s="41"/>
      <c r="AD1026" s="42"/>
      <c r="AE1026" s="42"/>
      <c r="AF1026" s="42"/>
      <c r="AG1026" s="42"/>
      <c r="AH1026" s="43">
        <f t="shared" si="589"/>
        <v>0</v>
      </c>
      <c r="AI1026" s="41"/>
      <c r="AJ1026" s="42"/>
      <c r="AK1026" s="42"/>
      <c r="AL1026" s="42"/>
      <c r="AM1026" s="42"/>
      <c r="AN1026" s="43">
        <f t="shared" si="590"/>
        <v>0</v>
      </c>
      <c r="AO1026" s="42"/>
      <c r="AP1026" s="53"/>
      <c r="AQ1026" s="53"/>
      <c r="AR1026" s="53"/>
      <c r="AS1026" s="72"/>
      <c r="AT1026" s="24">
        <f t="shared" si="591"/>
        <v>0</v>
      </c>
      <c r="AU1026" s="42"/>
      <c r="AV1026" s="53"/>
      <c r="AW1026" s="53"/>
      <c r="AX1026" s="53"/>
      <c r="AY1026" s="72"/>
      <c r="AZ1026" s="24">
        <f t="shared" si="592"/>
        <v>0</v>
      </c>
      <c r="BA1026" s="24">
        <f t="shared" si="593"/>
        <v>0</v>
      </c>
      <c r="BB1026" s="128"/>
    </row>
    <row r="1027" spans="1:54" ht="14.25" x14ac:dyDescent="0.15">
      <c r="A1027" s="23" t="s">
        <v>48</v>
      </c>
      <c r="B1027" s="41"/>
      <c r="C1027" s="42"/>
      <c r="D1027" s="42"/>
      <c r="E1027" s="42"/>
      <c r="F1027" s="42"/>
      <c r="G1027" s="43">
        <f t="shared" si="578"/>
        <v>0</v>
      </c>
      <c r="H1027" s="41"/>
      <c r="I1027" s="42"/>
      <c r="J1027" s="42"/>
      <c r="K1027" s="42">
        <v>1</v>
      </c>
      <c r="L1027" s="42"/>
      <c r="M1027" s="43">
        <f t="shared" si="579"/>
        <v>1</v>
      </c>
      <c r="N1027" s="42"/>
      <c r="O1027" s="53"/>
      <c r="P1027" s="53"/>
      <c r="Q1027" s="53"/>
      <c r="R1027" s="72"/>
      <c r="S1027" s="24">
        <f t="shared" si="580"/>
        <v>0</v>
      </c>
      <c r="T1027" s="42"/>
      <c r="U1027" s="53"/>
      <c r="V1027" s="53"/>
      <c r="W1027" s="53"/>
      <c r="X1027" s="72"/>
      <c r="Y1027" s="24">
        <f t="shared" si="581"/>
        <v>0</v>
      </c>
      <c r="Z1027" s="24">
        <f t="shared" si="582"/>
        <v>1</v>
      </c>
      <c r="AA1027" s="93">
        <v>44840</v>
      </c>
      <c r="AB1027" s="23"/>
      <c r="AC1027" s="41"/>
      <c r="AD1027" s="42"/>
      <c r="AE1027" s="42"/>
      <c r="AF1027" s="42"/>
      <c r="AG1027" s="42"/>
      <c r="AH1027" s="43">
        <f t="shared" si="589"/>
        <v>0</v>
      </c>
      <c r="AI1027" s="41"/>
      <c r="AJ1027" s="42"/>
      <c r="AK1027" s="42"/>
      <c r="AL1027" s="42"/>
      <c r="AM1027" s="42"/>
      <c r="AN1027" s="43">
        <f t="shared" si="590"/>
        <v>0</v>
      </c>
      <c r="AO1027" s="42"/>
      <c r="AP1027" s="53"/>
      <c r="AQ1027" s="53"/>
      <c r="AR1027" s="53"/>
      <c r="AS1027" s="72"/>
      <c r="AT1027" s="24">
        <f t="shared" si="591"/>
        <v>0</v>
      </c>
      <c r="AU1027" s="42"/>
      <c r="AV1027" s="53"/>
      <c r="AW1027" s="53"/>
      <c r="AX1027" s="53"/>
      <c r="AY1027" s="72"/>
      <c r="AZ1027" s="24">
        <f t="shared" si="592"/>
        <v>0</v>
      </c>
      <c r="BA1027" s="24">
        <f t="shared" si="593"/>
        <v>0</v>
      </c>
      <c r="BB1027" s="128"/>
    </row>
    <row r="1028" spans="1:54" ht="14.25" x14ac:dyDescent="0.15">
      <c r="A1028" s="23" t="s">
        <v>48</v>
      </c>
      <c r="B1028" s="171">
        <v>1</v>
      </c>
      <c r="C1028" s="42"/>
      <c r="D1028" s="42">
        <v>1</v>
      </c>
      <c r="E1028" s="42">
        <v>1</v>
      </c>
      <c r="F1028" s="42"/>
      <c r="G1028" s="43">
        <f t="shared" si="578"/>
        <v>3</v>
      </c>
      <c r="H1028" s="41"/>
      <c r="I1028" s="42">
        <v>1</v>
      </c>
      <c r="J1028" s="42">
        <v>1</v>
      </c>
      <c r="K1028" s="42"/>
      <c r="L1028" s="42"/>
      <c r="M1028" s="43">
        <f t="shared" si="579"/>
        <v>2</v>
      </c>
      <c r="N1028" s="42"/>
      <c r="O1028" s="53"/>
      <c r="P1028" s="53"/>
      <c r="Q1028" s="53"/>
      <c r="R1028" s="72"/>
      <c r="S1028" s="24">
        <f t="shared" si="580"/>
        <v>0</v>
      </c>
      <c r="T1028" s="42"/>
      <c r="U1028" s="53"/>
      <c r="V1028" s="53"/>
      <c r="W1028" s="53"/>
      <c r="X1028" s="72"/>
      <c r="Y1028" s="24">
        <f t="shared" si="581"/>
        <v>0</v>
      </c>
      <c r="Z1028" s="24">
        <f t="shared" si="582"/>
        <v>5</v>
      </c>
      <c r="AA1028" s="93">
        <v>44845</v>
      </c>
      <c r="AB1028" s="23"/>
      <c r="AC1028" s="41"/>
      <c r="AD1028" s="42"/>
      <c r="AE1028" s="42"/>
      <c r="AF1028" s="42"/>
      <c r="AG1028" s="42"/>
      <c r="AH1028" s="37">
        <f t="shared" si="589"/>
        <v>0</v>
      </c>
      <c r="AI1028" s="41"/>
      <c r="AJ1028" s="42"/>
      <c r="AK1028" s="42"/>
      <c r="AL1028" s="42"/>
      <c r="AM1028" s="42"/>
      <c r="AN1028" s="114">
        <f t="shared" si="590"/>
        <v>0</v>
      </c>
      <c r="AO1028" s="41"/>
      <c r="AP1028" s="53"/>
      <c r="AQ1028" s="53"/>
      <c r="AR1028" s="53"/>
      <c r="AS1028" s="72"/>
      <c r="AT1028" s="24">
        <f t="shared" si="591"/>
        <v>0</v>
      </c>
      <c r="AU1028" s="42"/>
      <c r="AV1028" s="53"/>
      <c r="AW1028" s="53"/>
      <c r="AX1028" s="53"/>
      <c r="AY1028" s="72"/>
      <c r="AZ1028" s="24">
        <f t="shared" si="592"/>
        <v>0</v>
      </c>
      <c r="BA1028" s="24">
        <f t="shared" si="593"/>
        <v>0</v>
      </c>
      <c r="BB1028" s="128"/>
    </row>
    <row r="1029" spans="1:54" ht="14.25" x14ac:dyDescent="0.15">
      <c r="A1029" s="23" t="s">
        <v>438</v>
      </c>
      <c r="B1029" s="41"/>
      <c r="C1029" s="42"/>
      <c r="D1029" s="42"/>
      <c r="E1029" s="42"/>
      <c r="F1029" s="42"/>
      <c r="G1029" s="43">
        <f t="shared" si="578"/>
        <v>0</v>
      </c>
      <c r="H1029" s="41"/>
      <c r="I1029" s="42"/>
      <c r="J1029" s="42"/>
      <c r="K1029" s="42"/>
      <c r="L1029" s="42"/>
      <c r="M1029" s="43">
        <f t="shared" si="579"/>
        <v>0</v>
      </c>
      <c r="N1029" s="42"/>
      <c r="O1029" s="53"/>
      <c r="P1029" s="53"/>
      <c r="Q1029" s="53"/>
      <c r="R1029" s="72"/>
      <c r="S1029" s="24">
        <f t="shared" si="580"/>
        <v>0</v>
      </c>
      <c r="T1029" s="42"/>
      <c r="U1029" s="53"/>
      <c r="V1029" s="53"/>
      <c r="W1029" s="53">
        <v>1</v>
      </c>
      <c r="X1029" s="72"/>
      <c r="Y1029" s="24">
        <f t="shared" si="581"/>
        <v>1</v>
      </c>
      <c r="Z1029" s="24">
        <f t="shared" si="582"/>
        <v>1</v>
      </c>
      <c r="AA1029" s="83">
        <v>44847</v>
      </c>
      <c r="AB1029" s="23"/>
      <c r="AC1029" s="41"/>
      <c r="AD1029" s="42"/>
      <c r="AE1029" s="42"/>
      <c r="AF1029" s="42"/>
      <c r="AG1029" s="42"/>
      <c r="AH1029" s="43">
        <f t="shared" si="589"/>
        <v>0</v>
      </c>
      <c r="AI1029" s="41"/>
      <c r="AJ1029" s="42"/>
      <c r="AK1029" s="42"/>
      <c r="AL1029" s="42"/>
      <c r="AM1029" s="42"/>
      <c r="AN1029" s="43">
        <f t="shared" si="590"/>
        <v>0</v>
      </c>
      <c r="AO1029" s="42"/>
      <c r="AP1029" s="53"/>
      <c r="AQ1029" s="53"/>
      <c r="AR1029" s="53"/>
      <c r="AS1029" s="72"/>
      <c r="AT1029" s="24">
        <f t="shared" si="591"/>
        <v>0</v>
      </c>
      <c r="AU1029" s="42"/>
      <c r="AV1029" s="53"/>
      <c r="AW1029" s="53"/>
      <c r="AX1029" s="53"/>
      <c r="AY1029" s="72"/>
      <c r="AZ1029" s="24">
        <f t="shared" si="592"/>
        <v>0</v>
      </c>
      <c r="BA1029" s="24">
        <f t="shared" si="593"/>
        <v>0</v>
      </c>
      <c r="BB1029" s="128"/>
    </row>
    <row r="1030" spans="1:54" ht="14.25" x14ac:dyDescent="0.15">
      <c r="A1030" s="23" t="s">
        <v>48</v>
      </c>
      <c r="B1030" s="41"/>
      <c r="C1030" s="42"/>
      <c r="D1030" s="42"/>
      <c r="E1030" s="42"/>
      <c r="F1030" s="42"/>
      <c r="G1030" s="43">
        <f t="shared" si="578"/>
        <v>0</v>
      </c>
      <c r="H1030" s="41"/>
      <c r="I1030" s="42"/>
      <c r="J1030" s="42"/>
      <c r="K1030" s="42">
        <v>1</v>
      </c>
      <c r="L1030" s="42"/>
      <c r="M1030" s="43">
        <f t="shared" si="579"/>
        <v>1</v>
      </c>
      <c r="N1030" s="42"/>
      <c r="O1030" s="53"/>
      <c r="P1030" s="53"/>
      <c r="Q1030" s="53"/>
      <c r="R1030" s="72"/>
      <c r="S1030" s="24">
        <f t="shared" si="580"/>
        <v>0</v>
      </c>
      <c r="T1030" s="42"/>
      <c r="U1030" s="53"/>
      <c r="V1030" s="53"/>
      <c r="W1030" s="53"/>
      <c r="X1030" s="72"/>
      <c r="Y1030" s="24">
        <f t="shared" si="581"/>
        <v>0</v>
      </c>
      <c r="Z1030" s="24">
        <f t="shared" si="582"/>
        <v>1</v>
      </c>
      <c r="AA1030" s="93">
        <v>44847</v>
      </c>
      <c r="AB1030" s="23"/>
      <c r="AC1030" s="38"/>
      <c r="AD1030" s="39"/>
      <c r="AE1030" s="39"/>
      <c r="AF1030" s="39"/>
      <c r="AG1030" s="39"/>
      <c r="AH1030" s="43">
        <f t="shared" si="589"/>
        <v>0</v>
      </c>
      <c r="AI1030" s="38"/>
      <c r="AJ1030" s="39"/>
      <c r="AK1030" s="39"/>
      <c r="AL1030" s="39"/>
      <c r="AM1030" s="39"/>
      <c r="AN1030" s="43">
        <f t="shared" si="590"/>
        <v>0</v>
      </c>
      <c r="AO1030" s="42"/>
      <c r="AP1030" s="53"/>
      <c r="AQ1030" s="53"/>
      <c r="AR1030" s="53"/>
      <c r="AS1030" s="72"/>
      <c r="AT1030" s="24">
        <f t="shared" si="591"/>
        <v>0</v>
      </c>
      <c r="AU1030" s="42"/>
      <c r="AV1030" s="53"/>
      <c r="AW1030" s="53"/>
      <c r="AX1030" s="53"/>
      <c r="AY1030" s="72"/>
      <c r="AZ1030" s="24">
        <f t="shared" si="592"/>
        <v>0</v>
      </c>
      <c r="BA1030" s="24">
        <f t="shared" si="593"/>
        <v>0</v>
      </c>
      <c r="BB1030" s="128"/>
    </row>
    <row r="1031" spans="1:54" ht="14.25" x14ac:dyDescent="0.15">
      <c r="A1031" s="23" t="s">
        <v>48</v>
      </c>
      <c r="B1031" s="41"/>
      <c r="C1031" s="42"/>
      <c r="D1031" s="42">
        <v>1</v>
      </c>
      <c r="E1031" s="42">
        <v>1</v>
      </c>
      <c r="F1031" s="42"/>
      <c r="G1031" s="43">
        <f t="shared" si="578"/>
        <v>2</v>
      </c>
      <c r="H1031" s="41"/>
      <c r="I1031" s="42"/>
      <c r="J1031" s="42"/>
      <c r="K1031" s="42"/>
      <c r="L1031" s="42"/>
      <c r="M1031" s="43">
        <f t="shared" si="579"/>
        <v>0</v>
      </c>
      <c r="N1031" s="42"/>
      <c r="O1031" s="53"/>
      <c r="P1031" s="53"/>
      <c r="Q1031" s="53"/>
      <c r="R1031" s="72"/>
      <c r="S1031" s="24">
        <f t="shared" si="580"/>
        <v>0</v>
      </c>
      <c r="T1031" s="42"/>
      <c r="U1031" s="53"/>
      <c r="V1031" s="53"/>
      <c r="W1031" s="53"/>
      <c r="X1031" s="72"/>
      <c r="Y1031" s="24">
        <f t="shared" si="581"/>
        <v>0</v>
      </c>
      <c r="Z1031" s="24">
        <f t="shared" si="582"/>
        <v>2</v>
      </c>
      <c r="AA1031" s="93">
        <v>44851</v>
      </c>
      <c r="AB1031" s="23"/>
      <c r="AC1031" s="14"/>
      <c r="AD1031" s="15"/>
      <c r="AE1031" s="15"/>
      <c r="AF1031" s="15"/>
      <c r="AG1031" s="15"/>
      <c r="AH1031" s="24">
        <f t="shared" si="589"/>
        <v>0</v>
      </c>
      <c r="AI1031" s="14"/>
      <c r="AJ1031" s="15"/>
      <c r="AK1031" s="15"/>
      <c r="AL1031" s="15"/>
      <c r="AM1031" s="15"/>
      <c r="AN1031" s="24">
        <f t="shared" si="590"/>
        <v>0</v>
      </c>
      <c r="AO1031" s="15"/>
      <c r="AP1031" s="55"/>
      <c r="AQ1031" s="55"/>
      <c r="AR1031" s="55"/>
      <c r="AS1031" s="67"/>
      <c r="AT1031" s="24">
        <f t="shared" si="591"/>
        <v>0</v>
      </c>
      <c r="AU1031" s="15"/>
      <c r="AV1031" s="55"/>
      <c r="AW1031" s="55"/>
      <c r="AX1031" s="55"/>
      <c r="AY1031" s="67"/>
      <c r="AZ1031" s="24">
        <f t="shared" si="592"/>
        <v>0</v>
      </c>
      <c r="BA1031" s="24">
        <f t="shared" si="593"/>
        <v>0</v>
      </c>
      <c r="BB1031" s="128"/>
    </row>
    <row r="1032" spans="1:54" ht="14.25" x14ac:dyDescent="0.15">
      <c r="A1032" s="23" t="s">
        <v>48</v>
      </c>
      <c r="B1032" s="41"/>
      <c r="C1032" s="42"/>
      <c r="D1032" s="42"/>
      <c r="E1032" s="42"/>
      <c r="F1032" s="42"/>
      <c r="G1032" s="43">
        <f t="shared" si="578"/>
        <v>0</v>
      </c>
      <c r="H1032" s="41"/>
      <c r="I1032" s="42">
        <v>1</v>
      </c>
      <c r="J1032" s="42"/>
      <c r="K1032" s="42"/>
      <c r="L1032" s="42"/>
      <c r="M1032" s="43">
        <f t="shared" si="579"/>
        <v>1</v>
      </c>
      <c r="N1032" s="42"/>
      <c r="O1032" s="53"/>
      <c r="P1032" s="53"/>
      <c r="Q1032" s="53"/>
      <c r="R1032" s="72"/>
      <c r="S1032" s="24">
        <f t="shared" si="580"/>
        <v>0</v>
      </c>
      <c r="T1032" s="42"/>
      <c r="U1032" s="53"/>
      <c r="V1032" s="53"/>
      <c r="W1032" s="53"/>
      <c r="X1032" s="72"/>
      <c r="Y1032" s="24">
        <f t="shared" si="581"/>
        <v>0</v>
      </c>
      <c r="Z1032" s="24">
        <f t="shared" si="582"/>
        <v>1</v>
      </c>
      <c r="AA1032" s="93">
        <v>44854</v>
      </c>
      <c r="AB1032" s="23"/>
      <c r="AC1032" s="41"/>
      <c r="AD1032" s="42"/>
      <c r="AE1032" s="42"/>
      <c r="AF1032" s="42"/>
      <c r="AG1032" s="42"/>
      <c r="AH1032" s="43">
        <f t="shared" si="589"/>
        <v>0</v>
      </c>
      <c r="AI1032" s="41"/>
      <c r="AJ1032" s="42"/>
      <c r="AK1032" s="42"/>
      <c r="AL1032" s="42"/>
      <c r="AM1032" s="42"/>
      <c r="AN1032" s="43">
        <f t="shared" si="590"/>
        <v>0</v>
      </c>
      <c r="AO1032" s="42"/>
      <c r="AP1032" s="53"/>
      <c r="AQ1032" s="53"/>
      <c r="AR1032" s="53"/>
      <c r="AS1032" s="72"/>
      <c r="AT1032" s="24">
        <f t="shared" si="591"/>
        <v>0</v>
      </c>
      <c r="AU1032" s="42"/>
      <c r="AV1032" s="53"/>
      <c r="AW1032" s="53"/>
      <c r="AX1032" s="53"/>
      <c r="AY1032" s="72"/>
      <c r="AZ1032" s="24">
        <f t="shared" si="592"/>
        <v>0</v>
      </c>
      <c r="BA1032" s="24">
        <f t="shared" si="593"/>
        <v>0</v>
      </c>
      <c r="BB1032" s="128"/>
    </row>
    <row r="1033" spans="1:54" ht="14.25" x14ac:dyDescent="0.15">
      <c r="A1033" s="23" t="s">
        <v>48</v>
      </c>
      <c r="B1033" s="44"/>
      <c r="C1033" s="45"/>
      <c r="D1033" s="45"/>
      <c r="E1033" s="45"/>
      <c r="F1033" s="45"/>
      <c r="G1033" s="43">
        <f t="shared" si="578"/>
        <v>0</v>
      </c>
      <c r="H1033" s="44">
        <v>1</v>
      </c>
      <c r="I1033" s="45"/>
      <c r="J1033" s="45"/>
      <c r="K1033" s="45"/>
      <c r="L1033" s="45"/>
      <c r="M1033" s="43">
        <f t="shared" si="579"/>
        <v>1</v>
      </c>
      <c r="N1033" s="42"/>
      <c r="O1033" s="53"/>
      <c r="P1033" s="53"/>
      <c r="Q1033" s="53"/>
      <c r="R1033" s="72"/>
      <c r="S1033" s="24">
        <f t="shared" si="580"/>
        <v>0</v>
      </c>
      <c r="T1033" s="42"/>
      <c r="U1033" s="53"/>
      <c r="V1033" s="53"/>
      <c r="W1033" s="53"/>
      <c r="X1033" s="72"/>
      <c r="Y1033" s="24">
        <f t="shared" si="581"/>
        <v>0</v>
      </c>
      <c r="Z1033" s="24">
        <f t="shared" si="582"/>
        <v>1</v>
      </c>
      <c r="AA1033" s="93">
        <v>44858</v>
      </c>
      <c r="AB1033" s="23"/>
      <c r="AC1033" s="44"/>
      <c r="AD1033" s="45"/>
      <c r="AE1033" s="45"/>
      <c r="AF1033" s="45"/>
      <c r="AG1033" s="45"/>
      <c r="AH1033" s="43">
        <f t="shared" si="589"/>
        <v>0</v>
      </c>
      <c r="AI1033" s="44"/>
      <c r="AJ1033" s="45"/>
      <c r="AK1033" s="45"/>
      <c r="AL1033" s="45"/>
      <c r="AM1033" s="45"/>
      <c r="AN1033" s="43">
        <f t="shared" si="590"/>
        <v>0</v>
      </c>
      <c r="AO1033" s="42"/>
      <c r="AP1033" s="53"/>
      <c r="AQ1033" s="53"/>
      <c r="AR1033" s="53"/>
      <c r="AS1033" s="72"/>
      <c r="AT1033" s="24">
        <f t="shared" si="591"/>
        <v>0</v>
      </c>
      <c r="AU1033" s="42"/>
      <c r="AV1033" s="53"/>
      <c r="AW1033" s="53"/>
      <c r="AX1033" s="53"/>
      <c r="AY1033" s="72"/>
      <c r="AZ1033" s="24">
        <f t="shared" si="592"/>
        <v>0</v>
      </c>
      <c r="BA1033" s="24">
        <f t="shared" si="593"/>
        <v>0</v>
      </c>
      <c r="BB1033" s="128"/>
    </row>
    <row r="1034" spans="1:54" ht="14.25" x14ac:dyDescent="0.15">
      <c r="A1034" s="23" t="s">
        <v>48</v>
      </c>
      <c r="B1034" s="41"/>
      <c r="C1034" s="42"/>
      <c r="D1034" s="42"/>
      <c r="E1034" s="42">
        <v>1</v>
      </c>
      <c r="F1034" s="42"/>
      <c r="G1034" s="43">
        <f t="shared" si="578"/>
        <v>1</v>
      </c>
      <c r="H1034" s="41"/>
      <c r="I1034" s="42"/>
      <c r="J1034" s="42"/>
      <c r="K1034" s="42"/>
      <c r="L1034" s="42"/>
      <c r="M1034" s="43">
        <f t="shared" si="579"/>
        <v>0</v>
      </c>
      <c r="N1034" s="42"/>
      <c r="O1034" s="53"/>
      <c r="P1034" s="53"/>
      <c r="Q1034" s="53"/>
      <c r="R1034" s="72"/>
      <c r="S1034" s="24">
        <f t="shared" si="580"/>
        <v>0</v>
      </c>
      <c r="T1034" s="42"/>
      <c r="U1034" s="53"/>
      <c r="V1034" s="53"/>
      <c r="W1034" s="53"/>
      <c r="X1034" s="72"/>
      <c r="Y1034" s="24">
        <f t="shared" si="581"/>
        <v>0</v>
      </c>
      <c r="Z1034" s="24">
        <f t="shared" si="582"/>
        <v>1</v>
      </c>
      <c r="AA1034" s="93">
        <v>44860</v>
      </c>
      <c r="AB1034" s="23"/>
      <c r="AC1034" s="14"/>
      <c r="AD1034" s="15"/>
      <c r="AE1034" s="15"/>
      <c r="AF1034" s="15"/>
      <c r="AG1034" s="15"/>
      <c r="AH1034" s="24">
        <f>SUM(AC1034:AG1034)</f>
        <v>0</v>
      </c>
      <c r="AI1034" s="14"/>
      <c r="AJ1034" s="15"/>
      <c r="AK1034" s="15"/>
      <c r="AL1034" s="15"/>
      <c r="AM1034" s="15"/>
      <c r="AN1034" s="24">
        <f>SUM(AI1034:AM1034)</f>
        <v>0</v>
      </c>
      <c r="AO1034" s="15"/>
      <c r="AP1034" s="55"/>
      <c r="AQ1034" s="55"/>
      <c r="AR1034" s="55"/>
      <c r="AS1034" s="67"/>
      <c r="AT1034" s="24">
        <f>SUM(AO1034:AS1034)</f>
        <v>0</v>
      </c>
      <c r="AU1034" s="15"/>
      <c r="AV1034" s="55"/>
      <c r="AW1034" s="55"/>
      <c r="AX1034" s="55"/>
      <c r="AY1034" s="67"/>
      <c r="AZ1034" s="24">
        <f>SUM(AU1034:AY1034)</f>
        <v>0</v>
      </c>
      <c r="BA1034" s="24">
        <f>AH1034+AN1034+AT1034+AZ1034</f>
        <v>0</v>
      </c>
      <c r="BB1034" s="128"/>
    </row>
    <row r="1035" spans="1:54" ht="14.25" x14ac:dyDescent="0.15">
      <c r="A1035" s="23" t="s">
        <v>48</v>
      </c>
      <c r="B1035" s="41">
        <v>1</v>
      </c>
      <c r="C1035" s="42"/>
      <c r="D1035" s="42">
        <v>1</v>
      </c>
      <c r="E1035" s="42"/>
      <c r="F1035" s="42"/>
      <c r="G1035" s="43">
        <f t="shared" si="578"/>
        <v>2</v>
      </c>
      <c r="H1035" s="41"/>
      <c r="I1035" s="42"/>
      <c r="J1035" s="42"/>
      <c r="K1035" s="42"/>
      <c r="L1035" s="42"/>
      <c r="M1035" s="43">
        <f t="shared" si="579"/>
        <v>0</v>
      </c>
      <c r="N1035" s="42"/>
      <c r="O1035" s="53"/>
      <c r="P1035" s="53"/>
      <c r="Q1035" s="53"/>
      <c r="R1035" s="72"/>
      <c r="S1035" s="24">
        <f t="shared" si="580"/>
        <v>0</v>
      </c>
      <c r="T1035" s="42"/>
      <c r="U1035" s="53"/>
      <c r="V1035" s="53"/>
      <c r="W1035" s="53"/>
      <c r="X1035" s="72"/>
      <c r="Y1035" s="24">
        <f t="shared" si="581"/>
        <v>0</v>
      </c>
      <c r="Z1035" s="24">
        <f t="shared" si="582"/>
        <v>2</v>
      </c>
      <c r="AA1035" s="93">
        <v>44865</v>
      </c>
      <c r="AB1035" s="23"/>
      <c r="AC1035" s="41"/>
      <c r="AD1035" s="42"/>
      <c r="AE1035" s="42"/>
      <c r="AF1035" s="42"/>
      <c r="AG1035" s="42"/>
      <c r="AH1035" s="43">
        <f t="shared" ref="AH1035:AH1043" si="603">SUM(AC1035:AG1035)</f>
        <v>0</v>
      </c>
      <c r="AI1035" s="41"/>
      <c r="AJ1035" s="42"/>
      <c r="AK1035" s="42"/>
      <c r="AL1035" s="42"/>
      <c r="AM1035" s="42"/>
      <c r="AN1035" s="43">
        <f t="shared" ref="AN1035:AN1044" si="604">SUM(AI1035:AM1035)</f>
        <v>0</v>
      </c>
      <c r="AO1035" s="42"/>
      <c r="AP1035" s="53"/>
      <c r="AQ1035" s="53"/>
      <c r="AR1035" s="53"/>
      <c r="AS1035" s="72"/>
      <c r="AT1035" s="24">
        <f t="shared" ref="AT1035:AT1044" si="605">SUM(AO1035:AS1035)</f>
        <v>0</v>
      </c>
      <c r="AU1035" s="42"/>
      <c r="AV1035" s="53"/>
      <c r="AW1035" s="53"/>
      <c r="AX1035" s="53"/>
      <c r="AY1035" s="72"/>
      <c r="AZ1035" s="24">
        <f t="shared" ref="AZ1035:AZ1044" si="606">SUM(AU1035:AY1035)</f>
        <v>0</v>
      </c>
      <c r="BA1035" s="24">
        <f t="shared" ref="BA1035:BA1044" si="607">AH1035+AN1035+AT1035+AZ1035</f>
        <v>0</v>
      </c>
      <c r="BB1035" s="128"/>
    </row>
    <row r="1036" spans="1:54" ht="14.25" x14ac:dyDescent="0.15">
      <c r="A1036" s="23" t="s">
        <v>48</v>
      </c>
      <c r="B1036" s="41"/>
      <c r="C1036" s="42"/>
      <c r="D1036" s="42"/>
      <c r="E1036" s="42"/>
      <c r="F1036" s="42"/>
      <c r="G1036" s="43">
        <f t="shared" si="578"/>
        <v>0</v>
      </c>
      <c r="H1036" s="41"/>
      <c r="I1036" s="42"/>
      <c r="J1036" s="42"/>
      <c r="K1036" s="42">
        <v>1</v>
      </c>
      <c r="L1036" s="42"/>
      <c r="M1036" s="43">
        <f t="shared" si="579"/>
        <v>1</v>
      </c>
      <c r="N1036" s="42"/>
      <c r="O1036" s="53"/>
      <c r="P1036" s="53"/>
      <c r="Q1036" s="53"/>
      <c r="R1036" s="72"/>
      <c r="S1036" s="24">
        <f t="shared" si="580"/>
        <v>0</v>
      </c>
      <c r="T1036" s="42"/>
      <c r="U1036" s="53"/>
      <c r="V1036" s="53"/>
      <c r="W1036" s="53"/>
      <c r="X1036" s="72"/>
      <c r="Y1036" s="24">
        <f t="shared" si="581"/>
        <v>0</v>
      </c>
      <c r="Z1036" s="24">
        <f t="shared" si="582"/>
        <v>1</v>
      </c>
      <c r="AA1036" s="93">
        <v>44869</v>
      </c>
      <c r="AB1036" s="23"/>
      <c r="AC1036" s="14"/>
      <c r="AD1036" s="15"/>
      <c r="AE1036" s="15"/>
      <c r="AF1036" s="15"/>
      <c r="AG1036" s="15"/>
      <c r="AH1036" s="24">
        <f t="shared" si="603"/>
        <v>0</v>
      </c>
      <c r="AI1036" s="14"/>
      <c r="AJ1036" s="15"/>
      <c r="AK1036" s="15"/>
      <c r="AL1036" s="15"/>
      <c r="AM1036" s="15"/>
      <c r="AN1036" s="185">
        <f t="shared" si="604"/>
        <v>0</v>
      </c>
      <c r="AO1036" s="14"/>
      <c r="AP1036" s="55"/>
      <c r="AQ1036" s="55"/>
      <c r="AR1036" s="55"/>
      <c r="AS1036" s="67"/>
      <c r="AT1036" s="24">
        <f t="shared" si="605"/>
        <v>0</v>
      </c>
      <c r="AU1036" s="15"/>
      <c r="AV1036" s="55"/>
      <c r="AW1036" s="55"/>
      <c r="AX1036" s="55"/>
      <c r="AY1036" s="67"/>
      <c r="AZ1036" s="24">
        <f t="shared" si="606"/>
        <v>0</v>
      </c>
      <c r="BA1036" s="24">
        <f t="shared" si="607"/>
        <v>0</v>
      </c>
      <c r="BB1036" s="128"/>
    </row>
    <row r="1037" spans="1:54" ht="14.25" x14ac:dyDescent="0.15">
      <c r="A1037" s="23" t="s">
        <v>48</v>
      </c>
      <c r="B1037" s="38"/>
      <c r="C1037" s="39"/>
      <c r="D1037" s="39"/>
      <c r="E1037" s="39"/>
      <c r="F1037" s="39"/>
      <c r="G1037" s="37">
        <f t="shared" si="578"/>
        <v>0</v>
      </c>
      <c r="H1037" s="38"/>
      <c r="I1037" s="39"/>
      <c r="J1037" s="39"/>
      <c r="K1037" s="39"/>
      <c r="L1037" s="39"/>
      <c r="M1037" s="37">
        <f t="shared" si="579"/>
        <v>0</v>
      </c>
      <c r="N1037" s="42"/>
      <c r="O1037" s="53"/>
      <c r="P1037" s="53"/>
      <c r="Q1037" s="53"/>
      <c r="R1037" s="72">
        <v>1</v>
      </c>
      <c r="S1037" s="24">
        <f t="shared" si="580"/>
        <v>1</v>
      </c>
      <c r="T1037" s="42"/>
      <c r="U1037" s="53"/>
      <c r="V1037" s="53"/>
      <c r="W1037" s="53"/>
      <c r="X1037" s="72"/>
      <c r="Y1037" s="24">
        <f t="shared" si="581"/>
        <v>0</v>
      </c>
      <c r="Z1037" s="24">
        <f t="shared" si="582"/>
        <v>1</v>
      </c>
      <c r="AA1037" s="93">
        <v>44870</v>
      </c>
      <c r="AB1037" s="23"/>
      <c r="AC1037" s="38"/>
      <c r="AD1037" s="39"/>
      <c r="AE1037" s="39"/>
      <c r="AF1037" s="39"/>
      <c r="AG1037" s="39"/>
      <c r="AH1037" s="37">
        <f t="shared" si="603"/>
        <v>0</v>
      </c>
      <c r="AI1037" s="38"/>
      <c r="AJ1037" s="39"/>
      <c r="AK1037" s="39"/>
      <c r="AL1037" s="39"/>
      <c r="AM1037" s="39"/>
      <c r="AN1037" s="37">
        <f t="shared" si="604"/>
        <v>0</v>
      </c>
      <c r="AO1037" s="39"/>
      <c r="AP1037" s="56"/>
      <c r="AQ1037" s="56"/>
      <c r="AR1037" s="56"/>
      <c r="AS1037" s="71"/>
      <c r="AT1037" s="16">
        <f t="shared" si="605"/>
        <v>0</v>
      </c>
      <c r="AU1037" s="39"/>
      <c r="AV1037" s="56"/>
      <c r="AW1037" s="56"/>
      <c r="AX1037" s="56"/>
      <c r="AY1037" s="71"/>
      <c r="AZ1037" s="16">
        <f t="shared" si="606"/>
        <v>0</v>
      </c>
      <c r="BA1037" s="16">
        <f t="shared" si="607"/>
        <v>0</v>
      </c>
      <c r="BB1037" s="128"/>
    </row>
    <row r="1038" spans="1:54" ht="14.25" x14ac:dyDescent="0.15">
      <c r="A1038" s="23" t="s">
        <v>48</v>
      </c>
      <c r="B1038" s="41"/>
      <c r="C1038" s="42"/>
      <c r="D1038" s="42">
        <v>1</v>
      </c>
      <c r="E1038" s="42"/>
      <c r="F1038" s="42"/>
      <c r="G1038" s="43">
        <f t="shared" si="578"/>
        <v>1</v>
      </c>
      <c r="H1038" s="41"/>
      <c r="I1038" s="42"/>
      <c r="J1038" s="42"/>
      <c r="K1038" s="42"/>
      <c r="L1038" s="42"/>
      <c r="M1038" s="43">
        <f t="shared" si="579"/>
        <v>0</v>
      </c>
      <c r="N1038" s="42"/>
      <c r="O1038" s="53"/>
      <c r="P1038" s="53"/>
      <c r="Q1038" s="53"/>
      <c r="R1038" s="72"/>
      <c r="S1038" s="24">
        <f t="shared" si="580"/>
        <v>0</v>
      </c>
      <c r="T1038" s="42"/>
      <c r="U1038" s="53"/>
      <c r="V1038" s="53"/>
      <c r="W1038" s="53"/>
      <c r="X1038" s="72"/>
      <c r="Y1038" s="24">
        <f t="shared" si="581"/>
        <v>0</v>
      </c>
      <c r="Z1038" s="24">
        <f t="shared" si="582"/>
        <v>1</v>
      </c>
      <c r="AA1038" s="93">
        <v>44879</v>
      </c>
      <c r="AB1038" s="23"/>
      <c r="AC1038" s="41"/>
      <c r="AD1038" s="42"/>
      <c r="AE1038" s="42"/>
      <c r="AF1038" s="42"/>
      <c r="AG1038" s="42"/>
      <c r="AH1038" s="43">
        <f t="shared" si="603"/>
        <v>0</v>
      </c>
      <c r="AI1038" s="41"/>
      <c r="AJ1038" s="42"/>
      <c r="AK1038" s="42"/>
      <c r="AL1038" s="42"/>
      <c r="AM1038" s="42"/>
      <c r="AN1038" s="43">
        <f t="shared" si="604"/>
        <v>0</v>
      </c>
      <c r="AO1038" s="42"/>
      <c r="AP1038" s="53"/>
      <c r="AQ1038" s="53"/>
      <c r="AR1038" s="53"/>
      <c r="AS1038" s="72"/>
      <c r="AT1038" s="24">
        <f t="shared" si="605"/>
        <v>0</v>
      </c>
      <c r="AU1038" s="42"/>
      <c r="AV1038" s="53"/>
      <c r="AW1038" s="53"/>
      <c r="AX1038" s="53"/>
      <c r="AY1038" s="72"/>
      <c r="AZ1038" s="24">
        <f t="shared" si="606"/>
        <v>0</v>
      </c>
      <c r="BA1038" s="24">
        <f t="shared" si="607"/>
        <v>0</v>
      </c>
      <c r="BB1038" s="128"/>
    </row>
    <row r="1039" spans="1:54" ht="14.25" x14ac:dyDescent="0.15">
      <c r="A1039" s="23" t="s">
        <v>438</v>
      </c>
      <c r="B1039" s="41"/>
      <c r="C1039" s="42"/>
      <c r="D1039" s="42"/>
      <c r="E1039" s="42"/>
      <c r="F1039" s="42">
        <v>1</v>
      </c>
      <c r="G1039" s="43">
        <f t="shared" ref="G1039:G1049" si="608">SUM(B1039:F1039)</f>
        <v>1</v>
      </c>
      <c r="H1039" s="41"/>
      <c r="I1039" s="42"/>
      <c r="J1039" s="42"/>
      <c r="K1039" s="42"/>
      <c r="L1039" s="42"/>
      <c r="M1039" s="43">
        <f t="shared" si="579"/>
        <v>0</v>
      </c>
      <c r="N1039" s="42"/>
      <c r="O1039" s="53"/>
      <c r="P1039" s="53"/>
      <c r="Q1039" s="53"/>
      <c r="R1039" s="72"/>
      <c r="S1039" s="24">
        <f t="shared" si="580"/>
        <v>0</v>
      </c>
      <c r="T1039" s="42"/>
      <c r="U1039" s="53"/>
      <c r="V1039" s="53"/>
      <c r="W1039" s="53"/>
      <c r="X1039" s="72"/>
      <c r="Y1039" s="24">
        <f t="shared" si="581"/>
        <v>0</v>
      </c>
      <c r="Z1039" s="24">
        <f t="shared" si="582"/>
        <v>1</v>
      </c>
      <c r="AA1039" s="83">
        <v>44882</v>
      </c>
      <c r="AB1039" s="23"/>
      <c r="AC1039" s="41"/>
      <c r="AD1039" s="42"/>
      <c r="AE1039" s="42"/>
      <c r="AF1039" s="42"/>
      <c r="AG1039" s="42"/>
      <c r="AH1039" s="43">
        <f t="shared" si="603"/>
        <v>0</v>
      </c>
      <c r="AI1039" s="41"/>
      <c r="AJ1039" s="42"/>
      <c r="AK1039" s="42"/>
      <c r="AL1039" s="42"/>
      <c r="AM1039" s="42"/>
      <c r="AN1039" s="43">
        <f t="shared" si="604"/>
        <v>0</v>
      </c>
      <c r="AO1039" s="42"/>
      <c r="AP1039" s="53"/>
      <c r="AQ1039" s="53"/>
      <c r="AR1039" s="53"/>
      <c r="AS1039" s="72"/>
      <c r="AT1039" s="24">
        <f t="shared" si="605"/>
        <v>0</v>
      </c>
      <c r="AU1039" s="42"/>
      <c r="AV1039" s="53"/>
      <c r="AW1039" s="53"/>
      <c r="AX1039" s="53"/>
      <c r="AY1039" s="72"/>
      <c r="AZ1039" s="24">
        <f t="shared" si="606"/>
        <v>0</v>
      </c>
      <c r="BA1039" s="24">
        <f t="shared" si="607"/>
        <v>0</v>
      </c>
      <c r="BB1039" s="128"/>
    </row>
    <row r="1040" spans="1:54" ht="14.25" x14ac:dyDescent="0.15">
      <c r="A1040" s="23" t="s">
        <v>48</v>
      </c>
      <c r="B1040" s="14"/>
      <c r="C1040" s="15"/>
      <c r="D1040" s="15"/>
      <c r="E1040" s="15">
        <v>1</v>
      </c>
      <c r="F1040" s="15"/>
      <c r="G1040" s="24">
        <f t="shared" si="608"/>
        <v>1</v>
      </c>
      <c r="H1040" s="14"/>
      <c r="I1040" s="15"/>
      <c r="J1040" s="15"/>
      <c r="K1040" s="15"/>
      <c r="L1040" s="15"/>
      <c r="M1040" s="24">
        <f t="shared" si="579"/>
        <v>0</v>
      </c>
      <c r="N1040" s="15"/>
      <c r="O1040" s="55"/>
      <c r="P1040" s="55"/>
      <c r="Q1040" s="55"/>
      <c r="R1040" s="67"/>
      <c r="S1040" s="24">
        <f t="shared" si="580"/>
        <v>0</v>
      </c>
      <c r="T1040" s="15"/>
      <c r="U1040" s="55"/>
      <c r="V1040" s="55"/>
      <c r="W1040" s="55"/>
      <c r="X1040" s="67"/>
      <c r="Y1040" s="24">
        <f t="shared" si="581"/>
        <v>0</v>
      </c>
      <c r="Z1040" s="24">
        <f t="shared" si="582"/>
        <v>1</v>
      </c>
      <c r="AA1040" s="83">
        <v>44884</v>
      </c>
      <c r="AB1040" s="23"/>
      <c r="AC1040" s="14"/>
      <c r="AD1040" s="15"/>
      <c r="AE1040" s="15"/>
      <c r="AF1040" s="15"/>
      <c r="AG1040" s="15"/>
      <c r="AH1040" s="24">
        <f t="shared" si="603"/>
        <v>0</v>
      </c>
      <c r="AI1040" s="14"/>
      <c r="AJ1040" s="15"/>
      <c r="AK1040" s="15"/>
      <c r="AL1040" s="15"/>
      <c r="AM1040" s="15"/>
      <c r="AN1040" s="24">
        <f t="shared" si="604"/>
        <v>0</v>
      </c>
      <c r="AO1040" s="15"/>
      <c r="AP1040" s="55"/>
      <c r="AQ1040" s="55"/>
      <c r="AR1040" s="55"/>
      <c r="AS1040" s="67"/>
      <c r="AT1040" s="24">
        <f t="shared" si="605"/>
        <v>0</v>
      </c>
      <c r="AU1040" s="15"/>
      <c r="AV1040" s="55"/>
      <c r="AW1040" s="55"/>
      <c r="AX1040" s="55"/>
      <c r="AY1040" s="67"/>
      <c r="AZ1040" s="24">
        <f t="shared" si="606"/>
        <v>0</v>
      </c>
      <c r="BA1040" s="24">
        <f t="shared" si="607"/>
        <v>0</v>
      </c>
      <c r="BB1040" s="128"/>
    </row>
    <row r="1041" spans="1:54" ht="14.25" x14ac:dyDescent="0.15">
      <c r="A1041" s="23" t="s">
        <v>438</v>
      </c>
      <c r="B1041" s="14"/>
      <c r="C1041" s="15"/>
      <c r="D1041" s="15"/>
      <c r="E1041" s="15"/>
      <c r="F1041" s="15">
        <v>1</v>
      </c>
      <c r="G1041" s="24">
        <f t="shared" si="608"/>
        <v>1</v>
      </c>
      <c r="H1041" s="14"/>
      <c r="I1041" s="15"/>
      <c r="J1041" s="15"/>
      <c r="K1041" s="15"/>
      <c r="L1041" s="15"/>
      <c r="M1041" s="24">
        <f t="shared" si="579"/>
        <v>0</v>
      </c>
      <c r="N1041" s="15"/>
      <c r="O1041" s="55"/>
      <c r="P1041" s="55"/>
      <c r="Q1041" s="55"/>
      <c r="R1041" s="67"/>
      <c r="S1041" s="24">
        <f t="shared" si="580"/>
        <v>0</v>
      </c>
      <c r="T1041" s="15"/>
      <c r="U1041" s="55"/>
      <c r="V1041" s="55"/>
      <c r="W1041" s="55"/>
      <c r="X1041" s="67"/>
      <c r="Y1041" s="24">
        <f t="shared" si="581"/>
        <v>0</v>
      </c>
      <c r="Z1041" s="24">
        <f t="shared" si="582"/>
        <v>1</v>
      </c>
      <c r="AA1041" s="83">
        <v>44887</v>
      </c>
      <c r="AB1041" s="180"/>
      <c r="AC1041" s="14"/>
      <c r="AD1041" s="15"/>
      <c r="AE1041" s="15"/>
      <c r="AF1041" s="15"/>
      <c r="AG1041" s="15"/>
      <c r="AH1041" s="24">
        <f t="shared" si="603"/>
        <v>0</v>
      </c>
      <c r="AI1041" s="14"/>
      <c r="AJ1041" s="15"/>
      <c r="AK1041" s="15"/>
      <c r="AL1041" s="15"/>
      <c r="AM1041" s="15"/>
      <c r="AN1041" s="24">
        <f t="shared" si="604"/>
        <v>0</v>
      </c>
      <c r="AO1041" s="15"/>
      <c r="AP1041" s="55"/>
      <c r="AQ1041" s="55"/>
      <c r="AR1041" s="55"/>
      <c r="AS1041" s="67"/>
      <c r="AT1041" s="24">
        <f t="shared" si="605"/>
        <v>0</v>
      </c>
      <c r="AU1041" s="15"/>
      <c r="AV1041" s="55"/>
      <c r="AW1041" s="55"/>
      <c r="AX1041" s="55"/>
      <c r="AY1041" s="67"/>
      <c r="AZ1041" s="24">
        <f t="shared" si="606"/>
        <v>0</v>
      </c>
      <c r="BA1041" s="24">
        <f t="shared" si="607"/>
        <v>0</v>
      </c>
      <c r="BB1041" s="128"/>
    </row>
    <row r="1042" spans="1:54" ht="14.25" x14ac:dyDescent="0.15">
      <c r="A1042" s="23" t="s">
        <v>48</v>
      </c>
      <c r="B1042" s="14"/>
      <c r="C1042" s="15"/>
      <c r="D1042" s="15"/>
      <c r="E1042" s="15"/>
      <c r="F1042" s="15"/>
      <c r="G1042" s="24">
        <f t="shared" si="608"/>
        <v>0</v>
      </c>
      <c r="H1042" s="14"/>
      <c r="I1042" s="15"/>
      <c r="J1042" s="15"/>
      <c r="K1042" s="15"/>
      <c r="L1042" s="15"/>
      <c r="M1042" s="24">
        <f t="shared" si="579"/>
        <v>0</v>
      </c>
      <c r="N1042" s="15"/>
      <c r="O1042" s="55"/>
      <c r="P1042" s="55">
        <v>1</v>
      </c>
      <c r="Q1042" s="55"/>
      <c r="R1042" s="67"/>
      <c r="S1042" s="24">
        <f t="shared" si="580"/>
        <v>1</v>
      </c>
      <c r="T1042" s="15"/>
      <c r="U1042" s="55"/>
      <c r="V1042" s="55"/>
      <c r="W1042" s="55"/>
      <c r="X1042" s="67"/>
      <c r="Y1042" s="24">
        <f t="shared" si="581"/>
        <v>0</v>
      </c>
      <c r="Z1042" s="24">
        <f t="shared" si="582"/>
        <v>1</v>
      </c>
      <c r="AA1042" s="93">
        <v>44890</v>
      </c>
      <c r="AB1042" s="180"/>
      <c r="AC1042" s="14"/>
      <c r="AD1042" s="15"/>
      <c r="AE1042" s="15"/>
      <c r="AF1042" s="15"/>
      <c r="AG1042" s="15"/>
      <c r="AH1042" s="24">
        <f t="shared" si="603"/>
        <v>0</v>
      </c>
      <c r="AI1042" s="14"/>
      <c r="AJ1042" s="15"/>
      <c r="AK1042" s="15"/>
      <c r="AL1042" s="15"/>
      <c r="AM1042" s="15"/>
      <c r="AN1042" s="24">
        <f t="shared" si="604"/>
        <v>0</v>
      </c>
      <c r="AO1042" s="15"/>
      <c r="AP1042" s="55"/>
      <c r="AQ1042" s="55"/>
      <c r="AR1042" s="55"/>
      <c r="AS1042" s="67"/>
      <c r="AT1042" s="24">
        <f t="shared" si="605"/>
        <v>0</v>
      </c>
      <c r="AU1042" s="15"/>
      <c r="AV1042" s="55"/>
      <c r="AW1042" s="55"/>
      <c r="AX1042" s="55"/>
      <c r="AY1042" s="67"/>
      <c r="AZ1042" s="24">
        <f t="shared" si="606"/>
        <v>0</v>
      </c>
      <c r="BA1042" s="24">
        <f t="shared" si="607"/>
        <v>0</v>
      </c>
      <c r="BB1042" s="128"/>
    </row>
    <row r="1043" spans="1:54" ht="14.25" x14ac:dyDescent="0.15">
      <c r="A1043" s="23" t="s">
        <v>48</v>
      </c>
      <c r="B1043" s="14"/>
      <c r="C1043" s="15">
        <v>1</v>
      </c>
      <c r="D1043" s="15"/>
      <c r="E1043" s="15"/>
      <c r="F1043" s="15"/>
      <c r="G1043" s="24">
        <f t="shared" si="608"/>
        <v>1</v>
      </c>
      <c r="H1043" s="14"/>
      <c r="I1043" s="15"/>
      <c r="J1043" s="15"/>
      <c r="K1043" s="15"/>
      <c r="L1043" s="15"/>
      <c r="M1043" s="24">
        <f t="shared" si="579"/>
        <v>0</v>
      </c>
      <c r="N1043" s="15"/>
      <c r="O1043" s="55"/>
      <c r="P1043" s="55"/>
      <c r="Q1043" s="55"/>
      <c r="R1043" s="67"/>
      <c r="S1043" s="24">
        <f t="shared" si="580"/>
        <v>0</v>
      </c>
      <c r="T1043" s="15"/>
      <c r="U1043" s="55"/>
      <c r="V1043" s="55"/>
      <c r="W1043" s="55"/>
      <c r="X1043" s="67"/>
      <c r="Y1043" s="24">
        <f t="shared" si="581"/>
        <v>0</v>
      </c>
      <c r="Z1043" s="24">
        <f t="shared" si="582"/>
        <v>1</v>
      </c>
      <c r="AA1043" s="93">
        <v>44893</v>
      </c>
      <c r="AB1043" s="21"/>
      <c r="AC1043" s="14"/>
      <c r="AD1043" s="15"/>
      <c r="AE1043" s="15"/>
      <c r="AF1043" s="15"/>
      <c r="AG1043" s="15"/>
      <c r="AH1043" s="24">
        <f t="shared" si="603"/>
        <v>0</v>
      </c>
      <c r="AI1043" s="14"/>
      <c r="AJ1043" s="15"/>
      <c r="AK1043" s="15"/>
      <c r="AL1043" s="15"/>
      <c r="AM1043" s="15"/>
      <c r="AN1043" s="24">
        <f t="shared" si="604"/>
        <v>0</v>
      </c>
      <c r="AO1043" s="15"/>
      <c r="AP1043" s="55"/>
      <c r="AQ1043" s="55"/>
      <c r="AR1043" s="55"/>
      <c r="AS1043" s="67"/>
      <c r="AT1043" s="24">
        <f t="shared" si="605"/>
        <v>0</v>
      </c>
      <c r="AU1043" s="15"/>
      <c r="AV1043" s="55"/>
      <c r="AW1043" s="55"/>
      <c r="AX1043" s="55"/>
      <c r="AY1043" s="67"/>
      <c r="AZ1043" s="24">
        <f t="shared" si="606"/>
        <v>0</v>
      </c>
      <c r="BA1043" s="24">
        <f t="shared" si="607"/>
        <v>0</v>
      </c>
      <c r="BB1043" s="128"/>
    </row>
    <row r="1044" spans="1:54" ht="14.25" x14ac:dyDescent="0.15">
      <c r="A1044" s="23" t="s">
        <v>48</v>
      </c>
      <c r="B1044" s="14"/>
      <c r="C1044" s="15">
        <v>1</v>
      </c>
      <c r="D1044" s="15"/>
      <c r="E1044" s="15"/>
      <c r="F1044" s="15"/>
      <c r="G1044" s="24">
        <f t="shared" si="608"/>
        <v>1</v>
      </c>
      <c r="H1044" s="14"/>
      <c r="I1044" s="15"/>
      <c r="J1044" s="15"/>
      <c r="K1044" s="15"/>
      <c r="L1044" s="15"/>
      <c r="M1044" s="24">
        <f t="shared" si="579"/>
        <v>0</v>
      </c>
      <c r="N1044" s="15"/>
      <c r="O1044" s="55"/>
      <c r="P1044" s="55"/>
      <c r="Q1044" s="55"/>
      <c r="R1044" s="67"/>
      <c r="S1044" s="24">
        <f t="shared" si="580"/>
        <v>0</v>
      </c>
      <c r="T1044" s="15"/>
      <c r="U1044" s="55"/>
      <c r="V1044" s="55"/>
      <c r="W1044" s="55"/>
      <c r="X1044" s="67"/>
      <c r="Y1044" s="24">
        <f t="shared" si="581"/>
        <v>0</v>
      </c>
      <c r="Z1044" s="24">
        <f t="shared" si="582"/>
        <v>1</v>
      </c>
      <c r="AA1044" s="93">
        <v>44894</v>
      </c>
      <c r="AB1044" s="47"/>
      <c r="AC1044" s="14"/>
      <c r="AD1044" s="15"/>
      <c r="AE1044" s="15"/>
      <c r="AF1044" s="15"/>
      <c r="AG1044" s="15"/>
      <c r="AH1044" s="24">
        <f t="shared" ref="AH1044" si="609">SUM(AC1044:AG1044)</f>
        <v>0</v>
      </c>
      <c r="AI1044" s="14"/>
      <c r="AJ1044" s="15"/>
      <c r="AK1044" s="15"/>
      <c r="AL1044" s="15"/>
      <c r="AM1044" s="15"/>
      <c r="AN1044" s="24">
        <f t="shared" si="604"/>
        <v>0</v>
      </c>
      <c r="AO1044" s="15"/>
      <c r="AP1044" s="55"/>
      <c r="AQ1044" s="55"/>
      <c r="AR1044" s="55"/>
      <c r="AS1044" s="67"/>
      <c r="AT1044" s="24">
        <f t="shared" si="605"/>
        <v>0</v>
      </c>
      <c r="AU1044" s="15"/>
      <c r="AV1044" s="55"/>
      <c r="AW1044" s="55"/>
      <c r="AX1044" s="55"/>
      <c r="AY1044" s="67"/>
      <c r="AZ1044" s="24">
        <f t="shared" si="606"/>
        <v>0</v>
      </c>
      <c r="BA1044" s="24">
        <f t="shared" si="607"/>
        <v>0</v>
      </c>
      <c r="BB1044" s="128"/>
    </row>
    <row r="1045" spans="1:54" ht="14.25" x14ac:dyDescent="0.15">
      <c r="A1045" s="23" t="s">
        <v>48</v>
      </c>
      <c r="B1045" s="44"/>
      <c r="C1045" s="45"/>
      <c r="D1045" s="45"/>
      <c r="E1045" s="45"/>
      <c r="F1045" s="45"/>
      <c r="G1045" s="43">
        <f t="shared" si="608"/>
        <v>0</v>
      </c>
      <c r="H1045" s="44"/>
      <c r="I1045" s="45"/>
      <c r="J1045" s="45"/>
      <c r="K1045" s="45"/>
      <c r="L1045" s="45"/>
      <c r="M1045" s="43">
        <f t="shared" si="579"/>
        <v>0</v>
      </c>
      <c r="N1045" s="42"/>
      <c r="O1045" s="53"/>
      <c r="P1045" s="53"/>
      <c r="Q1045" s="53">
        <v>1</v>
      </c>
      <c r="R1045" s="72"/>
      <c r="S1045" s="24">
        <f t="shared" si="580"/>
        <v>1</v>
      </c>
      <c r="T1045" s="42"/>
      <c r="U1045" s="53"/>
      <c r="V1045" s="53"/>
      <c r="W1045" s="53"/>
      <c r="X1045" s="72"/>
      <c r="Y1045" s="24">
        <f t="shared" si="581"/>
        <v>0</v>
      </c>
      <c r="Z1045" s="24">
        <f t="shared" si="582"/>
        <v>1</v>
      </c>
      <c r="AA1045" s="93">
        <v>44895</v>
      </c>
      <c r="AB1045" s="47"/>
      <c r="AC1045" s="14"/>
      <c r="AD1045" s="15"/>
      <c r="AE1045" s="15"/>
      <c r="AF1045" s="15"/>
      <c r="AG1045" s="15"/>
      <c r="AH1045" s="24">
        <f>SUM(AC1045:AG1045)</f>
        <v>0</v>
      </c>
      <c r="AI1045" s="14"/>
      <c r="AJ1045" s="15"/>
      <c r="AK1045" s="15"/>
      <c r="AL1045" s="15"/>
      <c r="AM1045" s="15"/>
      <c r="AN1045" s="24">
        <f>SUM(AI1045:AM1045)</f>
        <v>0</v>
      </c>
      <c r="AO1045" s="15"/>
      <c r="AP1045" s="55"/>
      <c r="AQ1045" s="55"/>
      <c r="AR1045" s="55"/>
      <c r="AS1045" s="67"/>
      <c r="AT1045" s="24">
        <f>SUM(AO1045:AS1045)</f>
        <v>0</v>
      </c>
      <c r="AU1045" s="15"/>
      <c r="AV1045" s="55"/>
      <c r="AW1045" s="55"/>
      <c r="AX1045" s="55"/>
      <c r="AY1045" s="67"/>
      <c r="AZ1045" s="24">
        <f>SUM(AU1045:AY1045)</f>
        <v>0</v>
      </c>
      <c r="BA1045" s="24">
        <f>AH1045+AN1045+AT1045+AZ1045</f>
        <v>0</v>
      </c>
      <c r="BB1045" s="128"/>
    </row>
    <row r="1046" spans="1:54" ht="14.25" x14ac:dyDescent="0.15">
      <c r="A1046" s="23" t="s">
        <v>570</v>
      </c>
      <c r="B1046" s="41"/>
      <c r="C1046" s="42"/>
      <c r="D1046" s="42"/>
      <c r="E1046" s="42"/>
      <c r="F1046" s="42">
        <v>-1</v>
      </c>
      <c r="G1046" s="43">
        <f t="shared" ref="G1046" si="610">SUM(B1046:F1046)</f>
        <v>-1</v>
      </c>
      <c r="H1046" s="41"/>
      <c r="I1046" s="42"/>
      <c r="J1046" s="42"/>
      <c r="K1046" s="42"/>
      <c r="L1046" s="42"/>
      <c r="M1046" s="43">
        <f t="shared" ref="M1046" si="611">SUM(H1046:L1046)</f>
        <v>0</v>
      </c>
      <c r="N1046" s="42"/>
      <c r="O1046" s="53"/>
      <c r="P1046" s="53"/>
      <c r="Q1046" s="53"/>
      <c r="R1046" s="72"/>
      <c r="S1046" s="24">
        <f t="shared" ref="S1046" si="612">SUM(N1046:R1046)</f>
        <v>0</v>
      </c>
      <c r="T1046" s="42"/>
      <c r="U1046" s="53"/>
      <c r="V1046" s="53"/>
      <c r="W1046" s="53"/>
      <c r="X1046" s="72"/>
      <c r="Y1046" s="24">
        <f t="shared" ref="Y1046" si="613">SUM(T1046:X1046)</f>
        <v>0</v>
      </c>
      <c r="Z1046" s="24">
        <f t="shared" si="582"/>
        <v>-1</v>
      </c>
      <c r="AA1046" s="83">
        <v>44898</v>
      </c>
      <c r="AB1046" s="47"/>
      <c r="AC1046" s="14"/>
      <c r="AD1046" s="15"/>
      <c r="AE1046" s="15"/>
      <c r="AF1046" s="15"/>
      <c r="AG1046" s="15"/>
      <c r="AH1046" s="24">
        <f>SUM(AC1046:AG1046)</f>
        <v>0</v>
      </c>
      <c r="AI1046" s="14"/>
      <c r="AJ1046" s="15"/>
      <c r="AK1046" s="15"/>
      <c r="AL1046" s="15"/>
      <c r="AM1046" s="15"/>
      <c r="AN1046" s="24">
        <f>SUM(AI1046:AM1046)</f>
        <v>0</v>
      </c>
      <c r="AO1046" s="15"/>
      <c r="AP1046" s="55"/>
      <c r="AQ1046" s="55"/>
      <c r="AR1046" s="55"/>
      <c r="AS1046" s="67"/>
      <c r="AT1046" s="24">
        <f>SUM(AO1046:AS1046)</f>
        <v>0</v>
      </c>
      <c r="AU1046" s="15"/>
      <c r="AV1046" s="55"/>
      <c r="AW1046" s="55"/>
      <c r="AX1046" s="55"/>
      <c r="AY1046" s="67"/>
      <c r="AZ1046" s="24">
        <f>SUM(AU1046:AY1046)</f>
        <v>0</v>
      </c>
      <c r="BA1046" s="24">
        <f>AH1046+AN1046+AT1046+AZ1046</f>
        <v>0</v>
      </c>
      <c r="BB1046" s="128"/>
    </row>
    <row r="1047" spans="1:54" ht="14.25" x14ac:dyDescent="0.15">
      <c r="A1047" s="23" t="s">
        <v>571</v>
      </c>
      <c r="B1047" s="41"/>
      <c r="C1047" s="42"/>
      <c r="D1047" s="42"/>
      <c r="E1047" s="42"/>
      <c r="F1047" s="42"/>
      <c r="G1047" s="43">
        <f t="shared" si="608"/>
        <v>0</v>
      </c>
      <c r="H1047" s="41"/>
      <c r="I1047" s="42"/>
      <c r="J1047" s="42"/>
      <c r="K1047" s="42"/>
      <c r="L1047" s="42"/>
      <c r="M1047" s="43">
        <f t="shared" si="579"/>
        <v>0</v>
      </c>
      <c r="N1047" s="42"/>
      <c r="O1047" s="53"/>
      <c r="P1047" s="53">
        <v>1</v>
      </c>
      <c r="Q1047" s="53"/>
      <c r="R1047" s="72"/>
      <c r="S1047" s="24">
        <f t="shared" si="580"/>
        <v>1</v>
      </c>
      <c r="T1047" s="42"/>
      <c r="U1047" s="53"/>
      <c r="V1047" s="53"/>
      <c r="W1047" s="53"/>
      <c r="X1047" s="72"/>
      <c r="Y1047" s="24">
        <f t="shared" si="581"/>
        <v>0</v>
      </c>
      <c r="Z1047" s="24">
        <f t="shared" si="582"/>
        <v>1</v>
      </c>
      <c r="AA1047" s="83">
        <v>44901</v>
      </c>
      <c r="AB1047" s="47"/>
      <c r="AC1047" s="14"/>
      <c r="AD1047" s="15"/>
      <c r="AE1047" s="15"/>
      <c r="AF1047" s="15"/>
      <c r="AG1047" s="15"/>
      <c r="AH1047" s="24">
        <f>SUM(AC1047:AG1047)</f>
        <v>0</v>
      </c>
      <c r="AI1047" s="14"/>
      <c r="AJ1047" s="15"/>
      <c r="AK1047" s="15"/>
      <c r="AL1047" s="15"/>
      <c r="AM1047" s="15"/>
      <c r="AN1047" s="24">
        <f>SUM(AI1047:AM1047)</f>
        <v>0</v>
      </c>
      <c r="AO1047" s="15"/>
      <c r="AP1047" s="55"/>
      <c r="AQ1047" s="55"/>
      <c r="AR1047" s="55"/>
      <c r="AS1047" s="67"/>
      <c r="AT1047" s="24">
        <f>SUM(AO1047:AS1047)</f>
        <v>0</v>
      </c>
      <c r="AU1047" s="15"/>
      <c r="AV1047" s="55"/>
      <c r="AW1047" s="55"/>
      <c r="AX1047" s="55"/>
      <c r="AY1047" s="67"/>
      <c r="AZ1047" s="24">
        <f>SUM(AU1047:AY1047)</f>
        <v>0</v>
      </c>
      <c r="BA1047" s="24">
        <f>AH1047+AN1047+AT1047+AZ1047</f>
        <v>0</v>
      </c>
      <c r="BB1047" s="128"/>
    </row>
    <row r="1048" spans="1:54" ht="14.25" x14ac:dyDescent="0.15">
      <c r="A1048" s="23" t="s">
        <v>572</v>
      </c>
      <c r="B1048" s="41"/>
      <c r="C1048" s="42"/>
      <c r="D1048" s="42"/>
      <c r="E1048" s="42"/>
      <c r="F1048" s="42"/>
      <c r="G1048" s="43">
        <f t="shared" si="608"/>
        <v>0</v>
      </c>
      <c r="H1048" s="41">
        <v>-1</v>
      </c>
      <c r="I1048" s="42"/>
      <c r="J1048" s="42">
        <v>-1</v>
      </c>
      <c r="K1048" s="42"/>
      <c r="L1048" s="42"/>
      <c r="M1048" s="43">
        <f t="shared" si="579"/>
        <v>-2</v>
      </c>
      <c r="N1048" s="42"/>
      <c r="O1048" s="53"/>
      <c r="P1048" s="53"/>
      <c r="Q1048" s="53"/>
      <c r="R1048" s="72"/>
      <c r="S1048" s="24">
        <f>SUM(N1048:R1048)</f>
        <v>0</v>
      </c>
      <c r="T1048" s="42"/>
      <c r="U1048" s="53"/>
      <c r="V1048" s="53"/>
      <c r="W1048" s="53"/>
      <c r="X1048" s="72">
        <v>-1</v>
      </c>
      <c r="Y1048" s="24">
        <f>SUM(T1048:X1048)</f>
        <v>-1</v>
      </c>
      <c r="Z1048" s="24">
        <f>G1048+M1048+S1048+Y1048</f>
        <v>-3</v>
      </c>
      <c r="AA1048" s="93">
        <v>44901</v>
      </c>
      <c r="AB1048" s="47"/>
      <c r="AC1048" s="14"/>
      <c r="AD1048" s="15"/>
      <c r="AE1048" s="15"/>
      <c r="AF1048" s="15"/>
      <c r="AG1048" s="15"/>
      <c r="AH1048" s="24">
        <f t="shared" ref="AH1048" si="614">SUM(AC1048:AG1048)</f>
        <v>0</v>
      </c>
      <c r="AI1048" s="14"/>
      <c r="AJ1048" s="15"/>
      <c r="AK1048" s="15"/>
      <c r="AL1048" s="15"/>
      <c r="AM1048" s="15"/>
      <c r="AN1048" s="24">
        <f t="shared" ref="AN1048" si="615">SUM(AI1048:AM1048)</f>
        <v>0</v>
      </c>
      <c r="AO1048" s="15"/>
      <c r="AP1048" s="55"/>
      <c r="AQ1048" s="55"/>
      <c r="AR1048" s="55"/>
      <c r="AS1048" s="67"/>
      <c r="AT1048" s="24">
        <f t="shared" ref="AT1048" si="616">SUM(AO1048:AS1048)</f>
        <v>0</v>
      </c>
      <c r="AU1048" s="15"/>
      <c r="AV1048" s="55"/>
      <c r="AW1048" s="55"/>
      <c r="AX1048" s="55"/>
      <c r="AY1048" s="67"/>
      <c r="AZ1048" s="24">
        <f t="shared" ref="AZ1048" si="617">SUM(AU1048:AY1048)</f>
        <v>0</v>
      </c>
      <c r="BA1048" s="24">
        <f t="shared" ref="BA1048" si="618">AH1048+AN1048+AT1048+AZ1048</f>
        <v>0</v>
      </c>
      <c r="BB1048" s="128"/>
    </row>
    <row r="1049" spans="1:54" ht="15" thickBot="1" x14ac:dyDescent="0.2">
      <c r="A1049" s="23" t="s">
        <v>48</v>
      </c>
      <c r="B1049" s="44"/>
      <c r="C1049" s="45"/>
      <c r="D1049" s="45"/>
      <c r="E1049" s="45"/>
      <c r="F1049" s="45"/>
      <c r="G1049" s="43">
        <f t="shared" si="608"/>
        <v>0</v>
      </c>
      <c r="H1049" s="44"/>
      <c r="I1049" s="45"/>
      <c r="J1049" s="45"/>
      <c r="K1049" s="45"/>
      <c r="L1049" s="45"/>
      <c r="M1049" s="112">
        <f t="shared" si="579"/>
        <v>0</v>
      </c>
      <c r="N1049" s="45">
        <v>1</v>
      </c>
      <c r="O1049" s="78"/>
      <c r="P1049" s="78"/>
      <c r="Q1049" s="78"/>
      <c r="R1049" s="79"/>
      <c r="S1049" s="113">
        <f>SUM(N1049:R1049)</f>
        <v>1</v>
      </c>
      <c r="T1049" s="45"/>
      <c r="U1049" s="78"/>
      <c r="V1049" s="78"/>
      <c r="W1049" s="78"/>
      <c r="X1049" s="79"/>
      <c r="Y1049" s="113">
        <f>SUM(T1049:X1049)</f>
        <v>0</v>
      </c>
      <c r="Z1049" s="82">
        <f>G1049+M1049+S1049+Y1049</f>
        <v>1</v>
      </c>
      <c r="AA1049" s="93">
        <v>44907</v>
      </c>
      <c r="AB1049" s="47"/>
      <c r="AC1049" s="14"/>
      <c r="AD1049" s="15"/>
      <c r="AE1049" s="15"/>
      <c r="AF1049" s="15"/>
      <c r="AG1049" s="15"/>
      <c r="AH1049" s="24">
        <f t="shared" ref="AH1049" si="619">SUM(AC1049:AG1049)</f>
        <v>0</v>
      </c>
      <c r="AI1049" s="14"/>
      <c r="AJ1049" s="15"/>
      <c r="AK1049" s="15"/>
      <c r="AL1049" s="15"/>
      <c r="AM1049" s="15"/>
      <c r="AN1049" s="24">
        <f t="shared" ref="AN1049" si="620">SUM(AI1049:AM1049)</f>
        <v>0</v>
      </c>
      <c r="AO1049" s="15"/>
      <c r="AP1049" s="55"/>
      <c r="AQ1049" s="55"/>
      <c r="AR1049" s="55"/>
      <c r="AS1049" s="67"/>
      <c r="AT1049" s="24">
        <f t="shared" ref="AT1049" si="621">SUM(AO1049:AS1049)</f>
        <v>0</v>
      </c>
      <c r="AU1049" s="15"/>
      <c r="AV1049" s="55"/>
      <c r="AW1049" s="55"/>
      <c r="AX1049" s="55"/>
      <c r="AY1049" s="67"/>
      <c r="AZ1049" s="24">
        <f t="shared" ref="AZ1049" si="622">SUM(AU1049:AY1049)</f>
        <v>0</v>
      </c>
      <c r="BA1049" s="24">
        <f t="shared" ref="BA1049" si="623">AH1049+AN1049+AT1049+AZ1049</f>
        <v>0</v>
      </c>
      <c r="BB1049" s="128"/>
    </row>
    <row r="1050" spans="1:54" ht="15" thickBot="1" x14ac:dyDescent="0.2">
      <c r="A1050" s="9" t="s">
        <v>13</v>
      </c>
      <c r="B1050" s="25">
        <f>SUM(B1024:B1049)</f>
        <v>2</v>
      </c>
      <c r="C1050" s="26">
        <f>SUM(C1024:C1049)</f>
        <v>3</v>
      </c>
      <c r="D1050" s="26">
        <f>SUM(D1024:D1049)</f>
        <v>4</v>
      </c>
      <c r="E1050" s="26">
        <f>SUM(E1024:E1049)</f>
        <v>5</v>
      </c>
      <c r="F1050" s="27">
        <f>SUM(F1024:F1049)</f>
        <v>2</v>
      </c>
      <c r="G1050" s="19">
        <f>SUM(B1050:F1050)</f>
        <v>16</v>
      </c>
      <c r="H1050" s="25">
        <f>SUM(H1024:H1049)</f>
        <v>0</v>
      </c>
      <c r="I1050" s="26">
        <f>SUM(I1024:I1049)</f>
        <v>2</v>
      </c>
      <c r="J1050" s="26">
        <f>SUM(J1024:J1049)</f>
        <v>0</v>
      </c>
      <c r="K1050" s="26">
        <f>SUM(K1024:K1049)</f>
        <v>3</v>
      </c>
      <c r="L1050" s="27">
        <f>SUM(L1024:L1049)</f>
        <v>1</v>
      </c>
      <c r="M1050" s="25">
        <f>SUM(H1050:L1050)</f>
        <v>6</v>
      </c>
      <c r="N1050" s="65">
        <f>SUM(N1024:N1049)</f>
        <v>2</v>
      </c>
      <c r="O1050" s="18">
        <f>SUM(O1024:O1049)</f>
        <v>0</v>
      </c>
      <c r="P1050" s="18">
        <f>SUM(P1024:P1049)</f>
        <v>3</v>
      </c>
      <c r="Q1050" s="18">
        <f>SUM(Q1024:Q1049)</f>
        <v>1</v>
      </c>
      <c r="R1050" s="70">
        <f>SUM(R1024:R1049)</f>
        <v>1</v>
      </c>
      <c r="S1050" s="49">
        <f>SUM(N1050:R1050)</f>
        <v>7</v>
      </c>
      <c r="T1050" s="74">
        <f>SUM(T1024:T1049)</f>
        <v>0</v>
      </c>
      <c r="U1050" s="18">
        <f>SUM(U1024:U1049)</f>
        <v>0</v>
      </c>
      <c r="V1050" s="18">
        <f>SUM(V1024:V1049)</f>
        <v>0</v>
      </c>
      <c r="W1050" s="18">
        <f>SUM(W1024:W1049)</f>
        <v>1</v>
      </c>
      <c r="X1050" s="70">
        <f>SUM(X1024:X1049)</f>
        <v>-1</v>
      </c>
      <c r="Y1050" s="49">
        <f>SUM(T1050:X1050)</f>
        <v>0</v>
      </c>
      <c r="Z1050" s="137">
        <f>G1050+M1050+S1050+Y1050</f>
        <v>29</v>
      </c>
      <c r="AB1050" s="9" t="s">
        <v>13</v>
      </c>
      <c r="AC1050" s="25">
        <f>SUM(AC1024:AC1049)</f>
        <v>3</v>
      </c>
      <c r="AD1050" s="26">
        <f>SUM(AD1024:AD1049)</f>
        <v>0</v>
      </c>
      <c r="AE1050" s="26">
        <f>SUM(AE1024:AE1049)</f>
        <v>3</v>
      </c>
      <c r="AF1050" s="26">
        <f>SUM(AF1024:AF1049)</f>
        <v>3</v>
      </c>
      <c r="AG1050" s="27">
        <f>SUM(AG1024:AG1049)</f>
        <v>1</v>
      </c>
      <c r="AH1050" s="19">
        <f>SUM(AC1050:AG1050)</f>
        <v>10</v>
      </c>
      <c r="AI1050" s="25">
        <f>SUM(AI1024:AI1049)</f>
        <v>0</v>
      </c>
      <c r="AJ1050" s="26">
        <f>SUM(AJ1024:AJ1049)</f>
        <v>0</v>
      </c>
      <c r="AK1050" s="26">
        <f>SUM(AK1024:AK1049)</f>
        <v>0</v>
      </c>
      <c r="AL1050" s="26">
        <f>SUM(AL1024:AL1049)</f>
        <v>3</v>
      </c>
      <c r="AM1050" s="27">
        <f>SUM(AM1024:AM1049)</f>
        <v>0</v>
      </c>
      <c r="AN1050" s="25">
        <f>SUM(AI1050:AM1050)</f>
        <v>3</v>
      </c>
      <c r="AO1050" s="65">
        <f>SUM(AO1024:AO1049)</f>
        <v>0</v>
      </c>
      <c r="AP1050" s="18">
        <f>SUM(AP1024:AP1049)</f>
        <v>0</v>
      </c>
      <c r="AQ1050" s="18">
        <f>SUM(AQ1024:AQ1049)</f>
        <v>0</v>
      </c>
      <c r="AR1050" s="18">
        <f>SUM(AR1024:AR1049)</f>
        <v>0</v>
      </c>
      <c r="AS1050" s="70">
        <f>SUM(AS1024:AS1049)</f>
        <v>0</v>
      </c>
      <c r="AT1050" s="49">
        <f>SUM(AO1050:AS1050)</f>
        <v>0</v>
      </c>
      <c r="AU1050" s="74">
        <f>SUM(AU1024:AU1049)</f>
        <v>0</v>
      </c>
      <c r="AV1050" s="18">
        <f>SUM(AV1024:AV1049)</f>
        <v>0</v>
      </c>
      <c r="AW1050" s="18">
        <f>SUM(AW1024:AW1049)</f>
        <v>0</v>
      </c>
      <c r="AX1050" s="18">
        <f>SUM(AX1024:AX1049)</f>
        <v>3</v>
      </c>
      <c r="AY1050" s="70">
        <f>SUM(AY1024:AY1049)</f>
        <v>0</v>
      </c>
      <c r="AZ1050" s="49">
        <f>SUM(AU1050:AY1050)</f>
        <v>3</v>
      </c>
      <c r="BA1050" s="77">
        <f>AH1050+AN1050+AT1050+AZ1050</f>
        <v>16</v>
      </c>
    </row>
    <row r="1051" spans="1:54" ht="15" thickBot="1" x14ac:dyDescent="0.2">
      <c r="A1051" s="32" t="s">
        <v>14</v>
      </c>
      <c r="B1051" s="29">
        <f t="shared" ref="B1051:Y1051" si="624">B1023-B1050</f>
        <v>5</v>
      </c>
      <c r="C1051" s="30">
        <f t="shared" si="624"/>
        <v>3</v>
      </c>
      <c r="D1051" s="30">
        <f t="shared" si="624"/>
        <v>4</v>
      </c>
      <c r="E1051" s="30">
        <f t="shared" si="624"/>
        <v>5</v>
      </c>
      <c r="F1051" s="31">
        <f t="shared" si="624"/>
        <v>4</v>
      </c>
      <c r="G1051" s="31">
        <f t="shared" si="624"/>
        <v>21</v>
      </c>
      <c r="H1051" s="29">
        <f t="shared" si="624"/>
        <v>7</v>
      </c>
      <c r="I1051" s="30">
        <f t="shared" si="624"/>
        <v>4</v>
      </c>
      <c r="J1051" s="30">
        <f t="shared" si="624"/>
        <v>6</v>
      </c>
      <c r="K1051" s="30">
        <f t="shared" si="624"/>
        <v>6</v>
      </c>
      <c r="L1051" s="31">
        <f t="shared" si="624"/>
        <v>5</v>
      </c>
      <c r="M1051" s="66">
        <f t="shared" si="624"/>
        <v>28</v>
      </c>
      <c r="N1051" s="29">
        <f t="shared" si="624"/>
        <v>4</v>
      </c>
      <c r="O1051" s="30">
        <f t="shared" si="624"/>
        <v>5</v>
      </c>
      <c r="P1051" s="30">
        <f t="shared" si="624"/>
        <v>4</v>
      </c>
      <c r="Q1051" s="30">
        <f t="shared" si="624"/>
        <v>3</v>
      </c>
      <c r="R1051" s="66">
        <f t="shared" si="624"/>
        <v>4</v>
      </c>
      <c r="S1051" s="33">
        <f t="shared" si="624"/>
        <v>20</v>
      </c>
      <c r="T1051" s="75">
        <f t="shared" si="624"/>
        <v>6</v>
      </c>
      <c r="U1051" s="30">
        <f t="shared" si="624"/>
        <v>4</v>
      </c>
      <c r="V1051" s="30">
        <f t="shared" si="624"/>
        <v>4</v>
      </c>
      <c r="W1051" s="30">
        <f t="shared" si="624"/>
        <v>6</v>
      </c>
      <c r="X1051" s="66">
        <f t="shared" si="624"/>
        <v>8</v>
      </c>
      <c r="Y1051" s="33">
        <f t="shared" si="624"/>
        <v>28</v>
      </c>
      <c r="Z1051" s="77">
        <f>G1051+M1051+S1051+Y1051</f>
        <v>97</v>
      </c>
      <c r="AB1051" s="32" t="s">
        <v>14</v>
      </c>
      <c r="AC1051" s="29">
        <f t="shared" ref="AC1051:AZ1051" si="625">AC1023-AC1050</f>
        <v>87</v>
      </c>
      <c r="AD1051" s="30">
        <f t="shared" si="625"/>
        <v>119</v>
      </c>
      <c r="AE1051" s="30">
        <f t="shared" si="625"/>
        <v>118</v>
      </c>
      <c r="AF1051" s="30">
        <f t="shared" si="625"/>
        <v>92</v>
      </c>
      <c r="AG1051" s="31">
        <f t="shared" si="625"/>
        <v>79</v>
      </c>
      <c r="AH1051" s="31">
        <f t="shared" si="625"/>
        <v>495</v>
      </c>
      <c r="AI1051" s="29">
        <f t="shared" si="625"/>
        <v>78</v>
      </c>
      <c r="AJ1051" s="30">
        <f t="shared" si="625"/>
        <v>91</v>
      </c>
      <c r="AK1051" s="30">
        <f t="shared" si="625"/>
        <v>104</v>
      </c>
      <c r="AL1051" s="30">
        <f t="shared" si="625"/>
        <v>84</v>
      </c>
      <c r="AM1051" s="31">
        <f t="shared" si="625"/>
        <v>97</v>
      </c>
      <c r="AN1051" s="66">
        <f t="shared" si="625"/>
        <v>454</v>
      </c>
      <c r="AO1051" s="29">
        <f t="shared" si="625"/>
        <v>159</v>
      </c>
      <c r="AP1051" s="30">
        <f t="shared" si="625"/>
        <v>134</v>
      </c>
      <c r="AQ1051" s="30">
        <f t="shared" si="625"/>
        <v>129</v>
      </c>
      <c r="AR1051" s="30">
        <f t="shared" si="625"/>
        <v>137</v>
      </c>
      <c r="AS1051" s="66">
        <f t="shared" si="625"/>
        <v>149</v>
      </c>
      <c r="AT1051" s="33">
        <f t="shared" si="625"/>
        <v>708</v>
      </c>
      <c r="AU1051" s="75">
        <f t="shared" si="625"/>
        <v>116</v>
      </c>
      <c r="AV1051" s="30">
        <f t="shared" si="625"/>
        <v>71</v>
      </c>
      <c r="AW1051" s="30">
        <f t="shared" si="625"/>
        <v>60</v>
      </c>
      <c r="AX1051" s="30">
        <f t="shared" si="625"/>
        <v>54</v>
      </c>
      <c r="AY1051" s="66">
        <f t="shared" si="625"/>
        <v>95</v>
      </c>
      <c r="AZ1051" s="33">
        <f t="shared" si="625"/>
        <v>396</v>
      </c>
      <c r="BA1051" s="77">
        <f>AH1051+AN1051+AT1051+AZ1051</f>
        <v>2053</v>
      </c>
    </row>
    <row r="1054" spans="1:54" ht="19.5" thickBot="1" x14ac:dyDescent="0.25">
      <c r="A1054" s="1" t="s">
        <v>15</v>
      </c>
      <c r="AB1054" s="1" t="s">
        <v>16</v>
      </c>
    </row>
    <row r="1055" spans="1:54" ht="15" thickBot="1" x14ac:dyDescent="0.2">
      <c r="A1055" s="4"/>
      <c r="B1055" s="245" t="s">
        <v>17</v>
      </c>
      <c r="C1055" s="246"/>
      <c r="D1055" s="246"/>
      <c r="E1055" s="246"/>
      <c r="F1055" s="246"/>
      <c r="G1055" s="247"/>
      <c r="H1055" s="245" t="s">
        <v>18</v>
      </c>
      <c r="I1055" s="246"/>
      <c r="J1055" s="246"/>
      <c r="K1055" s="246"/>
      <c r="L1055" s="246"/>
      <c r="M1055" s="247"/>
      <c r="N1055" s="248" t="s">
        <v>27</v>
      </c>
      <c r="O1055" s="249"/>
      <c r="P1055" s="249"/>
      <c r="Q1055" s="249"/>
      <c r="R1055" s="249"/>
      <c r="S1055" s="250"/>
      <c r="T1055" s="248" t="s">
        <v>28</v>
      </c>
      <c r="U1055" s="249"/>
      <c r="V1055" s="249"/>
      <c r="W1055" s="249"/>
      <c r="X1055" s="249"/>
      <c r="Y1055" s="250"/>
      <c r="Z1055" s="251" t="s">
        <v>1</v>
      </c>
      <c r="AB1055" s="4"/>
      <c r="AC1055" s="253" t="s">
        <v>17</v>
      </c>
      <c r="AD1055" s="249"/>
      <c r="AE1055" s="249"/>
      <c r="AF1055" s="249"/>
      <c r="AG1055" s="249"/>
      <c r="AH1055" s="250"/>
      <c r="AI1055" s="248" t="s">
        <v>18</v>
      </c>
      <c r="AJ1055" s="249"/>
      <c r="AK1055" s="249"/>
      <c r="AL1055" s="249"/>
      <c r="AM1055" s="249"/>
      <c r="AN1055" s="250"/>
      <c r="AO1055" s="248" t="s">
        <v>27</v>
      </c>
      <c r="AP1055" s="249"/>
      <c r="AQ1055" s="249"/>
      <c r="AR1055" s="249"/>
      <c r="AS1055" s="249"/>
      <c r="AT1055" s="250"/>
      <c r="AU1055" s="248" t="s">
        <v>28</v>
      </c>
      <c r="AV1055" s="249"/>
      <c r="AW1055" s="249"/>
      <c r="AX1055" s="249"/>
      <c r="AY1055" s="249"/>
      <c r="AZ1055" s="250"/>
      <c r="BA1055" s="243" t="s">
        <v>1</v>
      </c>
    </row>
    <row r="1056" spans="1:54" ht="15" thickBot="1" x14ac:dyDescent="0.2">
      <c r="A1056" s="9" t="s">
        <v>2</v>
      </c>
      <c r="B1056" s="6" t="s">
        <v>3</v>
      </c>
      <c r="C1056" s="7" t="s">
        <v>4</v>
      </c>
      <c r="D1056" s="7" t="s">
        <v>5</v>
      </c>
      <c r="E1056" s="48" t="s">
        <v>20</v>
      </c>
      <c r="F1056" s="8" t="s">
        <v>21</v>
      </c>
      <c r="G1056" s="5" t="s">
        <v>6</v>
      </c>
      <c r="H1056" s="6" t="s">
        <v>3</v>
      </c>
      <c r="I1056" s="7" t="s">
        <v>4</v>
      </c>
      <c r="J1056" s="7" t="s">
        <v>5</v>
      </c>
      <c r="K1056" s="48" t="s">
        <v>20</v>
      </c>
      <c r="L1056" s="8" t="s">
        <v>21</v>
      </c>
      <c r="M1056" s="5" t="s">
        <v>6</v>
      </c>
      <c r="N1056" s="6" t="s">
        <v>3</v>
      </c>
      <c r="O1056" s="7" t="s">
        <v>4</v>
      </c>
      <c r="P1056" s="7" t="s">
        <v>5</v>
      </c>
      <c r="Q1056" s="48" t="s">
        <v>20</v>
      </c>
      <c r="R1056" s="8" t="s">
        <v>21</v>
      </c>
      <c r="S1056" s="5" t="s">
        <v>6</v>
      </c>
      <c r="T1056" s="7" t="s">
        <v>3</v>
      </c>
      <c r="U1056" s="7" t="s">
        <v>4</v>
      </c>
      <c r="V1056" s="7" t="s">
        <v>5</v>
      </c>
      <c r="W1056" s="48" t="s">
        <v>20</v>
      </c>
      <c r="X1056" s="109" t="s">
        <v>21</v>
      </c>
      <c r="Y1056" s="62" t="s">
        <v>6</v>
      </c>
      <c r="Z1056" s="252"/>
      <c r="AB1056" s="9" t="s">
        <v>2</v>
      </c>
      <c r="AC1056" s="6" t="s">
        <v>3</v>
      </c>
      <c r="AD1056" s="7" t="s">
        <v>4</v>
      </c>
      <c r="AE1056" s="7" t="s">
        <v>5</v>
      </c>
      <c r="AF1056" s="48" t="s">
        <v>20</v>
      </c>
      <c r="AG1056" s="8" t="s">
        <v>21</v>
      </c>
      <c r="AH1056" s="5" t="s">
        <v>6</v>
      </c>
      <c r="AI1056" s="6" t="s">
        <v>3</v>
      </c>
      <c r="AJ1056" s="7" t="s">
        <v>4</v>
      </c>
      <c r="AK1056" s="7" t="s">
        <v>5</v>
      </c>
      <c r="AL1056" s="48" t="s">
        <v>20</v>
      </c>
      <c r="AM1056" s="8" t="s">
        <v>21</v>
      </c>
      <c r="AN1056" s="5" t="s">
        <v>6</v>
      </c>
      <c r="AO1056" s="6" t="s">
        <v>3</v>
      </c>
      <c r="AP1056" s="7" t="s">
        <v>4</v>
      </c>
      <c r="AQ1056" s="7" t="s">
        <v>5</v>
      </c>
      <c r="AR1056" s="48" t="s">
        <v>20</v>
      </c>
      <c r="AS1056" s="8" t="s">
        <v>21</v>
      </c>
      <c r="AT1056" s="5" t="s">
        <v>6</v>
      </c>
      <c r="AU1056" s="7" t="s">
        <v>3</v>
      </c>
      <c r="AV1056" s="7" t="s">
        <v>4</v>
      </c>
      <c r="AW1056" s="7" t="s">
        <v>5</v>
      </c>
      <c r="AX1056" s="48" t="s">
        <v>20</v>
      </c>
      <c r="AY1056" s="109" t="s">
        <v>21</v>
      </c>
      <c r="AZ1056" s="62" t="s">
        <v>6</v>
      </c>
      <c r="BA1056" s="244"/>
    </row>
    <row r="1057" spans="1:56" ht="14.25" x14ac:dyDescent="0.15">
      <c r="A1057" s="103" t="s">
        <v>43</v>
      </c>
      <c r="B1057" s="104">
        <f>B1051</f>
        <v>5</v>
      </c>
      <c r="C1057" s="105">
        <f>C1051</f>
        <v>3</v>
      </c>
      <c r="D1057" s="105">
        <f>D1051</f>
        <v>4</v>
      </c>
      <c r="E1057" s="105">
        <f>E1051</f>
        <v>5</v>
      </c>
      <c r="F1057" s="105">
        <f>F1051</f>
        <v>4</v>
      </c>
      <c r="G1057" s="106">
        <f t="shared" ref="G1057" si="626">SUM(B1057:F1057)</f>
        <v>21</v>
      </c>
      <c r="H1057" s="104">
        <f>H1051</f>
        <v>7</v>
      </c>
      <c r="I1057" s="105">
        <f>I1051</f>
        <v>4</v>
      </c>
      <c r="J1057" s="105">
        <f>J1051</f>
        <v>6</v>
      </c>
      <c r="K1057" s="105">
        <f>K1051</f>
        <v>6</v>
      </c>
      <c r="L1057" s="105">
        <f>L1051</f>
        <v>5</v>
      </c>
      <c r="M1057" s="107">
        <f t="shared" ref="M1057:M1086" si="627">SUM(H1057:L1057)</f>
        <v>28</v>
      </c>
      <c r="N1057" s="104">
        <f>N1051</f>
        <v>4</v>
      </c>
      <c r="O1057" s="105">
        <f>O1051</f>
        <v>5</v>
      </c>
      <c r="P1057" s="105">
        <f>P1051</f>
        <v>4</v>
      </c>
      <c r="Q1057" s="105">
        <f>Q1051</f>
        <v>3</v>
      </c>
      <c r="R1057" s="105">
        <f>R1051</f>
        <v>4</v>
      </c>
      <c r="S1057" s="108">
        <f t="shared" ref="S1057:S1086" si="628">SUM(N1057:R1057)</f>
        <v>20</v>
      </c>
      <c r="T1057" s="104">
        <f>T1051</f>
        <v>6</v>
      </c>
      <c r="U1057" s="105">
        <f>U1051</f>
        <v>4</v>
      </c>
      <c r="V1057" s="105">
        <f>V1051</f>
        <v>4</v>
      </c>
      <c r="W1057" s="105">
        <f>W1051</f>
        <v>6</v>
      </c>
      <c r="X1057" s="105">
        <f>X1051</f>
        <v>8</v>
      </c>
      <c r="Y1057" s="106">
        <f t="shared" ref="Y1057:Y1086" si="629">SUM(T1057:X1057)</f>
        <v>28</v>
      </c>
      <c r="Z1057" s="106">
        <f t="shared" ref="Z1057:Z1086" si="630">G1057+M1057+S1057+Y1057</f>
        <v>97</v>
      </c>
      <c r="AB1057" s="103" t="s">
        <v>43</v>
      </c>
      <c r="AC1057" s="104">
        <f>AC1051</f>
        <v>87</v>
      </c>
      <c r="AD1057" s="105">
        <f>AD1051</f>
        <v>119</v>
      </c>
      <c r="AE1057" s="105">
        <f>AE1051</f>
        <v>118</v>
      </c>
      <c r="AF1057" s="105">
        <f>AF1051</f>
        <v>92</v>
      </c>
      <c r="AG1057" s="105">
        <f>AG1051</f>
        <v>79</v>
      </c>
      <c r="AH1057" s="106">
        <f>SUM(AC1057:AG1057)</f>
        <v>495</v>
      </c>
      <c r="AI1057" s="104">
        <f>AI1051</f>
        <v>78</v>
      </c>
      <c r="AJ1057" s="105">
        <f>AJ1051</f>
        <v>91</v>
      </c>
      <c r="AK1057" s="105">
        <f>AK1051</f>
        <v>104</v>
      </c>
      <c r="AL1057" s="105">
        <f>AL1051</f>
        <v>84</v>
      </c>
      <c r="AM1057" s="105">
        <f>AM1051</f>
        <v>97</v>
      </c>
      <c r="AN1057" s="107">
        <f>SUM(AI1057:AM1057)</f>
        <v>454</v>
      </c>
      <c r="AO1057" s="104">
        <f>AO1051</f>
        <v>159</v>
      </c>
      <c r="AP1057" s="105">
        <f>AP1051</f>
        <v>134</v>
      </c>
      <c r="AQ1057" s="105">
        <f>AQ1051</f>
        <v>129</v>
      </c>
      <c r="AR1057" s="105">
        <f>AR1051</f>
        <v>137</v>
      </c>
      <c r="AS1057" s="105">
        <f>AS1051</f>
        <v>149</v>
      </c>
      <c r="AT1057" s="108">
        <f>SUM(AO1057:AS1057)</f>
        <v>708</v>
      </c>
      <c r="AU1057" s="104">
        <f>AU1051</f>
        <v>116</v>
      </c>
      <c r="AV1057" s="105">
        <f>AV1051</f>
        <v>71</v>
      </c>
      <c r="AW1057" s="105">
        <f>AW1051</f>
        <v>60</v>
      </c>
      <c r="AX1057" s="105">
        <f>AX1051</f>
        <v>54</v>
      </c>
      <c r="AY1057" s="105">
        <f>AY1051</f>
        <v>95</v>
      </c>
      <c r="AZ1057" s="106">
        <f>SUM(AU1057:AY1057)</f>
        <v>396</v>
      </c>
      <c r="BA1057" s="106">
        <f>AH1057+AN1057+AT1057+AZ1057</f>
        <v>2053</v>
      </c>
    </row>
    <row r="1058" spans="1:56" ht="14.25" x14ac:dyDescent="0.15">
      <c r="A1058" s="10" t="s">
        <v>181</v>
      </c>
      <c r="B1058" s="41"/>
      <c r="C1058" s="42">
        <v>3</v>
      </c>
      <c r="D1058" s="42"/>
      <c r="E1058" s="42"/>
      <c r="F1058" s="42"/>
      <c r="G1058" s="43">
        <f t="shared" ref="G1058" si="631">SUM(B1058:F1058)</f>
        <v>3</v>
      </c>
      <c r="H1058" s="41"/>
      <c r="I1058" s="15"/>
      <c r="J1058" s="15"/>
      <c r="K1058" s="15"/>
      <c r="L1058" s="15"/>
      <c r="M1058" s="57">
        <f t="shared" si="627"/>
        <v>0</v>
      </c>
      <c r="N1058" s="14"/>
      <c r="O1058" s="55"/>
      <c r="P1058" s="55"/>
      <c r="Q1058" s="55">
        <v>3</v>
      </c>
      <c r="R1058" s="67"/>
      <c r="S1058" s="24">
        <f t="shared" si="628"/>
        <v>3</v>
      </c>
      <c r="T1058" s="15"/>
      <c r="U1058" s="55"/>
      <c r="V1058" s="55"/>
      <c r="W1058" s="55"/>
      <c r="X1058" s="67"/>
      <c r="Y1058" s="24">
        <f t="shared" si="629"/>
        <v>0</v>
      </c>
      <c r="Z1058" s="24">
        <f t="shared" si="630"/>
        <v>6</v>
      </c>
      <c r="AA1058" s="83">
        <v>44910</v>
      </c>
      <c r="AB1058" s="10" t="s">
        <v>181</v>
      </c>
      <c r="AC1058" s="14"/>
      <c r="AD1058" s="15"/>
      <c r="AE1058" s="15"/>
      <c r="AF1058" s="15"/>
      <c r="AG1058" s="15"/>
      <c r="AH1058" s="43">
        <f t="shared" ref="AH1058:AH1059" si="632">SUM(AC1058:AG1058)</f>
        <v>0</v>
      </c>
      <c r="AI1058" s="14"/>
      <c r="AJ1058" s="15"/>
      <c r="AK1058" s="15"/>
      <c r="AL1058" s="15"/>
      <c r="AM1058" s="15"/>
      <c r="AN1058" s="43">
        <f t="shared" ref="AN1058:AN1059" si="633">SUM(AI1058:AM1058)</f>
        <v>0</v>
      </c>
      <c r="AO1058" s="14"/>
      <c r="AP1058" s="55"/>
      <c r="AQ1058" s="55"/>
      <c r="AR1058" s="55"/>
      <c r="AS1058" s="67"/>
      <c r="AT1058" s="24">
        <f t="shared" ref="AT1058:AT1059" si="634">SUM(AO1058:AS1058)</f>
        <v>0</v>
      </c>
      <c r="AU1058" s="15"/>
      <c r="AV1058" s="55"/>
      <c r="AW1058" s="55"/>
      <c r="AX1058" s="55"/>
      <c r="AY1058" s="67"/>
      <c r="AZ1058" s="24">
        <f t="shared" ref="AZ1058:AZ1059" si="635">SUM(AU1058:AY1058)</f>
        <v>0</v>
      </c>
      <c r="BA1058" s="24">
        <f t="shared" ref="BA1058:BA1059" si="636">AH1058+AN1058+AT1058+AZ1058</f>
        <v>0</v>
      </c>
      <c r="BB1058" s="128"/>
    </row>
    <row r="1059" spans="1:56" ht="14.25" x14ac:dyDescent="0.15">
      <c r="A1059" s="10" t="s">
        <v>77</v>
      </c>
      <c r="B1059" s="41"/>
      <c r="C1059" s="42"/>
      <c r="D1059" s="42"/>
      <c r="E1059" s="42"/>
      <c r="F1059" s="42">
        <v>1</v>
      </c>
      <c r="G1059" s="37">
        <f t="shared" ref="G1059:G1062" si="637">SUM(B1059:F1059)</f>
        <v>1</v>
      </c>
      <c r="H1059" s="41"/>
      <c r="I1059" s="42"/>
      <c r="J1059" s="42"/>
      <c r="K1059" s="42"/>
      <c r="L1059" s="42"/>
      <c r="M1059" s="114">
        <f t="shared" si="627"/>
        <v>0</v>
      </c>
      <c r="N1059" s="41"/>
      <c r="O1059" s="53"/>
      <c r="P1059" s="53"/>
      <c r="Q1059" s="53"/>
      <c r="R1059" s="72"/>
      <c r="S1059" s="24">
        <f t="shared" si="628"/>
        <v>0</v>
      </c>
      <c r="T1059" s="42"/>
      <c r="U1059" s="53"/>
      <c r="V1059" s="53"/>
      <c r="W1059" s="53"/>
      <c r="X1059" s="72"/>
      <c r="Y1059" s="24">
        <f t="shared" si="629"/>
        <v>0</v>
      </c>
      <c r="Z1059" s="24">
        <f t="shared" si="630"/>
        <v>1</v>
      </c>
      <c r="AA1059" s="83">
        <v>44922</v>
      </c>
      <c r="AB1059" s="10" t="s">
        <v>181</v>
      </c>
      <c r="AC1059" s="14"/>
      <c r="AD1059" s="15"/>
      <c r="AE1059" s="15"/>
      <c r="AF1059" s="15"/>
      <c r="AG1059" s="15"/>
      <c r="AH1059" s="43">
        <f t="shared" si="632"/>
        <v>0</v>
      </c>
      <c r="AI1059" s="14"/>
      <c r="AJ1059" s="15"/>
      <c r="AK1059" s="15"/>
      <c r="AL1059" s="15"/>
      <c r="AM1059" s="15"/>
      <c r="AN1059" s="43">
        <f t="shared" si="633"/>
        <v>0</v>
      </c>
      <c r="AO1059" s="14"/>
      <c r="AP1059" s="55"/>
      <c r="AQ1059" s="55"/>
      <c r="AR1059" s="55"/>
      <c r="AS1059" s="67"/>
      <c r="AT1059" s="24">
        <f t="shared" si="634"/>
        <v>0</v>
      </c>
      <c r="AU1059" s="15"/>
      <c r="AV1059" s="55"/>
      <c r="AW1059" s="55"/>
      <c r="AX1059" s="55"/>
      <c r="AY1059" s="67"/>
      <c r="AZ1059" s="24">
        <f t="shared" si="635"/>
        <v>0</v>
      </c>
      <c r="BA1059" s="24">
        <f t="shared" si="636"/>
        <v>0</v>
      </c>
      <c r="BB1059" s="128"/>
    </row>
    <row r="1060" spans="1:56" ht="14.25" x14ac:dyDescent="0.15">
      <c r="A1060" s="10" t="s">
        <v>181</v>
      </c>
      <c r="B1060" s="14"/>
      <c r="C1060" s="15">
        <v>2</v>
      </c>
      <c r="D1060" s="15"/>
      <c r="E1060" s="15"/>
      <c r="F1060" s="15"/>
      <c r="G1060" s="16">
        <f t="shared" si="637"/>
        <v>2</v>
      </c>
      <c r="H1060" s="14"/>
      <c r="I1060" s="15">
        <v>2</v>
      </c>
      <c r="J1060" s="15">
        <v>2</v>
      </c>
      <c r="K1060" s="15"/>
      <c r="L1060" s="15"/>
      <c r="M1060" s="57">
        <f t="shared" si="627"/>
        <v>4</v>
      </c>
      <c r="N1060" s="14"/>
      <c r="O1060" s="55"/>
      <c r="P1060" s="55"/>
      <c r="Q1060" s="55"/>
      <c r="R1060" s="67"/>
      <c r="S1060" s="24">
        <f t="shared" si="628"/>
        <v>0</v>
      </c>
      <c r="T1060" s="15"/>
      <c r="U1060" s="55"/>
      <c r="V1060" s="55">
        <v>2</v>
      </c>
      <c r="W1060" s="55"/>
      <c r="X1060" s="67"/>
      <c r="Y1060" s="24">
        <f t="shared" si="629"/>
        <v>2</v>
      </c>
      <c r="Z1060" s="24">
        <f t="shared" si="630"/>
        <v>8</v>
      </c>
      <c r="AA1060" s="83">
        <v>44944</v>
      </c>
      <c r="AB1060" s="10" t="s">
        <v>181</v>
      </c>
      <c r="AC1060" s="14"/>
      <c r="AD1060" s="15"/>
      <c r="AE1060" s="15"/>
      <c r="AF1060" s="15"/>
      <c r="AG1060" s="15"/>
      <c r="AH1060" s="43">
        <f t="shared" ref="AH1060:AH1072" si="638">SUM(AC1060:AG1060)</f>
        <v>0</v>
      </c>
      <c r="AI1060" s="14"/>
      <c r="AJ1060" s="15"/>
      <c r="AK1060" s="15"/>
      <c r="AL1060" s="15"/>
      <c r="AM1060" s="15"/>
      <c r="AN1060" s="43">
        <f t="shared" ref="AN1060:AN1072" si="639">SUM(AI1060:AM1060)</f>
        <v>0</v>
      </c>
      <c r="AO1060" s="14"/>
      <c r="AP1060" s="55"/>
      <c r="AQ1060" s="55"/>
      <c r="AR1060" s="55"/>
      <c r="AS1060" s="67"/>
      <c r="AT1060" s="24">
        <f t="shared" ref="AT1060:AT1072" si="640">SUM(AO1060:AS1060)</f>
        <v>0</v>
      </c>
      <c r="AU1060" s="15"/>
      <c r="AV1060" s="55"/>
      <c r="AW1060" s="55"/>
      <c r="AX1060" s="55"/>
      <c r="AY1060" s="67"/>
      <c r="AZ1060" s="24">
        <f t="shared" ref="AZ1060:AZ1072" si="641">SUM(AU1060:AY1060)</f>
        <v>0</v>
      </c>
      <c r="BA1060" s="24">
        <f t="shared" ref="BA1060:BA1072" si="642">AH1060+AN1060+AT1060+AZ1060</f>
        <v>0</v>
      </c>
      <c r="BB1060" s="128"/>
    </row>
    <row r="1061" spans="1:56" ht="15" thickBot="1" x14ac:dyDescent="0.2">
      <c r="A1061" s="10" t="s">
        <v>181</v>
      </c>
      <c r="B1061" s="14"/>
      <c r="C1061" s="15"/>
      <c r="D1061" s="15"/>
      <c r="E1061" s="15"/>
      <c r="F1061" s="15"/>
      <c r="G1061" s="16">
        <f t="shared" si="637"/>
        <v>0</v>
      </c>
      <c r="H1061" s="14"/>
      <c r="I1061" s="15"/>
      <c r="J1061" s="15"/>
      <c r="K1061" s="15"/>
      <c r="L1061" s="15"/>
      <c r="M1061" s="57">
        <f t="shared" si="627"/>
        <v>0</v>
      </c>
      <c r="N1061" s="63">
        <v>2</v>
      </c>
      <c r="O1061" s="64">
        <v>2</v>
      </c>
      <c r="P1061" s="64">
        <v>2</v>
      </c>
      <c r="Q1061" s="64"/>
      <c r="R1061" s="69"/>
      <c r="S1061" s="82">
        <f t="shared" si="628"/>
        <v>6</v>
      </c>
      <c r="T1061" s="73"/>
      <c r="U1061" s="64"/>
      <c r="V1061" s="64"/>
      <c r="W1061" s="64"/>
      <c r="X1061" s="69"/>
      <c r="Y1061" s="82">
        <f t="shared" si="629"/>
        <v>0</v>
      </c>
      <c r="Z1061" s="82">
        <f t="shared" si="630"/>
        <v>6</v>
      </c>
      <c r="AA1061" s="83">
        <v>44952</v>
      </c>
      <c r="AB1061" s="85" t="s">
        <v>33</v>
      </c>
      <c r="AC1061" s="86">
        <v>2</v>
      </c>
      <c r="AD1061" s="87"/>
      <c r="AE1061" s="87">
        <v>10</v>
      </c>
      <c r="AF1061" s="87">
        <v>6</v>
      </c>
      <c r="AG1061" s="87"/>
      <c r="AH1061" s="37">
        <f t="shared" si="638"/>
        <v>18</v>
      </c>
      <c r="AI1061" s="86">
        <v>2</v>
      </c>
      <c r="AJ1061" s="87">
        <v>5</v>
      </c>
      <c r="AK1061" s="87">
        <v>7</v>
      </c>
      <c r="AL1061" s="87"/>
      <c r="AM1061" s="87">
        <v>3</v>
      </c>
      <c r="AN1061" s="37">
        <f t="shared" si="639"/>
        <v>17</v>
      </c>
      <c r="AO1061" s="198"/>
      <c r="AP1061" s="199"/>
      <c r="AQ1061" s="199"/>
      <c r="AR1061" s="199"/>
      <c r="AS1061" s="200"/>
      <c r="AT1061" s="16">
        <f t="shared" si="640"/>
        <v>0</v>
      </c>
      <c r="AU1061" s="201"/>
      <c r="AV1061" s="199"/>
      <c r="AW1061" s="199"/>
      <c r="AX1061" s="199"/>
      <c r="AY1061" s="200"/>
      <c r="AZ1061" s="16">
        <f t="shared" si="641"/>
        <v>0</v>
      </c>
      <c r="BA1061" s="16">
        <f t="shared" si="642"/>
        <v>35</v>
      </c>
      <c r="BB1061" s="83">
        <v>44912</v>
      </c>
    </row>
    <row r="1062" spans="1:56" ht="15" thickBot="1" x14ac:dyDescent="0.2">
      <c r="A1062" s="4" t="s">
        <v>12</v>
      </c>
      <c r="B1062" s="17">
        <f>SUM(B1057:B1061)</f>
        <v>5</v>
      </c>
      <c r="C1062" s="18">
        <f>SUM(C1057:C1061)</f>
        <v>8</v>
      </c>
      <c r="D1062" s="18">
        <f>SUM(D1057:D1061)</f>
        <v>4</v>
      </c>
      <c r="E1062" s="18">
        <f>SUM(E1057:E1061)</f>
        <v>5</v>
      </c>
      <c r="F1062" s="18">
        <f>SUM(F1057:F1061)</f>
        <v>5</v>
      </c>
      <c r="G1062" s="19">
        <f t="shared" si="637"/>
        <v>27</v>
      </c>
      <c r="H1062" s="17">
        <f>SUM(H1057:H1061)</f>
        <v>7</v>
      </c>
      <c r="I1062" s="18">
        <f>SUM(I1057:I1061)</f>
        <v>6</v>
      </c>
      <c r="J1062" s="18">
        <f>SUM(J1057:J1061)</f>
        <v>8</v>
      </c>
      <c r="K1062" s="18">
        <f>SUM(K1057:K1061)</f>
        <v>6</v>
      </c>
      <c r="L1062" s="18">
        <f>SUM(L1057:L1061)</f>
        <v>5</v>
      </c>
      <c r="M1062" s="25">
        <f t="shared" si="627"/>
        <v>32</v>
      </c>
      <c r="N1062" s="65">
        <f>SUM(N1057:N1061)</f>
        <v>6</v>
      </c>
      <c r="O1062" s="18">
        <f>SUM(O1057:O1061)</f>
        <v>7</v>
      </c>
      <c r="P1062" s="18">
        <f>SUM(P1057:P1061)</f>
        <v>6</v>
      </c>
      <c r="Q1062" s="18">
        <f>SUM(Q1057:Q1061)</f>
        <v>6</v>
      </c>
      <c r="R1062" s="70">
        <f>SUM(R1057:R1061)</f>
        <v>4</v>
      </c>
      <c r="S1062" s="49">
        <f t="shared" si="628"/>
        <v>29</v>
      </c>
      <c r="T1062" s="74">
        <f>SUM(T1057:T1061)</f>
        <v>6</v>
      </c>
      <c r="U1062" s="18">
        <f>SUM(U1057:U1061)</f>
        <v>4</v>
      </c>
      <c r="V1062" s="18">
        <f>SUM(V1057:V1061)</f>
        <v>6</v>
      </c>
      <c r="W1062" s="18">
        <f>SUM(W1057:W1061)</f>
        <v>6</v>
      </c>
      <c r="X1062" s="70">
        <f>SUM(X1057:X1061)</f>
        <v>8</v>
      </c>
      <c r="Y1062" s="49">
        <f t="shared" si="629"/>
        <v>30</v>
      </c>
      <c r="Z1062" s="33">
        <f t="shared" si="630"/>
        <v>118</v>
      </c>
      <c r="AB1062" s="4" t="s">
        <v>12</v>
      </c>
      <c r="AC1062" s="17">
        <f>SUM(AC1057:AC1061)</f>
        <v>89</v>
      </c>
      <c r="AD1062" s="18">
        <f>SUM(AD1057:AD1061)</f>
        <v>119</v>
      </c>
      <c r="AE1062" s="18">
        <f>SUM(AE1057:AE1061)</f>
        <v>128</v>
      </c>
      <c r="AF1062" s="18">
        <f>SUM(AF1057:AF1061)</f>
        <v>98</v>
      </c>
      <c r="AG1062" s="18">
        <f>SUM(AG1057:AG1061)</f>
        <v>79</v>
      </c>
      <c r="AH1062" s="148">
        <f t="shared" si="638"/>
        <v>513</v>
      </c>
      <c r="AI1062" s="17">
        <f>SUM(AI1057:AI1061)</f>
        <v>80</v>
      </c>
      <c r="AJ1062" s="18">
        <f>SUM(AJ1057:AJ1061)</f>
        <v>96</v>
      </c>
      <c r="AK1062" s="18">
        <f>SUM(AK1057:AK1061)</f>
        <v>111</v>
      </c>
      <c r="AL1062" s="18">
        <f>SUM(AL1057:AL1061)</f>
        <v>84</v>
      </c>
      <c r="AM1062" s="18">
        <f>SUM(AM1057:AM1061)</f>
        <v>100</v>
      </c>
      <c r="AN1062" s="148">
        <f t="shared" si="639"/>
        <v>471</v>
      </c>
      <c r="AO1062" s="65">
        <f>SUM(AO1057:AO1061)</f>
        <v>159</v>
      </c>
      <c r="AP1062" s="18">
        <f>SUM(AP1057:AP1061)</f>
        <v>134</v>
      </c>
      <c r="AQ1062" s="18">
        <f>SUM(AQ1057:AQ1061)</f>
        <v>129</v>
      </c>
      <c r="AR1062" s="18">
        <f>SUM(AR1057:AR1061)</f>
        <v>137</v>
      </c>
      <c r="AS1062" s="70">
        <f>SUM(AS1057:AS1061)</f>
        <v>149</v>
      </c>
      <c r="AT1062" s="49">
        <f t="shared" si="640"/>
        <v>708</v>
      </c>
      <c r="AU1062" s="74">
        <f>SUM(AU1057:AU1061)</f>
        <v>116</v>
      </c>
      <c r="AV1062" s="18">
        <f>SUM(AV1057:AV1061)</f>
        <v>71</v>
      </c>
      <c r="AW1062" s="18">
        <f>SUM(AW1057:AW1061)</f>
        <v>60</v>
      </c>
      <c r="AX1062" s="18">
        <f>SUM(AX1057:AX1061)</f>
        <v>54</v>
      </c>
      <c r="AY1062" s="70">
        <f>SUM(AY1057:AY1061)</f>
        <v>95</v>
      </c>
      <c r="AZ1062" s="49">
        <f t="shared" si="641"/>
        <v>396</v>
      </c>
      <c r="BA1062" s="33">
        <f t="shared" si="642"/>
        <v>2088</v>
      </c>
    </row>
    <row r="1063" spans="1:56" ht="14.25" x14ac:dyDescent="0.15">
      <c r="A1063" s="23" t="s">
        <v>48</v>
      </c>
      <c r="B1063" s="41"/>
      <c r="C1063" s="42"/>
      <c r="D1063" s="42"/>
      <c r="E1063" s="42"/>
      <c r="F1063" s="42">
        <v>1</v>
      </c>
      <c r="G1063" s="43">
        <f t="shared" ref="G1063:G1086" si="643">SUM(B1063:F1063)</f>
        <v>1</v>
      </c>
      <c r="H1063" s="41"/>
      <c r="I1063" s="42"/>
      <c r="J1063" s="42"/>
      <c r="K1063" s="42"/>
      <c r="L1063" s="42"/>
      <c r="M1063" s="43">
        <f t="shared" si="627"/>
        <v>0</v>
      </c>
      <c r="N1063" s="42"/>
      <c r="O1063" s="53"/>
      <c r="P1063" s="53"/>
      <c r="Q1063" s="53"/>
      <c r="R1063" s="72"/>
      <c r="S1063" s="24">
        <f t="shared" si="628"/>
        <v>0</v>
      </c>
      <c r="T1063" s="42"/>
      <c r="U1063" s="53"/>
      <c r="V1063" s="53">
        <v>1</v>
      </c>
      <c r="W1063" s="53"/>
      <c r="X1063" s="72"/>
      <c r="Y1063" s="24">
        <f t="shared" si="629"/>
        <v>1</v>
      </c>
      <c r="Z1063" s="24">
        <f t="shared" si="630"/>
        <v>2</v>
      </c>
      <c r="AA1063" s="93">
        <v>44910</v>
      </c>
      <c r="AB1063" s="23" t="s">
        <v>126</v>
      </c>
      <c r="AC1063" s="41"/>
      <c r="AD1063" s="42">
        <v>3</v>
      </c>
      <c r="AE1063" s="42"/>
      <c r="AF1063" s="42"/>
      <c r="AG1063" s="42"/>
      <c r="AH1063" s="43">
        <f t="shared" ref="AH1063" si="644">SUM(AC1063:AG1063)</f>
        <v>3</v>
      </c>
      <c r="AI1063" s="41"/>
      <c r="AJ1063" s="42"/>
      <c r="AK1063" s="42"/>
      <c r="AL1063" s="42"/>
      <c r="AM1063" s="42"/>
      <c r="AN1063" s="43">
        <f t="shared" ref="AN1063" si="645">SUM(AI1063:AM1063)</f>
        <v>0</v>
      </c>
      <c r="AO1063" s="42"/>
      <c r="AP1063" s="53"/>
      <c r="AQ1063" s="53"/>
      <c r="AR1063" s="53">
        <v>3</v>
      </c>
      <c r="AS1063" s="72"/>
      <c r="AT1063" s="24">
        <f t="shared" ref="AT1063" si="646">SUM(AO1063:AS1063)</f>
        <v>3</v>
      </c>
      <c r="AU1063" s="42"/>
      <c r="AV1063" s="53"/>
      <c r="AW1063" s="53"/>
      <c r="AX1063" s="53"/>
      <c r="AY1063" s="72"/>
      <c r="AZ1063" s="24">
        <f t="shared" ref="AZ1063" si="647">SUM(AU1063:AY1063)</f>
        <v>0</v>
      </c>
      <c r="BA1063" s="24">
        <f t="shared" si="642"/>
        <v>6</v>
      </c>
      <c r="BB1063" s="83">
        <v>44910</v>
      </c>
      <c r="BC1063" s="111"/>
      <c r="BD1063" s="111"/>
    </row>
    <row r="1064" spans="1:56" ht="14.25" x14ac:dyDescent="0.15">
      <c r="A1064" s="23" t="s">
        <v>48</v>
      </c>
      <c r="B1064" s="41"/>
      <c r="C1064" s="42"/>
      <c r="D1064" s="42"/>
      <c r="E1064" s="42"/>
      <c r="F1064" s="42"/>
      <c r="G1064" s="43">
        <f t="shared" si="643"/>
        <v>0</v>
      </c>
      <c r="H1064" s="41"/>
      <c r="I1064" s="42"/>
      <c r="J1064" s="42">
        <v>1</v>
      </c>
      <c r="K1064" s="42"/>
      <c r="L1064" s="42"/>
      <c r="M1064" s="43">
        <f t="shared" si="627"/>
        <v>1</v>
      </c>
      <c r="N1064" s="42"/>
      <c r="O1064" s="53"/>
      <c r="P1064" s="53"/>
      <c r="Q1064" s="53"/>
      <c r="R1064" s="72"/>
      <c r="S1064" s="24">
        <f t="shared" si="628"/>
        <v>0</v>
      </c>
      <c r="T1064" s="42"/>
      <c r="U1064" s="53"/>
      <c r="V1064" s="53"/>
      <c r="W1064" s="53"/>
      <c r="X1064" s="72"/>
      <c r="Y1064" s="24">
        <f t="shared" si="629"/>
        <v>0</v>
      </c>
      <c r="Z1064" s="24">
        <f t="shared" si="630"/>
        <v>1</v>
      </c>
      <c r="AA1064" s="93">
        <v>44915</v>
      </c>
      <c r="AB1064" s="23" t="s">
        <v>438</v>
      </c>
      <c r="AC1064" s="41"/>
      <c r="AD1064" s="42"/>
      <c r="AE1064" s="42"/>
      <c r="AF1064" s="42"/>
      <c r="AG1064" s="42"/>
      <c r="AH1064" s="43">
        <f t="shared" ref="AH1064:AH1065" si="648">SUM(AC1064:AG1064)</f>
        <v>0</v>
      </c>
      <c r="AI1064" s="41"/>
      <c r="AJ1064" s="42"/>
      <c r="AK1064" s="42"/>
      <c r="AL1064" s="42"/>
      <c r="AM1064" s="42"/>
      <c r="AN1064" s="43">
        <f t="shared" ref="AN1064" si="649">SUM(AI1064:AM1064)</f>
        <v>0</v>
      </c>
      <c r="AO1064" s="42"/>
      <c r="AP1064" s="53">
        <v>2</v>
      </c>
      <c r="AQ1064" s="53"/>
      <c r="AR1064" s="53"/>
      <c r="AS1064" s="72"/>
      <c r="AT1064" s="24">
        <f t="shared" ref="AT1064" si="650">SUM(AO1064:AS1064)</f>
        <v>2</v>
      </c>
      <c r="AU1064" s="42"/>
      <c r="AV1064" s="53"/>
      <c r="AW1064" s="53"/>
      <c r="AX1064" s="53"/>
      <c r="AY1064" s="72"/>
      <c r="AZ1064" s="24">
        <f t="shared" ref="AZ1064" si="651">SUM(AU1064:AY1064)</f>
        <v>0</v>
      </c>
      <c r="BA1064" s="24">
        <f t="shared" ref="BA1064:BA1065" si="652">AH1064+AN1064+AT1064+AZ1064</f>
        <v>2</v>
      </c>
      <c r="BB1064" s="83">
        <v>44939</v>
      </c>
    </row>
    <row r="1065" spans="1:56" ht="14.25" x14ac:dyDescent="0.15">
      <c r="A1065" s="23" t="s">
        <v>48</v>
      </c>
      <c r="B1065" s="41"/>
      <c r="C1065" s="42"/>
      <c r="D1065" s="42"/>
      <c r="E1065" s="42"/>
      <c r="F1065" s="42"/>
      <c r="G1065" s="43">
        <f t="shared" si="643"/>
        <v>0</v>
      </c>
      <c r="H1065" s="41"/>
      <c r="I1065" s="42"/>
      <c r="J1065" s="42">
        <v>1</v>
      </c>
      <c r="K1065" s="42"/>
      <c r="L1065" s="42"/>
      <c r="M1065" s="43">
        <f t="shared" si="627"/>
        <v>1</v>
      </c>
      <c r="N1065" s="42"/>
      <c r="O1065" s="53"/>
      <c r="P1065" s="53"/>
      <c r="Q1065" s="53"/>
      <c r="R1065" s="72"/>
      <c r="S1065" s="24">
        <f t="shared" si="628"/>
        <v>0</v>
      </c>
      <c r="T1065" s="42"/>
      <c r="U1065" s="53"/>
      <c r="V1065" s="53"/>
      <c r="W1065" s="53"/>
      <c r="X1065" s="72"/>
      <c r="Y1065" s="24">
        <f t="shared" si="629"/>
        <v>0</v>
      </c>
      <c r="Z1065" s="24">
        <f t="shared" si="630"/>
        <v>1</v>
      </c>
      <c r="AA1065" s="93">
        <v>44916</v>
      </c>
      <c r="AB1065" s="23" t="s">
        <v>126</v>
      </c>
      <c r="AC1065" s="14"/>
      <c r="AD1065" s="15">
        <v>2</v>
      </c>
      <c r="AE1065" s="15"/>
      <c r="AF1065" s="15"/>
      <c r="AG1065" s="15"/>
      <c r="AH1065" s="16">
        <f t="shared" si="648"/>
        <v>2</v>
      </c>
      <c r="AI1065" s="14"/>
      <c r="AJ1065" s="15">
        <v>2</v>
      </c>
      <c r="AK1065" s="15">
        <v>2</v>
      </c>
      <c r="AL1065" s="15"/>
      <c r="AM1065" s="15"/>
      <c r="AN1065" s="57">
        <f t="shared" ref="AN1065" si="653">SUM(AI1065:AM1065)</f>
        <v>4</v>
      </c>
      <c r="AO1065" s="14"/>
      <c r="AP1065" s="55"/>
      <c r="AQ1065" s="55"/>
      <c r="AR1065" s="55"/>
      <c r="AS1065" s="67"/>
      <c r="AT1065" s="24">
        <f t="shared" ref="AT1065" si="654">SUM(AO1065:AS1065)</f>
        <v>0</v>
      </c>
      <c r="AU1065" s="15"/>
      <c r="AV1065" s="55"/>
      <c r="AW1065" s="55">
        <v>2</v>
      </c>
      <c r="AX1065" s="55"/>
      <c r="AY1065" s="67"/>
      <c r="AZ1065" s="24">
        <f t="shared" ref="AZ1065" si="655">SUM(AU1065:AY1065)</f>
        <v>2</v>
      </c>
      <c r="BA1065" s="24">
        <f t="shared" si="652"/>
        <v>8</v>
      </c>
      <c r="BB1065" s="83">
        <v>44944</v>
      </c>
    </row>
    <row r="1066" spans="1:56" ht="14.25" x14ac:dyDescent="0.15">
      <c r="A1066" s="23" t="s">
        <v>48</v>
      </c>
      <c r="B1066" s="41"/>
      <c r="C1066" s="42"/>
      <c r="D1066" s="42"/>
      <c r="E1066" s="42"/>
      <c r="F1066" s="42"/>
      <c r="G1066" s="43">
        <f t="shared" si="643"/>
        <v>0</v>
      </c>
      <c r="H1066" s="41"/>
      <c r="I1066" s="42"/>
      <c r="J1066" s="42">
        <v>1</v>
      </c>
      <c r="K1066" s="42"/>
      <c r="L1066" s="42"/>
      <c r="M1066" s="43">
        <f t="shared" si="627"/>
        <v>1</v>
      </c>
      <c r="N1066" s="42"/>
      <c r="O1066" s="53"/>
      <c r="P1066" s="53"/>
      <c r="Q1066" s="53"/>
      <c r="R1066" s="72"/>
      <c r="S1066" s="24">
        <f t="shared" si="628"/>
        <v>0</v>
      </c>
      <c r="T1066" s="42"/>
      <c r="U1066" s="53"/>
      <c r="V1066" s="53"/>
      <c r="W1066" s="53"/>
      <c r="X1066" s="72"/>
      <c r="Y1066" s="24">
        <f t="shared" si="629"/>
        <v>0</v>
      </c>
      <c r="Z1066" s="24">
        <f t="shared" si="630"/>
        <v>1</v>
      </c>
      <c r="AA1066" s="93">
        <v>44917</v>
      </c>
      <c r="AB1066" s="23" t="s">
        <v>438</v>
      </c>
      <c r="AC1066" s="41"/>
      <c r="AD1066" s="42"/>
      <c r="AE1066" s="42"/>
      <c r="AF1066" s="42"/>
      <c r="AG1066" s="42"/>
      <c r="AH1066" s="43">
        <f t="shared" si="638"/>
        <v>0</v>
      </c>
      <c r="AI1066" s="41"/>
      <c r="AJ1066" s="42"/>
      <c r="AK1066" s="42">
        <v>2</v>
      </c>
      <c r="AL1066" s="42"/>
      <c r="AM1066" s="42"/>
      <c r="AN1066" s="43">
        <f t="shared" si="639"/>
        <v>2</v>
      </c>
      <c r="AO1066" s="42">
        <v>1</v>
      </c>
      <c r="AP1066" s="53"/>
      <c r="AQ1066" s="53">
        <v>1</v>
      </c>
      <c r="AR1066" s="53"/>
      <c r="AS1066" s="72"/>
      <c r="AT1066" s="24">
        <f t="shared" si="640"/>
        <v>2</v>
      </c>
      <c r="AU1066" s="42">
        <v>1</v>
      </c>
      <c r="AV1066" s="53"/>
      <c r="AW1066" s="53"/>
      <c r="AX1066" s="53"/>
      <c r="AY1066" s="72"/>
      <c r="AZ1066" s="24">
        <f t="shared" si="641"/>
        <v>1</v>
      </c>
      <c r="BA1066" s="24">
        <f t="shared" si="642"/>
        <v>5</v>
      </c>
      <c r="BB1066" s="83">
        <v>44944</v>
      </c>
    </row>
    <row r="1067" spans="1:56" ht="14.25" x14ac:dyDescent="0.15">
      <c r="A1067" s="23" t="s">
        <v>438</v>
      </c>
      <c r="B1067" s="41"/>
      <c r="C1067" s="42"/>
      <c r="D1067" s="42"/>
      <c r="E1067" s="42"/>
      <c r="F1067" s="42"/>
      <c r="G1067" s="43">
        <f t="shared" si="643"/>
        <v>0</v>
      </c>
      <c r="H1067" s="41"/>
      <c r="I1067" s="42"/>
      <c r="J1067" s="42"/>
      <c r="K1067" s="42"/>
      <c r="L1067" s="42">
        <v>1</v>
      </c>
      <c r="M1067" s="43">
        <f t="shared" si="627"/>
        <v>1</v>
      </c>
      <c r="N1067" s="42"/>
      <c r="O1067" s="53"/>
      <c r="P1067" s="53"/>
      <c r="Q1067" s="53"/>
      <c r="R1067" s="72"/>
      <c r="S1067" s="24">
        <f t="shared" si="628"/>
        <v>0</v>
      </c>
      <c r="T1067" s="42"/>
      <c r="U1067" s="53"/>
      <c r="V1067" s="53"/>
      <c r="W1067" s="53"/>
      <c r="X1067" s="72"/>
      <c r="Y1067" s="24">
        <f t="shared" si="629"/>
        <v>0</v>
      </c>
      <c r="Z1067" s="24">
        <f t="shared" si="630"/>
        <v>1</v>
      </c>
      <c r="AA1067" s="83">
        <v>44932</v>
      </c>
      <c r="AB1067" s="23" t="s">
        <v>126</v>
      </c>
      <c r="AC1067" s="41"/>
      <c r="AD1067" s="42"/>
      <c r="AE1067" s="42"/>
      <c r="AF1067" s="42"/>
      <c r="AG1067" s="42"/>
      <c r="AH1067" s="37">
        <f t="shared" si="638"/>
        <v>0</v>
      </c>
      <c r="AI1067" s="41"/>
      <c r="AJ1067" s="42"/>
      <c r="AK1067" s="42">
        <v>2</v>
      </c>
      <c r="AL1067" s="42"/>
      <c r="AM1067" s="42">
        <v>2</v>
      </c>
      <c r="AN1067" s="114">
        <f t="shared" ref="AN1067" si="656">SUM(AI1067:AM1067)</f>
        <v>4</v>
      </c>
      <c r="AO1067" s="41"/>
      <c r="AP1067" s="53"/>
      <c r="AQ1067" s="53"/>
      <c r="AR1067" s="53"/>
      <c r="AS1067" s="72"/>
      <c r="AT1067" s="24">
        <f t="shared" ref="AT1067" si="657">SUM(AO1067:AS1067)</f>
        <v>0</v>
      </c>
      <c r="AU1067" s="42"/>
      <c r="AV1067" s="53"/>
      <c r="AW1067" s="53"/>
      <c r="AX1067" s="53"/>
      <c r="AY1067" s="72"/>
      <c r="AZ1067" s="24">
        <f t="shared" ref="AZ1067" si="658">SUM(AU1067:AY1067)</f>
        <v>0</v>
      </c>
      <c r="BA1067" s="24">
        <f t="shared" si="642"/>
        <v>4</v>
      </c>
      <c r="BB1067" s="83">
        <v>44951</v>
      </c>
    </row>
    <row r="1068" spans="1:56" ht="14.25" x14ac:dyDescent="0.15">
      <c r="A1068" s="23" t="s">
        <v>48</v>
      </c>
      <c r="B1068" s="41"/>
      <c r="C1068" s="42">
        <v>1</v>
      </c>
      <c r="D1068" s="42"/>
      <c r="E1068" s="42"/>
      <c r="F1068" s="42"/>
      <c r="G1068" s="43">
        <f t="shared" si="643"/>
        <v>1</v>
      </c>
      <c r="H1068" s="41"/>
      <c r="I1068" s="42"/>
      <c r="J1068" s="42"/>
      <c r="K1068" s="42"/>
      <c r="L1068" s="42"/>
      <c r="M1068" s="43">
        <f t="shared" si="627"/>
        <v>0</v>
      </c>
      <c r="N1068" s="42"/>
      <c r="O1068" s="53"/>
      <c r="P1068" s="53"/>
      <c r="Q1068" s="53"/>
      <c r="R1068" s="72"/>
      <c r="S1068" s="24">
        <f t="shared" si="628"/>
        <v>0</v>
      </c>
      <c r="T1068" s="42"/>
      <c r="U1068" s="53"/>
      <c r="V1068" s="53"/>
      <c r="W1068" s="53"/>
      <c r="X1068" s="72"/>
      <c r="Y1068" s="24">
        <f t="shared" si="629"/>
        <v>0</v>
      </c>
      <c r="Z1068" s="24">
        <f t="shared" si="630"/>
        <v>1</v>
      </c>
      <c r="AA1068" s="93">
        <v>44931</v>
      </c>
      <c r="AB1068" s="23" t="s">
        <v>126</v>
      </c>
      <c r="AC1068" s="41"/>
      <c r="AD1068" s="42"/>
      <c r="AE1068" s="42"/>
      <c r="AF1068" s="42"/>
      <c r="AG1068" s="42"/>
      <c r="AH1068" s="43">
        <f t="shared" si="638"/>
        <v>0</v>
      </c>
      <c r="AI1068" s="41"/>
      <c r="AJ1068" s="42"/>
      <c r="AK1068" s="42"/>
      <c r="AL1068" s="42"/>
      <c r="AM1068" s="42"/>
      <c r="AN1068" s="43">
        <f t="shared" si="639"/>
        <v>0</v>
      </c>
      <c r="AO1068" s="42">
        <v>2</v>
      </c>
      <c r="AP1068" s="53">
        <v>2</v>
      </c>
      <c r="AQ1068" s="53">
        <v>2</v>
      </c>
      <c r="AR1068" s="53"/>
      <c r="AS1068" s="72"/>
      <c r="AT1068" s="24">
        <f t="shared" si="640"/>
        <v>6</v>
      </c>
      <c r="AU1068" s="42"/>
      <c r="AV1068" s="53"/>
      <c r="AW1068" s="53"/>
      <c r="AX1068" s="53"/>
      <c r="AY1068" s="72"/>
      <c r="AZ1068" s="24">
        <f t="shared" si="641"/>
        <v>0</v>
      </c>
      <c r="BA1068" s="24">
        <f t="shared" si="642"/>
        <v>6</v>
      </c>
      <c r="BB1068" s="83">
        <v>44952</v>
      </c>
    </row>
    <row r="1069" spans="1:56" ht="14.25" x14ac:dyDescent="0.15">
      <c r="A1069" s="23" t="s">
        <v>438</v>
      </c>
      <c r="B1069" s="41"/>
      <c r="C1069" s="42"/>
      <c r="D1069" s="42"/>
      <c r="E1069" s="42"/>
      <c r="F1069" s="42"/>
      <c r="G1069" s="43">
        <f t="shared" si="643"/>
        <v>0</v>
      </c>
      <c r="H1069" s="41"/>
      <c r="I1069" s="42"/>
      <c r="J1069" s="42"/>
      <c r="K1069" s="42"/>
      <c r="L1069" s="42"/>
      <c r="M1069" s="43">
        <f t="shared" si="627"/>
        <v>0</v>
      </c>
      <c r="N1069" s="42"/>
      <c r="O1069" s="53"/>
      <c r="P1069" s="53"/>
      <c r="Q1069" s="53"/>
      <c r="R1069" s="72"/>
      <c r="S1069" s="24">
        <f t="shared" si="628"/>
        <v>0</v>
      </c>
      <c r="T1069" s="42"/>
      <c r="U1069" s="53"/>
      <c r="V1069" s="53"/>
      <c r="W1069" s="53"/>
      <c r="X1069" s="72">
        <v>1</v>
      </c>
      <c r="Y1069" s="24">
        <f t="shared" si="629"/>
        <v>1</v>
      </c>
      <c r="Z1069" s="24">
        <f t="shared" si="630"/>
        <v>1</v>
      </c>
      <c r="AA1069" s="83">
        <v>44936</v>
      </c>
      <c r="AB1069" s="23" t="s">
        <v>126</v>
      </c>
      <c r="AC1069" s="38"/>
      <c r="AD1069" s="39"/>
      <c r="AE1069" s="39"/>
      <c r="AF1069" s="39">
        <v>3</v>
      </c>
      <c r="AG1069" s="39">
        <v>3</v>
      </c>
      <c r="AH1069" s="43">
        <f t="shared" si="638"/>
        <v>6</v>
      </c>
      <c r="AI1069" s="38"/>
      <c r="AJ1069" s="39"/>
      <c r="AK1069" s="39"/>
      <c r="AL1069" s="39"/>
      <c r="AM1069" s="39"/>
      <c r="AN1069" s="43">
        <f t="shared" ref="AN1069" si="659">SUM(AI1069:AM1069)</f>
        <v>0</v>
      </c>
      <c r="AO1069" s="42"/>
      <c r="AP1069" s="53">
        <v>5</v>
      </c>
      <c r="AQ1069" s="53"/>
      <c r="AR1069" s="53"/>
      <c r="AS1069" s="72"/>
      <c r="AT1069" s="24">
        <f t="shared" ref="AT1069" si="660">SUM(AO1069:AS1069)</f>
        <v>5</v>
      </c>
      <c r="AU1069" s="42"/>
      <c r="AV1069" s="53">
        <v>3</v>
      </c>
      <c r="AW1069" s="53"/>
      <c r="AX1069" s="53"/>
      <c r="AY1069" s="72"/>
      <c r="AZ1069" s="24">
        <f t="shared" ref="AZ1069" si="661">SUM(AU1069:AY1069)</f>
        <v>3</v>
      </c>
      <c r="BA1069" s="24">
        <f t="shared" si="642"/>
        <v>14</v>
      </c>
      <c r="BB1069" s="83">
        <v>44957</v>
      </c>
    </row>
    <row r="1070" spans="1:56" ht="14.25" x14ac:dyDescent="0.15">
      <c r="A1070" s="23" t="s">
        <v>438</v>
      </c>
      <c r="B1070" s="41"/>
      <c r="C1070" s="42"/>
      <c r="D1070" s="42"/>
      <c r="E1070" s="42"/>
      <c r="F1070" s="42"/>
      <c r="G1070" s="43">
        <f t="shared" si="643"/>
        <v>0</v>
      </c>
      <c r="H1070" s="41"/>
      <c r="I1070" s="42"/>
      <c r="J1070" s="42"/>
      <c r="K1070" s="42">
        <v>1</v>
      </c>
      <c r="L1070" s="42"/>
      <c r="M1070" s="43">
        <f t="shared" si="627"/>
        <v>1</v>
      </c>
      <c r="N1070" s="42">
        <v>1</v>
      </c>
      <c r="O1070" s="53"/>
      <c r="P1070" s="53"/>
      <c r="Q1070" s="53"/>
      <c r="R1070" s="72"/>
      <c r="S1070" s="24">
        <f t="shared" si="628"/>
        <v>1</v>
      </c>
      <c r="T1070" s="42"/>
      <c r="U1070" s="53"/>
      <c r="V1070" s="53"/>
      <c r="W1070" s="53">
        <v>1</v>
      </c>
      <c r="X1070" s="72"/>
      <c r="Y1070" s="24">
        <f t="shared" si="629"/>
        <v>1</v>
      </c>
      <c r="Z1070" s="24">
        <f t="shared" si="630"/>
        <v>3</v>
      </c>
      <c r="AA1070" s="83">
        <v>44937</v>
      </c>
      <c r="AB1070" s="23" t="s">
        <v>438</v>
      </c>
      <c r="AC1070" s="14"/>
      <c r="AD1070" s="15"/>
      <c r="AE1070" s="15"/>
      <c r="AF1070" s="15"/>
      <c r="AG1070" s="15"/>
      <c r="AH1070" s="24">
        <f t="shared" si="638"/>
        <v>0</v>
      </c>
      <c r="AI1070" s="14"/>
      <c r="AJ1070" s="15">
        <v>1</v>
      </c>
      <c r="AK1070" s="15"/>
      <c r="AL1070" s="15"/>
      <c r="AM1070" s="15"/>
      <c r="AN1070" s="24">
        <f t="shared" si="639"/>
        <v>1</v>
      </c>
      <c r="AO1070" s="15"/>
      <c r="AP1070" s="55"/>
      <c r="AQ1070" s="55"/>
      <c r="AR1070" s="55"/>
      <c r="AS1070" s="67"/>
      <c r="AT1070" s="24">
        <f t="shared" si="640"/>
        <v>0</v>
      </c>
      <c r="AU1070" s="15"/>
      <c r="AV1070" s="55"/>
      <c r="AW1070" s="55"/>
      <c r="AX1070" s="55"/>
      <c r="AY1070" s="67"/>
      <c r="AZ1070" s="24">
        <f t="shared" si="641"/>
        <v>0</v>
      </c>
      <c r="BA1070" s="24">
        <f t="shared" si="642"/>
        <v>1</v>
      </c>
      <c r="BB1070" s="83">
        <v>44958</v>
      </c>
    </row>
    <row r="1071" spans="1:56" ht="14.25" x14ac:dyDescent="0.15">
      <c r="A1071" s="23" t="s">
        <v>48</v>
      </c>
      <c r="B1071" s="41"/>
      <c r="C1071" s="42"/>
      <c r="D1071" s="42"/>
      <c r="E1071" s="42"/>
      <c r="F1071" s="42"/>
      <c r="G1071" s="43">
        <f t="shared" si="643"/>
        <v>0</v>
      </c>
      <c r="H1071" s="41"/>
      <c r="I1071" s="42"/>
      <c r="J1071" s="42"/>
      <c r="K1071" s="42"/>
      <c r="L1071" s="42"/>
      <c r="M1071" s="43">
        <f t="shared" si="627"/>
        <v>0</v>
      </c>
      <c r="N1071" s="42"/>
      <c r="O1071" s="53">
        <v>1</v>
      </c>
      <c r="P1071" s="53"/>
      <c r="Q1071" s="53"/>
      <c r="R1071" s="72"/>
      <c r="S1071" s="24">
        <f t="shared" si="628"/>
        <v>1</v>
      </c>
      <c r="T1071" s="42"/>
      <c r="U1071" s="53"/>
      <c r="V1071" s="53"/>
      <c r="W1071" s="53"/>
      <c r="X1071" s="72"/>
      <c r="Y1071" s="24">
        <f t="shared" si="629"/>
        <v>0</v>
      </c>
      <c r="Z1071" s="24">
        <f t="shared" si="630"/>
        <v>1</v>
      </c>
      <c r="AA1071" s="93">
        <v>44936</v>
      </c>
      <c r="AB1071" s="23"/>
      <c r="AC1071" s="41"/>
      <c r="AD1071" s="42"/>
      <c r="AE1071" s="42"/>
      <c r="AF1071" s="42"/>
      <c r="AG1071" s="42"/>
      <c r="AH1071" s="43">
        <f t="shared" si="638"/>
        <v>0</v>
      </c>
      <c r="AI1071" s="41"/>
      <c r="AJ1071" s="42"/>
      <c r="AK1071" s="42"/>
      <c r="AL1071" s="42"/>
      <c r="AM1071" s="42"/>
      <c r="AN1071" s="43">
        <f t="shared" si="639"/>
        <v>0</v>
      </c>
      <c r="AO1071" s="42"/>
      <c r="AP1071" s="53"/>
      <c r="AQ1071" s="53"/>
      <c r="AR1071" s="53"/>
      <c r="AS1071" s="72"/>
      <c r="AT1071" s="24">
        <f t="shared" si="640"/>
        <v>0</v>
      </c>
      <c r="AU1071" s="42"/>
      <c r="AV1071" s="53"/>
      <c r="AW1071" s="53"/>
      <c r="AX1071" s="53"/>
      <c r="AY1071" s="72"/>
      <c r="AZ1071" s="24">
        <f t="shared" si="641"/>
        <v>0</v>
      </c>
      <c r="BA1071" s="24">
        <f t="shared" si="642"/>
        <v>0</v>
      </c>
      <c r="BB1071" s="128"/>
    </row>
    <row r="1072" spans="1:56" ht="14.25" x14ac:dyDescent="0.15">
      <c r="A1072" s="23" t="s">
        <v>438</v>
      </c>
      <c r="B1072" s="41"/>
      <c r="C1072" s="42"/>
      <c r="D1072" s="42"/>
      <c r="E1072" s="42"/>
      <c r="F1072" s="42"/>
      <c r="G1072" s="43">
        <f t="shared" si="643"/>
        <v>0</v>
      </c>
      <c r="H1072" s="41"/>
      <c r="I1072" s="42"/>
      <c r="J1072" s="42">
        <v>1</v>
      </c>
      <c r="K1072" s="42"/>
      <c r="L1072" s="42"/>
      <c r="M1072" s="43">
        <f t="shared" si="627"/>
        <v>1</v>
      </c>
      <c r="N1072" s="42"/>
      <c r="O1072" s="53"/>
      <c r="P1072" s="53">
        <v>1</v>
      </c>
      <c r="Q1072" s="53"/>
      <c r="R1072" s="72"/>
      <c r="S1072" s="24">
        <f t="shared" si="628"/>
        <v>1</v>
      </c>
      <c r="T1072" s="42"/>
      <c r="U1072" s="53"/>
      <c r="V1072" s="53"/>
      <c r="W1072" s="53">
        <v>1</v>
      </c>
      <c r="X1072" s="72"/>
      <c r="Y1072" s="24">
        <f t="shared" si="629"/>
        <v>1</v>
      </c>
      <c r="Z1072" s="24">
        <f t="shared" si="630"/>
        <v>3</v>
      </c>
      <c r="AA1072" s="83">
        <v>44938</v>
      </c>
      <c r="AB1072" s="23"/>
      <c r="AC1072" s="44"/>
      <c r="AD1072" s="45"/>
      <c r="AE1072" s="45"/>
      <c r="AF1072" s="45"/>
      <c r="AG1072" s="45"/>
      <c r="AH1072" s="43">
        <f t="shared" si="638"/>
        <v>0</v>
      </c>
      <c r="AI1072" s="44"/>
      <c r="AJ1072" s="45"/>
      <c r="AK1072" s="45"/>
      <c r="AL1072" s="45"/>
      <c r="AM1072" s="45"/>
      <c r="AN1072" s="43">
        <f t="shared" si="639"/>
        <v>0</v>
      </c>
      <c r="AO1072" s="42"/>
      <c r="AP1072" s="53"/>
      <c r="AQ1072" s="53"/>
      <c r="AR1072" s="53"/>
      <c r="AS1072" s="72"/>
      <c r="AT1072" s="24">
        <f t="shared" si="640"/>
        <v>0</v>
      </c>
      <c r="AU1072" s="42"/>
      <c r="AV1072" s="53"/>
      <c r="AW1072" s="53"/>
      <c r="AX1072" s="53"/>
      <c r="AY1072" s="72"/>
      <c r="AZ1072" s="24">
        <f t="shared" si="641"/>
        <v>0</v>
      </c>
      <c r="BA1072" s="24">
        <f t="shared" si="642"/>
        <v>0</v>
      </c>
      <c r="BB1072" s="128"/>
    </row>
    <row r="1073" spans="1:54" ht="14.25" x14ac:dyDescent="0.15">
      <c r="A1073" s="23" t="s">
        <v>48</v>
      </c>
      <c r="B1073" s="41"/>
      <c r="C1073" s="42">
        <f>1+1</f>
        <v>2</v>
      </c>
      <c r="D1073" s="42"/>
      <c r="E1073" s="42"/>
      <c r="F1073" s="42"/>
      <c r="G1073" s="43">
        <f t="shared" si="643"/>
        <v>2</v>
      </c>
      <c r="H1073" s="41"/>
      <c r="I1073" s="42"/>
      <c r="J1073" s="42"/>
      <c r="K1073" s="42"/>
      <c r="L1073" s="42"/>
      <c r="M1073" s="43">
        <f t="shared" si="627"/>
        <v>0</v>
      </c>
      <c r="N1073" s="42"/>
      <c r="O1073" s="53"/>
      <c r="P1073" s="53"/>
      <c r="Q1073" s="53"/>
      <c r="R1073" s="72"/>
      <c r="S1073" s="24">
        <f t="shared" si="628"/>
        <v>0</v>
      </c>
      <c r="T1073" s="42"/>
      <c r="U1073" s="53"/>
      <c r="V1073" s="53"/>
      <c r="W1073" s="53"/>
      <c r="X1073" s="72"/>
      <c r="Y1073" s="24">
        <f t="shared" si="629"/>
        <v>0</v>
      </c>
      <c r="Z1073" s="24">
        <f t="shared" si="630"/>
        <v>2</v>
      </c>
      <c r="AA1073" s="93">
        <v>44937</v>
      </c>
      <c r="AB1073" s="23"/>
      <c r="AC1073" s="14"/>
      <c r="AD1073" s="15"/>
      <c r="AE1073" s="15"/>
      <c r="AF1073" s="15"/>
      <c r="AG1073" s="15"/>
      <c r="AH1073" s="24">
        <f>SUM(AC1073:AG1073)</f>
        <v>0</v>
      </c>
      <c r="AI1073" s="14"/>
      <c r="AJ1073" s="15"/>
      <c r="AK1073" s="15"/>
      <c r="AL1073" s="15"/>
      <c r="AM1073" s="15"/>
      <c r="AN1073" s="24">
        <f>SUM(AI1073:AM1073)</f>
        <v>0</v>
      </c>
      <c r="AO1073" s="15"/>
      <c r="AP1073" s="55"/>
      <c r="AQ1073" s="55"/>
      <c r="AR1073" s="55"/>
      <c r="AS1073" s="67"/>
      <c r="AT1073" s="24">
        <f>SUM(AO1073:AS1073)</f>
        <v>0</v>
      </c>
      <c r="AU1073" s="15"/>
      <c r="AV1073" s="55"/>
      <c r="AW1073" s="55"/>
      <c r="AX1073" s="55"/>
      <c r="AY1073" s="67"/>
      <c r="AZ1073" s="24">
        <f>SUM(AU1073:AY1073)</f>
        <v>0</v>
      </c>
      <c r="BA1073" s="24">
        <f>AH1073+AN1073+AT1073+AZ1073</f>
        <v>0</v>
      </c>
      <c r="BB1073" s="128"/>
    </row>
    <row r="1074" spans="1:54" ht="14.25" x14ac:dyDescent="0.15">
      <c r="A1074" s="23" t="s">
        <v>48</v>
      </c>
      <c r="B1074" s="41"/>
      <c r="C1074" s="42">
        <v>1</v>
      </c>
      <c r="D1074" s="42"/>
      <c r="E1074" s="42"/>
      <c r="F1074" s="42"/>
      <c r="G1074" s="43">
        <f t="shared" si="643"/>
        <v>1</v>
      </c>
      <c r="H1074" s="41"/>
      <c r="I1074" s="42">
        <v>1</v>
      </c>
      <c r="J1074" s="42"/>
      <c r="K1074" s="42"/>
      <c r="L1074" s="42"/>
      <c r="M1074" s="43">
        <f t="shared" si="627"/>
        <v>1</v>
      </c>
      <c r="N1074" s="42"/>
      <c r="O1074" s="53">
        <v>1</v>
      </c>
      <c r="P1074" s="53"/>
      <c r="Q1074" s="53"/>
      <c r="R1074" s="72"/>
      <c r="S1074" s="24">
        <f t="shared" si="628"/>
        <v>1</v>
      </c>
      <c r="T1074" s="42"/>
      <c r="U1074" s="53"/>
      <c r="V1074" s="53"/>
      <c r="W1074" s="53"/>
      <c r="X1074" s="72"/>
      <c r="Y1074" s="24">
        <f t="shared" si="629"/>
        <v>0</v>
      </c>
      <c r="Z1074" s="24">
        <f t="shared" si="630"/>
        <v>3</v>
      </c>
      <c r="AA1074" s="93">
        <v>44939</v>
      </c>
      <c r="AB1074" s="23"/>
      <c r="AC1074" s="41"/>
      <c r="AD1074" s="42"/>
      <c r="AE1074" s="42"/>
      <c r="AF1074" s="42"/>
      <c r="AG1074" s="42"/>
      <c r="AH1074" s="43">
        <f t="shared" ref="AH1074:AH1082" si="662">SUM(AC1074:AG1074)</f>
        <v>0</v>
      </c>
      <c r="AI1074" s="41"/>
      <c r="AJ1074" s="42"/>
      <c r="AK1074" s="42"/>
      <c r="AL1074" s="42"/>
      <c r="AM1074" s="42"/>
      <c r="AN1074" s="43">
        <f t="shared" ref="AN1074:AN1083" si="663">SUM(AI1074:AM1074)</f>
        <v>0</v>
      </c>
      <c r="AO1074" s="42"/>
      <c r="AP1074" s="53"/>
      <c r="AQ1074" s="53"/>
      <c r="AR1074" s="53"/>
      <c r="AS1074" s="72"/>
      <c r="AT1074" s="24">
        <f t="shared" ref="AT1074:AT1083" si="664">SUM(AO1074:AS1074)</f>
        <v>0</v>
      </c>
      <c r="AU1074" s="42"/>
      <c r="AV1074" s="53"/>
      <c r="AW1074" s="53"/>
      <c r="AX1074" s="53"/>
      <c r="AY1074" s="72"/>
      <c r="AZ1074" s="24">
        <f t="shared" ref="AZ1074:AZ1083" si="665">SUM(AU1074:AY1074)</f>
        <v>0</v>
      </c>
      <c r="BA1074" s="24">
        <f t="shared" ref="BA1074:BA1083" si="666">AH1074+AN1074+AT1074+AZ1074</f>
        <v>0</v>
      </c>
      <c r="BB1074" s="128"/>
    </row>
    <row r="1075" spans="1:54" ht="14.25" x14ac:dyDescent="0.15">
      <c r="A1075" s="23" t="s">
        <v>438</v>
      </c>
      <c r="B1075" s="41"/>
      <c r="C1075" s="42"/>
      <c r="D1075" s="42"/>
      <c r="E1075" s="42"/>
      <c r="F1075" s="42"/>
      <c r="G1075" s="43">
        <f t="shared" si="643"/>
        <v>0</v>
      </c>
      <c r="H1075" s="41"/>
      <c r="I1075" s="42"/>
      <c r="J1075" s="42">
        <v>1</v>
      </c>
      <c r="K1075" s="42"/>
      <c r="L1075" s="42"/>
      <c r="M1075" s="43">
        <f t="shared" si="627"/>
        <v>1</v>
      </c>
      <c r="N1075" s="42"/>
      <c r="O1075" s="53"/>
      <c r="P1075" s="53"/>
      <c r="Q1075" s="53"/>
      <c r="R1075" s="72"/>
      <c r="S1075" s="24">
        <f t="shared" si="628"/>
        <v>0</v>
      </c>
      <c r="T1075" s="42"/>
      <c r="U1075" s="53"/>
      <c r="V1075" s="53">
        <v>1</v>
      </c>
      <c r="W1075" s="53"/>
      <c r="X1075" s="72"/>
      <c r="Y1075" s="24">
        <f t="shared" si="629"/>
        <v>1</v>
      </c>
      <c r="Z1075" s="24">
        <f t="shared" si="630"/>
        <v>2</v>
      </c>
      <c r="AA1075" s="83">
        <v>44943</v>
      </c>
      <c r="AB1075" s="23"/>
      <c r="AC1075" s="14"/>
      <c r="AD1075" s="15"/>
      <c r="AE1075" s="15"/>
      <c r="AF1075" s="15"/>
      <c r="AG1075" s="15"/>
      <c r="AH1075" s="24">
        <f t="shared" si="662"/>
        <v>0</v>
      </c>
      <c r="AI1075" s="14"/>
      <c r="AJ1075" s="15"/>
      <c r="AK1075" s="15"/>
      <c r="AL1075" s="15"/>
      <c r="AM1075" s="15"/>
      <c r="AN1075" s="185">
        <f t="shared" si="663"/>
        <v>0</v>
      </c>
      <c r="AO1075" s="14"/>
      <c r="AP1075" s="55"/>
      <c r="AQ1075" s="55"/>
      <c r="AR1075" s="55"/>
      <c r="AS1075" s="67"/>
      <c r="AT1075" s="24">
        <f t="shared" si="664"/>
        <v>0</v>
      </c>
      <c r="AU1075" s="15"/>
      <c r="AV1075" s="55"/>
      <c r="AW1075" s="55"/>
      <c r="AX1075" s="55"/>
      <c r="AY1075" s="67"/>
      <c r="AZ1075" s="24">
        <f t="shared" si="665"/>
        <v>0</v>
      </c>
      <c r="BA1075" s="24">
        <f t="shared" si="666"/>
        <v>0</v>
      </c>
      <c r="BB1075" s="128"/>
    </row>
    <row r="1076" spans="1:54" ht="14.25" x14ac:dyDescent="0.15">
      <c r="A1076" s="23" t="s">
        <v>48</v>
      </c>
      <c r="B1076" s="41"/>
      <c r="C1076" s="42"/>
      <c r="D1076" s="42"/>
      <c r="E1076" s="42"/>
      <c r="F1076" s="42">
        <v>1</v>
      </c>
      <c r="G1076" s="43">
        <f t="shared" si="643"/>
        <v>1</v>
      </c>
      <c r="H1076" s="41"/>
      <c r="I1076" s="42">
        <v>1</v>
      </c>
      <c r="J1076" s="42"/>
      <c r="K1076" s="42"/>
      <c r="L1076" s="42">
        <v>1</v>
      </c>
      <c r="M1076" s="43">
        <f t="shared" si="627"/>
        <v>2</v>
      </c>
      <c r="N1076" s="42"/>
      <c r="O1076" s="53"/>
      <c r="P1076" s="53"/>
      <c r="Q1076" s="53"/>
      <c r="R1076" s="72"/>
      <c r="S1076" s="24">
        <f t="shared" si="628"/>
        <v>0</v>
      </c>
      <c r="T1076" s="42"/>
      <c r="U1076" s="53"/>
      <c r="V1076" s="53"/>
      <c r="W1076" s="53"/>
      <c r="X1076" s="72"/>
      <c r="Y1076" s="24">
        <f t="shared" si="629"/>
        <v>0</v>
      </c>
      <c r="Z1076" s="24">
        <f t="shared" si="630"/>
        <v>3</v>
      </c>
      <c r="AA1076" s="93">
        <v>44942</v>
      </c>
      <c r="AB1076" s="23"/>
      <c r="AC1076" s="38"/>
      <c r="AD1076" s="39"/>
      <c r="AE1076" s="39"/>
      <c r="AF1076" s="39"/>
      <c r="AG1076" s="39"/>
      <c r="AH1076" s="37">
        <f t="shared" si="662"/>
        <v>0</v>
      </c>
      <c r="AI1076" s="38"/>
      <c r="AJ1076" s="39"/>
      <c r="AK1076" s="39"/>
      <c r="AL1076" s="39"/>
      <c r="AM1076" s="39"/>
      <c r="AN1076" s="37">
        <f t="shared" si="663"/>
        <v>0</v>
      </c>
      <c r="AO1076" s="39"/>
      <c r="AP1076" s="56"/>
      <c r="AQ1076" s="56"/>
      <c r="AR1076" s="56"/>
      <c r="AS1076" s="71"/>
      <c r="AT1076" s="16">
        <f t="shared" si="664"/>
        <v>0</v>
      </c>
      <c r="AU1076" s="39"/>
      <c r="AV1076" s="56"/>
      <c r="AW1076" s="56"/>
      <c r="AX1076" s="56"/>
      <c r="AY1076" s="71"/>
      <c r="AZ1076" s="16">
        <f t="shared" si="665"/>
        <v>0</v>
      </c>
      <c r="BA1076" s="16">
        <f t="shared" si="666"/>
        <v>0</v>
      </c>
      <c r="BB1076" s="128"/>
    </row>
    <row r="1077" spans="1:54" ht="14.25" x14ac:dyDescent="0.15">
      <c r="A1077" s="23" t="s">
        <v>438</v>
      </c>
      <c r="B1077" s="41"/>
      <c r="C1077" s="42"/>
      <c r="D1077" s="42"/>
      <c r="E1077" s="42"/>
      <c r="F1077" s="42"/>
      <c r="G1077" s="43">
        <f t="shared" si="643"/>
        <v>0</v>
      </c>
      <c r="H1077" s="41"/>
      <c r="I1077" s="42"/>
      <c r="J1077" s="42">
        <v>1</v>
      </c>
      <c r="K1077" s="42"/>
      <c r="L1077" s="42"/>
      <c r="M1077" s="43">
        <f t="shared" si="627"/>
        <v>1</v>
      </c>
      <c r="N1077" s="42"/>
      <c r="O1077" s="53"/>
      <c r="P1077" s="53"/>
      <c r="Q1077" s="53"/>
      <c r="R1077" s="72"/>
      <c r="S1077" s="24">
        <f t="shared" si="628"/>
        <v>0</v>
      </c>
      <c r="T1077" s="42"/>
      <c r="U1077" s="53"/>
      <c r="V1077" s="53"/>
      <c r="W1077" s="53"/>
      <c r="X1077" s="72"/>
      <c r="Y1077" s="24">
        <f t="shared" si="629"/>
        <v>0</v>
      </c>
      <c r="Z1077" s="24">
        <f t="shared" si="630"/>
        <v>1</v>
      </c>
      <c r="AA1077" s="83">
        <v>44950</v>
      </c>
      <c r="AB1077" s="23"/>
      <c r="AC1077" s="41"/>
      <c r="AD1077" s="42"/>
      <c r="AE1077" s="42"/>
      <c r="AF1077" s="42"/>
      <c r="AG1077" s="42"/>
      <c r="AH1077" s="43">
        <f t="shared" si="662"/>
        <v>0</v>
      </c>
      <c r="AI1077" s="41"/>
      <c r="AJ1077" s="42"/>
      <c r="AK1077" s="42"/>
      <c r="AL1077" s="42"/>
      <c r="AM1077" s="42"/>
      <c r="AN1077" s="43">
        <f t="shared" si="663"/>
        <v>0</v>
      </c>
      <c r="AO1077" s="42"/>
      <c r="AP1077" s="53"/>
      <c r="AQ1077" s="53"/>
      <c r="AR1077" s="53"/>
      <c r="AS1077" s="72"/>
      <c r="AT1077" s="24">
        <f t="shared" si="664"/>
        <v>0</v>
      </c>
      <c r="AU1077" s="42"/>
      <c r="AV1077" s="53"/>
      <c r="AW1077" s="53"/>
      <c r="AX1077" s="53"/>
      <c r="AY1077" s="72"/>
      <c r="AZ1077" s="24">
        <f t="shared" si="665"/>
        <v>0</v>
      </c>
      <c r="BA1077" s="24">
        <f t="shared" si="666"/>
        <v>0</v>
      </c>
      <c r="BB1077" s="128"/>
    </row>
    <row r="1078" spans="1:54" ht="14.25" x14ac:dyDescent="0.15">
      <c r="A1078" s="23" t="s">
        <v>438</v>
      </c>
      <c r="B1078" s="41"/>
      <c r="C1078" s="42"/>
      <c r="D1078" s="42"/>
      <c r="E1078" s="42"/>
      <c r="F1078" s="42"/>
      <c r="G1078" s="43">
        <f t="shared" si="643"/>
        <v>0</v>
      </c>
      <c r="H1078" s="41"/>
      <c r="I1078" s="42"/>
      <c r="J1078" s="42"/>
      <c r="K1078" s="42"/>
      <c r="L1078" s="42">
        <v>1</v>
      </c>
      <c r="M1078" s="43">
        <f t="shared" si="627"/>
        <v>1</v>
      </c>
      <c r="N1078" s="42"/>
      <c r="O1078" s="53"/>
      <c r="P1078" s="53"/>
      <c r="Q1078" s="53"/>
      <c r="R1078" s="72"/>
      <c r="S1078" s="24">
        <f t="shared" si="628"/>
        <v>0</v>
      </c>
      <c r="T1078" s="42"/>
      <c r="U1078" s="53"/>
      <c r="V1078" s="53"/>
      <c r="W1078" s="53"/>
      <c r="X1078" s="72"/>
      <c r="Y1078" s="24">
        <f t="shared" si="629"/>
        <v>0</v>
      </c>
      <c r="Z1078" s="24">
        <f t="shared" si="630"/>
        <v>1</v>
      </c>
      <c r="AA1078" s="83">
        <v>44951</v>
      </c>
      <c r="AB1078" s="23"/>
      <c r="AC1078" s="41"/>
      <c r="AD1078" s="42"/>
      <c r="AE1078" s="42"/>
      <c r="AF1078" s="42"/>
      <c r="AG1078" s="42"/>
      <c r="AH1078" s="43">
        <f t="shared" si="662"/>
        <v>0</v>
      </c>
      <c r="AI1078" s="41"/>
      <c r="AJ1078" s="42"/>
      <c r="AK1078" s="42"/>
      <c r="AL1078" s="42"/>
      <c r="AM1078" s="42"/>
      <c r="AN1078" s="43">
        <f t="shared" si="663"/>
        <v>0</v>
      </c>
      <c r="AO1078" s="42"/>
      <c r="AP1078" s="53"/>
      <c r="AQ1078" s="53"/>
      <c r="AR1078" s="53"/>
      <c r="AS1078" s="72"/>
      <c r="AT1078" s="24">
        <f t="shared" si="664"/>
        <v>0</v>
      </c>
      <c r="AU1078" s="42"/>
      <c r="AV1078" s="53"/>
      <c r="AW1078" s="53"/>
      <c r="AX1078" s="53"/>
      <c r="AY1078" s="72"/>
      <c r="AZ1078" s="24">
        <f t="shared" si="665"/>
        <v>0</v>
      </c>
      <c r="BA1078" s="24">
        <f t="shared" si="666"/>
        <v>0</v>
      </c>
      <c r="BB1078" s="128"/>
    </row>
    <row r="1079" spans="1:54" ht="14.25" x14ac:dyDescent="0.15">
      <c r="A1079" s="23" t="s">
        <v>577</v>
      </c>
      <c r="B1079" s="41"/>
      <c r="C1079" s="42"/>
      <c r="D1079" s="42"/>
      <c r="E1079" s="42"/>
      <c r="F1079" s="42"/>
      <c r="G1079" s="43">
        <f t="shared" si="643"/>
        <v>0</v>
      </c>
      <c r="H1079" s="41"/>
      <c r="I1079" s="42"/>
      <c r="J1079" s="42">
        <v>-2</v>
      </c>
      <c r="K1079" s="42"/>
      <c r="L1079" s="42">
        <v>-2</v>
      </c>
      <c r="M1079" s="43">
        <f t="shared" si="627"/>
        <v>-4</v>
      </c>
      <c r="N1079" s="42"/>
      <c r="O1079" s="53"/>
      <c r="P1079" s="53"/>
      <c r="Q1079" s="53"/>
      <c r="R1079" s="72"/>
      <c r="S1079" s="24">
        <f t="shared" si="628"/>
        <v>0</v>
      </c>
      <c r="T1079" s="42"/>
      <c r="U1079" s="53"/>
      <c r="V1079" s="53"/>
      <c r="W1079" s="53"/>
      <c r="X1079" s="72"/>
      <c r="Y1079" s="24">
        <f t="shared" si="629"/>
        <v>0</v>
      </c>
      <c r="Z1079" s="24">
        <f t="shared" si="630"/>
        <v>-4</v>
      </c>
      <c r="AA1079" s="83">
        <v>44951</v>
      </c>
      <c r="AB1079" s="23"/>
      <c r="AC1079" s="14"/>
      <c r="AD1079" s="15"/>
      <c r="AE1079" s="15"/>
      <c r="AF1079" s="15"/>
      <c r="AG1079" s="15"/>
      <c r="AH1079" s="24">
        <f t="shared" si="662"/>
        <v>0</v>
      </c>
      <c r="AI1079" s="14"/>
      <c r="AJ1079" s="15"/>
      <c r="AK1079" s="15"/>
      <c r="AL1079" s="15"/>
      <c r="AM1079" s="15"/>
      <c r="AN1079" s="24">
        <f t="shared" si="663"/>
        <v>0</v>
      </c>
      <c r="AO1079" s="15"/>
      <c r="AP1079" s="55"/>
      <c r="AQ1079" s="55"/>
      <c r="AR1079" s="55"/>
      <c r="AS1079" s="67"/>
      <c r="AT1079" s="24">
        <f t="shared" si="664"/>
        <v>0</v>
      </c>
      <c r="AU1079" s="15"/>
      <c r="AV1079" s="55"/>
      <c r="AW1079" s="55"/>
      <c r="AX1079" s="55"/>
      <c r="AY1079" s="67"/>
      <c r="AZ1079" s="24">
        <f t="shared" si="665"/>
        <v>0</v>
      </c>
      <c r="BA1079" s="24">
        <f t="shared" si="666"/>
        <v>0</v>
      </c>
      <c r="BB1079" s="128"/>
    </row>
    <row r="1080" spans="1:54" ht="14.25" x14ac:dyDescent="0.15">
      <c r="A1080" s="23" t="s">
        <v>48</v>
      </c>
      <c r="B1080" s="41"/>
      <c r="C1080" s="42"/>
      <c r="D1080" s="42"/>
      <c r="E1080" s="42"/>
      <c r="F1080" s="42"/>
      <c r="G1080" s="43">
        <f t="shared" si="643"/>
        <v>0</v>
      </c>
      <c r="H1080" s="41"/>
      <c r="I1080" s="42"/>
      <c r="J1080" s="42"/>
      <c r="K1080" s="42"/>
      <c r="L1080" s="42"/>
      <c r="M1080" s="43">
        <f t="shared" si="627"/>
        <v>0</v>
      </c>
      <c r="N1080" s="42"/>
      <c r="O1080" s="53"/>
      <c r="P1080" s="53"/>
      <c r="Q1080" s="53"/>
      <c r="R1080" s="72"/>
      <c r="S1080" s="24">
        <f t="shared" si="628"/>
        <v>0</v>
      </c>
      <c r="T1080" s="42"/>
      <c r="U1080" s="53">
        <v>1</v>
      </c>
      <c r="V1080" s="53"/>
      <c r="W1080" s="53"/>
      <c r="X1080" s="72"/>
      <c r="Y1080" s="24">
        <f t="shared" si="629"/>
        <v>1</v>
      </c>
      <c r="Z1080" s="24">
        <f t="shared" si="630"/>
        <v>1</v>
      </c>
      <c r="AA1080" s="93">
        <v>44951</v>
      </c>
      <c r="AB1080" s="180"/>
      <c r="AC1080" s="14"/>
      <c r="AD1080" s="15"/>
      <c r="AE1080" s="15"/>
      <c r="AF1080" s="15"/>
      <c r="AG1080" s="15"/>
      <c r="AH1080" s="24">
        <f t="shared" si="662"/>
        <v>0</v>
      </c>
      <c r="AI1080" s="14"/>
      <c r="AJ1080" s="15"/>
      <c r="AK1080" s="15"/>
      <c r="AL1080" s="15"/>
      <c r="AM1080" s="15"/>
      <c r="AN1080" s="24">
        <f t="shared" si="663"/>
        <v>0</v>
      </c>
      <c r="AO1080" s="15"/>
      <c r="AP1080" s="55"/>
      <c r="AQ1080" s="55"/>
      <c r="AR1080" s="55"/>
      <c r="AS1080" s="67"/>
      <c r="AT1080" s="24">
        <f t="shared" si="664"/>
        <v>0</v>
      </c>
      <c r="AU1080" s="15"/>
      <c r="AV1080" s="55"/>
      <c r="AW1080" s="55"/>
      <c r="AX1080" s="55"/>
      <c r="AY1080" s="67"/>
      <c r="AZ1080" s="24">
        <f t="shared" si="665"/>
        <v>0</v>
      </c>
      <c r="BA1080" s="24">
        <f t="shared" si="666"/>
        <v>0</v>
      </c>
      <c r="BB1080" s="128"/>
    </row>
    <row r="1081" spans="1:54" ht="14.25" x14ac:dyDescent="0.15">
      <c r="A1081" s="23" t="s">
        <v>578</v>
      </c>
      <c r="B1081" s="41"/>
      <c r="C1081" s="42"/>
      <c r="D1081" s="42"/>
      <c r="E1081" s="42"/>
      <c r="F1081" s="42"/>
      <c r="G1081" s="43">
        <f t="shared" si="643"/>
        <v>0</v>
      </c>
      <c r="H1081" s="41"/>
      <c r="I1081" s="42"/>
      <c r="J1081" s="42"/>
      <c r="K1081" s="42"/>
      <c r="L1081" s="42">
        <v>-1</v>
      </c>
      <c r="M1081" s="43">
        <f t="shared" si="627"/>
        <v>-1</v>
      </c>
      <c r="N1081" s="42"/>
      <c r="O1081" s="53"/>
      <c r="P1081" s="53"/>
      <c r="Q1081" s="53"/>
      <c r="R1081" s="72"/>
      <c r="S1081" s="24">
        <f t="shared" si="628"/>
        <v>0</v>
      </c>
      <c r="T1081" s="42"/>
      <c r="U1081" s="53"/>
      <c r="V1081" s="53"/>
      <c r="W1081" s="53"/>
      <c r="X1081" s="72"/>
      <c r="Y1081" s="24">
        <f t="shared" si="629"/>
        <v>0</v>
      </c>
      <c r="Z1081" s="24">
        <f t="shared" si="630"/>
        <v>-1</v>
      </c>
      <c r="AA1081" s="93">
        <v>44951</v>
      </c>
      <c r="AB1081" s="180"/>
      <c r="AC1081" s="14"/>
      <c r="AD1081" s="15"/>
      <c r="AE1081" s="15"/>
      <c r="AF1081" s="15"/>
      <c r="AG1081" s="15"/>
      <c r="AH1081" s="24">
        <f t="shared" si="662"/>
        <v>0</v>
      </c>
      <c r="AI1081" s="14"/>
      <c r="AJ1081" s="15"/>
      <c r="AK1081" s="15"/>
      <c r="AL1081" s="15"/>
      <c r="AM1081" s="15"/>
      <c r="AN1081" s="24">
        <f t="shared" si="663"/>
        <v>0</v>
      </c>
      <c r="AO1081" s="15"/>
      <c r="AP1081" s="55"/>
      <c r="AQ1081" s="55"/>
      <c r="AR1081" s="55"/>
      <c r="AS1081" s="67"/>
      <c r="AT1081" s="24">
        <f t="shared" si="664"/>
        <v>0</v>
      </c>
      <c r="AU1081" s="15"/>
      <c r="AV1081" s="55"/>
      <c r="AW1081" s="55"/>
      <c r="AX1081" s="55"/>
      <c r="AY1081" s="67"/>
      <c r="AZ1081" s="24">
        <f t="shared" si="665"/>
        <v>0</v>
      </c>
      <c r="BA1081" s="24">
        <f t="shared" si="666"/>
        <v>0</v>
      </c>
      <c r="BB1081" s="128"/>
    </row>
    <row r="1082" spans="1:54" ht="14.25" x14ac:dyDescent="0.15">
      <c r="A1082" s="23" t="s">
        <v>438</v>
      </c>
      <c r="B1082" s="41"/>
      <c r="C1082" s="42"/>
      <c r="D1082" s="42"/>
      <c r="E1082" s="42"/>
      <c r="F1082" s="42"/>
      <c r="G1082" s="43">
        <f t="shared" si="643"/>
        <v>0</v>
      </c>
      <c r="H1082" s="41"/>
      <c r="I1082" s="42"/>
      <c r="J1082" s="42"/>
      <c r="K1082" s="42"/>
      <c r="L1082" s="42"/>
      <c r="M1082" s="43">
        <f t="shared" si="627"/>
        <v>0</v>
      </c>
      <c r="N1082" s="42"/>
      <c r="O1082" s="53">
        <v>3</v>
      </c>
      <c r="P1082" s="53"/>
      <c r="Q1082" s="53"/>
      <c r="R1082" s="72"/>
      <c r="S1082" s="24">
        <f t="shared" si="628"/>
        <v>3</v>
      </c>
      <c r="T1082" s="42"/>
      <c r="U1082" s="53"/>
      <c r="V1082" s="53"/>
      <c r="W1082" s="53"/>
      <c r="X1082" s="72"/>
      <c r="Y1082" s="24">
        <f t="shared" si="629"/>
        <v>0</v>
      </c>
      <c r="Z1082" s="24">
        <f t="shared" si="630"/>
        <v>3</v>
      </c>
      <c r="AA1082" s="83">
        <v>44957</v>
      </c>
      <c r="AB1082" s="21"/>
      <c r="AC1082" s="14"/>
      <c r="AD1082" s="15"/>
      <c r="AE1082" s="15"/>
      <c r="AF1082" s="15"/>
      <c r="AG1082" s="15"/>
      <c r="AH1082" s="24">
        <f t="shared" si="662"/>
        <v>0</v>
      </c>
      <c r="AI1082" s="14"/>
      <c r="AJ1082" s="15"/>
      <c r="AK1082" s="15"/>
      <c r="AL1082" s="15"/>
      <c r="AM1082" s="15"/>
      <c r="AN1082" s="24">
        <f t="shared" si="663"/>
        <v>0</v>
      </c>
      <c r="AO1082" s="15"/>
      <c r="AP1082" s="55"/>
      <c r="AQ1082" s="55"/>
      <c r="AR1082" s="55"/>
      <c r="AS1082" s="67"/>
      <c r="AT1082" s="24">
        <f t="shared" si="664"/>
        <v>0</v>
      </c>
      <c r="AU1082" s="15"/>
      <c r="AV1082" s="55"/>
      <c r="AW1082" s="55"/>
      <c r="AX1082" s="55"/>
      <c r="AY1082" s="67"/>
      <c r="AZ1082" s="24">
        <f t="shared" si="665"/>
        <v>0</v>
      </c>
      <c r="BA1082" s="24">
        <f t="shared" si="666"/>
        <v>0</v>
      </c>
      <c r="BB1082" s="128"/>
    </row>
    <row r="1083" spans="1:54" ht="14.25" x14ac:dyDescent="0.15">
      <c r="A1083" s="23" t="s">
        <v>48</v>
      </c>
      <c r="B1083" s="41"/>
      <c r="C1083" s="42"/>
      <c r="D1083" s="42"/>
      <c r="E1083" s="42">
        <v>2</v>
      </c>
      <c r="F1083" s="42"/>
      <c r="G1083" s="43">
        <f t="shared" si="643"/>
        <v>2</v>
      </c>
      <c r="H1083" s="41"/>
      <c r="I1083" s="42"/>
      <c r="J1083" s="42"/>
      <c r="K1083" s="42"/>
      <c r="L1083" s="42"/>
      <c r="M1083" s="43">
        <f t="shared" si="627"/>
        <v>0</v>
      </c>
      <c r="N1083" s="42"/>
      <c r="O1083" s="53">
        <v>1</v>
      </c>
      <c r="P1083" s="53"/>
      <c r="Q1083" s="53">
        <v>1</v>
      </c>
      <c r="R1083" s="72"/>
      <c r="S1083" s="24">
        <f t="shared" si="628"/>
        <v>2</v>
      </c>
      <c r="T1083" s="42"/>
      <c r="U1083" s="53"/>
      <c r="V1083" s="53"/>
      <c r="W1083" s="53"/>
      <c r="X1083" s="72"/>
      <c r="Y1083" s="24">
        <f t="shared" si="629"/>
        <v>0</v>
      </c>
      <c r="Z1083" s="24">
        <f t="shared" si="630"/>
        <v>4</v>
      </c>
      <c r="AA1083" s="83">
        <v>44956</v>
      </c>
      <c r="AB1083" s="47"/>
      <c r="AC1083" s="14"/>
      <c r="AD1083" s="15"/>
      <c r="AE1083" s="15"/>
      <c r="AF1083" s="15"/>
      <c r="AG1083" s="15"/>
      <c r="AH1083" s="24">
        <f t="shared" ref="AH1083" si="667">SUM(AC1083:AG1083)</f>
        <v>0</v>
      </c>
      <c r="AI1083" s="14"/>
      <c r="AJ1083" s="15"/>
      <c r="AK1083" s="15"/>
      <c r="AL1083" s="15"/>
      <c r="AM1083" s="15"/>
      <c r="AN1083" s="24">
        <f t="shared" si="663"/>
        <v>0</v>
      </c>
      <c r="AO1083" s="15"/>
      <c r="AP1083" s="55"/>
      <c r="AQ1083" s="55"/>
      <c r="AR1083" s="55"/>
      <c r="AS1083" s="67"/>
      <c r="AT1083" s="24">
        <f t="shared" si="664"/>
        <v>0</v>
      </c>
      <c r="AU1083" s="15"/>
      <c r="AV1083" s="55"/>
      <c r="AW1083" s="55"/>
      <c r="AX1083" s="55"/>
      <c r="AY1083" s="67"/>
      <c r="AZ1083" s="24">
        <f t="shared" si="665"/>
        <v>0</v>
      </c>
      <c r="BA1083" s="24">
        <f t="shared" si="666"/>
        <v>0</v>
      </c>
      <c r="BB1083" s="128"/>
    </row>
    <row r="1084" spans="1:54" ht="14.25" x14ac:dyDescent="0.15">
      <c r="A1084" s="23" t="s">
        <v>181</v>
      </c>
      <c r="B1084" s="41"/>
      <c r="C1084" s="42"/>
      <c r="D1084" s="42"/>
      <c r="E1084" s="42">
        <v>-3</v>
      </c>
      <c r="F1084" s="42">
        <v>-3</v>
      </c>
      <c r="G1084" s="43">
        <f t="shared" si="643"/>
        <v>-6</v>
      </c>
      <c r="H1084" s="41"/>
      <c r="I1084" s="42"/>
      <c r="J1084" s="42"/>
      <c r="K1084" s="42"/>
      <c r="L1084" s="42"/>
      <c r="M1084" s="43">
        <f t="shared" si="627"/>
        <v>0</v>
      </c>
      <c r="N1084" s="42"/>
      <c r="O1084" s="53">
        <v>-5</v>
      </c>
      <c r="P1084" s="53"/>
      <c r="Q1084" s="53"/>
      <c r="R1084" s="72"/>
      <c r="S1084" s="24">
        <f t="shared" si="628"/>
        <v>-5</v>
      </c>
      <c r="T1084" s="42"/>
      <c r="U1084" s="53">
        <v>-3</v>
      </c>
      <c r="V1084" s="53"/>
      <c r="W1084" s="53"/>
      <c r="X1084" s="72"/>
      <c r="Y1084" s="24">
        <f t="shared" si="629"/>
        <v>-3</v>
      </c>
      <c r="Z1084" s="24">
        <f t="shared" si="630"/>
        <v>-14</v>
      </c>
      <c r="AA1084" s="83">
        <v>44957</v>
      </c>
      <c r="AB1084" s="47"/>
      <c r="AC1084" s="14"/>
      <c r="AD1084" s="15"/>
      <c r="AE1084" s="15"/>
      <c r="AF1084" s="15"/>
      <c r="AG1084" s="15"/>
      <c r="AH1084" s="24">
        <f t="shared" ref="AH1084:AH1089" si="668">SUM(AC1084:AG1084)</f>
        <v>0</v>
      </c>
      <c r="AI1084" s="14"/>
      <c r="AJ1084" s="15"/>
      <c r="AK1084" s="15"/>
      <c r="AL1084" s="15"/>
      <c r="AM1084" s="15"/>
      <c r="AN1084" s="24">
        <f t="shared" ref="AN1084:AN1089" si="669">SUM(AI1084:AM1084)</f>
        <v>0</v>
      </c>
      <c r="AO1084" s="15"/>
      <c r="AP1084" s="55"/>
      <c r="AQ1084" s="55"/>
      <c r="AR1084" s="55"/>
      <c r="AS1084" s="67"/>
      <c r="AT1084" s="24">
        <f t="shared" ref="AT1084:AT1089" si="670">SUM(AO1084:AS1084)</f>
        <v>0</v>
      </c>
      <c r="AU1084" s="15"/>
      <c r="AV1084" s="55"/>
      <c r="AW1084" s="55"/>
      <c r="AX1084" s="55"/>
      <c r="AY1084" s="67"/>
      <c r="AZ1084" s="24">
        <f t="shared" ref="AZ1084:AZ1089" si="671">SUM(AU1084:AY1084)</f>
        <v>0</v>
      </c>
      <c r="BA1084" s="24">
        <f t="shared" ref="BA1084:BA1090" si="672">AH1084+AN1084+AT1084+AZ1084</f>
        <v>0</v>
      </c>
      <c r="BB1084" s="128"/>
    </row>
    <row r="1085" spans="1:54" ht="14.25" x14ac:dyDescent="0.15">
      <c r="A1085" s="23" t="s">
        <v>48</v>
      </c>
      <c r="B1085" s="41"/>
      <c r="C1085" s="42"/>
      <c r="D1085" s="42"/>
      <c r="E1085" s="42"/>
      <c r="F1085" s="42"/>
      <c r="G1085" s="43">
        <f t="shared" si="643"/>
        <v>0</v>
      </c>
      <c r="H1085" s="41">
        <v>1</v>
      </c>
      <c r="I1085" s="42"/>
      <c r="J1085" s="42"/>
      <c r="K1085" s="42"/>
      <c r="L1085" s="42"/>
      <c r="M1085" s="43">
        <f t="shared" si="627"/>
        <v>1</v>
      </c>
      <c r="N1085" s="42"/>
      <c r="O1085" s="53"/>
      <c r="P1085" s="53"/>
      <c r="Q1085" s="53"/>
      <c r="R1085" s="72"/>
      <c r="S1085" s="24">
        <f t="shared" si="628"/>
        <v>0</v>
      </c>
      <c r="T1085" s="42"/>
      <c r="U1085" s="53"/>
      <c r="V1085" s="53"/>
      <c r="W1085" s="53"/>
      <c r="X1085" s="72"/>
      <c r="Y1085" s="24">
        <f t="shared" si="629"/>
        <v>0</v>
      </c>
      <c r="Z1085" s="24">
        <f t="shared" si="630"/>
        <v>1</v>
      </c>
      <c r="AA1085" s="83">
        <v>44958</v>
      </c>
      <c r="AB1085" s="47"/>
      <c r="AC1085" s="14"/>
      <c r="AD1085" s="15"/>
      <c r="AE1085" s="15"/>
      <c r="AF1085" s="15"/>
      <c r="AG1085" s="15"/>
      <c r="AH1085" s="24">
        <f t="shared" si="668"/>
        <v>0</v>
      </c>
      <c r="AI1085" s="14"/>
      <c r="AJ1085" s="15"/>
      <c r="AK1085" s="15"/>
      <c r="AL1085" s="15"/>
      <c r="AM1085" s="15"/>
      <c r="AN1085" s="24">
        <f t="shared" si="669"/>
        <v>0</v>
      </c>
      <c r="AO1085" s="15"/>
      <c r="AP1085" s="55"/>
      <c r="AQ1085" s="55"/>
      <c r="AR1085" s="55"/>
      <c r="AS1085" s="67"/>
      <c r="AT1085" s="24">
        <f t="shared" si="670"/>
        <v>0</v>
      </c>
      <c r="AU1085" s="15"/>
      <c r="AV1085" s="55"/>
      <c r="AW1085" s="55"/>
      <c r="AX1085" s="55"/>
      <c r="AY1085" s="67"/>
      <c r="AZ1085" s="24">
        <f t="shared" si="671"/>
        <v>0</v>
      </c>
      <c r="BA1085" s="24">
        <f t="shared" si="672"/>
        <v>0</v>
      </c>
      <c r="BB1085" s="128"/>
    </row>
    <row r="1086" spans="1:54" ht="14.25" x14ac:dyDescent="0.15">
      <c r="A1086" s="23" t="s">
        <v>438</v>
      </c>
      <c r="B1086" s="41"/>
      <c r="C1086" s="42"/>
      <c r="D1086" s="42"/>
      <c r="E1086" s="42"/>
      <c r="F1086" s="42"/>
      <c r="G1086" s="43">
        <f t="shared" si="643"/>
        <v>0</v>
      </c>
      <c r="H1086" s="41"/>
      <c r="I1086" s="42"/>
      <c r="J1086" s="42"/>
      <c r="K1086" s="42"/>
      <c r="L1086" s="42"/>
      <c r="M1086" s="43">
        <f t="shared" si="627"/>
        <v>0</v>
      </c>
      <c r="N1086" s="42"/>
      <c r="O1086" s="53"/>
      <c r="P1086" s="53"/>
      <c r="Q1086" s="53"/>
      <c r="R1086" s="72"/>
      <c r="S1086" s="24">
        <f t="shared" si="628"/>
        <v>0</v>
      </c>
      <c r="T1086" s="42"/>
      <c r="U1086" s="53"/>
      <c r="V1086" s="53">
        <v>1</v>
      </c>
      <c r="W1086" s="53"/>
      <c r="X1086" s="72"/>
      <c r="Y1086" s="24">
        <f t="shared" si="629"/>
        <v>1</v>
      </c>
      <c r="Z1086" s="24">
        <f t="shared" si="630"/>
        <v>1</v>
      </c>
      <c r="AA1086" s="83">
        <v>44960</v>
      </c>
      <c r="AB1086" s="47"/>
      <c r="AC1086" s="14"/>
      <c r="AD1086" s="15"/>
      <c r="AE1086" s="15"/>
      <c r="AF1086" s="15"/>
      <c r="AG1086" s="15"/>
      <c r="AH1086" s="24">
        <f t="shared" ref="AH1086" si="673">SUM(AC1086:AG1086)</f>
        <v>0</v>
      </c>
      <c r="AI1086" s="14"/>
      <c r="AJ1086" s="15"/>
      <c r="AK1086" s="15"/>
      <c r="AL1086" s="15"/>
      <c r="AM1086" s="15"/>
      <c r="AN1086" s="24">
        <f t="shared" ref="AN1086" si="674">SUM(AI1086:AM1086)</f>
        <v>0</v>
      </c>
      <c r="AO1086" s="15"/>
      <c r="AP1086" s="55"/>
      <c r="AQ1086" s="55"/>
      <c r="AR1086" s="55"/>
      <c r="AS1086" s="67"/>
      <c r="AT1086" s="24">
        <f t="shared" ref="AT1086" si="675">SUM(AO1086:AS1086)</f>
        <v>0</v>
      </c>
      <c r="AU1086" s="15"/>
      <c r="AV1086" s="55"/>
      <c r="AW1086" s="55"/>
      <c r="AX1086" s="55"/>
      <c r="AY1086" s="67"/>
      <c r="AZ1086" s="24">
        <f t="shared" ref="AZ1086" si="676">SUM(AU1086:AY1086)</f>
        <v>0</v>
      </c>
      <c r="BA1086" s="24">
        <f t="shared" ref="BA1086" si="677">AH1086+AN1086+AT1086+AZ1086</f>
        <v>0</v>
      </c>
      <c r="BB1086" s="128"/>
    </row>
    <row r="1087" spans="1:54" ht="14.25" x14ac:dyDescent="0.15">
      <c r="A1087" s="23" t="s">
        <v>48</v>
      </c>
      <c r="B1087" s="41"/>
      <c r="C1087" s="42">
        <v>1</v>
      </c>
      <c r="D1087" s="42"/>
      <c r="E1087" s="42"/>
      <c r="F1087" s="42"/>
      <c r="G1087" s="43">
        <f t="shared" ref="G1087:G1088" si="678">SUM(B1087:F1087)</f>
        <v>1</v>
      </c>
      <c r="H1087" s="41"/>
      <c r="I1087" s="42"/>
      <c r="J1087" s="42"/>
      <c r="K1087" s="42"/>
      <c r="L1087" s="42"/>
      <c r="M1087" s="43">
        <f t="shared" ref="M1087:M1088" si="679">SUM(H1087:L1087)</f>
        <v>0</v>
      </c>
      <c r="N1087" s="42"/>
      <c r="O1087" s="53"/>
      <c r="P1087" s="53"/>
      <c r="Q1087" s="53"/>
      <c r="R1087" s="72"/>
      <c r="S1087" s="24">
        <f>SUM(N1087:R1087)</f>
        <v>0</v>
      </c>
      <c r="T1087" s="42"/>
      <c r="U1087" s="53"/>
      <c r="V1087" s="53"/>
      <c r="W1087" s="53"/>
      <c r="X1087" s="72"/>
      <c r="Y1087" s="24">
        <f>SUM(T1087:X1087)</f>
        <v>0</v>
      </c>
      <c r="Z1087" s="24">
        <f>G1087+M1087+S1087+Y1087</f>
        <v>1</v>
      </c>
      <c r="AA1087" s="93">
        <v>44960</v>
      </c>
      <c r="AB1087" s="47" t="s">
        <v>573</v>
      </c>
      <c r="AC1087" s="191"/>
      <c r="AD1087" s="192"/>
      <c r="AE1087" s="192"/>
      <c r="AF1087" s="192"/>
      <c r="AG1087" s="192"/>
      <c r="AH1087" s="24">
        <f t="shared" si="668"/>
        <v>0</v>
      </c>
      <c r="AI1087" s="14"/>
      <c r="AJ1087" s="15"/>
      <c r="AK1087" s="15"/>
      <c r="AL1087" s="15"/>
      <c r="AM1087" s="15"/>
      <c r="AN1087" s="24">
        <f t="shared" si="669"/>
        <v>0</v>
      </c>
      <c r="AO1087" s="14"/>
      <c r="AP1087" s="15"/>
      <c r="AQ1087" s="15"/>
      <c r="AR1087" s="15"/>
      <c r="AS1087" s="15"/>
      <c r="AT1087" s="24">
        <f t="shared" si="670"/>
        <v>0</v>
      </c>
      <c r="AU1087" s="14"/>
      <c r="AV1087" s="15"/>
      <c r="AW1087" s="15"/>
      <c r="AX1087" s="15"/>
      <c r="AY1087" s="15"/>
      <c r="AZ1087" s="24">
        <f t="shared" si="671"/>
        <v>0</v>
      </c>
      <c r="BA1087" s="24">
        <f t="shared" si="672"/>
        <v>0</v>
      </c>
      <c r="BB1087" s="128" t="s">
        <v>574</v>
      </c>
    </row>
    <row r="1088" spans="1:54" ht="14.25" thickBot="1" x14ac:dyDescent="0.2">
      <c r="A1088" s="182"/>
      <c r="B1088" s="44"/>
      <c r="C1088" s="45"/>
      <c r="D1088" s="45"/>
      <c r="E1088" s="45"/>
      <c r="F1088" s="45"/>
      <c r="G1088" s="43">
        <f t="shared" si="678"/>
        <v>0</v>
      </c>
      <c r="H1088" s="44"/>
      <c r="I1088" s="45"/>
      <c r="J1088" s="45"/>
      <c r="K1088" s="45"/>
      <c r="L1088" s="45"/>
      <c r="M1088" s="112">
        <f t="shared" si="679"/>
        <v>0</v>
      </c>
      <c r="N1088" s="45"/>
      <c r="O1088" s="78"/>
      <c r="P1088" s="78"/>
      <c r="Q1088" s="78"/>
      <c r="R1088" s="79"/>
      <c r="S1088" s="113">
        <f>SUM(N1088:R1088)</f>
        <v>0</v>
      </c>
      <c r="T1088" s="45"/>
      <c r="U1088" s="78"/>
      <c r="V1088" s="78"/>
      <c r="W1088" s="78"/>
      <c r="X1088" s="79"/>
      <c r="Y1088" s="113">
        <f>SUM(T1088:X1088)</f>
        <v>0</v>
      </c>
      <c r="Z1088" s="82">
        <f>G1088+M1088+S1088+Y1088</f>
        <v>0</v>
      </c>
      <c r="AB1088" s="47" t="s">
        <v>568</v>
      </c>
      <c r="AC1088" s="191"/>
      <c r="AD1088" s="192"/>
      <c r="AE1088" s="192"/>
      <c r="AF1088" s="192"/>
      <c r="AG1088" s="192"/>
      <c r="AH1088" s="24">
        <f t="shared" si="668"/>
        <v>0</v>
      </c>
      <c r="AI1088" s="14"/>
      <c r="AJ1088" s="15"/>
      <c r="AK1088" s="15"/>
      <c r="AL1088" s="15"/>
      <c r="AM1088" s="15"/>
      <c r="AN1088" s="24">
        <f t="shared" si="669"/>
        <v>0</v>
      </c>
      <c r="AO1088" s="14"/>
      <c r="AP1088" s="15"/>
      <c r="AQ1088" s="15"/>
      <c r="AR1088" s="15"/>
      <c r="AS1088" s="15"/>
      <c r="AT1088" s="24">
        <f t="shared" si="670"/>
        <v>0</v>
      </c>
      <c r="AU1088" s="14"/>
      <c r="AV1088" s="15"/>
      <c r="AW1088" s="15"/>
      <c r="AX1088" s="15"/>
      <c r="AY1088" s="15"/>
      <c r="AZ1088" s="24">
        <f t="shared" si="671"/>
        <v>0</v>
      </c>
      <c r="BA1088" s="24">
        <f t="shared" si="672"/>
        <v>0</v>
      </c>
      <c r="BB1088" s="128" t="s">
        <v>569</v>
      </c>
    </row>
    <row r="1089" spans="1:54" ht="15" thickBot="1" x14ac:dyDescent="0.2">
      <c r="A1089" s="9" t="s">
        <v>13</v>
      </c>
      <c r="B1089" s="25">
        <f>SUM(B1063:B1088)</f>
        <v>0</v>
      </c>
      <c r="C1089" s="26">
        <f>SUM(C1063:C1088)</f>
        <v>5</v>
      </c>
      <c r="D1089" s="26">
        <f>SUM(D1063:D1088)</f>
        <v>0</v>
      </c>
      <c r="E1089" s="26">
        <f>SUM(E1063:E1088)</f>
        <v>-1</v>
      </c>
      <c r="F1089" s="27">
        <f>SUM(F1063:F1088)</f>
        <v>-1</v>
      </c>
      <c r="G1089" s="19">
        <f>SUM(B1089:F1089)</f>
        <v>3</v>
      </c>
      <c r="H1089" s="25">
        <f>SUM(H1063:H1088)</f>
        <v>1</v>
      </c>
      <c r="I1089" s="26">
        <f>SUM(I1063:I1088)</f>
        <v>2</v>
      </c>
      <c r="J1089" s="26">
        <f>SUM(J1063:J1088)</f>
        <v>4</v>
      </c>
      <c r="K1089" s="26">
        <f>SUM(K1063:K1088)</f>
        <v>1</v>
      </c>
      <c r="L1089" s="27">
        <f>SUM(L1063:L1088)</f>
        <v>0</v>
      </c>
      <c r="M1089" s="25">
        <f>SUM(H1089:L1089)</f>
        <v>8</v>
      </c>
      <c r="N1089" s="65">
        <f>SUM(N1063:N1088)</f>
        <v>1</v>
      </c>
      <c r="O1089" s="18">
        <f>SUM(O1063:O1088)</f>
        <v>1</v>
      </c>
      <c r="P1089" s="18">
        <f>SUM(P1063:P1088)</f>
        <v>1</v>
      </c>
      <c r="Q1089" s="18">
        <f>SUM(Q1063:Q1088)</f>
        <v>1</v>
      </c>
      <c r="R1089" s="70">
        <f>SUM(R1063:R1088)</f>
        <v>0</v>
      </c>
      <c r="S1089" s="49">
        <f>SUM(N1089:R1089)</f>
        <v>4</v>
      </c>
      <c r="T1089" s="74">
        <f>SUM(T1063:T1088)</f>
        <v>0</v>
      </c>
      <c r="U1089" s="18">
        <f>SUM(U1063:U1088)</f>
        <v>-2</v>
      </c>
      <c r="V1089" s="18">
        <f>SUM(V1063:V1088)</f>
        <v>3</v>
      </c>
      <c r="W1089" s="18">
        <f>SUM(W1063:W1088)</f>
        <v>2</v>
      </c>
      <c r="X1089" s="70">
        <f>SUM(X1063:X1088)</f>
        <v>1</v>
      </c>
      <c r="Y1089" s="49">
        <f>SUM(T1089:X1089)</f>
        <v>4</v>
      </c>
      <c r="Z1089" s="137">
        <f>G1089+M1089+S1089+Y1089</f>
        <v>19</v>
      </c>
      <c r="AB1089" s="9" t="s">
        <v>13</v>
      </c>
      <c r="AC1089" s="25">
        <f>SUM(AC1063:AC1088)</f>
        <v>0</v>
      </c>
      <c r="AD1089" s="26">
        <f>SUM(AD1063:AD1088)</f>
        <v>5</v>
      </c>
      <c r="AE1089" s="26">
        <f>SUM(AE1063:AE1088)</f>
        <v>0</v>
      </c>
      <c r="AF1089" s="26">
        <f>SUM(AF1063:AF1088)</f>
        <v>3</v>
      </c>
      <c r="AG1089" s="27">
        <f>SUM(AG1063:AG1088)</f>
        <v>3</v>
      </c>
      <c r="AH1089" s="19">
        <f t="shared" si="668"/>
        <v>11</v>
      </c>
      <c r="AI1089" s="25">
        <f>SUM(AI1063:AI1088)</f>
        <v>0</v>
      </c>
      <c r="AJ1089" s="26">
        <f>SUM(AJ1063:AJ1088)</f>
        <v>3</v>
      </c>
      <c r="AK1089" s="26">
        <f>SUM(AK1063:AK1088)</f>
        <v>6</v>
      </c>
      <c r="AL1089" s="26">
        <f>SUM(AL1063:AL1088)</f>
        <v>0</v>
      </c>
      <c r="AM1089" s="27">
        <f>SUM(AM1063:AM1088)</f>
        <v>2</v>
      </c>
      <c r="AN1089" s="25">
        <f t="shared" si="669"/>
        <v>11</v>
      </c>
      <c r="AO1089" s="65">
        <f>SUM(AO1063:AO1088)</f>
        <v>3</v>
      </c>
      <c r="AP1089" s="18">
        <f>SUM(AP1063:AP1088)</f>
        <v>9</v>
      </c>
      <c r="AQ1089" s="18">
        <f>SUM(AQ1063:AQ1088)</f>
        <v>3</v>
      </c>
      <c r="AR1089" s="18">
        <f>SUM(AR1063:AR1088)</f>
        <v>3</v>
      </c>
      <c r="AS1089" s="70">
        <f>SUM(AS1063:AS1088)</f>
        <v>0</v>
      </c>
      <c r="AT1089" s="49">
        <f t="shared" si="670"/>
        <v>18</v>
      </c>
      <c r="AU1089" s="74">
        <f>SUM(AU1063:AU1088)</f>
        <v>1</v>
      </c>
      <c r="AV1089" s="18">
        <f>SUM(AV1063:AV1088)</f>
        <v>3</v>
      </c>
      <c r="AW1089" s="18">
        <f>SUM(AW1063:AW1088)</f>
        <v>2</v>
      </c>
      <c r="AX1089" s="18">
        <f>SUM(AX1063:AX1088)</f>
        <v>0</v>
      </c>
      <c r="AY1089" s="70">
        <f>SUM(AY1063:AY1088)</f>
        <v>0</v>
      </c>
      <c r="AZ1089" s="49">
        <f t="shared" si="671"/>
        <v>6</v>
      </c>
      <c r="BA1089" s="77">
        <f t="shared" si="672"/>
        <v>46</v>
      </c>
    </row>
    <row r="1090" spans="1:54" ht="15" thickBot="1" x14ac:dyDescent="0.2">
      <c r="A1090" s="32" t="s">
        <v>14</v>
      </c>
      <c r="B1090" s="29">
        <f t="shared" ref="B1090:Y1090" si="680">B1062-B1089</f>
        <v>5</v>
      </c>
      <c r="C1090" s="30">
        <f t="shared" si="680"/>
        <v>3</v>
      </c>
      <c r="D1090" s="30">
        <f t="shared" si="680"/>
        <v>4</v>
      </c>
      <c r="E1090" s="30">
        <f t="shared" si="680"/>
        <v>6</v>
      </c>
      <c r="F1090" s="31">
        <f t="shared" si="680"/>
        <v>6</v>
      </c>
      <c r="G1090" s="31">
        <f t="shared" si="680"/>
        <v>24</v>
      </c>
      <c r="H1090" s="29">
        <f t="shared" si="680"/>
        <v>6</v>
      </c>
      <c r="I1090" s="30">
        <f t="shared" si="680"/>
        <v>4</v>
      </c>
      <c r="J1090" s="30">
        <f t="shared" si="680"/>
        <v>4</v>
      </c>
      <c r="K1090" s="30">
        <f t="shared" si="680"/>
        <v>5</v>
      </c>
      <c r="L1090" s="31">
        <f t="shared" si="680"/>
        <v>5</v>
      </c>
      <c r="M1090" s="66">
        <f t="shared" si="680"/>
        <v>24</v>
      </c>
      <c r="N1090" s="29">
        <f t="shared" si="680"/>
        <v>5</v>
      </c>
      <c r="O1090" s="30">
        <f t="shared" si="680"/>
        <v>6</v>
      </c>
      <c r="P1090" s="30">
        <f t="shared" si="680"/>
        <v>5</v>
      </c>
      <c r="Q1090" s="30">
        <f t="shared" si="680"/>
        <v>5</v>
      </c>
      <c r="R1090" s="66">
        <f t="shared" si="680"/>
        <v>4</v>
      </c>
      <c r="S1090" s="33">
        <f t="shared" si="680"/>
        <v>25</v>
      </c>
      <c r="T1090" s="75">
        <f t="shared" si="680"/>
        <v>6</v>
      </c>
      <c r="U1090" s="30">
        <f t="shared" si="680"/>
        <v>6</v>
      </c>
      <c r="V1090" s="30">
        <f t="shared" si="680"/>
        <v>3</v>
      </c>
      <c r="W1090" s="30">
        <f t="shared" si="680"/>
        <v>4</v>
      </c>
      <c r="X1090" s="66">
        <f t="shared" si="680"/>
        <v>7</v>
      </c>
      <c r="Y1090" s="33">
        <f t="shared" si="680"/>
        <v>26</v>
      </c>
      <c r="Z1090" s="77">
        <f>G1090+M1090+S1090+Y1090</f>
        <v>99</v>
      </c>
      <c r="AB1090" s="32" t="s">
        <v>14</v>
      </c>
      <c r="AC1090" s="29">
        <f t="shared" ref="AC1090:AZ1090" si="681">AC1062-AC1089</f>
        <v>89</v>
      </c>
      <c r="AD1090" s="30">
        <f t="shared" si="681"/>
        <v>114</v>
      </c>
      <c r="AE1090" s="30">
        <f t="shared" si="681"/>
        <v>128</v>
      </c>
      <c r="AF1090" s="30">
        <f t="shared" si="681"/>
        <v>95</v>
      </c>
      <c r="AG1090" s="31">
        <f t="shared" si="681"/>
        <v>76</v>
      </c>
      <c r="AH1090" s="31">
        <f t="shared" si="681"/>
        <v>502</v>
      </c>
      <c r="AI1090" s="29">
        <f t="shared" si="681"/>
        <v>80</v>
      </c>
      <c r="AJ1090" s="30">
        <f t="shared" si="681"/>
        <v>93</v>
      </c>
      <c r="AK1090" s="30">
        <f t="shared" si="681"/>
        <v>105</v>
      </c>
      <c r="AL1090" s="30">
        <f t="shared" si="681"/>
        <v>84</v>
      </c>
      <c r="AM1090" s="31">
        <f t="shared" si="681"/>
        <v>98</v>
      </c>
      <c r="AN1090" s="66">
        <f t="shared" si="681"/>
        <v>460</v>
      </c>
      <c r="AO1090" s="29">
        <f t="shared" si="681"/>
        <v>156</v>
      </c>
      <c r="AP1090" s="30">
        <f t="shared" si="681"/>
        <v>125</v>
      </c>
      <c r="AQ1090" s="30">
        <f t="shared" si="681"/>
        <v>126</v>
      </c>
      <c r="AR1090" s="30">
        <f t="shared" si="681"/>
        <v>134</v>
      </c>
      <c r="AS1090" s="66">
        <f t="shared" si="681"/>
        <v>149</v>
      </c>
      <c r="AT1090" s="33">
        <f t="shared" si="681"/>
        <v>690</v>
      </c>
      <c r="AU1090" s="75">
        <f t="shared" si="681"/>
        <v>115</v>
      </c>
      <c r="AV1090" s="30">
        <f t="shared" si="681"/>
        <v>68</v>
      </c>
      <c r="AW1090" s="30">
        <f t="shared" si="681"/>
        <v>58</v>
      </c>
      <c r="AX1090" s="30">
        <f t="shared" si="681"/>
        <v>54</v>
      </c>
      <c r="AY1090" s="66">
        <f t="shared" si="681"/>
        <v>95</v>
      </c>
      <c r="AZ1090" s="33">
        <f t="shared" si="681"/>
        <v>390</v>
      </c>
      <c r="BA1090" s="77">
        <f t="shared" si="672"/>
        <v>2042</v>
      </c>
    </row>
    <row r="1093" spans="1:54" ht="19.5" thickBot="1" x14ac:dyDescent="0.25">
      <c r="A1093" s="1" t="s">
        <v>15</v>
      </c>
      <c r="AB1093" s="1" t="s">
        <v>16</v>
      </c>
    </row>
    <row r="1094" spans="1:54" ht="15" thickBot="1" x14ac:dyDescent="0.2">
      <c r="A1094" s="4"/>
      <c r="B1094" s="245" t="s">
        <v>17</v>
      </c>
      <c r="C1094" s="246"/>
      <c r="D1094" s="246"/>
      <c r="E1094" s="246"/>
      <c r="F1094" s="246"/>
      <c r="G1094" s="247"/>
      <c r="H1094" s="245" t="s">
        <v>18</v>
      </c>
      <c r="I1094" s="246"/>
      <c r="J1094" s="246"/>
      <c r="K1094" s="246"/>
      <c r="L1094" s="246"/>
      <c r="M1094" s="247"/>
      <c r="N1094" s="248" t="s">
        <v>27</v>
      </c>
      <c r="O1094" s="249"/>
      <c r="P1094" s="249"/>
      <c r="Q1094" s="249"/>
      <c r="R1094" s="249"/>
      <c r="S1094" s="250"/>
      <c r="T1094" s="248" t="s">
        <v>28</v>
      </c>
      <c r="U1094" s="249"/>
      <c r="V1094" s="249"/>
      <c r="W1094" s="249"/>
      <c r="X1094" s="249"/>
      <c r="Y1094" s="250"/>
      <c r="Z1094" s="251" t="s">
        <v>1</v>
      </c>
      <c r="AB1094" s="4"/>
      <c r="AC1094" s="253" t="s">
        <v>17</v>
      </c>
      <c r="AD1094" s="249"/>
      <c r="AE1094" s="249"/>
      <c r="AF1094" s="249"/>
      <c r="AG1094" s="249"/>
      <c r="AH1094" s="250"/>
      <c r="AI1094" s="248" t="s">
        <v>18</v>
      </c>
      <c r="AJ1094" s="249"/>
      <c r="AK1094" s="249"/>
      <c r="AL1094" s="249"/>
      <c r="AM1094" s="249"/>
      <c r="AN1094" s="250"/>
      <c r="AO1094" s="248" t="s">
        <v>27</v>
      </c>
      <c r="AP1094" s="249"/>
      <c r="AQ1094" s="249"/>
      <c r="AR1094" s="249"/>
      <c r="AS1094" s="249"/>
      <c r="AT1094" s="250"/>
      <c r="AU1094" s="248" t="s">
        <v>28</v>
      </c>
      <c r="AV1094" s="249"/>
      <c r="AW1094" s="249"/>
      <c r="AX1094" s="249"/>
      <c r="AY1094" s="249"/>
      <c r="AZ1094" s="250"/>
      <c r="BA1094" s="243" t="s">
        <v>1</v>
      </c>
    </row>
    <row r="1095" spans="1:54" ht="15" thickBot="1" x14ac:dyDescent="0.2">
      <c r="A1095" s="9" t="s">
        <v>2</v>
      </c>
      <c r="B1095" s="6" t="s">
        <v>3</v>
      </c>
      <c r="C1095" s="7" t="s">
        <v>4</v>
      </c>
      <c r="D1095" s="7" t="s">
        <v>5</v>
      </c>
      <c r="E1095" s="48" t="s">
        <v>20</v>
      </c>
      <c r="F1095" s="8" t="s">
        <v>21</v>
      </c>
      <c r="G1095" s="5" t="s">
        <v>6</v>
      </c>
      <c r="H1095" s="6" t="s">
        <v>3</v>
      </c>
      <c r="I1095" s="7" t="s">
        <v>4</v>
      </c>
      <c r="J1095" s="7" t="s">
        <v>5</v>
      </c>
      <c r="K1095" s="48" t="s">
        <v>20</v>
      </c>
      <c r="L1095" s="8" t="s">
        <v>21</v>
      </c>
      <c r="M1095" s="5" t="s">
        <v>6</v>
      </c>
      <c r="N1095" s="6" t="s">
        <v>3</v>
      </c>
      <c r="O1095" s="7" t="s">
        <v>4</v>
      </c>
      <c r="P1095" s="7" t="s">
        <v>5</v>
      </c>
      <c r="Q1095" s="48" t="s">
        <v>20</v>
      </c>
      <c r="R1095" s="8" t="s">
        <v>21</v>
      </c>
      <c r="S1095" s="5" t="s">
        <v>6</v>
      </c>
      <c r="T1095" s="7" t="s">
        <v>3</v>
      </c>
      <c r="U1095" s="7" t="s">
        <v>4</v>
      </c>
      <c r="V1095" s="7" t="s">
        <v>5</v>
      </c>
      <c r="W1095" s="48" t="s">
        <v>20</v>
      </c>
      <c r="X1095" s="109" t="s">
        <v>21</v>
      </c>
      <c r="Y1095" s="62" t="s">
        <v>6</v>
      </c>
      <c r="Z1095" s="252"/>
      <c r="AB1095" s="9" t="s">
        <v>2</v>
      </c>
      <c r="AC1095" s="6" t="s">
        <v>3</v>
      </c>
      <c r="AD1095" s="7" t="s">
        <v>4</v>
      </c>
      <c r="AE1095" s="7" t="s">
        <v>5</v>
      </c>
      <c r="AF1095" s="48" t="s">
        <v>20</v>
      </c>
      <c r="AG1095" s="8" t="s">
        <v>21</v>
      </c>
      <c r="AH1095" s="5" t="s">
        <v>6</v>
      </c>
      <c r="AI1095" s="6" t="s">
        <v>3</v>
      </c>
      <c r="AJ1095" s="7" t="s">
        <v>4</v>
      </c>
      <c r="AK1095" s="7" t="s">
        <v>5</v>
      </c>
      <c r="AL1095" s="48" t="s">
        <v>20</v>
      </c>
      <c r="AM1095" s="8" t="s">
        <v>21</v>
      </c>
      <c r="AN1095" s="5" t="s">
        <v>6</v>
      </c>
      <c r="AO1095" s="6" t="s">
        <v>3</v>
      </c>
      <c r="AP1095" s="7" t="s">
        <v>4</v>
      </c>
      <c r="AQ1095" s="7" t="s">
        <v>5</v>
      </c>
      <c r="AR1095" s="48" t="s">
        <v>20</v>
      </c>
      <c r="AS1095" s="8" t="s">
        <v>21</v>
      </c>
      <c r="AT1095" s="5" t="s">
        <v>6</v>
      </c>
      <c r="AU1095" s="7" t="s">
        <v>3</v>
      </c>
      <c r="AV1095" s="7" t="s">
        <v>4</v>
      </c>
      <c r="AW1095" s="7" t="s">
        <v>5</v>
      </c>
      <c r="AX1095" s="48" t="s">
        <v>20</v>
      </c>
      <c r="AY1095" s="109" t="s">
        <v>21</v>
      </c>
      <c r="AZ1095" s="62" t="s">
        <v>6</v>
      </c>
      <c r="BA1095" s="244"/>
    </row>
    <row r="1096" spans="1:54" ht="14.25" x14ac:dyDescent="0.15">
      <c r="A1096" s="103" t="s">
        <v>43</v>
      </c>
      <c r="B1096" s="104">
        <f>B1090</f>
        <v>5</v>
      </c>
      <c r="C1096" s="105">
        <f>C1090</f>
        <v>3</v>
      </c>
      <c r="D1096" s="105">
        <f>D1090</f>
        <v>4</v>
      </c>
      <c r="E1096" s="105">
        <f>E1090</f>
        <v>6</v>
      </c>
      <c r="F1096" s="105">
        <f>F1090</f>
        <v>6</v>
      </c>
      <c r="G1096" s="106">
        <f t="shared" ref="G1096" si="682">SUM(B1096:F1096)</f>
        <v>24</v>
      </c>
      <c r="H1096" s="104">
        <f>H1090</f>
        <v>6</v>
      </c>
      <c r="I1096" s="105">
        <f>I1090</f>
        <v>4</v>
      </c>
      <c r="J1096" s="105">
        <f>J1090</f>
        <v>4</v>
      </c>
      <c r="K1096" s="105">
        <f>K1090</f>
        <v>5</v>
      </c>
      <c r="L1096" s="105">
        <f>L1090</f>
        <v>5</v>
      </c>
      <c r="M1096" s="107">
        <f t="shared" ref="M1096:M1101" si="683">SUM(H1096:L1096)</f>
        <v>24</v>
      </c>
      <c r="N1096" s="104">
        <f>N1090</f>
        <v>5</v>
      </c>
      <c r="O1096" s="105">
        <f>O1090</f>
        <v>6</v>
      </c>
      <c r="P1096" s="105">
        <f>P1090</f>
        <v>5</v>
      </c>
      <c r="Q1096" s="105">
        <f>Q1090</f>
        <v>5</v>
      </c>
      <c r="R1096" s="105">
        <f>R1090</f>
        <v>4</v>
      </c>
      <c r="S1096" s="108">
        <f t="shared" ref="S1096:S1125" si="684">SUM(N1096:R1096)</f>
        <v>25</v>
      </c>
      <c r="T1096" s="104">
        <f>T1090</f>
        <v>6</v>
      </c>
      <c r="U1096" s="105">
        <f>U1090</f>
        <v>6</v>
      </c>
      <c r="V1096" s="105">
        <f>V1090</f>
        <v>3</v>
      </c>
      <c r="W1096" s="105">
        <f>W1090</f>
        <v>4</v>
      </c>
      <c r="X1096" s="105">
        <f>X1090</f>
        <v>7</v>
      </c>
      <c r="Y1096" s="106">
        <f t="shared" ref="Y1096:Y1125" si="685">SUM(T1096:X1096)</f>
        <v>26</v>
      </c>
      <c r="Z1096" s="106">
        <f t="shared" ref="Z1096:Z1125" si="686">G1096+M1096+S1096+Y1096</f>
        <v>99</v>
      </c>
      <c r="AB1096" s="103" t="s">
        <v>43</v>
      </c>
      <c r="AC1096" s="104">
        <f>AC1090</f>
        <v>89</v>
      </c>
      <c r="AD1096" s="105">
        <f>AD1090</f>
        <v>114</v>
      </c>
      <c r="AE1096" s="105">
        <f>AE1090</f>
        <v>128</v>
      </c>
      <c r="AF1096" s="105">
        <f>AF1090</f>
        <v>95</v>
      </c>
      <c r="AG1096" s="105">
        <f>AG1090</f>
        <v>76</v>
      </c>
      <c r="AH1096" s="106">
        <f>SUM(AC1096:AG1096)</f>
        <v>502</v>
      </c>
      <c r="AI1096" s="104">
        <f>AI1090</f>
        <v>80</v>
      </c>
      <c r="AJ1096" s="105">
        <f>AJ1090</f>
        <v>93</v>
      </c>
      <c r="AK1096" s="105">
        <f>AK1090</f>
        <v>105</v>
      </c>
      <c r="AL1096" s="105">
        <f>AL1090</f>
        <v>84</v>
      </c>
      <c r="AM1096" s="105">
        <f>AM1090</f>
        <v>98</v>
      </c>
      <c r="AN1096" s="107">
        <f>SUM(AI1096:AM1096)</f>
        <v>460</v>
      </c>
      <c r="AO1096" s="104">
        <f>AO1090</f>
        <v>156</v>
      </c>
      <c r="AP1096" s="105">
        <f>AP1090</f>
        <v>125</v>
      </c>
      <c r="AQ1096" s="105">
        <f>AQ1090</f>
        <v>126</v>
      </c>
      <c r="AR1096" s="105">
        <f>AR1090</f>
        <v>134</v>
      </c>
      <c r="AS1096" s="105">
        <f>AS1090</f>
        <v>149</v>
      </c>
      <c r="AT1096" s="108">
        <f>SUM(AO1096:AS1096)</f>
        <v>690</v>
      </c>
      <c r="AU1096" s="104">
        <f>AU1090</f>
        <v>115</v>
      </c>
      <c r="AV1096" s="105">
        <f>AV1090</f>
        <v>68</v>
      </c>
      <c r="AW1096" s="105">
        <f>AW1090</f>
        <v>58</v>
      </c>
      <c r="AX1096" s="105">
        <f>AX1090</f>
        <v>54</v>
      </c>
      <c r="AY1096" s="105">
        <f>AY1090</f>
        <v>95</v>
      </c>
      <c r="AZ1096" s="106">
        <f>SUM(AU1096:AY1096)</f>
        <v>390</v>
      </c>
      <c r="BA1096" s="106">
        <f>AH1096+AN1096+AT1096+AZ1096</f>
        <v>2042</v>
      </c>
    </row>
    <row r="1097" spans="1:54" ht="14.25" x14ac:dyDescent="0.15">
      <c r="A1097" s="10" t="s">
        <v>181</v>
      </c>
      <c r="B1097" s="14"/>
      <c r="C1097" s="15">
        <v>3</v>
      </c>
      <c r="D1097" s="15">
        <v>3</v>
      </c>
      <c r="E1097" s="15"/>
      <c r="F1097" s="15"/>
      <c r="G1097" s="24">
        <f t="shared" ref="G1097:G1099" si="687">SUM(B1097:F1097)</f>
        <v>6</v>
      </c>
      <c r="H1097" s="14"/>
      <c r="I1097" s="15">
        <v>3</v>
      </c>
      <c r="J1097" s="15">
        <v>3</v>
      </c>
      <c r="K1097" s="15"/>
      <c r="L1097" s="15"/>
      <c r="M1097" s="185">
        <f t="shared" ref="M1097:M1099" si="688">SUM(H1097:L1097)</f>
        <v>6</v>
      </c>
      <c r="N1097" s="14"/>
      <c r="O1097" s="55"/>
      <c r="P1097" s="55"/>
      <c r="Q1097" s="55"/>
      <c r="R1097" s="67"/>
      <c r="S1097" s="24">
        <f t="shared" ref="S1097:S1099" si="689">SUM(N1097:R1097)</f>
        <v>0</v>
      </c>
      <c r="T1097" s="15"/>
      <c r="U1097" s="55"/>
      <c r="V1097" s="55">
        <v>3</v>
      </c>
      <c r="W1097" s="55"/>
      <c r="X1097" s="67"/>
      <c r="Y1097" s="24">
        <f t="shared" ref="Y1097:Y1099" si="690">SUM(T1097:X1097)</f>
        <v>3</v>
      </c>
      <c r="Z1097" s="24">
        <f t="shared" ref="Z1097:Z1099" si="691">G1097+M1097+S1097+Y1097</f>
        <v>15</v>
      </c>
      <c r="AA1097" s="83">
        <v>44971</v>
      </c>
      <c r="AB1097" s="10" t="s">
        <v>181</v>
      </c>
      <c r="AC1097" s="14"/>
      <c r="AD1097" s="15"/>
      <c r="AE1097" s="15"/>
      <c r="AF1097" s="15"/>
      <c r="AG1097" s="15"/>
      <c r="AH1097" s="43">
        <f t="shared" ref="AH1097:AH1098" si="692">SUM(AC1097:AG1097)</f>
        <v>0</v>
      </c>
      <c r="AI1097" s="14"/>
      <c r="AJ1097" s="15"/>
      <c r="AK1097" s="15"/>
      <c r="AL1097" s="15"/>
      <c r="AM1097" s="15"/>
      <c r="AN1097" s="43">
        <f t="shared" ref="AN1097:AN1098" si="693">SUM(AI1097:AM1097)</f>
        <v>0</v>
      </c>
      <c r="AO1097" s="14"/>
      <c r="AP1097" s="55"/>
      <c r="AQ1097" s="55"/>
      <c r="AR1097" s="55"/>
      <c r="AS1097" s="67"/>
      <c r="AT1097" s="24">
        <f t="shared" ref="AT1097:AT1098" si="694">SUM(AO1097:AS1097)</f>
        <v>0</v>
      </c>
      <c r="AU1097" s="15"/>
      <c r="AV1097" s="55"/>
      <c r="AW1097" s="55"/>
      <c r="AX1097" s="55"/>
      <c r="AY1097" s="67"/>
      <c r="AZ1097" s="24">
        <f t="shared" ref="AZ1097:AZ1098" si="695">SUM(AU1097:AY1097)</f>
        <v>0</v>
      </c>
      <c r="BA1097" s="24">
        <f t="shared" ref="BA1097:BA1111" si="696">AH1097+AN1097+AT1097+AZ1097</f>
        <v>0</v>
      </c>
      <c r="BB1097" s="128"/>
    </row>
    <row r="1098" spans="1:54" ht="14.25" x14ac:dyDescent="0.15">
      <c r="A1098" s="85" t="s">
        <v>181</v>
      </c>
      <c r="B1098" s="86"/>
      <c r="C1098" s="87">
        <v>3</v>
      </c>
      <c r="D1098" s="87">
        <v>3</v>
      </c>
      <c r="E1098" s="87"/>
      <c r="F1098" s="87">
        <v>3</v>
      </c>
      <c r="G1098" s="16">
        <f t="shared" si="687"/>
        <v>9</v>
      </c>
      <c r="H1098" s="86"/>
      <c r="I1098" s="87"/>
      <c r="J1098" s="87"/>
      <c r="K1098" s="87"/>
      <c r="L1098" s="87">
        <v>3</v>
      </c>
      <c r="M1098" s="57">
        <f t="shared" si="688"/>
        <v>3</v>
      </c>
      <c r="N1098" s="14"/>
      <c r="O1098" s="55">
        <v>3</v>
      </c>
      <c r="P1098" s="55"/>
      <c r="Q1098" s="55"/>
      <c r="R1098" s="67">
        <v>3</v>
      </c>
      <c r="S1098" s="24">
        <f t="shared" si="689"/>
        <v>6</v>
      </c>
      <c r="T1098" s="15"/>
      <c r="U1098" s="55"/>
      <c r="V1098" s="55"/>
      <c r="W1098" s="55"/>
      <c r="X1098" s="67"/>
      <c r="Y1098" s="24">
        <f t="shared" si="690"/>
        <v>0</v>
      </c>
      <c r="Z1098" s="24">
        <f t="shared" si="691"/>
        <v>18</v>
      </c>
      <c r="AA1098" s="83">
        <v>44999</v>
      </c>
      <c r="AB1098" s="10" t="s">
        <v>181</v>
      </c>
      <c r="AC1098" s="14"/>
      <c r="AD1098" s="15"/>
      <c r="AE1098" s="15"/>
      <c r="AF1098" s="15"/>
      <c r="AG1098" s="15"/>
      <c r="AH1098" s="43">
        <f t="shared" si="692"/>
        <v>0</v>
      </c>
      <c r="AI1098" s="14"/>
      <c r="AJ1098" s="15"/>
      <c r="AK1098" s="15"/>
      <c r="AL1098" s="15"/>
      <c r="AM1098" s="15"/>
      <c r="AN1098" s="43">
        <f t="shared" si="693"/>
        <v>0</v>
      </c>
      <c r="AO1098" s="14"/>
      <c r="AP1098" s="55"/>
      <c r="AQ1098" s="55"/>
      <c r="AR1098" s="55"/>
      <c r="AS1098" s="67"/>
      <c r="AT1098" s="24">
        <f t="shared" si="694"/>
        <v>0</v>
      </c>
      <c r="AU1098" s="15"/>
      <c r="AV1098" s="55"/>
      <c r="AW1098" s="55"/>
      <c r="AX1098" s="55"/>
      <c r="AY1098" s="67"/>
      <c r="AZ1098" s="24">
        <f t="shared" si="695"/>
        <v>0</v>
      </c>
      <c r="BA1098" s="24">
        <f t="shared" si="696"/>
        <v>0</v>
      </c>
      <c r="BB1098" s="128"/>
    </row>
    <row r="1099" spans="1:54" ht="14.25" x14ac:dyDescent="0.15">
      <c r="A1099" s="10" t="s">
        <v>181</v>
      </c>
      <c r="B1099" s="14"/>
      <c r="C1099" s="15"/>
      <c r="D1099" s="15"/>
      <c r="E1099" s="15"/>
      <c r="F1099" s="15"/>
      <c r="G1099" s="16">
        <f t="shared" si="687"/>
        <v>0</v>
      </c>
      <c r="H1099" s="14"/>
      <c r="I1099" s="15"/>
      <c r="J1099" s="15"/>
      <c r="K1099" s="15"/>
      <c r="L1099" s="15"/>
      <c r="M1099" s="57">
        <f t="shared" si="688"/>
        <v>0</v>
      </c>
      <c r="N1099" s="14"/>
      <c r="O1099" s="55"/>
      <c r="P1099" s="55"/>
      <c r="Q1099" s="55"/>
      <c r="R1099" s="67"/>
      <c r="S1099" s="24">
        <f t="shared" si="689"/>
        <v>0</v>
      </c>
      <c r="T1099" s="15"/>
      <c r="U1099" s="55"/>
      <c r="V1099" s="55"/>
      <c r="W1099" s="55"/>
      <c r="X1099" s="67"/>
      <c r="Y1099" s="24">
        <f t="shared" si="690"/>
        <v>0</v>
      </c>
      <c r="Z1099" s="24">
        <f t="shared" si="691"/>
        <v>0</v>
      </c>
      <c r="AA1099" s="83"/>
      <c r="AB1099" s="10" t="s">
        <v>181</v>
      </c>
      <c r="AC1099" s="14"/>
      <c r="AD1099" s="15"/>
      <c r="AE1099" s="15"/>
      <c r="AF1099" s="15"/>
      <c r="AG1099" s="15"/>
      <c r="AH1099" s="43">
        <f t="shared" ref="AH1099:AH1111" si="697">SUM(AC1099:AG1099)</f>
        <v>0</v>
      </c>
      <c r="AI1099" s="14"/>
      <c r="AJ1099" s="15"/>
      <c r="AK1099" s="15"/>
      <c r="AL1099" s="15"/>
      <c r="AM1099" s="15"/>
      <c r="AN1099" s="43">
        <f t="shared" ref="AN1099:AN1111" si="698">SUM(AI1099:AM1099)</f>
        <v>0</v>
      </c>
      <c r="AO1099" s="14"/>
      <c r="AP1099" s="55"/>
      <c r="AQ1099" s="55"/>
      <c r="AR1099" s="55"/>
      <c r="AS1099" s="67"/>
      <c r="AT1099" s="24">
        <f t="shared" ref="AT1099:AT1111" si="699">SUM(AO1099:AS1099)</f>
        <v>0</v>
      </c>
      <c r="AU1099" s="15"/>
      <c r="AV1099" s="55"/>
      <c r="AW1099" s="55"/>
      <c r="AX1099" s="55"/>
      <c r="AY1099" s="67"/>
      <c r="AZ1099" s="24">
        <f t="shared" ref="AZ1099:AZ1111" si="700">SUM(AU1099:AY1099)</f>
        <v>0</v>
      </c>
      <c r="BA1099" s="24">
        <f t="shared" si="696"/>
        <v>0</v>
      </c>
      <c r="BB1099" s="128"/>
    </row>
    <row r="1100" spans="1:54" ht="15" thickBot="1" x14ac:dyDescent="0.2">
      <c r="A1100" s="10" t="s">
        <v>181</v>
      </c>
      <c r="B1100" s="14"/>
      <c r="C1100" s="15"/>
      <c r="D1100" s="15"/>
      <c r="E1100" s="15"/>
      <c r="F1100" s="15"/>
      <c r="G1100" s="16">
        <f t="shared" ref="G1100:G1127" si="701">SUM(B1100:F1100)</f>
        <v>0</v>
      </c>
      <c r="H1100" s="14"/>
      <c r="I1100" s="15"/>
      <c r="J1100" s="15"/>
      <c r="K1100" s="15"/>
      <c r="L1100" s="15"/>
      <c r="M1100" s="57">
        <f t="shared" si="683"/>
        <v>0</v>
      </c>
      <c r="N1100" s="198"/>
      <c r="O1100" s="199"/>
      <c r="P1100" s="199"/>
      <c r="Q1100" s="199"/>
      <c r="R1100" s="200"/>
      <c r="S1100" s="178">
        <f t="shared" si="684"/>
        <v>0</v>
      </c>
      <c r="T1100" s="201"/>
      <c r="U1100" s="199"/>
      <c r="V1100" s="199"/>
      <c r="W1100" s="199"/>
      <c r="X1100" s="200"/>
      <c r="Y1100" s="178">
        <f t="shared" si="685"/>
        <v>0</v>
      </c>
      <c r="Z1100" s="178">
        <f t="shared" si="686"/>
        <v>0</v>
      </c>
      <c r="AA1100" s="83"/>
      <c r="AB1100" s="10" t="s">
        <v>181</v>
      </c>
      <c r="AC1100" s="14"/>
      <c r="AD1100" s="15"/>
      <c r="AE1100" s="15"/>
      <c r="AF1100" s="15"/>
      <c r="AG1100" s="15"/>
      <c r="AH1100" s="43">
        <f t="shared" ref="AH1100" si="702">SUM(AC1100:AG1100)</f>
        <v>0</v>
      </c>
      <c r="AI1100" s="14"/>
      <c r="AJ1100" s="15"/>
      <c r="AK1100" s="15"/>
      <c r="AL1100" s="15"/>
      <c r="AM1100" s="15"/>
      <c r="AN1100" s="43">
        <f t="shared" ref="AN1100" si="703">SUM(AI1100:AM1100)</f>
        <v>0</v>
      </c>
      <c r="AO1100" s="14"/>
      <c r="AP1100" s="55"/>
      <c r="AQ1100" s="55"/>
      <c r="AR1100" s="55"/>
      <c r="AS1100" s="67"/>
      <c r="AT1100" s="24">
        <f t="shared" ref="AT1100" si="704">SUM(AO1100:AS1100)</f>
        <v>0</v>
      </c>
      <c r="AU1100" s="15"/>
      <c r="AV1100" s="55"/>
      <c r="AW1100" s="55"/>
      <c r="AX1100" s="55"/>
      <c r="AY1100" s="67"/>
      <c r="AZ1100" s="24">
        <f t="shared" ref="AZ1100" si="705">SUM(AU1100:AY1100)</f>
        <v>0</v>
      </c>
      <c r="BA1100" s="24">
        <f t="shared" ref="BA1100" si="706">AH1100+AN1100+AT1100+AZ1100</f>
        <v>0</v>
      </c>
      <c r="BB1100" s="128"/>
    </row>
    <row r="1101" spans="1:54" ht="15" thickBot="1" x14ac:dyDescent="0.2">
      <c r="A1101" s="4" t="s">
        <v>12</v>
      </c>
      <c r="B1101" s="17">
        <f>SUM(B1096:B1100)</f>
        <v>5</v>
      </c>
      <c r="C1101" s="18">
        <f>SUM(C1096:C1100)</f>
        <v>9</v>
      </c>
      <c r="D1101" s="18">
        <f>SUM(D1096:D1100)</f>
        <v>10</v>
      </c>
      <c r="E1101" s="18">
        <f>SUM(E1096:E1100)</f>
        <v>6</v>
      </c>
      <c r="F1101" s="18">
        <f>SUM(F1096:F1100)</f>
        <v>9</v>
      </c>
      <c r="G1101" s="148">
        <f t="shared" si="701"/>
        <v>39</v>
      </c>
      <c r="H1101" s="17">
        <f>SUM(H1096:H1100)</f>
        <v>6</v>
      </c>
      <c r="I1101" s="18">
        <f>SUM(I1096:I1100)</f>
        <v>7</v>
      </c>
      <c r="J1101" s="18">
        <f>SUM(J1096:J1100)</f>
        <v>7</v>
      </c>
      <c r="K1101" s="18">
        <f>SUM(K1096:K1100)</f>
        <v>5</v>
      </c>
      <c r="L1101" s="18">
        <f>SUM(L1096:L1100)</f>
        <v>8</v>
      </c>
      <c r="M1101" s="17">
        <f t="shared" si="683"/>
        <v>33</v>
      </c>
      <c r="N1101" s="65">
        <f>SUM(N1096:N1100)</f>
        <v>5</v>
      </c>
      <c r="O1101" s="18">
        <f>SUM(O1096:O1100)</f>
        <v>9</v>
      </c>
      <c r="P1101" s="18">
        <f>SUM(P1096:P1100)</f>
        <v>5</v>
      </c>
      <c r="Q1101" s="18">
        <f>SUM(Q1096:Q1100)</f>
        <v>5</v>
      </c>
      <c r="R1101" s="70">
        <f>SUM(R1096:R1100)</f>
        <v>7</v>
      </c>
      <c r="S1101" s="49">
        <f t="shared" si="684"/>
        <v>31</v>
      </c>
      <c r="T1101" s="74">
        <f>SUM(T1096:T1100)</f>
        <v>6</v>
      </c>
      <c r="U1101" s="18">
        <f>SUM(U1096:U1100)</f>
        <v>6</v>
      </c>
      <c r="V1101" s="18">
        <f>SUM(V1096:V1100)</f>
        <v>6</v>
      </c>
      <c r="W1101" s="18">
        <f>SUM(W1096:W1100)</f>
        <v>4</v>
      </c>
      <c r="X1101" s="70">
        <f>SUM(X1096:X1100)</f>
        <v>7</v>
      </c>
      <c r="Y1101" s="49">
        <f t="shared" si="685"/>
        <v>29</v>
      </c>
      <c r="Z1101" s="33">
        <f t="shared" si="686"/>
        <v>132</v>
      </c>
      <c r="AB1101" s="4" t="s">
        <v>12</v>
      </c>
      <c r="AC1101" s="17">
        <f>SUM(AC1096:AC1100)</f>
        <v>89</v>
      </c>
      <c r="AD1101" s="18">
        <f>SUM(AD1096:AD1100)</f>
        <v>114</v>
      </c>
      <c r="AE1101" s="18">
        <f>SUM(AE1096:AE1100)</f>
        <v>128</v>
      </c>
      <c r="AF1101" s="18">
        <f>SUM(AF1096:AF1100)</f>
        <v>95</v>
      </c>
      <c r="AG1101" s="18">
        <f>SUM(AG1096:AG1100)</f>
        <v>76</v>
      </c>
      <c r="AH1101" s="148">
        <f t="shared" si="697"/>
        <v>502</v>
      </c>
      <c r="AI1101" s="17">
        <f>SUM(AI1096:AI1100)</f>
        <v>80</v>
      </c>
      <c r="AJ1101" s="18">
        <f>SUM(AJ1096:AJ1100)</f>
        <v>93</v>
      </c>
      <c r="AK1101" s="18">
        <f>SUM(AK1096:AK1100)</f>
        <v>105</v>
      </c>
      <c r="AL1101" s="18">
        <f>SUM(AL1096:AL1100)</f>
        <v>84</v>
      </c>
      <c r="AM1101" s="18">
        <f>SUM(AM1096:AM1100)</f>
        <v>98</v>
      </c>
      <c r="AN1101" s="148">
        <f t="shared" si="698"/>
        <v>460</v>
      </c>
      <c r="AO1101" s="65">
        <f>SUM(AO1096:AO1100)</f>
        <v>156</v>
      </c>
      <c r="AP1101" s="18">
        <f>SUM(AP1096:AP1100)</f>
        <v>125</v>
      </c>
      <c r="AQ1101" s="18">
        <f>SUM(AQ1096:AQ1100)</f>
        <v>126</v>
      </c>
      <c r="AR1101" s="18">
        <f>SUM(AR1096:AR1100)</f>
        <v>134</v>
      </c>
      <c r="AS1101" s="70">
        <f>SUM(AS1096:AS1100)</f>
        <v>149</v>
      </c>
      <c r="AT1101" s="49">
        <f t="shared" si="699"/>
        <v>690</v>
      </c>
      <c r="AU1101" s="74">
        <f>SUM(AU1096:AU1100)</f>
        <v>115</v>
      </c>
      <c r="AV1101" s="18">
        <f>SUM(AV1096:AV1100)</f>
        <v>68</v>
      </c>
      <c r="AW1101" s="18">
        <f>SUM(AW1096:AW1100)</f>
        <v>58</v>
      </c>
      <c r="AX1101" s="18">
        <f>SUM(AX1096:AX1100)</f>
        <v>54</v>
      </c>
      <c r="AY1101" s="70">
        <f>SUM(AY1096:AY1100)</f>
        <v>95</v>
      </c>
      <c r="AZ1101" s="49">
        <f t="shared" si="700"/>
        <v>390</v>
      </c>
      <c r="BA1101" s="33">
        <f t="shared" si="696"/>
        <v>2042</v>
      </c>
    </row>
    <row r="1102" spans="1:54" ht="14.25" x14ac:dyDescent="0.15">
      <c r="A1102" s="23" t="s">
        <v>48</v>
      </c>
      <c r="B1102" s="38"/>
      <c r="C1102" s="39"/>
      <c r="D1102" s="39">
        <v>1</v>
      </c>
      <c r="E1102" s="39">
        <v>1</v>
      </c>
      <c r="F1102" s="39"/>
      <c r="G1102" s="37">
        <f t="shared" ref="G1102:G1125" si="707">SUM(B1102:F1102)</f>
        <v>2</v>
      </c>
      <c r="H1102" s="38"/>
      <c r="I1102" s="39"/>
      <c r="J1102" s="39">
        <v>1</v>
      </c>
      <c r="K1102" s="39"/>
      <c r="L1102" s="39"/>
      <c r="M1102" s="37">
        <f t="shared" ref="M1102:M1125" si="708">SUM(H1102:L1102)</f>
        <v>1</v>
      </c>
      <c r="N1102" s="39"/>
      <c r="O1102" s="56">
        <v>1</v>
      </c>
      <c r="P1102" s="56"/>
      <c r="Q1102" s="56"/>
      <c r="R1102" s="71"/>
      <c r="S1102" s="16">
        <f t="shared" si="684"/>
        <v>1</v>
      </c>
      <c r="T1102" s="39"/>
      <c r="U1102" s="56"/>
      <c r="V1102" s="56"/>
      <c r="W1102" s="56"/>
      <c r="X1102" s="71"/>
      <c r="Y1102" s="16">
        <f t="shared" si="685"/>
        <v>0</v>
      </c>
      <c r="Z1102" s="16">
        <f t="shared" si="686"/>
        <v>4</v>
      </c>
      <c r="AA1102" s="93">
        <v>44963</v>
      </c>
      <c r="AB1102" s="23" t="s">
        <v>580</v>
      </c>
      <c r="AC1102" s="41"/>
      <c r="AD1102" s="42">
        <v>3</v>
      </c>
      <c r="AE1102" s="42">
        <v>3</v>
      </c>
      <c r="AF1102" s="42"/>
      <c r="AG1102" s="42"/>
      <c r="AH1102" s="43">
        <f t="shared" ref="AH1102:AH1109" si="709">SUM(AC1102:AG1102)</f>
        <v>6</v>
      </c>
      <c r="AI1102" s="41"/>
      <c r="AJ1102" s="42">
        <v>3</v>
      </c>
      <c r="AK1102" s="42">
        <v>3</v>
      </c>
      <c r="AL1102" s="42"/>
      <c r="AM1102" s="42"/>
      <c r="AN1102" s="43">
        <f t="shared" ref="AN1102:AN1109" si="710">SUM(AI1102:AM1102)</f>
        <v>6</v>
      </c>
      <c r="AO1102" s="42"/>
      <c r="AP1102" s="53"/>
      <c r="AQ1102" s="53"/>
      <c r="AR1102" s="53"/>
      <c r="AS1102" s="72"/>
      <c r="AT1102" s="24">
        <f t="shared" ref="AT1102:AT1109" si="711">SUM(AO1102:AS1102)</f>
        <v>0</v>
      </c>
      <c r="AU1102" s="42"/>
      <c r="AV1102" s="53"/>
      <c r="AW1102" s="53">
        <v>3</v>
      </c>
      <c r="AX1102" s="53"/>
      <c r="AY1102" s="72"/>
      <c r="AZ1102" s="24">
        <f t="shared" ref="AZ1102:AZ1109" si="712">SUM(AU1102:AY1102)</f>
        <v>3</v>
      </c>
      <c r="BA1102" s="24">
        <f t="shared" ref="BA1102:BA1109" si="713">AH1102+AN1102+AT1102+AZ1102</f>
        <v>15</v>
      </c>
      <c r="BB1102" s="83">
        <v>44971</v>
      </c>
    </row>
    <row r="1103" spans="1:54" ht="14.25" x14ac:dyDescent="0.15">
      <c r="A1103" s="23" t="s">
        <v>48</v>
      </c>
      <c r="B1103" s="41"/>
      <c r="C1103" s="42"/>
      <c r="D1103" s="42"/>
      <c r="E1103" s="42"/>
      <c r="F1103" s="42"/>
      <c r="G1103" s="43">
        <f t="shared" si="707"/>
        <v>0</v>
      </c>
      <c r="H1103" s="41"/>
      <c r="I1103" s="42"/>
      <c r="J1103" s="42"/>
      <c r="K1103" s="42"/>
      <c r="L1103" s="42">
        <v>1</v>
      </c>
      <c r="M1103" s="43">
        <f t="shared" si="708"/>
        <v>1</v>
      </c>
      <c r="N1103" s="42"/>
      <c r="O1103" s="53"/>
      <c r="P1103" s="53"/>
      <c r="Q1103" s="53"/>
      <c r="R1103" s="72"/>
      <c r="S1103" s="24">
        <f t="shared" si="684"/>
        <v>0</v>
      </c>
      <c r="T1103" s="42"/>
      <c r="U1103" s="53"/>
      <c r="V1103" s="53"/>
      <c r="W1103" s="53"/>
      <c r="X1103" s="72"/>
      <c r="Y1103" s="24">
        <f t="shared" si="685"/>
        <v>0</v>
      </c>
      <c r="Z1103" s="24">
        <f t="shared" si="686"/>
        <v>1</v>
      </c>
      <c r="AA1103" s="93">
        <v>44964</v>
      </c>
      <c r="AB1103" s="23" t="s">
        <v>583</v>
      </c>
      <c r="AC1103" s="41"/>
      <c r="AD1103" s="42">
        <v>1</v>
      </c>
      <c r="AE1103" s="42">
        <v>1</v>
      </c>
      <c r="AF1103" s="42"/>
      <c r="AG1103" s="42"/>
      <c r="AH1103" s="43">
        <f t="shared" si="709"/>
        <v>2</v>
      </c>
      <c r="AI1103" s="41"/>
      <c r="AJ1103" s="42"/>
      <c r="AK1103" s="42"/>
      <c r="AL1103" s="42"/>
      <c r="AM1103" s="42"/>
      <c r="AN1103" s="43">
        <f t="shared" si="710"/>
        <v>0</v>
      </c>
      <c r="AO1103" s="42"/>
      <c r="AP1103" s="53"/>
      <c r="AQ1103" s="53"/>
      <c r="AR1103" s="53"/>
      <c r="AS1103" s="72"/>
      <c r="AT1103" s="24">
        <f t="shared" si="711"/>
        <v>0</v>
      </c>
      <c r="AU1103" s="42"/>
      <c r="AV1103" s="53"/>
      <c r="AW1103" s="53">
        <v>1</v>
      </c>
      <c r="AX1103" s="53"/>
      <c r="AY1103" s="72"/>
      <c r="AZ1103" s="24">
        <f t="shared" si="712"/>
        <v>1</v>
      </c>
      <c r="BA1103" s="24">
        <f t="shared" si="713"/>
        <v>3</v>
      </c>
      <c r="BB1103" s="83">
        <v>44988</v>
      </c>
    </row>
    <row r="1104" spans="1:54" ht="14.25" x14ac:dyDescent="0.15">
      <c r="A1104" s="23" t="s">
        <v>48</v>
      </c>
      <c r="B1104" s="41"/>
      <c r="C1104" s="42"/>
      <c r="D1104" s="42"/>
      <c r="E1104" s="42"/>
      <c r="F1104" s="42">
        <v>1</v>
      </c>
      <c r="G1104" s="43">
        <f t="shared" si="707"/>
        <v>1</v>
      </c>
      <c r="H1104" s="41"/>
      <c r="I1104" s="42"/>
      <c r="J1104" s="42"/>
      <c r="K1104" s="42"/>
      <c r="L1104" s="42"/>
      <c r="M1104" s="43">
        <f t="shared" si="708"/>
        <v>0</v>
      </c>
      <c r="N1104" s="42"/>
      <c r="O1104" s="53"/>
      <c r="P1104" s="53"/>
      <c r="Q1104" s="53"/>
      <c r="R1104" s="72"/>
      <c r="S1104" s="24">
        <f t="shared" si="684"/>
        <v>0</v>
      </c>
      <c r="T1104" s="42"/>
      <c r="U1104" s="53"/>
      <c r="V1104" s="53"/>
      <c r="W1104" s="53"/>
      <c r="X1104" s="72"/>
      <c r="Y1104" s="24">
        <f t="shared" si="685"/>
        <v>0</v>
      </c>
      <c r="Z1104" s="24">
        <f t="shared" si="686"/>
        <v>1</v>
      </c>
      <c r="AA1104" s="93">
        <v>44965</v>
      </c>
      <c r="AB1104" s="23" t="s">
        <v>438</v>
      </c>
      <c r="AC1104" s="41"/>
      <c r="AD1104" s="42"/>
      <c r="AE1104" s="42">
        <v>4</v>
      </c>
      <c r="AF1104" s="42"/>
      <c r="AG1104" s="42"/>
      <c r="AH1104" s="43">
        <f t="shared" si="709"/>
        <v>4</v>
      </c>
      <c r="AI1104" s="41"/>
      <c r="AJ1104" s="42"/>
      <c r="AK1104" s="42"/>
      <c r="AL1104" s="42"/>
      <c r="AM1104" s="42"/>
      <c r="AN1104" s="43">
        <f t="shared" si="710"/>
        <v>0</v>
      </c>
      <c r="AO1104" s="42"/>
      <c r="AP1104" s="53"/>
      <c r="AQ1104" s="53"/>
      <c r="AR1104" s="53"/>
      <c r="AS1104" s="72"/>
      <c r="AT1104" s="24">
        <f t="shared" si="711"/>
        <v>0</v>
      </c>
      <c r="AU1104" s="42"/>
      <c r="AV1104" s="53"/>
      <c r="AW1104" s="53"/>
      <c r="AX1104" s="53"/>
      <c r="AY1104" s="72"/>
      <c r="AZ1104" s="24">
        <f t="shared" si="712"/>
        <v>0</v>
      </c>
      <c r="BA1104" s="24">
        <f t="shared" si="713"/>
        <v>4</v>
      </c>
      <c r="BB1104" s="83">
        <v>44995</v>
      </c>
    </row>
    <row r="1105" spans="1:54" ht="14.25" x14ac:dyDescent="0.15">
      <c r="A1105" s="23" t="s">
        <v>48</v>
      </c>
      <c r="B1105" s="41">
        <v>1</v>
      </c>
      <c r="C1105" s="42"/>
      <c r="D1105" s="42"/>
      <c r="E1105" s="42"/>
      <c r="F1105" s="42"/>
      <c r="G1105" s="43">
        <f t="shared" si="707"/>
        <v>1</v>
      </c>
      <c r="H1105" s="41"/>
      <c r="I1105" s="42"/>
      <c r="J1105" s="42"/>
      <c r="K1105" s="42"/>
      <c r="L1105" s="42"/>
      <c r="M1105" s="43">
        <f t="shared" si="708"/>
        <v>0</v>
      </c>
      <c r="N1105" s="42"/>
      <c r="O1105" s="53"/>
      <c r="P1105" s="53"/>
      <c r="Q1105" s="53"/>
      <c r="R1105" s="72"/>
      <c r="S1105" s="24">
        <f t="shared" si="684"/>
        <v>0</v>
      </c>
      <c r="T1105" s="42"/>
      <c r="U1105" s="53"/>
      <c r="V1105" s="53"/>
      <c r="W1105" s="53"/>
      <c r="X1105" s="72"/>
      <c r="Y1105" s="24">
        <f t="shared" si="685"/>
        <v>0</v>
      </c>
      <c r="Z1105" s="24">
        <f t="shared" si="686"/>
        <v>1</v>
      </c>
      <c r="AA1105" s="93">
        <v>44966</v>
      </c>
      <c r="AB1105" s="23" t="s">
        <v>126</v>
      </c>
      <c r="AC1105" s="41"/>
      <c r="AD1105" s="42">
        <v>3</v>
      </c>
      <c r="AE1105" s="42">
        <v>3</v>
      </c>
      <c r="AF1105" s="42"/>
      <c r="AG1105" s="42">
        <v>3</v>
      </c>
      <c r="AH1105" s="43">
        <f t="shared" ref="AH1105" si="714">SUM(AC1105:AG1105)</f>
        <v>9</v>
      </c>
      <c r="AI1105" s="41"/>
      <c r="AJ1105" s="42"/>
      <c r="AK1105" s="42"/>
      <c r="AL1105" s="42"/>
      <c r="AM1105" s="42">
        <v>3</v>
      </c>
      <c r="AN1105" s="43">
        <f t="shared" ref="AN1105" si="715">SUM(AI1105:AM1105)</f>
        <v>3</v>
      </c>
      <c r="AO1105" s="42"/>
      <c r="AP1105" s="53">
        <v>3</v>
      </c>
      <c r="AQ1105" s="53"/>
      <c r="AR1105" s="53"/>
      <c r="AS1105" s="72">
        <v>3</v>
      </c>
      <c r="AT1105" s="24">
        <f t="shared" ref="AT1105" si="716">SUM(AO1105:AS1105)</f>
        <v>6</v>
      </c>
      <c r="AU1105" s="42"/>
      <c r="AV1105" s="53"/>
      <c r="AW1105" s="53"/>
      <c r="AX1105" s="53"/>
      <c r="AY1105" s="72"/>
      <c r="AZ1105" s="24">
        <f t="shared" ref="AZ1105" si="717">SUM(AU1105:AY1105)</f>
        <v>0</v>
      </c>
      <c r="BA1105" s="24">
        <f t="shared" si="713"/>
        <v>18</v>
      </c>
      <c r="BB1105" s="83">
        <v>44999</v>
      </c>
    </row>
    <row r="1106" spans="1:54" ht="14.25" x14ac:dyDescent="0.15">
      <c r="A1106" s="23" t="s">
        <v>48</v>
      </c>
      <c r="B1106" s="41"/>
      <c r="C1106" s="42">
        <v>1</v>
      </c>
      <c r="D1106" s="42"/>
      <c r="E1106" s="42"/>
      <c r="F1106" s="42"/>
      <c r="G1106" s="43">
        <f t="shared" si="707"/>
        <v>1</v>
      </c>
      <c r="H1106" s="41"/>
      <c r="I1106" s="42">
        <v>1</v>
      </c>
      <c r="J1106" s="42"/>
      <c r="K1106" s="42"/>
      <c r="L1106" s="42"/>
      <c r="M1106" s="43">
        <f t="shared" si="708"/>
        <v>1</v>
      </c>
      <c r="N1106" s="42"/>
      <c r="O1106" s="53"/>
      <c r="P1106" s="53"/>
      <c r="Q1106" s="53"/>
      <c r="R1106" s="72"/>
      <c r="S1106" s="24">
        <f t="shared" si="684"/>
        <v>0</v>
      </c>
      <c r="T1106" s="42"/>
      <c r="U1106" s="53"/>
      <c r="V1106" s="53"/>
      <c r="W1106" s="53"/>
      <c r="X1106" s="72"/>
      <c r="Y1106" s="24">
        <f t="shared" si="685"/>
        <v>0</v>
      </c>
      <c r="Z1106" s="24">
        <f t="shared" si="686"/>
        <v>2</v>
      </c>
      <c r="AA1106" s="93">
        <v>44967</v>
      </c>
      <c r="AB1106" s="23"/>
      <c r="AC1106" s="41"/>
      <c r="AD1106" s="42"/>
      <c r="AE1106" s="42"/>
      <c r="AF1106" s="42"/>
      <c r="AG1106" s="42"/>
      <c r="AH1106" s="43">
        <f t="shared" si="709"/>
        <v>0</v>
      </c>
      <c r="AI1106" s="41"/>
      <c r="AJ1106" s="42"/>
      <c r="AK1106" s="42"/>
      <c r="AL1106" s="42"/>
      <c r="AM1106" s="42"/>
      <c r="AN1106" s="43">
        <f t="shared" si="710"/>
        <v>0</v>
      </c>
      <c r="AO1106" s="42"/>
      <c r="AP1106" s="53"/>
      <c r="AQ1106" s="53"/>
      <c r="AR1106" s="53"/>
      <c r="AS1106" s="72"/>
      <c r="AT1106" s="24">
        <f t="shared" si="711"/>
        <v>0</v>
      </c>
      <c r="AU1106" s="42"/>
      <c r="AV1106" s="53"/>
      <c r="AW1106" s="53"/>
      <c r="AX1106" s="53"/>
      <c r="AY1106" s="72"/>
      <c r="AZ1106" s="24">
        <f t="shared" si="712"/>
        <v>0</v>
      </c>
      <c r="BA1106" s="24">
        <f t="shared" si="713"/>
        <v>0</v>
      </c>
      <c r="BB1106" s="128"/>
    </row>
    <row r="1107" spans="1:54" ht="14.25" x14ac:dyDescent="0.15">
      <c r="A1107" s="23" t="s">
        <v>579</v>
      </c>
      <c r="B1107" s="41"/>
      <c r="C1107" s="42"/>
      <c r="D1107" s="42"/>
      <c r="E1107" s="42"/>
      <c r="F1107" s="42"/>
      <c r="G1107" s="43">
        <f t="shared" si="707"/>
        <v>0</v>
      </c>
      <c r="H1107" s="41"/>
      <c r="I1107" s="42"/>
      <c r="J1107" s="42"/>
      <c r="K1107" s="42">
        <v>1</v>
      </c>
      <c r="L1107" s="42"/>
      <c r="M1107" s="43">
        <f t="shared" si="708"/>
        <v>1</v>
      </c>
      <c r="N1107" s="42"/>
      <c r="O1107" s="53"/>
      <c r="P1107" s="53"/>
      <c r="Q1107" s="53"/>
      <c r="R1107" s="72"/>
      <c r="S1107" s="24">
        <f t="shared" si="684"/>
        <v>0</v>
      </c>
      <c r="T1107" s="42"/>
      <c r="U1107" s="53"/>
      <c r="V1107" s="53"/>
      <c r="W1107" s="53"/>
      <c r="X1107" s="72"/>
      <c r="Y1107" s="24">
        <f t="shared" si="685"/>
        <v>0</v>
      </c>
      <c r="Z1107" s="24">
        <f t="shared" si="686"/>
        <v>1</v>
      </c>
      <c r="AA1107" s="83">
        <v>44971</v>
      </c>
      <c r="AB1107" s="23"/>
      <c r="AC1107" s="41"/>
      <c r="AD1107" s="42"/>
      <c r="AE1107" s="42"/>
      <c r="AF1107" s="42"/>
      <c r="AG1107" s="42"/>
      <c r="AH1107" s="43">
        <f t="shared" si="709"/>
        <v>0</v>
      </c>
      <c r="AI1107" s="41"/>
      <c r="AJ1107" s="42"/>
      <c r="AK1107" s="42"/>
      <c r="AL1107" s="42"/>
      <c r="AM1107" s="42"/>
      <c r="AN1107" s="43">
        <f t="shared" si="710"/>
        <v>0</v>
      </c>
      <c r="AO1107" s="42"/>
      <c r="AP1107" s="53"/>
      <c r="AQ1107" s="53"/>
      <c r="AR1107" s="53"/>
      <c r="AS1107" s="72"/>
      <c r="AT1107" s="24">
        <f t="shared" si="711"/>
        <v>0</v>
      </c>
      <c r="AU1107" s="42"/>
      <c r="AV1107" s="53"/>
      <c r="AW1107" s="53"/>
      <c r="AX1107" s="53"/>
      <c r="AY1107" s="72"/>
      <c r="AZ1107" s="24">
        <f t="shared" si="712"/>
        <v>0</v>
      </c>
      <c r="BA1107" s="24">
        <f t="shared" si="713"/>
        <v>0</v>
      </c>
      <c r="BB1107" s="128"/>
    </row>
    <row r="1108" spans="1:54" ht="14.25" x14ac:dyDescent="0.15">
      <c r="A1108" s="23" t="s">
        <v>48</v>
      </c>
      <c r="B1108" s="41"/>
      <c r="C1108" s="42"/>
      <c r="D1108" s="42"/>
      <c r="E1108" s="42"/>
      <c r="F1108" s="42">
        <v>1</v>
      </c>
      <c r="G1108" s="43">
        <f t="shared" si="707"/>
        <v>1</v>
      </c>
      <c r="H1108" s="41"/>
      <c r="I1108" s="42"/>
      <c r="J1108" s="42"/>
      <c r="K1108" s="42"/>
      <c r="L1108" s="42"/>
      <c r="M1108" s="43">
        <f t="shared" si="708"/>
        <v>0</v>
      </c>
      <c r="N1108" s="42"/>
      <c r="O1108" s="53"/>
      <c r="P1108" s="53"/>
      <c r="Q1108" s="53"/>
      <c r="R1108" s="72"/>
      <c r="S1108" s="24">
        <f t="shared" si="684"/>
        <v>0</v>
      </c>
      <c r="T1108" s="42"/>
      <c r="U1108" s="53"/>
      <c r="V1108" s="53"/>
      <c r="W1108" s="53"/>
      <c r="X1108" s="72"/>
      <c r="Y1108" s="24">
        <f t="shared" si="685"/>
        <v>0</v>
      </c>
      <c r="Z1108" s="24">
        <f t="shared" si="686"/>
        <v>1</v>
      </c>
      <c r="AA1108" s="93">
        <v>44970</v>
      </c>
      <c r="AB1108" s="23"/>
      <c r="AC1108" s="41"/>
      <c r="AD1108" s="42"/>
      <c r="AE1108" s="42"/>
      <c r="AF1108" s="42"/>
      <c r="AG1108" s="42"/>
      <c r="AH1108" s="43">
        <f t="shared" si="709"/>
        <v>0</v>
      </c>
      <c r="AI1108" s="41"/>
      <c r="AJ1108" s="42"/>
      <c r="AK1108" s="42"/>
      <c r="AL1108" s="42"/>
      <c r="AM1108" s="42"/>
      <c r="AN1108" s="43">
        <f t="shared" si="710"/>
        <v>0</v>
      </c>
      <c r="AO1108" s="42"/>
      <c r="AP1108" s="53"/>
      <c r="AQ1108" s="53"/>
      <c r="AR1108" s="53"/>
      <c r="AS1108" s="72"/>
      <c r="AT1108" s="24">
        <f t="shared" si="711"/>
        <v>0</v>
      </c>
      <c r="AU1108" s="42"/>
      <c r="AV1108" s="53"/>
      <c r="AW1108" s="53"/>
      <c r="AX1108" s="53"/>
      <c r="AY1108" s="72"/>
      <c r="AZ1108" s="24">
        <f t="shared" si="712"/>
        <v>0</v>
      </c>
      <c r="BA1108" s="24">
        <f t="shared" si="713"/>
        <v>0</v>
      </c>
      <c r="BB1108" s="128"/>
    </row>
    <row r="1109" spans="1:54" ht="14.25" x14ac:dyDescent="0.15">
      <c r="A1109" s="23" t="s">
        <v>438</v>
      </c>
      <c r="B1109" s="41"/>
      <c r="C1109" s="42"/>
      <c r="D1109" s="42"/>
      <c r="E1109" s="42"/>
      <c r="F1109" s="42"/>
      <c r="G1109" s="43">
        <f t="shared" si="707"/>
        <v>0</v>
      </c>
      <c r="H1109" s="41"/>
      <c r="I1109" s="42"/>
      <c r="J1109" s="42"/>
      <c r="K1109" s="42"/>
      <c r="L1109" s="42"/>
      <c r="M1109" s="43">
        <f t="shared" si="708"/>
        <v>0</v>
      </c>
      <c r="N1109" s="42"/>
      <c r="O1109" s="53"/>
      <c r="P1109" s="53"/>
      <c r="Q1109" s="53"/>
      <c r="R1109" s="72"/>
      <c r="S1109" s="24">
        <f t="shared" si="684"/>
        <v>0</v>
      </c>
      <c r="T1109" s="42"/>
      <c r="U1109" s="53">
        <v>1</v>
      </c>
      <c r="V1109" s="53"/>
      <c r="W1109" s="53"/>
      <c r="X1109" s="72">
        <v>1</v>
      </c>
      <c r="Y1109" s="24">
        <f t="shared" si="685"/>
        <v>2</v>
      </c>
      <c r="Z1109" s="24">
        <f t="shared" si="686"/>
        <v>2</v>
      </c>
      <c r="AA1109" s="83">
        <v>44974</v>
      </c>
      <c r="AB1109" s="23"/>
      <c r="AC1109" s="41"/>
      <c r="AD1109" s="42"/>
      <c r="AE1109" s="42"/>
      <c r="AF1109" s="42"/>
      <c r="AG1109" s="42"/>
      <c r="AH1109" s="43">
        <f t="shared" si="709"/>
        <v>0</v>
      </c>
      <c r="AI1109" s="41"/>
      <c r="AJ1109" s="42"/>
      <c r="AK1109" s="42"/>
      <c r="AL1109" s="42"/>
      <c r="AM1109" s="42"/>
      <c r="AN1109" s="43">
        <f t="shared" si="710"/>
        <v>0</v>
      </c>
      <c r="AO1109" s="42"/>
      <c r="AP1109" s="53"/>
      <c r="AQ1109" s="53"/>
      <c r="AR1109" s="53"/>
      <c r="AS1109" s="72"/>
      <c r="AT1109" s="24">
        <f t="shared" si="711"/>
        <v>0</v>
      </c>
      <c r="AU1109" s="42"/>
      <c r="AV1109" s="53"/>
      <c r="AW1109" s="53"/>
      <c r="AX1109" s="53"/>
      <c r="AY1109" s="72"/>
      <c r="AZ1109" s="24">
        <f t="shared" si="712"/>
        <v>0</v>
      </c>
      <c r="BA1109" s="24">
        <f t="shared" si="713"/>
        <v>0</v>
      </c>
      <c r="BB1109" s="128"/>
    </row>
    <row r="1110" spans="1:54" ht="14.25" x14ac:dyDescent="0.15">
      <c r="A1110" s="23" t="s">
        <v>48</v>
      </c>
      <c r="B1110" s="41"/>
      <c r="C1110" s="42"/>
      <c r="D1110" s="42"/>
      <c r="E1110" s="42"/>
      <c r="F1110" s="42"/>
      <c r="G1110" s="43">
        <f t="shared" si="707"/>
        <v>0</v>
      </c>
      <c r="H1110" s="41"/>
      <c r="I1110" s="42"/>
      <c r="J1110" s="42"/>
      <c r="K1110" s="42"/>
      <c r="L1110" s="42"/>
      <c r="M1110" s="43">
        <f t="shared" si="708"/>
        <v>0</v>
      </c>
      <c r="N1110" s="42"/>
      <c r="O1110" s="53"/>
      <c r="P1110" s="53"/>
      <c r="Q1110" s="53"/>
      <c r="R1110" s="72"/>
      <c r="S1110" s="24">
        <f t="shared" si="684"/>
        <v>0</v>
      </c>
      <c r="T1110" s="42"/>
      <c r="U1110" s="53"/>
      <c r="V1110" s="53"/>
      <c r="W1110" s="53"/>
      <c r="X1110" s="72">
        <v>1</v>
      </c>
      <c r="Y1110" s="24">
        <f t="shared" si="685"/>
        <v>1</v>
      </c>
      <c r="Z1110" s="24">
        <f t="shared" si="686"/>
        <v>1</v>
      </c>
      <c r="AA1110" s="93">
        <v>44974</v>
      </c>
      <c r="AB1110" s="23"/>
      <c r="AC1110" s="41"/>
      <c r="AD1110" s="42"/>
      <c r="AE1110" s="42"/>
      <c r="AF1110" s="42"/>
      <c r="AG1110" s="42"/>
      <c r="AH1110" s="43">
        <f t="shared" si="697"/>
        <v>0</v>
      </c>
      <c r="AI1110" s="41"/>
      <c r="AJ1110" s="42"/>
      <c r="AK1110" s="42"/>
      <c r="AL1110" s="42"/>
      <c r="AM1110" s="42"/>
      <c r="AN1110" s="43">
        <f t="shared" si="698"/>
        <v>0</v>
      </c>
      <c r="AO1110" s="42"/>
      <c r="AP1110" s="53"/>
      <c r="AQ1110" s="53"/>
      <c r="AR1110" s="53"/>
      <c r="AS1110" s="72"/>
      <c r="AT1110" s="24">
        <f t="shared" si="699"/>
        <v>0</v>
      </c>
      <c r="AU1110" s="42"/>
      <c r="AV1110" s="53"/>
      <c r="AW1110" s="53"/>
      <c r="AX1110" s="53"/>
      <c r="AY1110" s="72"/>
      <c r="AZ1110" s="24">
        <f t="shared" si="700"/>
        <v>0</v>
      </c>
      <c r="BA1110" s="24">
        <f t="shared" si="696"/>
        <v>0</v>
      </c>
      <c r="BB1110" s="128"/>
    </row>
    <row r="1111" spans="1:54" ht="14.25" x14ac:dyDescent="0.15">
      <c r="A1111" s="23" t="s">
        <v>48</v>
      </c>
      <c r="B1111" s="41"/>
      <c r="C1111" s="42"/>
      <c r="D1111" s="42">
        <v>1</v>
      </c>
      <c r="E1111" s="42"/>
      <c r="F1111" s="42"/>
      <c r="G1111" s="43">
        <f t="shared" si="707"/>
        <v>1</v>
      </c>
      <c r="H1111" s="41"/>
      <c r="I1111" s="42"/>
      <c r="J1111" s="42"/>
      <c r="K1111" s="42"/>
      <c r="L1111" s="42"/>
      <c r="M1111" s="43">
        <f t="shared" si="708"/>
        <v>0</v>
      </c>
      <c r="N1111" s="42"/>
      <c r="O1111" s="53"/>
      <c r="P1111" s="53"/>
      <c r="Q1111" s="53"/>
      <c r="R1111" s="72"/>
      <c r="S1111" s="24">
        <f t="shared" si="684"/>
        <v>0</v>
      </c>
      <c r="T1111" s="42"/>
      <c r="U1111" s="53"/>
      <c r="V1111" s="53"/>
      <c r="W1111" s="53"/>
      <c r="X1111" s="72"/>
      <c r="Y1111" s="24">
        <f t="shared" si="685"/>
        <v>0</v>
      </c>
      <c r="Z1111" s="24">
        <f t="shared" si="686"/>
        <v>1</v>
      </c>
      <c r="AA1111" s="93">
        <v>44975</v>
      </c>
      <c r="AB1111" s="23"/>
      <c r="AC1111" s="44"/>
      <c r="AD1111" s="45"/>
      <c r="AE1111" s="45"/>
      <c r="AF1111" s="45"/>
      <c r="AG1111" s="45"/>
      <c r="AH1111" s="43">
        <f t="shared" si="697"/>
        <v>0</v>
      </c>
      <c r="AI1111" s="44"/>
      <c r="AJ1111" s="45"/>
      <c r="AK1111" s="45"/>
      <c r="AL1111" s="45"/>
      <c r="AM1111" s="45"/>
      <c r="AN1111" s="43">
        <f t="shared" si="698"/>
        <v>0</v>
      </c>
      <c r="AO1111" s="42"/>
      <c r="AP1111" s="53"/>
      <c r="AQ1111" s="53"/>
      <c r="AR1111" s="53"/>
      <c r="AS1111" s="72"/>
      <c r="AT1111" s="24">
        <f t="shared" si="699"/>
        <v>0</v>
      </c>
      <c r="AU1111" s="42"/>
      <c r="AV1111" s="53"/>
      <c r="AW1111" s="53"/>
      <c r="AX1111" s="53"/>
      <c r="AY1111" s="72"/>
      <c r="AZ1111" s="24">
        <f t="shared" si="700"/>
        <v>0</v>
      </c>
      <c r="BA1111" s="24">
        <f t="shared" si="696"/>
        <v>0</v>
      </c>
      <c r="BB1111" s="128"/>
    </row>
    <row r="1112" spans="1:54" ht="14.25" x14ac:dyDescent="0.15">
      <c r="A1112" s="23" t="s">
        <v>48</v>
      </c>
      <c r="B1112" s="41"/>
      <c r="C1112" s="42">
        <v>1</v>
      </c>
      <c r="D1112" s="42"/>
      <c r="E1112" s="42"/>
      <c r="F1112" s="42"/>
      <c r="G1112" s="43">
        <f t="shared" si="707"/>
        <v>1</v>
      </c>
      <c r="H1112" s="41"/>
      <c r="I1112" s="42"/>
      <c r="J1112" s="42"/>
      <c r="K1112" s="42"/>
      <c r="L1112" s="42"/>
      <c r="M1112" s="43">
        <f t="shared" si="708"/>
        <v>0</v>
      </c>
      <c r="N1112" s="42"/>
      <c r="O1112" s="53"/>
      <c r="P1112" s="53"/>
      <c r="Q1112" s="53"/>
      <c r="R1112" s="72"/>
      <c r="S1112" s="24">
        <f t="shared" si="684"/>
        <v>0</v>
      </c>
      <c r="T1112" s="42"/>
      <c r="U1112" s="53"/>
      <c r="V1112" s="53"/>
      <c r="W1112" s="53"/>
      <c r="X1112" s="72"/>
      <c r="Y1112" s="24">
        <f t="shared" si="685"/>
        <v>0</v>
      </c>
      <c r="Z1112" s="24">
        <f t="shared" si="686"/>
        <v>1</v>
      </c>
      <c r="AA1112" s="93">
        <v>44977</v>
      </c>
      <c r="AB1112" s="23"/>
      <c r="AC1112" s="14"/>
      <c r="AD1112" s="15"/>
      <c r="AE1112" s="15"/>
      <c r="AF1112" s="15"/>
      <c r="AG1112" s="15"/>
      <c r="AH1112" s="24">
        <f>SUM(AC1112:AG1112)</f>
        <v>0</v>
      </c>
      <c r="AI1112" s="14"/>
      <c r="AJ1112" s="15"/>
      <c r="AK1112" s="15"/>
      <c r="AL1112" s="15"/>
      <c r="AM1112" s="15"/>
      <c r="AN1112" s="24">
        <f>SUM(AI1112:AM1112)</f>
        <v>0</v>
      </c>
      <c r="AO1112" s="15"/>
      <c r="AP1112" s="55"/>
      <c r="AQ1112" s="55"/>
      <c r="AR1112" s="55"/>
      <c r="AS1112" s="67"/>
      <c r="AT1112" s="24">
        <f>SUM(AO1112:AS1112)</f>
        <v>0</v>
      </c>
      <c r="AU1112" s="15"/>
      <c r="AV1112" s="55"/>
      <c r="AW1112" s="55"/>
      <c r="AX1112" s="55"/>
      <c r="AY1112" s="67"/>
      <c r="AZ1112" s="24">
        <f>SUM(AU1112:AY1112)</f>
        <v>0</v>
      </c>
      <c r="BA1112" s="24">
        <f>AH1112+AN1112+AT1112+AZ1112</f>
        <v>0</v>
      </c>
      <c r="BB1112" s="128"/>
    </row>
    <row r="1113" spans="1:54" ht="14.25" x14ac:dyDescent="0.15">
      <c r="A1113" s="23" t="s">
        <v>438</v>
      </c>
      <c r="B1113" s="41"/>
      <c r="C1113" s="42"/>
      <c r="D1113" s="42"/>
      <c r="E1113" s="42"/>
      <c r="F1113" s="42"/>
      <c r="G1113" s="43">
        <f t="shared" si="707"/>
        <v>0</v>
      </c>
      <c r="H1113" s="41">
        <v>1</v>
      </c>
      <c r="I1113" s="42"/>
      <c r="J1113" s="42"/>
      <c r="K1113" s="42"/>
      <c r="L1113" s="42"/>
      <c r="M1113" s="43">
        <f t="shared" si="708"/>
        <v>1</v>
      </c>
      <c r="N1113" s="42"/>
      <c r="O1113" s="53">
        <v>1</v>
      </c>
      <c r="P1113" s="53"/>
      <c r="Q1113" s="53"/>
      <c r="R1113" s="72"/>
      <c r="S1113" s="24">
        <f t="shared" si="684"/>
        <v>1</v>
      </c>
      <c r="T1113" s="42"/>
      <c r="U1113" s="53"/>
      <c r="V1113" s="53"/>
      <c r="W1113" s="53"/>
      <c r="X1113" s="72"/>
      <c r="Y1113" s="24">
        <f t="shared" si="685"/>
        <v>0</v>
      </c>
      <c r="Z1113" s="24">
        <f t="shared" si="686"/>
        <v>2</v>
      </c>
      <c r="AA1113" s="83">
        <v>44979</v>
      </c>
      <c r="AB1113" s="23"/>
      <c r="AC1113" s="41"/>
      <c r="AD1113" s="42"/>
      <c r="AE1113" s="42"/>
      <c r="AF1113" s="42"/>
      <c r="AG1113" s="42"/>
      <c r="AH1113" s="43">
        <f t="shared" ref="AH1113:AH1121" si="718">SUM(AC1113:AG1113)</f>
        <v>0</v>
      </c>
      <c r="AI1113" s="41"/>
      <c r="AJ1113" s="42"/>
      <c r="AK1113" s="42"/>
      <c r="AL1113" s="42"/>
      <c r="AM1113" s="42"/>
      <c r="AN1113" s="43">
        <f t="shared" ref="AN1113:AN1122" si="719">SUM(AI1113:AM1113)</f>
        <v>0</v>
      </c>
      <c r="AO1113" s="42"/>
      <c r="AP1113" s="53"/>
      <c r="AQ1113" s="53"/>
      <c r="AR1113" s="53"/>
      <c r="AS1113" s="72"/>
      <c r="AT1113" s="24">
        <f t="shared" ref="AT1113:AT1122" si="720">SUM(AO1113:AS1113)</f>
        <v>0</v>
      </c>
      <c r="AU1113" s="42"/>
      <c r="AV1113" s="53"/>
      <c r="AW1113" s="53"/>
      <c r="AX1113" s="53"/>
      <c r="AY1113" s="72"/>
      <c r="AZ1113" s="24">
        <f t="shared" ref="AZ1113:AZ1122" si="721">SUM(AU1113:AY1113)</f>
        <v>0</v>
      </c>
      <c r="BA1113" s="24">
        <f t="shared" ref="BA1113:BA1129" si="722">AH1113+AN1113+AT1113+AZ1113</f>
        <v>0</v>
      </c>
      <c r="BB1113" s="128"/>
    </row>
    <row r="1114" spans="1:54" ht="14.25" x14ac:dyDescent="0.15">
      <c r="A1114" s="23" t="s">
        <v>48</v>
      </c>
      <c r="B1114" s="41"/>
      <c r="C1114" s="42"/>
      <c r="D1114" s="42"/>
      <c r="E1114" s="42"/>
      <c r="F1114" s="42"/>
      <c r="G1114" s="43">
        <f t="shared" si="707"/>
        <v>0</v>
      </c>
      <c r="H1114" s="41"/>
      <c r="I1114" s="42"/>
      <c r="J1114" s="42"/>
      <c r="K1114" s="42"/>
      <c r="L1114" s="42"/>
      <c r="M1114" s="43">
        <f t="shared" si="708"/>
        <v>0</v>
      </c>
      <c r="N1114" s="42"/>
      <c r="O1114" s="53">
        <v>1</v>
      </c>
      <c r="P1114" s="53"/>
      <c r="Q1114" s="53"/>
      <c r="R1114" s="72"/>
      <c r="S1114" s="24">
        <f t="shared" si="684"/>
        <v>1</v>
      </c>
      <c r="T1114" s="42"/>
      <c r="U1114" s="53"/>
      <c r="V1114" s="53"/>
      <c r="W1114" s="53"/>
      <c r="X1114" s="72"/>
      <c r="Y1114" s="24">
        <f t="shared" si="685"/>
        <v>0</v>
      </c>
      <c r="Z1114" s="24">
        <f t="shared" si="686"/>
        <v>1</v>
      </c>
      <c r="AA1114" s="93">
        <v>44978</v>
      </c>
      <c r="AB1114" s="23"/>
      <c r="AC1114" s="14"/>
      <c r="AD1114" s="15"/>
      <c r="AE1114" s="15"/>
      <c r="AF1114" s="15"/>
      <c r="AG1114" s="15"/>
      <c r="AH1114" s="24">
        <f t="shared" si="718"/>
        <v>0</v>
      </c>
      <c r="AI1114" s="14"/>
      <c r="AJ1114" s="15"/>
      <c r="AK1114" s="15"/>
      <c r="AL1114" s="15"/>
      <c r="AM1114" s="15"/>
      <c r="AN1114" s="185">
        <f t="shared" si="719"/>
        <v>0</v>
      </c>
      <c r="AO1114" s="14"/>
      <c r="AP1114" s="55"/>
      <c r="AQ1114" s="55"/>
      <c r="AR1114" s="55"/>
      <c r="AS1114" s="67"/>
      <c r="AT1114" s="24">
        <f t="shared" si="720"/>
        <v>0</v>
      </c>
      <c r="AU1114" s="15"/>
      <c r="AV1114" s="55"/>
      <c r="AW1114" s="55"/>
      <c r="AX1114" s="55"/>
      <c r="AY1114" s="67"/>
      <c r="AZ1114" s="24">
        <f t="shared" si="721"/>
        <v>0</v>
      </c>
      <c r="BA1114" s="24">
        <f t="shared" si="722"/>
        <v>0</v>
      </c>
      <c r="BB1114" s="128"/>
    </row>
    <row r="1115" spans="1:54" ht="14.25" x14ac:dyDescent="0.15">
      <c r="A1115" s="23" t="s">
        <v>48</v>
      </c>
      <c r="B1115" s="41"/>
      <c r="C1115" s="42"/>
      <c r="D1115" s="42"/>
      <c r="E1115" s="42"/>
      <c r="F1115" s="42"/>
      <c r="G1115" s="43">
        <f t="shared" si="707"/>
        <v>0</v>
      </c>
      <c r="H1115" s="41"/>
      <c r="I1115" s="42"/>
      <c r="J1115" s="42"/>
      <c r="K1115" s="42"/>
      <c r="L1115" s="42">
        <v>1</v>
      </c>
      <c r="M1115" s="43">
        <f t="shared" si="708"/>
        <v>1</v>
      </c>
      <c r="N1115" s="42"/>
      <c r="O1115" s="53"/>
      <c r="P1115" s="53"/>
      <c r="Q1115" s="53"/>
      <c r="R1115" s="72"/>
      <c r="S1115" s="24">
        <f t="shared" si="684"/>
        <v>0</v>
      </c>
      <c r="T1115" s="42"/>
      <c r="U1115" s="53"/>
      <c r="V1115" s="53"/>
      <c r="W1115" s="53"/>
      <c r="X1115" s="72"/>
      <c r="Y1115" s="24">
        <f t="shared" si="685"/>
        <v>0</v>
      </c>
      <c r="Z1115" s="24">
        <f t="shared" si="686"/>
        <v>1</v>
      </c>
      <c r="AA1115" s="93">
        <v>44979</v>
      </c>
      <c r="AB1115" s="23"/>
      <c r="AC1115" s="38"/>
      <c r="AD1115" s="39"/>
      <c r="AE1115" s="39"/>
      <c r="AF1115" s="39"/>
      <c r="AG1115" s="39"/>
      <c r="AH1115" s="37">
        <f t="shared" si="718"/>
        <v>0</v>
      </c>
      <c r="AI1115" s="38"/>
      <c r="AJ1115" s="39"/>
      <c r="AK1115" s="39"/>
      <c r="AL1115" s="39"/>
      <c r="AM1115" s="39"/>
      <c r="AN1115" s="37">
        <f t="shared" si="719"/>
        <v>0</v>
      </c>
      <c r="AO1115" s="39"/>
      <c r="AP1115" s="56"/>
      <c r="AQ1115" s="56"/>
      <c r="AR1115" s="56"/>
      <c r="AS1115" s="71"/>
      <c r="AT1115" s="16">
        <f t="shared" si="720"/>
        <v>0</v>
      </c>
      <c r="AU1115" s="39"/>
      <c r="AV1115" s="56"/>
      <c r="AW1115" s="56"/>
      <c r="AX1115" s="56"/>
      <c r="AY1115" s="71"/>
      <c r="AZ1115" s="16">
        <f t="shared" si="721"/>
        <v>0</v>
      </c>
      <c r="BA1115" s="16">
        <f t="shared" si="722"/>
        <v>0</v>
      </c>
      <c r="BB1115" s="128"/>
    </row>
    <row r="1116" spans="1:54" ht="14.25" x14ac:dyDescent="0.15">
      <c r="A1116" s="23" t="s">
        <v>48</v>
      </c>
      <c r="B1116" s="41"/>
      <c r="C1116" s="42">
        <v>1</v>
      </c>
      <c r="D1116" s="42"/>
      <c r="E1116" s="42"/>
      <c r="F1116" s="42"/>
      <c r="G1116" s="43">
        <f t="shared" si="707"/>
        <v>1</v>
      </c>
      <c r="H1116" s="41"/>
      <c r="I1116" s="42"/>
      <c r="J1116" s="42"/>
      <c r="K1116" s="42"/>
      <c r="L1116" s="42"/>
      <c r="M1116" s="43">
        <f t="shared" si="708"/>
        <v>0</v>
      </c>
      <c r="N1116" s="42"/>
      <c r="O1116" s="53"/>
      <c r="P1116" s="53"/>
      <c r="Q1116" s="53"/>
      <c r="R1116" s="72"/>
      <c r="S1116" s="24">
        <f t="shared" si="684"/>
        <v>0</v>
      </c>
      <c r="T1116" s="42"/>
      <c r="U1116" s="53"/>
      <c r="V1116" s="53"/>
      <c r="W1116" s="53"/>
      <c r="X1116" s="72">
        <v>1</v>
      </c>
      <c r="Y1116" s="24">
        <f t="shared" si="685"/>
        <v>1</v>
      </c>
      <c r="Z1116" s="24">
        <f t="shared" si="686"/>
        <v>2</v>
      </c>
      <c r="AA1116" s="93">
        <v>44981</v>
      </c>
      <c r="AB1116" s="23"/>
      <c r="AC1116" s="41"/>
      <c r="AD1116" s="42"/>
      <c r="AE1116" s="42"/>
      <c r="AF1116" s="42"/>
      <c r="AG1116" s="42"/>
      <c r="AH1116" s="43">
        <f t="shared" si="718"/>
        <v>0</v>
      </c>
      <c r="AI1116" s="41"/>
      <c r="AJ1116" s="42"/>
      <c r="AK1116" s="42"/>
      <c r="AL1116" s="42"/>
      <c r="AM1116" s="42"/>
      <c r="AN1116" s="43">
        <f t="shared" si="719"/>
        <v>0</v>
      </c>
      <c r="AO1116" s="42"/>
      <c r="AP1116" s="53"/>
      <c r="AQ1116" s="53"/>
      <c r="AR1116" s="53"/>
      <c r="AS1116" s="72"/>
      <c r="AT1116" s="24">
        <f t="shared" si="720"/>
        <v>0</v>
      </c>
      <c r="AU1116" s="42"/>
      <c r="AV1116" s="53"/>
      <c r="AW1116" s="53"/>
      <c r="AX1116" s="53"/>
      <c r="AY1116" s="72"/>
      <c r="AZ1116" s="24">
        <f t="shared" si="721"/>
        <v>0</v>
      </c>
      <c r="BA1116" s="24">
        <f t="shared" si="722"/>
        <v>0</v>
      </c>
      <c r="BB1116" s="128"/>
    </row>
    <row r="1117" spans="1:54" ht="14.25" x14ac:dyDescent="0.15">
      <c r="A1117" s="23" t="s">
        <v>48</v>
      </c>
      <c r="B1117" s="41"/>
      <c r="C1117" s="42"/>
      <c r="D1117" s="42"/>
      <c r="E1117" s="42"/>
      <c r="F1117" s="42">
        <v>1</v>
      </c>
      <c r="G1117" s="43">
        <f t="shared" si="707"/>
        <v>1</v>
      </c>
      <c r="H1117" s="41"/>
      <c r="I1117" s="42">
        <v>1</v>
      </c>
      <c r="J1117" s="42"/>
      <c r="K1117" s="42"/>
      <c r="L1117" s="42">
        <v>1</v>
      </c>
      <c r="M1117" s="43">
        <f t="shared" si="708"/>
        <v>2</v>
      </c>
      <c r="N1117" s="42"/>
      <c r="O1117" s="53"/>
      <c r="P1117" s="53"/>
      <c r="Q1117" s="53"/>
      <c r="R1117" s="72"/>
      <c r="S1117" s="24">
        <f t="shared" si="684"/>
        <v>0</v>
      </c>
      <c r="T1117" s="42"/>
      <c r="U1117" s="53"/>
      <c r="V1117" s="53"/>
      <c r="W1117" s="53"/>
      <c r="X1117" s="72"/>
      <c r="Y1117" s="24">
        <f t="shared" si="685"/>
        <v>0</v>
      </c>
      <c r="Z1117" s="24">
        <f t="shared" si="686"/>
        <v>3</v>
      </c>
      <c r="AA1117" s="83">
        <v>44984</v>
      </c>
      <c r="AB1117" s="23"/>
      <c r="AC1117" s="41"/>
      <c r="AD1117" s="42"/>
      <c r="AE1117" s="42"/>
      <c r="AF1117" s="42"/>
      <c r="AG1117" s="42"/>
      <c r="AH1117" s="43">
        <f t="shared" si="718"/>
        <v>0</v>
      </c>
      <c r="AI1117" s="41"/>
      <c r="AJ1117" s="42"/>
      <c r="AK1117" s="42"/>
      <c r="AL1117" s="42"/>
      <c r="AM1117" s="42"/>
      <c r="AN1117" s="43">
        <f t="shared" si="719"/>
        <v>0</v>
      </c>
      <c r="AO1117" s="42"/>
      <c r="AP1117" s="53"/>
      <c r="AQ1117" s="53"/>
      <c r="AR1117" s="53"/>
      <c r="AS1117" s="72"/>
      <c r="AT1117" s="24">
        <f t="shared" si="720"/>
        <v>0</v>
      </c>
      <c r="AU1117" s="42"/>
      <c r="AV1117" s="53"/>
      <c r="AW1117" s="53"/>
      <c r="AX1117" s="53"/>
      <c r="AY1117" s="72"/>
      <c r="AZ1117" s="24">
        <f t="shared" si="721"/>
        <v>0</v>
      </c>
      <c r="BA1117" s="24">
        <f t="shared" si="722"/>
        <v>0</v>
      </c>
      <c r="BB1117" s="128"/>
    </row>
    <row r="1118" spans="1:54" ht="14.25" x14ac:dyDescent="0.15">
      <c r="A1118" s="23" t="s">
        <v>438</v>
      </c>
      <c r="B1118" s="41"/>
      <c r="C1118" s="42"/>
      <c r="D1118" s="42"/>
      <c r="E1118" s="42"/>
      <c r="F1118" s="42"/>
      <c r="G1118" s="43">
        <f t="shared" si="707"/>
        <v>0</v>
      </c>
      <c r="H1118" s="41">
        <v>1</v>
      </c>
      <c r="I1118" s="42"/>
      <c r="J1118" s="42"/>
      <c r="K1118" s="42"/>
      <c r="L1118" s="42"/>
      <c r="M1118" s="43">
        <f t="shared" si="708"/>
        <v>1</v>
      </c>
      <c r="N1118" s="42"/>
      <c r="O1118" s="53"/>
      <c r="P1118" s="53"/>
      <c r="Q1118" s="53"/>
      <c r="R1118" s="72"/>
      <c r="S1118" s="24">
        <f t="shared" si="684"/>
        <v>0</v>
      </c>
      <c r="T1118" s="42"/>
      <c r="U1118" s="53"/>
      <c r="V1118" s="53"/>
      <c r="W1118" s="53"/>
      <c r="X1118" s="72"/>
      <c r="Y1118" s="24">
        <f t="shared" si="685"/>
        <v>0</v>
      </c>
      <c r="Z1118" s="24">
        <f t="shared" si="686"/>
        <v>1</v>
      </c>
      <c r="AA1118" s="83">
        <v>44986</v>
      </c>
      <c r="AB1118" s="23"/>
      <c r="AC1118" s="14"/>
      <c r="AD1118" s="15"/>
      <c r="AE1118" s="15"/>
      <c r="AF1118" s="15"/>
      <c r="AG1118" s="15"/>
      <c r="AH1118" s="24">
        <f t="shared" si="718"/>
        <v>0</v>
      </c>
      <c r="AI1118" s="14"/>
      <c r="AJ1118" s="15"/>
      <c r="AK1118" s="15"/>
      <c r="AL1118" s="15"/>
      <c r="AM1118" s="15"/>
      <c r="AN1118" s="24">
        <f t="shared" si="719"/>
        <v>0</v>
      </c>
      <c r="AO1118" s="15"/>
      <c r="AP1118" s="55"/>
      <c r="AQ1118" s="55"/>
      <c r="AR1118" s="55"/>
      <c r="AS1118" s="67"/>
      <c r="AT1118" s="24">
        <f t="shared" si="720"/>
        <v>0</v>
      </c>
      <c r="AU1118" s="15"/>
      <c r="AV1118" s="55"/>
      <c r="AW1118" s="55"/>
      <c r="AX1118" s="55"/>
      <c r="AY1118" s="67"/>
      <c r="AZ1118" s="24">
        <f t="shared" si="721"/>
        <v>0</v>
      </c>
      <c r="BA1118" s="24">
        <f t="shared" si="722"/>
        <v>0</v>
      </c>
      <c r="BB1118" s="128"/>
    </row>
    <row r="1119" spans="1:54" ht="14.25" x14ac:dyDescent="0.15">
      <c r="A1119" s="23" t="s">
        <v>48</v>
      </c>
      <c r="B1119" s="41"/>
      <c r="C1119" s="42"/>
      <c r="D1119" s="42"/>
      <c r="E1119" s="42"/>
      <c r="F1119" s="42"/>
      <c r="G1119" s="43">
        <f t="shared" si="707"/>
        <v>0</v>
      </c>
      <c r="H1119" s="41"/>
      <c r="I1119" s="42"/>
      <c r="J1119" s="42"/>
      <c r="K1119" s="42"/>
      <c r="L1119" s="42"/>
      <c r="M1119" s="43">
        <f t="shared" si="708"/>
        <v>0</v>
      </c>
      <c r="N1119" s="42"/>
      <c r="O1119" s="53"/>
      <c r="P1119" s="53"/>
      <c r="Q1119" s="53"/>
      <c r="R1119" s="72">
        <v>1</v>
      </c>
      <c r="S1119" s="24">
        <f t="shared" si="684"/>
        <v>1</v>
      </c>
      <c r="T1119" s="42"/>
      <c r="U1119" s="53"/>
      <c r="V1119" s="53"/>
      <c r="W1119" s="53"/>
      <c r="X1119" s="72"/>
      <c r="Y1119" s="24">
        <f t="shared" si="685"/>
        <v>0</v>
      </c>
      <c r="Z1119" s="24">
        <f t="shared" si="686"/>
        <v>1</v>
      </c>
      <c r="AA1119" s="93">
        <v>44988</v>
      </c>
      <c r="AB1119" s="180"/>
      <c r="AC1119" s="14"/>
      <c r="AD1119" s="15"/>
      <c r="AE1119" s="15"/>
      <c r="AF1119" s="15"/>
      <c r="AG1119" s="15"/>
      <c r="AH1119" s="24">
        <f t="shared" si="718"/>
        <v>0</v>
      </c>
      <c r="AI1119" s="14"/>
      <c r="AJ1119" s="15"/>
      <c r="AK1119" s="15"/>
      <c r="AL1119" s="15"/>
      <c r="AM1119" s="15"/>
      <c r="AN1119" s="24">
        <f t="shared" si="719"/>
        <v>0</v>
      </c>
      <c r="AO1119" s="15"/>
      <c r="AP1119" s="55"/>
      <c r="AQ1119" s="55"/>
      <c r="AR1119" s="55"/>
      <c r="AS1119" s="67"/>
      <c r="AT1119" s="24">
        <f t="shared" si="720"/>
        <v>0</v>
      </c>
      <c r="AU1119" s="15"/>
      <c r="AV1119" s="55"/>
      <c r="AW1119" s="55"/>
      <c r="AX1119" s="55"/>
      <c r="AY1119" s="67"/>
      <c r="AZ1119" s="24">
        <f t="shared" si="721"/>
        <v>0</v>
      </c>
      <c r="BA1119" s="24">
        <f t="shared" si="722"/>
        <v>0</v>
      </c>
      <c r="BB1119" s="128"/>
    </row>
    <row r="1120" spans="1:54" ht="14.25" x14ac:dyDescent="0.15">
      <c r="A1120" s="23" t="s">
        <v>438</v>
      </c>
      <c r="B1120" s="41"/>
      <c r="C1120" s="42">
        <v>1</v>
      </c>
      <c r="D1120" s="42"/>
      <c r="E1120" s="42"/>
      <c r="F1120" s="42"/>
      <c r="G1120" s="43">
        <f t="shared" si="707"/>
        <v>1</v>
      </c>
      <c r="H1120" s="41"/>
      <c r="I1120" s="42"/>
      <c r="J1120" s="42"/>
      <c r="K1120" s="42"/>
      <c r="L1120" s="42"/>
      <c r="M1120" s="43">
        <f t="shared" si="708"/>
        <v>0</v>
      </c>
      <c r="N1120" s="42"/>
      <c r="O1120" s="53">
        <v>1</v>
      </c>
      <c r="P1120" s="53"/>
      <c r="Q1120" s="53"/>
      <c r="R1120" s="72">
        <v>1</v>
      </c>
      <c r="S1120" s="24">
        <f t="shared" si="684"/>
        <v>2</v>
      </c>
      <c r="T1120" s="42"/>
      <c r="U1120" s="53"/>
      <c r="V1120" s="53"/>
      <c r="W1120" s="53"/>
      <c r="X1120" s="72"/>
      <c r="Y1120" s="24">
        <f t="shared" si="685"/>
        <v>0</v>
      </c>
      <c r="Z1120" s="24">
        <f t="shared" si="686"/>
        <v>3</v>
      </c>
      <c r="AA1120" s="83">
        <v>44992</v>
      </c>
      <c r="AB1120" s="180"/>
      <c r="AC1120" s="14"/>
      <c r="AD1120" s="15"/>
      <c r="AE1120" s="15"/>
      <c r="AF1120" s="15"/>
      <c r="AG1120" s="15"/>
      <c r="AH1120" s="24">
        <f t="shared" si="718"/>
        <v>0</v>
      </c>
      <c r="AI1120" s="14"/>
      <c r="AJ1120" s="15"/>
      <c r="AK1120" s="15"/>
      <c r="AL1120" s="15"/>
      <c r="AM1120" s="15"/>
      <c r="AN1120" s="24">
        <f t="shared" si="719"/>
        <v>0</v>
      </c>
      <c r="AO1120" s="15"/>
      <c r="AP1120" s="55"/>
      <c r="AQ1120" s="55"/>
      <c r="AR1120" s="55"/>
      <c r="AS1120" s="67"/>
      <c r="AT1120" s="24">
        <f t="shared" si="720"/>
        <v>0</v>
      </c>
      <c r="AU1120" s="15"/>
      <c r="AV1120" s="55"/>
      <c r="AW1120" s="55"/>
      <c r="AX1120" s="55"/>
      <c r="AY1120" s="67"/>
      <c r="AZ1120" s="24">
        <f t="shared" si="721"/>
        <v>0</v>
      </c>
      <c r="BA1120" s="24">
        <f t="shared" si="722"/>
        <v>0</v>
      </c>
      <c r="BB1120" s="128"/>
    </row>
    <row r="1121" spans="1:54" ht="14.25" x14ac:dyDescent="0.15">
      <c r="A1121" s="23" t="s">
        <v>48</v>
      </c>
      <c r="B1121" s="41"/>
      <c r="C1121" s="42"/>
      <c r="D1121" s="42"/>
      <c r="E1121" s="42">
        <v>1</v>
      </c>
      <c r="F1121" s="42"/>
      <c r="G1121" s="43">
        <f t="shared" si="707"/>
        <v>1</v>
      </c>
      <c r="H1121" s="41"/>
      <c r="I1121" s="42"/>
      <c r="J1121" s="42"/>
      <c r="K1121" s="42"/>
      <c r="L1121" s="42"/>
      <c r="M1121" s="43">
        <f t="shared" si="708"/>
        <v>0</v>
      </c>
      <c r="N1121" s="42"/>
      <c r="O1121" s="53"/>
      <c r="P1121" s="53"/>
      <c r="Q1121" s="53"/>
      <c r="R1121" s="72"/>
      <c r="S1121" s="24">
        <f t="shared" si="684"/>
        <v>0</v>
      </c>
      <c r="T1121" s="42"/>
      <c r="U1121" s="53"/>
      <c r="V1121" s="53"/>
      <c r="W1121" s="53"/>
      <c r="X1121" s="72"/>
      <c r="Y1121" s="24">
        <f t="shared" si="685"/>
        <v>0</v>
      </c>
      <c r="Z1121" s="24">
        <f t="shared" si="686"/>
        <v>1</v>
      </c>
      <c r="AA1121" s="93">
        <v>44991</v>
      </c>
      <c r="AB1121" s="21"/>
      <c r="AC1121" s="14"/>
      <c r="AD1121" s="15"/>
      <c r="AE1121" s="15"/>
      <c r="AF1121" s="15"/>
      <c r="AG1121" s="15"/>
      <c r="AH1121" s="24">
        <f t="shared" si="718"/>
        <v>0</v>
      </c>
      <c r="AI1121" s="14"/>
      <c r="AJ1121" s="15"/>
      <c r="AK1121" s="15"/>
      <c r="AL1121" s="15"/>
      <c r="AM1121" s="15"/>
      <c r="AN1121" s="24">
        <f t="shared" si="719"/>
        <v>0</v>
      </c>
      <c r="AO1121" s="15"/>
      <c r="AP1121" s="55"/>
      <c r="AQ1121" s="55"/>
      <c r="AR1121" s="55"/>
      <c r="AS1121" s="67"/>
      <c r="AT1121" s="24">
        <f t="shared" si="720"/>
        <v>0</v>
      </c>
      <c r="AU1121" s="15"/>
      <c r="AV1121" s="55"/>
      <c r="AW1121" s="55"/>
      <c r="AX1121" s="55"/>
      <c r="AY1121" s="67"/>
      <c r="AZ1121" s="24">
        <f t="shared" si="721"/>
        <v>0</v>
      </c>
      <c r="BA1121" s="24">
        <f t="shared" si="722"/>
        <v>0</v>
      </c>
      <c r="BB1121" s="128"/>
    </row>
    <row r="1122" spans="1:54" ht="14.25" x14ac:dyDescent="0.15">
      <c r="A1122" s="23" t="s">
        <v>48</v>
      </c>
      <c r="B1122" s="41"/>
      <c r="C1122" s="42"/>
      <c r="D1122" s="42">
        <f>1+1</f>
        <v>2</v>
      </c>
      <c r="E1122" s="42"/>
      <c r="F1122" s="42"/>
      <c r="G1122" s="43">
        <f t="shared" si="707"/>
        <v>2</v>
      </c>
      <c r="H1122" s="41"/>
      <c r="I1122" s="42"/>
      <c r="J1122" s="42"/>
      <c r="K1122" s="42"/>
      <c r="L1122" s="42"/>
      <c r="M1122" s="43">
        <f t="shared" si="708"/>
        <v>0</v>
      </c>
      <c r="N1122" s="42"/>
      <c r="O1122" s="53"/>
      <c r="P1122" s="53"/>
      <c r="Q1122" s="53"/>
      <c r="R1122" s="72"/>
      <c r="S1122" s="24">
        <f t="shared" si="684"/>
        <v>0</v>
      </c>
      <c r="T1122" s="42"/>
      <c r="U1122" s="53"/>
      <c r="V1122" s="53"/>
      <c r="W1122" s="53"/>
      <c r="X1122" s="72"/>
      <c r="Y1122" s="24">
        <f t="shared" si="685"/>
        <v>0</v>
      </c>
      <c r="Z1122" s="24">
        <f t="shared" si="686"/>
        <v>2</v>
      </c>
      <c r="AA1122" s="93">
        <v>44994</v>
      </c>
      <c r="AB1122" s="47"/>
      <c r="AC1122" s="14"/>
      <c r="AD1122" s="15"/>
      <c r="AE1122" s="15"/>
      <c r="AF1122" s="15"/>
      <c r="AG1122" s="15"/>
      <c r="AH1122" s="24">
        <f t="shared" ref="AH1122:AH1128" si="723">SUM(AC1122:AG1122)</f>
        <v>0</v>
      </c>
      <c r="AI1122" s="14"/>
      <c r="AJ1122" s="15"/>
      <c r="AK1122" s="15"/>
      <c r="AL1122" s="15"/>
      <c r="AM1122" s="15"/>
      <c r="AN1122" s="24">
        <f t="shared" si="719"/>
        <v>0</v>
      </c>
      <c r="AO1122" s="15"/>
      <c r="AP1122" s="55"/>
      <c r="AQ1122" s="55"/>
      <c r="AR1122" s="55"/>
      <c r="AS1122" s="67"/>
      <c r="AT1122" s="24">
        <f t="shared" si="720"/>
        <v>0</v>
      </c>
      <c r="AU1122" s="15"/>
      <c r="AV1122" s="55"/>
      <c r="AW1122" s="55"/>
      <c r="AX1122" s="55"/>
      <c r="AY1122" s="67"/>
      <c r="AZ1122" s="24">
        <f t="shared" si="721"/>
        <v>0</v>
      </c>
      <c r="BA1122" s="24">
        <f t="shared" si="722"/>
        <v>0</v>
      </c>
      <c r="BB1122" s="128"/>
    </row>
    <row r="1123" spans="1:54" ht="14.25" x14ac:dyDescent="0.15">
      <c r="A1123" s="23" t="s">
        <v>438</v>
      </c>
      <c r="B1123" s="41"/>
      <c r="C1123" s="42"/>
      <c r="D1123" s="42"/>
      <c r="E1123" s="42"/>
      <c r="F1123" s="42">
        <v>1</v>
      </c>
      <c r="G1123" s="43">
        <f t="shared" si="707"/>
        <v>1</v>
      </c>
      <c r="H1123" s="41"/>
      <c r="I1123" s="42"/>
      <c r="J1123" s="42"/>
      <c r="K1123" s="42"/>
      <c r="L1123" s="42"/>
      <c r="M1123" s="43">
        <f t="shared" si="708"/>
        <v>0</v>
      </c>
      <c r="N1123" s="42"/>
      <c r="O1123" s="53"/>
      <c r="P1123" s="53"/>
      <c r="Q1123" s="53"/>
      <c r="R1123" s="72"/>
      <c r="S1123" s="24">
        <f t="shared" si="684"/>
        <v>0</v>
      </c>
      <c r="T1123" s="42"/>
      <c r="U1123" s="53"/>
      <c r="V1123" s="53"/>
      <c r="W1123" s="53"/>
      <c r="X1123" s="72"/>
      <c r="Y1123" s="24">
        <f t="shared" si="685"/>
        <v>0</v>
      </c>
      <c r="Z1123" s="24">
        <f t="shared" si="686"/>
        <v>1</v>
      </c>
      <c r="AA1123" s="83">
        <v>44998</v>
      </c>
      <c r="AB1123" s="47"/>
      <c r="AC1123" s="14"/>
      <c r="AD1123" s="15"/>
      <c r="AE1123" s="15"/>
      <c r="AF1123" s="15"/>
      <c r="AG1123" s="15"/>
      <c r="AH1123" s="24">
        <f t="shared" si="723"/>
        <v>0</v>
      </c>
      <c r="AI1123" s="14"/>
      <c r="AJ1123" s="15"/>
      <c r="AK1123" s="15"/>
      <c r="AL1123" s="15"/>
      <c r="AM1123" s="15"/>
      <c r="AN1123" s="24">
        <f t="shared" ref="AN1123:AN1128" si="724">SUM(AI1123:AM1123)</f>
        <v>0</v>
      </c>
      <c r="AO1123" s="15"/>
      <c r="AP1123" s="55"/>
      <c r="AQ1123" s="55"/>
      <c r="AR1123" s="55"/>
      <c r="AS1123" s="67"/>
      <c r="AT1123" s="24">
        <f t="shared" ref="AT1123:AT1128" si="725">SUM(AO1123:AS1123)</f>
        <v>0</v>
      </c>
      <c r="AU1123" s="15"/>
      <c r="AV1123" s="55"/>
      <c r="AW1123" s="55"/>
      <c r="AX1123" s="55"/>
      <c r="AY1123" s="67"/>
      <c r="AZ1123" s="24">
        <f t="shared" ref="AZ1123:AZ1128" si="726">SUM(AU1123:AY1123)</f>
        <v>0</v>
      </c>
      <c r="BA1123" s="24">
        <f t="shared" si="722"/>
        <v>0</v>
      </c>
      <c r="BB1123" s="128"/>
    </row>
    <row r="1124" spans="1:54" ht="14.25" x14ac:dyDescent="0.15">
      <c r="A1124" s="23" t="s">
        <v>48</v>
      </c>
      <c r="B1124" s="41"/>
      <c r="C1124" s="42">
        <v>1</v>
      </c>
      <c r="D1124" s="42"/>
      <c r="E1124" s="42"/>
      <c r="F1124" s="42"/>
      <c r="G1124" s="43">
        <f t="shared" si="707"/>
        <v>1</v>
      </c>
      <c r="H1124" s="41"/>
      <c r="I1124" s="42"/>
      <c r="J1124" s="42">
        <v>1</v>
      </c>
      <c r="K1124" s="42"/>
      <c r="L1124" s="42"/>
      <c r="M1124" s="43">
        <f t="shared" si="708"/>
        <v>1</v>
      </c>
      <c r="N1124" s="42"/>
      <c r="O1124" s="53"/>
      <c r="P1124" s="53"/>
      <c r="Q1124" s="53"/>
      <c r="R1124" s="72"/>
      <c r="S1124" s="24">
        <f t="shared" si="684"/>
        <v>0</v>
      </c>
      <c r="T1124" s="42"/>
      <c r="U1124" s="53"/>
      <c r="V1124" s="53"/>
      <c r="W1124" s="53"/>
      <c r="X1124" s="72"/>
      <c r="Y1124" s="24">
        <f t="shared" si="685"/>
        <v>0</v>
      </c>
      <c r="Z1124" s="24">
        <f t="shared" si="686"/>
        <v>2</v>
      </c>
      <c r="AA1124" s="93">
        <v>44998</v>
      </c>
      <c r="AB1124" s="47"/>
      <c r="AC1124" s="14"/>
      <c r="AD1124" s="15"/>
      <c r="AE1124" s="15"/>
      <c r="AF1124" s="15"/>
      <c r="AG1124" s="15"/>
      <c r="AH1124" s="24">
        <f t="shared" si="723"/>
        <v>0</v>
      </c>
      <c r="AI1124" s="14"/>
      <c r="AJ1124" s="15"/>
      <c r="AK1124" s="15"/>
      <c r="AL1124" s="15"/>
      <c r="AM1124" s="15"/>
      <c r="AN1124" s="24">
        <f t="shared" si="724"/>
        <v>0</v>
      </c>
      <c r="AO1124" s="15"/>
      <c r="AP1124" s="55"/>
      <c r="AQ1124" s="55"/>
      <c r="AR1124" s="55"/>
      <c r="AS1124" s="67"/>
      <c r="AT1124" s="24">
        <f t="shared" si="725"/>
        <v>0</v>
      </c>
      <c r="AU1124" s="15"/>
      <c r="AV1124" s="55"/>
      <c r="AW1124" s="55"/>
      <c r="AX1124" s="55"/>
      <c r="AY1124" s="67"/>
      <c r="AZ1124" s="24">
        <f t="shared" si="726"/>
        <v>0</v>
      </c>
      <c r="BA1124" s="24">
        <f t="shared" si="722"/>
        <v>0</v>
      </c>
      <c r="BB1124" s="128"/>
    </row>
    <row r="1125" spans="1:54" ht="14.25" x14ac:dyDescent="0.15">
      <c r="A1125" s="23" t="s">
        <v>438</v>
      </c>
      <c r="B1125" s="41"/>
      <c r="C1125" s="42"/>
      <c r="D1125" s="42"/>
      <c r="E1125" s="42">
        <v>1</v>
      </c>
      <c r="F1125" s="42">
        <v>1</v>
      </c>
      <c r="G1125" s="43">
        <f t="shared" si="707"/>
        <v>2</v>
      </c>
      <c r="H1125" s="41"/>
      <c r="I1125" s="42"/>
      <c r="J1125" s="42"/>
      <c r="K1125" s="42"/>
      <c r="L1125" s="42"/>
      <c r="M1125" s="43">
        <f t="shared" si="708"/>
        <v>0</v>
      </c>
      <c r="N1125" s="42"/>
      <c r="O1125" s="53"/>
      <c r="P1125" s="53"/>
      <c r="Q1125" s="53">
        <v>1</v>
      </c>
      <c r="R1125" s="72"/>
      <c r="S1125" s="24">
        <f t="shared" si="684"/>
        <v>1</v>
      </c>
      <c r="T1125" s="42"/>
      <c r="U1125" s="53"/>
      <c r="V1125" s="53"/>
      <c r="W1125" s="53"/>
      <c r="X1125" s="72">
        <v>1</v>
      </c>
      <c r="Y1125" s="24">
        <f t="shared" si="685"/>
        <v>1</v>
      </c>
      <c r="Z1125" s="24">
        <f t="shared" si="686"/>
        <v>4</v>
      </c>
      <c r="AA1125" s="83">
        <v>45000</v>
      </c>
      <c r="AB1125" s="47"/>
      <c r="AC1125" s="14"/>
      <c r="AD1125" s="15"/>
      <c r="AE1125" s="15"/>
      <c r="AF1125" s="15"/>
      <c r="AG1125" s="15"/>
      <c r="AH1125" s="24">
        <f t="shared" ref="AH1125:AH1126" si="727">SUM(AC1125:AG1125)</f>
        <v>0</v>
      </c>
      <c r="AI1125" s="14"/>
      <c r="AJ1125" s="15"/>
      <c r="AK1125" s="15"/>
      <c r="AL1125" s="15"/>
      <c r="AM1125" s="15"/>
      <c r="AN1125" s="24">
        <f t="shared" ref="AN1125:AN1126" si="728">SUM(AI1125:AM1125)</f>
        <v>0</v>
      </c>
      <c r="AO1125" s="15"/>
      <c r="AP1125" s="55"/>
      <c r="AQ1125" s="55"/>
      <c r="AR1125" s="55"/>
      <c r="AS1125" s="67"/>
      <c r="AT1125" s="24">
        <f t="shared" ref="AT1125:AT1126" si="729">SUM(AO1125:AS1125)</f>
        <v>0</v>
      </c>
      <c r="AU1125" s="15"/>
      <c r="AV1125" s="55"/>
      <c r="AW1125" s="55"/>
      <c r="AX1125" s="55"/>
      <c r="AY1125" s="67"/>
      <c r="AZ1125" s="24">
        <f t="shared" ref="AZ1125:AZ1126" si="730">SUM(AU1125:AY1125)</f>
        <v>0</v>
      </c>
      <c r="BA1125" s="24">
        <f t="shared" ref="BA1125:BA1126" si="731">AH1125+AN1125+AT1125+AZ1125</f>
        <v>0</v>
      </c>
      <c r="BB1125" s="128"/>
    </row>
    <row r="1126" spans="1:54" ht="14.25" x14ac:dyDescent="0.15">
      <c r="A1126" s="23" t="s">
        <v>438</v>
      </c>
      <c r="B1126" s="41"/>
      <c r="C1126" s="42"/>
      <c r="D1126" s="42"/>
      <c r="E1126" s="42"/>
      <c r="F1126" s="42"/>
      <c r="G1126" s="43">
        <f t="shared" si="701"/>
        <v>0</v>
      </c>
      <c r="H1126" s="41"/>
      <c r="I1126" s="42"/>
      <c r="J1126" s="42"/>
      <c r="K1126" s="42"/>
      <c r="L1126" s="42"/>
      <c r="M1126" s="43">
        <f t="shared" ref="M1126:M1127" si="732">SUM(H1126:L1126)</f>
        <v>0</v>
      </c>
      <c r="N1126" s="42"/>
      <c r="O1126" s="53"/>
      <c r="P1126" s="53"/>
      <c r="Q1126" s="53"/>
      <c r="R1126" s="72"/>
      <c r="S1126" s="24">
        <f>SUM(N1126:R1126)</f>
        <v>0</v>
      </c>
      <c r="T1126" s="42"/>
      <c r="U1126" s="53"/>
      <c r="V1126" s="53"/>
      <c r="W1126" s="53"/>
      <c r="X1126" s="72">
        <v>1</v>
      </c>
      <c r="Y1126" s="24">
        <f>SUM(T1126:X1126)</f>
        <v>1</v>
      </c>
      <c r="Z1126" s="24">
        <f>G1126+M1126+S1126+Y1126</f>
        <v>1</v>
      </c>
      <c r="AA1126" s="83">
        <v>45001</v>
      </c>
      <c r="AB1126" s="47"/>
      <c r="AC1126" s="14"/>
      <c r="AD1126" s="15"/>
      <c r="AE1126" s="15"/>
      <c r="AF1126" s="15"/>
      <c r="AG1126" s="15"/>
      <c r="AH1126" s="24">
        <f t="shared" si="727"/>
        <v>0</v>
      </c>
      <c r="AI1126" s="14"/>
      <c r="AJ1126" s="15"/>
      <c r="AK1126" s="15"/>
      <c r="AL1126" s="15"/>
      <c r="AM1126" s="15"/>
      <c r="AN1126" s="24">
        <f t="shared" si="728"/>
        <v>0</v>
      </c>
      <c r="AO1126" s="15"/>
      <c r="AP1126" s="55"/>
      <c r="AQ1126" s="55"/>
      <c r="AR1126" s="55"/>
      <c r="AS1126" s="67"/>
      <c r="AT1126" s="24">
        <f t="shared" si="729"/>
        <v>0</v>
      </c>
      <c r="AU1126" s="15"/>
      <c r="AV1126" s="55"/>
      <c r="AW1126" s="55"/>
      <c r="AX1126" s="55"/>
      <c r="AY1126" s="67"/>
      <c r="AZ1126" s="24">
        <f t="shared" si="730"/>
        <v>0</v>
      </c>
      <c r="BA1126" s="24">
        <f t="shared" si="731"/>
        <v>0</v>
      </c>
      <c r="BB1126" s="128"/>
    </row>
    <row r="1127" spans="1:54" ht="15" thickBot="1" x14ac:dyDescent="0.2">
      <c r="A1127" s="23" t="s">
        <v>438</v>
      </c>
      <c r="B1127" s="44"/>
      <c r="C1127" s="45"/>
      <c r="D1127" s="45"/>
      <c r="E1127" s="45">
        <v>1</v>
      </c>
      <c r="F1127" s="45"/>
      <c r="G1127" s="43">
        <f t="shared" si="701"/>
        <v>1</v>
      </c>
      <c r="H1127" s="44"/>
      <c r="I1127" s="45"/>
      <c r="J1127" s="45"/>
      <c r="K1127" s="45"/>
      <c r="L1127" s="45"/>
      <c r="M1127" s="112">
        <f t="shared" si="732"/>
        <v>0</v>
      </c>
      <c r="N1127" s="45"/>
      <c r="O1127" s="78"/>
      <c r="P1127" s="78"/>
      <c r="Q1127" s="78"/>
      <c r="R1127" s="79"/>
      <c r="S1127" s="113">
        <f>SUM(N1127:R1127)</f>
        <v>0</v>
      </c>
      <c r="T1127" s="45"/>
      <c r="U1127" s="78"/>
      <c r="V1127" s="78"/>
      <c r="W1127" s="78"/>
      <c r="X1127" s="79"/>
      <c r="Y1127" s="113">
        <f>SUM(T1127:X1127)</f>
        <v>0</v>
      </c>
      <c r="Z1127" s="82">
        <f>G1127+M1127+S1127+Y1127</f>
        <v>1</v>
      </c>
      <c r="AA1127" s="83">
        <v>45002</v>
      </c>
      <c r="AB1127" s="47" t="s">
        <v>575</v>
      </c>
      <c r="AC1127" s="14"/>
      <c r="AD1127" s="15"/>
      <c r="AE1127" s="15"/>
      <c r="AF1127" s="15"/>
      <c r="AG1127" s="15"/>
      <c r="AH1127" s="24">
        <f t="shared" ref="AH1127" si="733">SUM(AC1127:AG1127)</f>
        <v>0</v>
      </c>
      <c r="AI1127" s="14"/>
      <c r="AJ1127" s="15"/>
      <c r="AK1127" s="15"/>
      <c r="AL1127" s="15"/>
      <c r="AM1127" s="15"/>
      <c r="AN1127" s="24">
        <f t="shared" ref="AN1127" si="734">SUM(AI1127:AM1127)</f>
        <v>0</v>
      </c>
      <c r="AO1127" s="15"/>
      <c r="AP1127" s="55"/>
      <c r="AQ1127" s="55"/>
      <c r="AR1127" s="55"/>
      <c r="AS1127" s="67"/>
      <c r="AT1127" s="24">
        <f t="shared" ref="AT1127" si="735">SUM(AO1127:AS1127)</f>
        <v>0</v>
      </c>
      <c r="AU1127" s="15"/>
      <c r="AV1127" s="55"/>
      <c r="AW1127" s="55"/>
      <c r="AX1127" s="55"/>
      <c r="AY1127" s="67"/>
      <c r="AZ1127" s="24">
        <f t="shared" ref="AZ1127" si="736">SUM(AU1127:AY1127)</f>
        <v>0</v>
      </c>
      <c r="BA1127" s="24">
        <f t="shared" ref="BA1127" si="737">AH1127+AN1127+AT1127+AZ1127</f>
        <v>0</v>
      </c>
      <c r="BB1127" s="128" t="s">
        <v>576</v>
      </c>
    </row>
    <row r="1128" spans="1:54" ht="15" thickBot="1" x14ac:dyDescent="0.2">
      <c r="A1128" s="9" t="s">
        <v>13</v>
      </c>
      <c r="B1128" s="25">
        <f>SUM(B1102:B1127)</f>
        <v>1</v>
      </c>
      <c r="C1128" s="26">
        <f>SUM(C1102:C1127)</f>
        <v>5</v>
      </c>
      <c r="D1128" s="26">
        <f>SUM(D1102:D1127)</f>
        <v>4</v>
      </c>
      <c r="E1128" s="26">
        <f>SUM(E1102:E1127)</f>
        <v>4</v>
      </c>
      <c r="F1128" s="27">
        <f>SUM(F1102:F1127)</f>
        <v>5</v>
      </c>
      <c r="G1128" s="19">
        <f>SUM(B1128:F1128)</f>
        <v>19</v>
      </c>
      <c r="H1128" s="25">
        <f>SUM(H1102:H1127)</f>
        <v>2</v>
      </c>
      <c r="I1128" s="26">
        <f>SUM(I1102:I1127)</f>
        <v>2</v>
      </c>
      <c r="J1128" s="26">
        <f>SUM(J1102:J1127)</f>
        <v>2</v>
      </c>
      <c r="K1128" s="26">
        <f>SUM(K1102:K1127)</f>
        <v>1</v>
      </c>
      <c r="L1128" s="27">
        <f>SUM(L1102:L1127)</f>
        <v>3</v>
      </c>
      <c r="M1128" s="25">
        <f>SUM(H1128:L1128)</f>
        <v>10</v>
      </c>
      <c r="N1128" s="65">
        <f>SUM(N1102:N1127)</f>
        <v>0</v>
      </c>
      <c r="O1128" s="18">
        <f>SUM(O1102:O1127)</f>
        <v>4</v>
      </c>
      <c r="P1128" s="18">
        <f>SUM(P1102:P1127)</f>
        <v>0</v>
      </c>
      <c r="Q1128" s="18">
        <f>SUM(Q1102:Q1127)</f>
        <v>1</v>
      </c>
      <c r="R1128" s="70">
        <f>SUM(R1102:R1127)</f>
        <v>2</v>
      </c>
      <c r="S1128" s="49">
        <f>SUM(N1128:R1128)</f>
        <v>7</v>
      </c>
      <c r="T1128" s="74">
        <f>SUM(T1102:T1127)</f>
        <v>0</v>
      </c>
      <c r="U1128" s="18">
        <f>SUM(U1102:U1127)</f>
        <v>1</v>
      </c>
      <c r="V1128" s="18">
        <f>SUM(V1102:V1127)</f>
        <v>0</v>
      </c>
      <c r="W1128" s="18">
        <f>SUM(W1102:W1127)</f>
        <v>0</v>
      </c>
      <c r="X1128" s="70">
        <f>SUM(X1102:X1127)</f>
        <v>5</v>
      </c>
      <c r="Y1128" s="49">
        <f>SUM(T1128:X1128)</f>
        <v>6</v>
      </c>
      <c r="Z1128" s="137">
        <f>G1128+M1128+S1128+Y1128</f>
        <v>42</v>
      </c>
      <c r="AB1128" s="9" t="s">
        <v>13</v>
      </c>
      <c r="AC1128" s="25">
        <f>SUM(AC1102:AC1127)</f>
        <v>0</v>
      </c>
      <c r="AD1128" s="26">
        <f>SUM(AD1102:AD1127)</f>
        <v>7</v>
      </c>
      <c r="AE1128" s="26">
        <f>SUM(AE1102:AE1127)</f>
        <v>11</v>
      </c>
      <c r="AF1128" s="26">
        <f>SUM(AF1102:AF1127)</f>
        <v>0</v>
      </c>
      <c r="AG1128" s="27">
        <f>SUM(AG1102:AG1127)</f>
        <v>3</v>
      </c>
      <c r="AH1128" s="19">
        <f t="shared" si="723"/>
        <v>21</v>
      </c>
      <c r="AI1128" s="25">
        <f>SUM(AI1102:AI1127)</f>
        <v>0</v>
      </c>
      <c r="AJ1128" s="26">
        <f>SUM(AJ1102:AJ1127)</f>
        <v>3</v>
      </c>
      <c r="AK1128" s="26">
        <f>SUM(AK1102:AK1127)</f>
        <v>3</v>
      </c>
      <c r="AL1128" s="26">
        <f>SUM(AL1102:AL1127)</f>
        <v>0</v>
      </c>
      <c r="AM1128" s="27">
        <f>SUM(AM1102:AM1127)</f>
        <v>3</v>
      </c>
      <c r="AN1128" s="25">
        <f t="shared" si="724"/>
        <v>9</v>
      </c>
      <c r="AO1128" s="65">
        <f>SUM(AO1102:AO1127)</f>
        <v>0</v>
      </c>
      <c r="AP1128" s="18">
        <f>SUM(AP1102:AP1127)</f>
        <v>3</v>
      </c>
      <c r="AQ1128" s="18">
        <f>SUM(AQ1102:AQ1127)</f>
        <v>0</v>
      </c>
      <c r="AR1128" s="18">
        <f>SUM(AR1102:AR1127)</f>
        <v>0</v>
      </c>
      <c r="AS1128" s="70">
        <f>SUM(AS1102:AS1127)</f>
        <v>3</v>
      </c>
      <c r="AT1128" s="49">
        <f t="shared" si="725"/>
        <v>6</v>
      </c>
      <c r="AU1128" s="74">
        <f>SUM(AU1102:AU1127)</f>
        <v>0</v>
      </c>
      <c r="AV1128" s="18">
        <f>SUM(AV1102:AV1127)</f>
        <v>0</v>
      </c>
      <c r="AW1128" s="18">
        <f>SUM(AW1102:AW1127)</f>
        <v>4</v>
      </c>
      <c r="AX1128" s="18">
        <f>SUM(AX1102:AX1127)</f>
        <v>0</v>
      </c>
      <c r="AY1128" s="70">
        <f>SUM(AY1102:AY1127)</f>
        <v>0</v>
      </c>
      <c r="AZ1128" s="49">
        <f t="shared" si="726"/>
        <v>4</v>
      </c>
      <c r="BA1128" s="77">
        <f t="shared" si="722"/>
        <v>40</v>
      </c>
    </row>
    <row r="1129" spans="1:54" ht="15" thickBot="1" x14ac:dyDescent="0.2">
      <c r="A1129" s="32" t="s">
        <v>14</v>
      </c>
      <c r="B1129" s="29">
        <f t="shared" ref="B1129:Y1129" si="738">B1101-B1128</f>
        <v>4</v>
      </c>
      <c r="C1129" s="30">
        <f t="shared" si="738"/>
        <v>4</v>
      </c>
      <c r="D1129" s="30">
        <f t="shared" si="738"/>
        <v>6</v>
      </c>
      <c r="E1129" s="30">
        <f t="shared" si="738"/>
        <v>2</v>
      </c>
      <c r="F1129" s="31">
        <f t="shared" si="738"/>
        <v>4</v>
      </c>
      <c r="G1129" s="31">
        <f t="shared" si="738"/>
        <v>20</v>
      </c>
      <c r="H1129" s="29">
        <f t="shared" si="738"/>
        <v>4</v>
      </c>
      <c r="I1129" s="30">
        <f t="shared" si="738"/>
        <v>5</v>
      </c>
      <c r="J1129" s="30">
        <f t="shared" si="738"/>
        <v>5</v>
      </c>
      <c r="K1129" s="30">
        <f t="shared" si="738"/>
        <v>4</v>
      </c>
      <c r="L1129" s="31">
        <f t="shared" si="738"/>
        <v>5</v>
      </c>
      <c r="M1129" s="66">
        <f t="shared" si="738"/>
        <v>23</v>
      </c>
      <c r="N1129" s="29">
        <f t="shared" si="738"/>
        <v>5</v>
      </c>
      <c r="O1129" s="30">
        <f t="shared" si="738"/>
        <v>5</v>
      </c>
      <c r="P1129" s="30">
        <f t="shared" si="738"/>
        <v>5</v>
      </c>
      <c r="Q1129" s="30">
        <f t="shared" si="738"/>
        <v>4</v>
      </c>
      <c r="R1129" s="66">
        <f t="shared" si="738"/>
        <v>5</v>
      </c>
      <c r="S1129" s="33">
        <f t="shared" si="738"/>
        <v>24</v>
      </c>
      <c r="T1129" s="75">
        <f t="shared" si="738"/>
        <v>6</v>
      </c>
      <c r="U1129" s="30">
        <f t="shared" si="738"/>
        <v>5</v>
      </c>
      <c r="V1129" s="30">
        <f t="shared" si="738"/>
        <v>6</v>
      </c>
      <c r="W1129" s="30">
        <f t="shared" si="738"/>
        <v>4</v>
      </c>
      <c r="X1129" s="66">
        <f t="shared" si="738"/>
        <v>2</v>
      </c>
      <c r="Y1129" s="33">
        <f t="shared" si="738"/>
        <v>23</v>
      </c>
      <c r="Z1129" s="77">
        <f>G1129+M1129+S1129+Y1129</f>
        <v>90</v>
      </c>
      <c r="AB1129" s="32" t="s">
        <v>14</v>
      </c>
      <c r="AC1129" s="29">
        <f t="shared" ref="AC1129:AZ1129" si="739">AC1101-AC1128</f>
        <v>89</v>
      </c>
      <c r="AD1129" s="30">
        <f t="shared" si="739"/>
        <v>107</v>
      </c>
      <c r="AE1129" s="30">
        <f t="shared" si="739"/>
        <v>117</v>
      </c>
      <c r="AF1129" s="30">
        <f t="shared" si="739"/>
        <v>95</v>
      </c>
      <c r="AG1129" s="31">
        <f t="shared" si="739"/>
        <v>73</v>
      </c>
      <c r="AH1129" s="31">
        <f t="shared" si="739"/>
        <v>481</v>
      </c>
      <c r="AI1129" s="29">
        <f t="shared" si="739"/>
        <v>80</v>
      </c>
      <c r="AJ1129" s="30">
        <f t="shared" si="739"/>
        <v>90</v>
      </c>
      <c r="AK1129" s="30">
        <f t="shared" si="739"/>
        <v>102</v>
      </c>
      <c r="AL1129" s="30">
        <f t="shared" si="739"/>
        <v>84</v>
      </c>
      <c r="AM1129" s="31">
        <f t="shared" si="739"/>
        <v>95</v>
      </c>
      <c r="AN1129" s="66">
        <f t="shared" si="739"/>
        <v>451</v>
      </c>
      <c r="AO1129" s="29">
        <f t="shared" si="739"/>
        <v>156</v>
      </c>
      <c r="AP1129" s="30">
        <f t="shared" si="739"/>
        <v>122</v>
      </c>
      <c r="AQ1129" s="30">
        <f t="shared" si="739"/>
        <v>126</v>
      </c>
      <c r="AR1129" s="30">
        <f t="shared" si="739"/>
        <v>134</v>
      </c>
      <c r="AS1129" s="66">
        <f t="shared" si="739"/>
        <v>146</v>
      </c>
      <c r="AT1129" s="33">
        <f t="shared" si="739"/>
        <v>684</v>
      </c>
      <c r="AU1129" s="75">
        <f t="shared" si="739"/>
        <v>115</v>
      </c>
      <c r="AV1129" s="30">
        <f t="shared" si="739"/>
        <v>68</v>
      </c>
      <c r="AW1129" s="30">
        <f t="shared" si="739"/>
        <v>54</v>
      </c>
      <c r="AX1129" s="30">
        <f t="shared" si="739"/>
        <v>54</v>
      </c>
      <c r="AY1129" s="66">
        <f t="shared" si="739"/>
        <v>95</v>
      </c>
      <c r="AZ1129" s="33">
        <f t="shared" si="739"/>
        <v>386</v>
      </c>
      <c r="BA1129" s="77">
        <f t="shared" si="722"/>
        <v>2002</v>
      </c>
    </row>
    <row r="1132" spans="1:54" ht="19.5" thickBot="1" x14ac:dyDescent="0.25">
      <c r="A1132" s="1" t="s">
        <v>15</v>
      </c>
      <c r="AB1132" s="1" t="s">
        <v>16</v>
      </c>
    </row>
    <row r="1133" spans="1:54" ht="15" thickBot="1" x14ac:dyDescent="0.2">
      <c r="A1133" s="4"/>
      <c r="B1133" s="245" t="s">
        <v>17</v>
      </c>
      <c r="C1133" s="246"/>
      <c r="D1133" s="246"/>
      <c r="E1133" s="246"/>
      <c r="F1133" s="246"/>
      <c r="G1133" s="247"/>
      <c r="H1133" s="245" t="s">
        <v>18</v>
      </c>
      <c r="I1133" s="246"/>
      <c r="J1133" s="246"/>
      <c r="K1133" s="246"/>
      <c r="L1133" s="246"/>
      <c r="M1133" s="247"/>
      <c r="N1133" s="248" t="s">
        <v>27</v>
      </c>
      <c r="O1133" s="249"/>
      <c r="P1133" s="249"/>
      <c r="Q1133" s="249"/>
      <c r="R1133" s="249"/>
      <c r="S1133" s="250"/>
      <c r="T1133" s="248" t="s">
        <v>28</v>
      </c>
      <c r="U1133" s="249"/>
      <c r="V1133" s="249"/>
      <c r="W1133" s="249"/>
      <c r="X1133" s="249"/>
      <c r="Y1133" s="250"/>
      <c r="Z1133" s="251" t="s">
        <v>1</v>
      </c>
      <c r="AB1133" s="4"/>
      <c r="AC1133" s="253" t="s">
        <v>17</v>
      </c>
      <c r="AD1133" s="249"/>
      <c r="AE1133" s="249"/>
      <c r="AF1133" s="249"/>
      <c r="AG1133" s="249"/>
      <c r="AH1133" s="250"/>
      <c r="AI1133" s="248" t="s">
        <v>18</v>
      </c>
      <c r="AJ1133" s="249"/>
      <c r="AK1133" s="249"/>
      <c r="AL1133" s="249"/>
      <c r="AM1133" s="249"/>
      <c r="AN1133" s="250"/>
      <c r="AO1133" s="248" t="s">
        <v>27</v>
      </c>
      <c r="AP1133" s="249"/>
      <c r="AQ1133" s="249"/>
      <c r="AR1133" s="249"/>
      <c r="AS1133" s="249"/>
      <c r="AT1133" s="250"/>
      <c r="AU1133" s="248" t="s">
        <v>28</v>
      </c>
      <c r="AV1133" s="249"/>
      <c r="AW1133" s="249"/>
      <c r="AX1133" s="249"/>
      <c r="AY1133" s="249"/>
      <c r="AZ1133" s="250"/>
      <c r="BA1133" s="243" t="s">
        <v>1</v>
      </c>
    </row>
    <row r="1134" spans="1:54" ht="15" thickBot="1" x14ac:dyDescent="0.2">
      <c r="A1134" s="9" t="s">
        <v>2</v>
      </c>
      <c r="B1134" s="6" t="s">
        <v>3</v>
      </c>
      <c r="C1134" s="7" t="s">
        <v>4</v>
      </c>
      <c r="D1134" s="7" t="s">
        <v>5</v>
      </c>
      <c r="E1134" s="48" t="s">
        <v>20</v>
      </c>
      <c r="F1134" s="8" t="s">
        <v>21</v>
      </c>
      <c r="G1134" s="5" t="s">
        <v>6</v>
      </c>
      <c r="H1134" s="6" t="s">
        <v>3</v>
      </c>
      <c r="I1134" s="7" t="s">
        <v>4</v>
      </c>
      <c r="J1134" s="7" t="s">
        <v>5</v>
      </c>
      <c r="K1134" s="48" t="s">
        <v>20</v>
      </c>
      <c r="L1134" s="8" t="s">
        <v>21</v>
      </c>
      <c r="M1134" s="5" t="s">
        <v>6</v>
      </c>
      <c r="N1134" s="6" t="s">
        <v>3</v>
      </c>
      <c r="O1134" s="7" t="s">
        <v>4</v>
      </c>
      <c r="P1134" s="7" t="s">
        <v>5</v>
      </c>
      <c r="Q1134" s="48" t="s">
        <v>20</v>
      </c>
      <c r="R1134" s="8" t="s">
        <v>21</v>
      </c>
      <c r="S1134" s="5" t="s">
        <v>6</v>
      </c>
      <c r="T1134" s="7" t="s">
        <v>3</v>
      </c>
      <c r="U1134" s="7" t="s">
        <v>4</v>
      </c>
      <c r="V1134" s="7" t="s">
        <v>5</v>
      </c>
      <c r="W1134" s="48" t="s">
        <v>20</v>
      </c>
      <c r="X1134" s="109" t="s">
        <v>21</v>
      </c>
      <c r="Y1134" s="62" t="s">
        <v>6</v>
      </c>
      <c r="Z1134" s="252"/>
      <c r="AB1134" s="9" t="s">
        <v>2</v>
      </c>
      <c r="AC1134" s="6" t="s">
        <v>3</v>
      </c>
      <c r="AD1134" s="7" t="s">
        <v>4</v>
      </c>
      <c r="AE1134" s="7" t="s">
        <v>5</v>
      </c>
      <c r="AF1134" s="48" t="s">
        <v>20</v>
      </c>
      <c r="AG1134" s="8" t="s">
        <v>21</v>
      </c>
      <c r="AH1134" s="5" t="s">
        <v>6</v>
      </c>
      <c r="AI1134" s="6" t="s">
        <v>3</v>
      </c>
      <c r="AJ1134" s="7" t="s">
        <v>4</v>
      </c>
      <c r="AK1134" s="7" t="s">
        <v>5</v>
      </c>
      <c r="AL1134" s="48" t="s">
        <v>20</v>
      </c>
      <c r="AM1134" s="8" t="s">
        <v>21</v>
      </c>
      <c r="AN1134" s="5" t="s">
        <v>6</v>
      </c>
      <c r="AO1134" s="6" t="s">
        <v>3</v>
      </c>
      <c r="AP1134" s="7" t="s">
        <v>4</v>
      </c>
      <c r="AQ1134" s="7" t="s">
        <v>5</v>
      </c>
      <c r="AR1134" s="48" t="s">
        <v>20</v>
      </c>
      <c r="AS1134" s="8" t="s">
        <v>21</v>
      </c>
      <c r="AT1134" s="5" t="s">
        <v>6</v>
      </c>
      <c r="AU1134" s="7" t="s">
        <v>3</v>
      </c>
      <c r="AV1134" s="7" t="s">
        <v>4</v>
      </c>
      <c r="AW1134" s="7" t="s">
        <v>5</v>
      </c>
      <c r="AX1134" s="48" t="s">
        <v>20</v>
      </c>
      <c r="AY1134" s="109" t="s">
        <v>21</v>
      </c>
      <c r="AZ1134" s="62" t="s">
        <v>6</v>
      </c>
      <c r="BA1134" s="244"/>
    </row>
    <row r="1135" spans="1:54" ht="14.25" x14ac:dyDescent="0.15">
      <c r="A1135" s="103" t="s">
        <v>43</v>
      </c>
      <c r="B1135" s="104">
        <f>B1129</f>
        <v>4</v>
      </c>
      <c r="C1135" s="105">
        <f>C1129</f>
        <v>4</v>
      </c>
      <c r="D1135" s="105">
        <f>D1129</f>
        <v>6</v>
      </c>
      <c r="E1135" s="105">
        <f>E1129</f>
        <v>2</v>
      </c>
      <c r="F1135" s="105">
        <f>F1129</f>
        <v>4</v>
      </c>
      <c r="G1135" s="106">
        <f t="shared" ref="G1135" si="740">SUM(B1135:F1135)</f>
        <v>20</v>
      </c>
      <c r="H1135" s="104">
        <f>H1129</f>
        <v>4</v>
      </c>
      <c r="I1135" s="105">
        <f>I1129</f>
        <v>5</v>
      </c>
      <c r="J1135" s="105">
        <f>J1129</f>
        <v>5</v>
      </c>
      <c r="K1135" s="105">
        <f>K1129</f>
        <v>4</v>
      </c>
      <c r="L1135" s="105">
        <f>L1129</f>
        <v>5</v>
      </c>
      <c r="M1135" s="107">
        <f t="shared" ref="M1135:M1140" si="741">SUM(H1135:L1135)</f>
        <v>23</v>
      </c>
      <c r="N1135" s="104">
        <f>N1129</f>
        <v>5</v>
      </c>
      <c r="O1135" s="105">
        <f>O1129</f>
        <v>5</v>
      </c>
      <c r="P1135" s="105">
        <f>P1129</f>
        <v>5</v>
      </c>
      <c r="Q1135" s="105">
        <f>Q1129</f>
        <v>4</v>
      </c>
      <c r="R1135" s="105">
        <f>R1129</f>
        <v>5</v>
      </c>
      <c r="S1135" s="108">
        <f t="shared" ref="S1135:S1164" si="742">SUM(N1135:R1135)</f>
        <v>24</v>
      </c>
      <c r="T1135" s="104">
        <f>T1129</f>
        <v>6</v>
      </c>
      <c r="U1135" s="105">
        <f>U1129</f>
        <v>5</v>
      </c>
      <c r="V1135" s="105">
        <f>V1129</f>
        <v>6</v>
      </c>
      <c r="W1135" s="105">
        <f>W1129</f>
        <v>4</v>
      </c>
      <c r="X1135" s="105">
        <f>X1129</f>
        <v>2</v>
      </c>
      <c r="Y1135" s="106">
        <f t="shared" ref="Y1135:Y1164" si="743">SUM(T1135:X1135)</f>
        <v>23</v>
      </c>
      <c r="Z1135" s="106">
        <f t="shared" ref="Z1135:Z1164" si="744">G1135+M1135+S1135+Y1135</f>
        <v>90</v>
      </c>
      <c r="AB1135" s="103" t="s">
        <v>43</v>
      </c>
      <c r="AC1135" s="104">
        <f>AC1129</f>
        <v>89</v>
      </c>
      <c r="AD1135" s="105">
        <f>AD1129</f>
        <v>107</v>
      </c>
      <c r="AE1135" s="105">
        <f>AE1129</f>
        <v>117</v>
      </c>
      <c r="AF1135" s="105">
        <f>AF1129</f>
        <v>95</v>
      </c>
      <c r="AG1135" s="105">
        <f>AG1129</f>
        <v>73</v>
      </c>
      <c r="AH1135" s="106">
        <f>SUM(AC1135:AG1135)</f>
        <v>481</v>
      </c>
      <c r="AI1135" s="104">
        <f>AI1129</f>
        <v>80</v>
      </c>
      <c r="AJ1135" s="105">
        <f>AJ1129</f>
        <v>90</v>
      </c>
      <c r="AK1135" s="105">
        <f>AK1129</f>
        <v>102</v>
      </c>
      <c r="AL1135" s="105">
        <f>AL1129</f>
        <v>84</v>
      </c>
      <c r="AM1135" s="105">
        <f>AM1129</f>
        <v>95</v>
      </c>
      <c r="AN1135" s="107">
        <f>SUM(AI1135:AM1135)</f>
        <v>451</v>
      </c>
      <c r="AO1135" s="104">
        <f>AO1129</f>
        <v>156</v>
      </c>
      <c r="AP1135" s="105">
        <f>AP1129</f>
        <v>122</v>
      </c>
      <c r="AQ1135" s="105">
        <f>AQ1129</f>
        <v>126</v>
      </c>
      <c r="AR1135" s="105">
        <f>AR1129</f>
        <v>134</v>
      </c>
      <c r="AS1135" s="105">
        <f>AS1129</f>
        <v>146</v>
      </c>
      <c r="AT1135" s="108">
        <f>SUM(AO1135:AS1135)</f>
        <v>684</v>
      </c>
      <c r="AU1135" s="104">
        <f>AU1129</f>
        <v>115</v>
      </c>
      <c r="AV1135" s="105">
        <f>AV1129</f>
        <v>68</v>
      </c>
      <c r="AW1135" s="105">
        <f>AW1129</f>
        <v>54</v>
      </c>
      <c r="AX1135" s="105">
        <f>AX1129</f>
        <v>54</v>
      </c>
      <c r="AY1135" s="105">
        <f>AY1129</f>
        <v>95</v>
      </c>
      <c r="AZ1135" s="106">
        <f>SUM(AU1135:AY1135)</f>
        <v>386</v>
      </c>
      <c r="BA1135" s="106">
        <f>AH1135+AN1135+AT1135+AZ1135</f>
        <v>2002</v>
      </c>
    </row>
    <row r="1136" spans="1:54" ht="14.25" x14ac:dyDescent="0.15">
      <c r="A1136" s="10" t="s">
        <v>181</v>
      </c>
      <c r="B1136" s="14"/>
      <c r="C1136" s="15"/>
      <c r="D1136" s="15"/>
      <c r="E1136" s="15">
        <v>3</v>
      </c>
      <c r="F1136" s="15"/>
      <c r="G1136" s="16">
        <f t="shared" ref="G1136:G1137" si="745">SUM(B1136:F1136)</f>
        <v>3</v>
      </c>
      <c r="H1136" s="14"/>
      <c r="I1136" s="15"/>
      <c r="J1136" s="15"/>
      <c r="K1136" s="15"/>
      <c r="L1136" s="15"/>
      <c r="M1136" s="57">
        <f t="shared" ref="M1136:M1137" si="746">SUM(H1136:L1136)</f>
        <v>0</v>
      </c>
      <c r="N1136" s="14"/>
      <c r="O1136" s="55"/>
      <c r="P1136" s="55"/>
      <c r="Q1136" s="55"/>
      <c r="R1136" s="67"/>
      <c r="S1136" s="24">
        <f t="shared" ref="S1136:S1137" si="747">SUM(N1136:R1136)</f>
        <v>0</v>
      </c>
      <c r="T1136" s="15"/>
      <c r="U1136" s="55"/>
      <c r="V1136" s="55"/>
      <c r="W1136" s="55"/>
      <c r="X1136" s="67">
        <v>3</v>
      </c>
      <c r="Y1136" s="24">
        <f t="shared" ref="Y1136:Y1137" si="748">SUM(T1136:X1136)</f>
        <v>3</v>
      </c>
      <c r="Z1136" s="24">
        <f t="shared" ref="Z1136:Z1137" si="749">G1136+M1136+S1136+Y1136</f>
        <v>6</v>
      </c>
      <c r="AA1136" s="83">
        <v>45008</v>
      </c>
      <c r="AB1136" s="10" t="s">
        <v>181</v>
      </c>
      <c r="AC1136" s="14"/>
      <c r="AD1136" s="15"/>
      <c r="AE1136" s="15"/>
      <c r="AF1136" s="15"/>
      <c r="AG1136" s="15"/>
      <c r="AH1136" s="43">
        <f t="shared" ref="AH1136" si="750">SUM(AC1136:AG1136)</f>
        <v>0</v>
      </c>
      <c r="AI1136" s="14"/>
      <c r="AJ1136" s="15"/>
      <c r="AK1136" s="15"/>
      <c r="AL1136" s="15"/>
      <c r="AM1136" s="15"/>
      <c r="AN1136" s="43">
        <f t="shared" ref="AN1136" si="751">SUM(AI1136:AM1136)</f>
        <v>0</v>
      </c>
      <c r="AO1136" s="14"/>
      <c r="AP1136" s="55"/>
      <c r="AQ1136" s="55"/>
      <c r="AR1136" s="55"/>
      <c r="AS1136" s="67"/>
      <c r="AT1136" s="24">
        <f t="shared" ref="AT1136" si="752">SUM(AO1136:AS1136)</f>
        <v>0</v>
      </c>
      <c r="AU1136" s="15"/>
      <c r="AV1136" s="55"/>
      <c r="AW1136" s="55"/>
      <c r="AX1136" s="55"/>
      <c r="AY1136" s="67"/>
      <c r="AZ1136" s="24">
        <f t="shared" ref="AZ1136" si="753">SUM(AU1136:AY1136)</f>
        <v>0</v>
      </c>
      <c r="BA1136" s="24">
        <f t="shared" ref="BA1136" si="754">AH1136+AN1136+AT1136+AZ1136</f>
        <v>0</v>
      </c>
      <c r="BB1136" s="128"/>
    </row>
    <row r="1137" spans="1:54" ht="14.25" x14ac:dyDescent="0.15">
      <c r="A1137" s="10" t="s">
        <v>77</v>
      </c>
      <c r="B1137" s="14"/>
      <c r="C1137" s="15">
        <v>1</v>
      </c>
      <c r="D1137" s="15">
        <v>1</v>
      </c>
      <c r="E1137" s="15"/>
      <c r="F1137" s="15"/>
      <c r="G1137" s="16">
        <f t="shared" si="745"/>
        <v>2</v>
      </c>
      <c r="H1137" s="14"/>
      <c r="I1137" s="15"/>
      <c r="J1137" s="15"/>
      <c r="K1137" s="15"/>
      <c r="L1137" s="15"/>
      <c r="M1137" s="57">
        <f t="shared" si="746"/>
        <v>0</v>
      </c>
      <c r="N1137" s="14"/>
      <c r="O1137" s="55"/>
      <c r="P1137" s="55"/>
      <c r="Q1137" s="55"/>
      <c r="R1137" s="67"/>
      <c r="S1137" s="24">
        <f t="shared" si="747"/>
        <v>0</v>
      </c>
      <c r="T1137" s="15"/>
      <c r="U1137" s="55"/>
      <c r="V1137" s="55"/>
      <c r="W1137" s="55"/>
      <c r="X1137" s="67"/>
      <c r="Y1137" s="24">
        <f t="shared" si="748"/>
        <v>0</v>
      </c>
      <c r="Z1137" s="24">
        <f t="shared" si="749"/>
        <v>2</v>
      </c>
      <c r="AA1137" s="83">
        <v>45012</v>
      </c>
      <c r="AB1137" s="10" t="s">
        <v>181</v>
      </c>
      <c r="AC1137" s="14"/>
      <c r="AD1137" s="15"/>
      <c r="AE1137" s="15"/>
      <c r="AF1137" s="15"/>
      <c r="AG1137" s="15"/>
      <c r="AH1137" s="43">
        <f t="shared" ref="AH1137:AH1150" si="755">SUM(AC1137:AG1137)</f>
        <v>0</v>
      </c>
      <c r="AI1137" s="14"/>
      <c r="AJ1137" s="15"/>
      <c r="AK1137" s="15"/>
      <c r="AL1137" s="15"/>
      <c r="AM1137" s="15"/>
      <c r="AN1137" s="43">
        <f t="shared" ref="AN1137:AN1150" si="756">SUM(AI1137:AM1137)</f>
        <v>0</v>
      </c>
      <c r="AO1137" s="14"/>
      <c r="AP1137" s="55"/>
      <c r="AQ1137" s="55"/>
      <c r="AR1137" s="55"/>
      <c r="AS1137" s="67"/>
      <c r="AT1137" s="24">
        <f t="shared" ref="AT1137:AT1150" si="757">SUM(AO1137:AS1137)</f>
        <v>0</v>
      </c>
      <c r="AU1137" s="15"/>
      <c r="AV1137" s="55"/>
      <c r="AW1137" s="55"/>
      <c r="AX1137" s="55"/>
      <c r="AY1137" s="67"/>
      <c r="AZ1137" s="24">
        <f t="shared" ref="AZ1137:AZ1150" si="758">SUM(AU1137:AY1137)</f>
        <v>0</v>
      </c>
      <c r="BA1137" s="24">
        <f t="shared" ref="BA1137:BA1150" si="759">AH1137+AN1137+AT1137+AZ1137</f>
        <v>0</v>
      </c>
      <c r="BB1137" s="128"/>
    </row>
    <row r="1138" spans="1:54" ht="14.25" x14ac:dyDescent="0.15">
      <c r="A1138" s="10" t="s">
        <v>181</v>
      </c>
      <c r="B1138" s="14"/>
      <c r="C1138" s="15">
        <v>3</v>
      </c>
      <c r="D1138" s="15">
        <v>3</v>
      </c>
      <c r="E1138" s="15">
        <v>5</v>
      </c>
      <c r="F1138" s="15">
        <v>3</v>
      </c>
      <c r="G1138" s="16">
        <f t="shared" ref="G1138" si="760">SUM(B1138:F1138)</f>
        <v>14</v>
      </c>
      <c r="H1138" s="14"/>
      <c r="I1138" s="15"/>
      <c r="J1138" s="15"/>
      <c r="K1138" s="15"/>
      <c r="L1138" s="15"/>
      <c r="M1138" s="57">
        <f t="shared" si="741"/>
        <v>0</v>
      </c>
      <c r="N1138" s="14"/>
      <c r="O1138" s="55"/>
      <c r="P1138" s="55"/>
      <c r="Q1138" s="55"/>
      <c r="R1138" s="67"/>
      <c r="S1138" s="24">
        <f t="shared" si="742"/>
        <v>0</v>
      </c>
      <c r="T1138" s="15"/>
      <c r="U1138" s="55"/>
      <c r="V1138" s="55"/>
      <c r="W1138" s="55"/>
      <c r="X1138" s="67"/>
      <c r="Y1138" s="24">
        <f t="shared" si="743"/>
        <v>0</v>
      </c>
      <c r="Z1138" s="24">
        <f t="shared" si="744"/>
        <v>14</v>
      </c>
      <c r="AA1138" s="83">
        <v>45030</v>
      </c>
      <c r="AB1138" s="10" t="s">
        <v>181</v>
      </c>
      <c r="AC1138" s="14"/>
      <c r="AD1138" s="15"/>
      <c r="AE1138" s="15"/>
      <c r="AF1138" s="15"/>
      <c r="AG1138" s="15"/>
      <c r="AH1138" s="43">
        <f t="shared" si="755"/>
        <v>0</v>
      </c>
      <c r="AI1138" s="14"/>
      <c r="AJ1138" s="15"/>
      <c r="AK1138" s="15"/>
      <c r="AL1138" s="15"/>
      <c r="AM1138" s="15"/>
      <c r="AN1138" s="43">
        <f t="shared" si="756"/>
        <v>0</v>
      </c>
      <c r="AO1138" s="14"/>
      <c r="AP1138" s="55"/>
      <c r="AQ1138" s="55"/>
      <c r="AR1138" s="55"/>
      <c r="AS1138" s="67"/>
      <c r="AT1138" s="24">
        <f t="shared" si="757"/>
        <v>0</v>
      </c>
      <c r="AU1138" s="15"/>
      <c r="AV1138" s="55"/>
      <c r="AW1138" s="55"/>
      <c r="AX1138" s="55"/>
      <c r="AY1138" s="67"/>
      <c r="AZ1138" s="24">
        <f t="shared" si="758"/>
        <v>0</v>
      </c>
      <c r="BA1138" s="24">
        <f t="shared" si="759"/>
        <v>0</v>
      </c>
      <c r="BB1138" s="128"/>
    </row>
    <row r="1139" spans="1:54" ht="15" thickBot="1" x14ac:dyDescent="0.2">
      <c r="A1139" s="10" t="s">
        <v>77</v>
      </c>
      <c r="B1139" s="14"/>
      <c r="C1139" s="15"/>
      <c r="D1139" s="15">
        <v>1</v>
      </c>
      <c r="E1139" s="15"/>
      <c r="F1139" s="15"/>
      <c r="G1139" s="16">
        <f t="shared" ref="G1139:G1166" si="761">SUM(B1139:F1139)</f>
        <v>1</v>
      </c>
      <c r="H1139" s="14"/>
      <c r="I1139" s="15"/>
      <c r="J1139" s="15"/>
      <c r="K1139" s="15"/>
      <c r="L1139" s="15"/>
      <c r="M1139" s="57">
        <f t="shared" si="741"/>
        <v>0</v>
      </c>
      <c r="N1139" s="198"/>
      <c r="O1139" s="199"/>
      <c r="P1139" s="199"/>
      <c r="Q1139" s="199"/>
      <c r="R1139" s="200"/>
      <c r="S1139" s="178">
        <f t="shared" si="742"/>
        <v>0</v>
      </c>
      <c r="T1139" s="201"/>
      <c r="U1139" s="199"/>
      <c r="V1139" s="199"/>
      <c r="W1139" s="199"/>
      <c r="X1139" s="200"/>
      <c r="Y1139" s="178">
        <f t="shared" si="743"/>
        <v>0</v>
      </c>
      <c r="Z1139" s="178">
        <f t="shared" si="744"/>
        <v>1</v>
      </c>
      <c r="AA1139" s="83">
        <v>45030</v>
      </c>
      <c r="AB1139" s="10" t="s">
        <v>181</v>
      </c>
      <c r="AC1139" s="14"/>
      <c r="AD1139" s="15"/>
      <c r="AE1139" s="15"/>
      <c r="AF1139" s="15"/>
      <c r="AG1139" s="15"/>
      <c r="AH1139" s="43">
        <f t="shared" si="755"/>
        <v>0</v>
      </c>
      <c r="AI1139" s="14"/>
      <c r="AJ1139" s="15"/>
      <c r="AK1139" s="15"/>
      <c r="AL1139" s="15"/>
      <c r="AM1139" s="15"/>
      <c r="AN1139" s="43">
        <f t="shared" si="756"/>
        <v>0</v>
      </c>
      <c r="AO1139" s="14"/>
      <c r="AP1139" s="55"/>
      <c r="AQ1139" s="55"/>
      <c r="AR1139" s="55"/>
      <c r="AS1139" s="67"/>
      <c r="AT1139" s="24">
        <f t="shared" si="757"/>
        <v>0</v>
      </c>
      <c r="AU1139" s="15"/>
      <c r="AV1139" s="55"/>
      <c r="AW1139" s="55"/>
      <c r="AX1139" s="55"/>
      <c r="AY1139" s="67"/>
      <c r="AZ1139" s="24">
        <f t="shared" si="758"/>
        <v>0</v>
      </c>
      <c r="BA1139" s="24">
        <f t="shared" si="759"/>
        <v>0</v>
      </c>
      <c r="BB1139" s="128"/>
    </row>
    <row r="1140" spans="1:54" ht="15" thickBot="1" x14ac:dyDescent="0.2">
      <c r="A1140" s="4" t="s">
        <v>12</v>
      </c>
      <c r="B1140" s="17">
        <f>SUM(B1135:B1139)</f>
        <v>4</v>
      </c>
      <c r="C1140" s="18">
        <f>SUM(C1135:C1139)</f>
        <v>8</v>
      </c>
      <c r="D1140" s="18">
        <f>SUM(D1135:D1139)</f>
        <v>11</v>
      </c>
      <c r="E1140" s="18">
        <f>SUM(E1135:E1139)</f>
        <v>10</v>
      </c>
      <c r="F1140" s="18">
        <f>SUM(F1135:F1139)</f>
        <v>7</v>
      </c>
      <c r="G1140" s="148">
        <f t="shared" si="761"/>
        <v>40</v>
      </c>
      <c r="H1140" s="17">
        <f>SUM(H1135:H1139)</f>
        <v>4</v>
      </c>
      <c r="I1140" s="18">
        <f>SUM(I1135:I1139)</f>
        <v>5</v>
      </c>
      <c r="J1140" s="18">
        <f>SUM(J1135:J1139)</f>
        <v>5</v>
      </c>
      <c r="K1140" s="18">
        <f>SUM(K1135:K1139)</f>
        <v>4</v>
      </c>
      <c r="L1140" s="18">
        <f>SUM(L1135:L1139)</f>
        <v>5</v>
      </c>
      <c r="M1140" s="17">
        <f t="shared" si="741"/>
        <v>23</v>
      </c>
      <c r="N1140" s="65">
        <f>SUM(N1135:N1139)</f>
        <v>5</v>
      </c>
      <c r="O1140" s="18">
        <f>SUM(O1135:O1139)</f>
        <v>5</v>
      </c>
      <c r="P1140" s="18">
        <f>SUM(P1135:P1139)</f>
        <v>5</v>
      </c>
      <c r="Q1140" s="18">
        <f>SUM(Q1135:Q1139)</f>
        <v>4</v>
      </c>
      <c r="R1140" s="70">
        <f>SUM(R1135:R1139)</f>
        <v>5</v>
      </c>
      <c r="S1140" s="49">
        <f t="shared" si="742"/>
        <v>24</v>
      </c>
      <c r="T1140" s="74">
        <f>SUM(T1135:T1139)</f>
        <v>6</v>
      </c>
      <c r="U1140" s="18">
        <f>SUM(U1135:U1139)</f>
        <v>5</v>
      </c>
      <c r="V1140" s="18">
        <f>SUM(V1135:V1139)</f>
        <v>6</v>
      </c>
      <c r="W1140" s="18">
        <f>SUM(W1135:W1139)</f>
        <v>4</v>
      </c>
      <c r="X1140" s="70">
        <f>SUM(X1135:X1139)</f>
        <v>5</v>
      </c>
      <c r="Y1140" s="49">
        <f t="shared" si="743"/>
        <v>26</v>
      </c>
      <c r="Z1140" s="33">
        <f t="shared" si="744"/>
        <v>113</v>
      </c>
      <c r="AB1140" s="4" t="s">
        <v>12</v>
      </c>
      <c r="AC1140" s="17">
        <f>SUM(AC1135:AC1139)</f>
        <v>89</v>
      </c>
      <c r="AD1140" s="18">
        <f>SUM(AD1135:AD1139)</f>
        <v>107</v>
      </c>
      <c r="AE1140" s="18">
        <f>SUM(AE1135:AE1139)</f>
        <v>117</v>
      </c>
      <c r="AF1140" s="18">
        <f>SUM(AF1135:AF1139)</f>
        <v>95</v>
      </c>
      <c r="AG1140" s="18">
        <f>SUM(AG1135:AG1139)</f>
        <v>73</v>
      </c>
      <c r="AH1140" s="148">
        <f t="shared" si="755"/>
        <v>481</v>
      </c>
      <c r="AI1140" s="17">
        <f>SUM(AI1135:AI1139)</f>
        <v>80</v>
      </c>
      <c r="AJ1140" s="18">
        <f>SUM(AJ1135:AJ1139)</f>
        <v>90</v>
      </c>
      <c r="AK1140" s="18">
        <f>SUM(AK1135:AK1139)</f>
        <v>102</v>
      </c>
      <c r="AL1140" s="18">
        <f>SUM(AL1135:AL1139)</f>
        <v>84</v>
      </c>
      <c r="AM1140" s="18">
        <f>SUM(AM1135:AM1139)</f>
        <v>95</v>
      </c>
      <c r="AN1140" s="148">
        <f t="shared" si="756"/>
        <v>451</v>
      </c>
      <c r="AO1140" s="65">
        <f>SUM(AO1135:AO1139)</f>
        <v>156</v>
      </c>
      <c r="AP1140" s="18">
        <f>SUM(AP1135:AP1139)</f>
        <v>122</v>
      </c>
      <c r="AQ1140" s="18">
        <f>SUM(AQ1135:AQ1139)</f>
        <v>126</v>
      </c>
      <c r="AR1140" s="18">
        <f>SUM(AR1135:AR1139)</f>
        <v>134</v>
      </c>
      <c r="AS1140" s="70">
        <f>SUM(AS1135:AS1139)</f>
        <v>146</v>
      </c>
      <c r="AT1140" s="49">
        <f t="shared" si="757"/>
        <v>684</v>
      </c>
      <c r="AU1140" s="74">
        <f>SUM(AU1135:AU1139)</f>
        <v>115</v>
      </c>
      <c r="AV1140" s="18">
        <f>SUM(AV1135:AV1139)</f>
        <v>68</v>
      </c>
      <c r="AW1140" s="18">
        <f>SUM(AW1135:AW1139)</f>
        <v>54</v>
      </c>
      <c r="AX1140" s="18">
        <f>SUM(AX1135:AX1139)</f>
        <v>54</v>
      </c>
      <c r="AY1140" s="70">
        <f>SUM(AY1135:AY1139)</f>
        <v>95</v>
      </c>
      <c r="AZ1140" s="49">
        <f t="shared" si="758"/>
        <v>386</v>
      </c>
      <c r="BA1140" s="33">
        <f t="shared" si="759"/>
        <v>2002</v>
      </c>
    </row>
    <row r="1141" spans="1:54" ht="14.25" x14ac:dyDescent="0.15">
      <c r="A1141" s="23" t="s">
        <v>48</v>
      </c>
      <c r="B1141" s="38"/>
      <c r="C1141" s="39"/>
      <c r="D1141" s="39"/>
      <c r="E1141" s="39"/>
      <c r="F1141" s="39"/>
      <c r="G1141" s="37">
        <f t="shared" si="761"/>
        <v>0</v>
      </c>
      <c r="H1141" s="38"/>
      <c r="I1141" s="39"/>
      <c r="J1141" s="39"/>
      <c r="K1141" s="39"/>
      <c r="L1141" s="39"/>
      <c r="M1141" s="37">
        <f t="shared" ref="M1141:M1166" si="762">SUM(H1141:L1141)</f>
        <v>0</v>
      </c>
      <c r="N1141" s="39"/>
      <c r="O1141" s="56"/>
      <c r="P1141" s="56"/>
      <c r="Q1141" s="56"/>
      <c r="R1141" s="71">
        <v>1</v>
      </c>
      <c r="S1141" s="16">
        <f t="shared" si="742"/>
        <v>1</v>
      </c>
      <c r="T1141" s="39"/>
      <c r="U1141" s="56"/>
      <c r="V1141" s="56"/>
      <c r="W1141" s="56"/>
      <c r="X1141" s="71"/>
      <c r="Y1141" s="16">
        <f t="shared" si="743"/>
        <v>0</v>
      </c>
      <c r="Z1141" s="16">
        <f t="shared" si="744"/>
        <v>1</v>
      </c>
      <c r="AA1141" s="93">
        <v>45001</v>
      </c>
      <c r="AB1141" s="23" t="s">
        <v>586</v>
      </c>
      <c r="AC1141" s="41"/>
      <c r="AD1141" s="42"/>
      <c r="AE1141" s="42"/>
      <c r="AF1141" s="42">
        <v>3</v>
      </c>
      <c r="AG1141" s="42"/>
      <c r="AH1141" s="43">
        <f t="shared" ref="AH1141:AH1144" si="763">SUM(AC1141:AG1141)</f>
        <v>3</v>
      </c>
      <c r="AI1141" s="41"/>
      <c r="AJ1141" s="42"/>
      <c r="AK1141" s="42"/>
      <c r="AL1141" s="42"/>
      <c r="AM1141" s="42"/>
      <c r="AN1141" s="43">
        <f t="shared" ref="AN1141:AN1143" si="764">SUM(AI1141:AM1141)</f>
        <v>0</v>
      </c>
      <c r="AO1141" s="42"/>
      <c r="AP1141" s="53"/>
      <c r="AQ1141" s="53"/>
      <c r="AR1141" s="53"/>
      <c r="AS1141" s="72"/>
      <c r="AT1141" s="24">
        <f t="shared" ref="AT1141:AT1143" si="765">SUM(AO1141:AS1141)</f>
        <v>0</v>
      </c>
      <c r="AU1141" s="42"/>
      <c r="AV1141" s="53"/>
      <c r="AW1141" s="53"/>
      <c r="AX1141" s="53"/>
      <c r="AY1141" s="72">
        <v>3</v>
      </c>
      <c r="AZ1141" s="24">
        <f t="shared" ref="AZ1141:AZ1143" si="766">SUM(AU1141:AY1141)</f>
        <v>3</v>
      </c>
      <c r="BA1141" s="24">
        <f t="shared" ref="BA1141:BA1144" si="767">AH1141+AN1141+AT1141+AZ1141</f>
        <v>6</v>
      </c>
      <c r="BB1141" s="83">
        <v>45008</v>
      </c>
    </row>
    <row r="1142" spans="1:54" ht="14.25" x14ac:dyDescent="0.15">
      <c r="A1142" s="23" t="s">
        <v>48</v>
      </c>
      <c r="B1142" s="41"/>
      <c r="C1142" s="42"/>
      <c r="D1142" s="42"/>
      <c r="E1142" s="42"/>
      <c r="F1142" s="42"/>
      <c r="G1142" s="43">
        <f t="shared" si="761"/>
        <v>0</v>
      </c>
      <c r="H1142" s="41"/>
      <c r="I1142" s="42"/>
      <c r="J1142" s="42"/>
      <c r="K1142" s="42"/>
      <c r="L1142" s="42"/>
      <c r="M1142" s="43">
        <f t="shared" si="762"/>
        <v>0</v>
      </c>
      <c r="N1142" s="42"/>
      <c r="O1142" s="53"/>
      <c r="P1142" s="53"/>
      <c r="Q1142" s="53">
        <v>1</v>
      </c>
      <c r="R1142" s="72"/>
      <c r="S1142" s="24">
        <f t="shared" si="742"/>
        <v>1</v>
      </c>
      <c r="T1142" s="42"/>
      <c r="U1142" s="53"/>
      <c r="V1142" s="53"/>
      <c r="W1142" s="53"/>
      <c r="X1142" s="72"/>
      <c r="Y1142" s="24">
        <f t="shared" si="743"/>
        <v>0</v>
      </c>
      <c r="Z1142" s="24">
        <f t="shared" si="744"/>
        <v>1</v>
      </c>
      <c r="AA1142" s="93">
        <v>45003</v>
      </c>
      <c r="AB1142" s="23" t="s">
        <v>591</v>
      </c>
      <c r="AC1142" s="41"/>
      <c r="AD1142" s="42"/>
      <c r="AE1142" s="42"/>
      <c r="AF1142" s="42"/>
      <c r="AG1142" s="42"/>
      <c r="AH1142" s="43">
        <f t="shared" si="763"/>
        <v>0</v>
      </c>
      <c r="AI1142" s="41"/>
      <c r="AJ1142" s="42"/>
      <c r="AK1142" s="42"/>
      <c r="AL1142" s="42"/>
      <c r="AM1142" s="42"/>
      <c r="AN1142" s="43">
        <f t="shared" si="764"/>
        <v>0</v>
      </c>
      <c r="AO1142" s="42"/>
      <c r="AP1142" s="53"/>
      <c r="AQ1142" s="53">
        <v>1</v>
      </c>
      <c r="AR1142" s="53"/>
      <c r="AS1142" s="72"/>
      <c r="AT1142" s="24">
        <f t="shared" si="765"/>
        <v>1</v>
      </c>
      <c r="AU1142" s="42"/>
      <c r="AV1142" s="53"/>
      <c r="AW1142" s="53"/>
      <c r="AX1142" s="53"/>
      <c r="AY1142" s="72"/>
      <c r="AZ1142" s="24">
        <f t="shared" si="766"/>
        <v>0</v>
      </c>
      <c r="BA1142" s="24">
        <f t="shared" si="767"/>
        <v>1</v>
      </c>
      <c r="BB1142" s="83">
        <v>45029</v>
      </c>
    </row>
    <row r="1143" spans="1:54" ht="14.25" x14ac:dyDescent="0.15">
      <c r="A1143" s="23" t="s">
        <v>438</v>
      </c>
      <c r="B1143" s="41"/>
      <c r="C1143" s="42">
        <v>1</v>
      </c>
      <c r="D1143" s="42"/>
      <c r="E1143" s="42"/>
      <c r="F1143" s="42">
        <v>1</v>
      </c>
      <c r="G1143" s="43">
        <f t="shared" si="761"/>
        <v>2</v>
      </c>
      <c r="H1143" s="41"/>
      <c r="I1143" s="42"/>
      <c r="J1143" s="42"/>
      <c r="K1143" s="42"/>
      <c r="L1143" s="42"/>
      <c r="M1143" s="43">
        <f t="shared" si="762"/>
        <v>0</v>
      </c>
      <c r="N1143" s="42"/>
      <c r="O1143" s="53"/>
      <c r="P1143" s="53"/>
      <c r="Q1143" s="53"/>
      <c r="R1143" s="72"/>
      <c r="S1143" s="24">
        <f t="shared" si="742"/>
        <v>0</v>
      </c>
      <c r="T1143" s="42"/>
      <c r="U1143" s="53"/>
      <c r="V1143" s="53"/>
      <c r="W1143" s="53"/>
      <c r="X1143" s="72"/>
      <c r="Y1143" s="24">
        <f t="shared" si="743"/>
        <v>0</v>
      </c>
      <c r="Z1143" s="24">
        <f t="shared" si="744"/>
        <v>2</v>
      </c>
      <c r="AA1143" s="83">
        <v>45007</v>
      </c>
      <c r="AB1143" s="23" t="s">
        <v>438</v>
      </c>
      <c r="AC1143" s="41">
        <v>1</v>
      </c>
      <c r="AD1143" s="42">
        <v>1</v>
      </c>
      <c r="AE1143" s="42"/>
      <c r="AF1143" s="42"/>
      <c r="AG1143" s="42"/>
      <c r="AH1143" s="43">
        <f t="shared" si="763"/>
        <v>2</v>
      </c>
      <c r="AI1143" s="41"/>
      <c r="AJ1143" s="42"/>
      <c r="AK1143" s="42"/>
      <c r="AL1143" s="42"/>
      <c r="AM1143" s="42"/>
      <c r="AN1143" s="43">
        <f t="shared" si="764"/>
        <v>0</v>
      </c>
      <c r="AO1143" s="42"/>
      <c r="AP1143" s="53">
        <v>1</v>
      </c>
      <c r="AQ1143" s="53"/>
      <c r="AR1143" s="53"/>
      <c r="AS1143" s="72"/>
      <c r="AT1143" s="24">
        <f t="shared" si="765"/>
        <v>1</v>
      </c>
      <c r="AU1143" s="42"/>
      <c r="AV1143" s="53"/>
      <c r="AW1143" s="53"/>
      <c r="AX1143" s="53"/>
      <c r="AY1143" s="72"/>
      <c r="AZ1143" s="24">
        <f t="shared" si="766"/>
        <v>0</v>
      </c>
      <c r="BA1143" s="24">
        <f t="shared" si="767"/>
        <v>3</v>
      </c>
      <c r="BB1143" s="83">
        <v>45030</v>
      </c>
    </row>
    <row r="1144" spans="1:54" ht="14.25" x14ac:dyDescent="0.15">
      <c r="A1144" s="23" t="s">
        <v>48</v>
      </c>
      <c r="B1144" s="41"/>
      <c r="C1144" s="42"/>
      <c r="D1144" s="42"/>
      <c r="E1144" s="42"/>
      <c r="F1144" s="42"/>
      <c r="G1144" s="43">
        <f t="shared" si="761"/>
        <v>0</v>
      </c>
      <c r="H1144" s="41"/>
      <c r="I1144" s="42"/>
      <c r="J1144" s="42"/>
      <c r="K1144" s="42"/>
      <c r="L1144" s="42"/>
      <c r="M1144" s="43">
        <f t="shared" si="762"/>
        <v>0</v>
      </c>
      <c r="N1144" s="42"/>
      <c r="O1144" s="53"/>
      <c r="P1144" s="53"/>
      <c r="Q1144" s="53"/>
      <c r="R1144" s="72"/>
      <c r="S1144" s="24">
        <f t="shared" si="742"/>
        <v>0</v>
      </c>
      <c r="T1144" s="42"/>
      <c r="U1144" s="53"/>
      <c r="V1144" s="53">
        <v>1</v>
      </c>
      <c r="W1144" s="53"/>
      <c r="X1144" s="72"/>
      <c r="Y1144" s="24">
        <f t="shared" si="743"/>
        <v>1</v>
      </c>
      <c r="Z1144" s="24">
        <f t="shared" si="744"/>
        <v>1</v>
      </c>
      <c r="AA1144" s="93">
        <v>45005</v>
      </c>
      <c r="AB1144" s="23" t="s">
        <v>126</v>
      </c>
      <c r="AC1144" s="41"/>
      <c r="AD1144" s="42">
        <v>3</v>
      </c>
      <c r="AE1144" s="42">
        <v>3</v>
      </c>
      <c r="AF1144" s="42">
        <v>5</v>
      </c>
      <c r="AG1144" s="42">
        <v>3</v>
      </c>
      <c r="AH1144" s="43">
        <f t="shared" si="763"/>
        <v>14</v>
      </c>
      <c r="AI1144" s="41"/>
      <c r="AJ1144" s="42"/>
      <c r="AK1144" s="42"/>
      <c r="AL1144" s="42"/>
      <c r="AM1144" s="42"/>
      <c r="AN1144" s="43">
        <f t="shared" ref="AN1144" si="768">SUM(AI1144:AM1144)</f>
        <v>0</v>
      </c>
      <c r="AO1144" s="42"/>
      <c r="AP1144" s="53"/>
      <c r="AQ1144" s="53"/>
      <c r="AR1144" s="53"/>
      <c r="AS1144" s="72"/>
      <c r="AT1144" s="24">
        <f t="shared" ref="AT1144" si="769">SUM(AO1144:AS1144)</f>
        <v>0</v>
      </c>
      <c r="AU1144" s="42"/>
      <c r="AV1144" s="53"/>
      <c r="AW1144" s="53"/>
      <c r="AX1144" s="53"/>
      <c r="AY1144" s="72"/>
      <c r="AZ1144" s="24">
        <f t="shared" ref="AZ1144" si="770">SUM(AU1144:AY1144)</f>
        <v>0</v>
      </c>
      <c r="BA1144" s="24">
        <f t="shared" si="767"/>
        <v>14</v>
      </c>
      <c r="BB1144" s="83">
        <v>45030</v>
      </c>
    </row>
    <row r="1145" spans="1:54" ht="14.25" x14ac:dyDescent="0.15">
      <c r="A1145" s="23" t="s">
        <v>438</v>
      </c>
      <c r="B1145" s="41"/>
      <c r="C1145" s="42"/>
      <c r="D1145" s="42"/>
      <c r="E1145" s="42"/>
      <c r="F1145" s="42"/>
      <c r="G1145" s="43">
        <f t="shared" si="761"/>
        <v>0</v>
      </c>
      <c r="H1145" s="41"/>
      <c r="I1145" s="42"/>
      <c r="J1145" s="42"/>
      <c r="K1145" s="42"/>
      <c r="L1145" s="42"/>
      <c r="M1145" s="43">
        <f t="shared" si="762"/>
        <v>0</v>
      </c>
      <c r="N1145" s="42"/>
      <c r="O1145" s="53"/>
      <c r="P1145" s="53"/>
      <c r="Q1145" s="53"/>
      <c r="R1145" s="72"/>
      <c r="S1145" s="24">
        <f t="shared" si="742"/>
        <v>0</v>
      </c>
      <c r="T1145" s="42"/>
      <c r="U1145" s="53"/>
      <c r="V1145" s="53"/>
      <c r="W1145" s="53"/>
      <c r="X1145" s="72">
        <v>1</v>
      </c>
      <c r="Y1145" s="24">
        <f t="shared" si="743"/>
        <v>1</v>
      </c>
      <c r="Z1145" s="24">
        <f t="shared" si="744"/>
        <v>1</v>
      </c>
      <c r="AA1145" s="83">
        <v>45008</v>
      </c>
      <c r="AB1145" s="23"/>
      <c r="AC1145" s="41"/>
      <c r="AD1145" s="42"/>
      <c r="AE1145" s="42"/>
      <c r="AF1145" s="42"/>
      <c r="AG1145" s="42"/>
      <c r="AH1145" s="43">
        <f t="shared" si="755"/>
        <v>0</v>
      </c>
      <c r="AI1145" s="41"/>
      <c r="AJ1145" s="42"/>
      <c r="AK1145" s="42"/>
      <c r="AL1145" s="42"/>
      <c r="AM1145" s="42"/>
      <c r="AN1145" s="43">
        <f t="shared" si="756"/>
        <v>0</v>
      </c>
      <c r="AO1145" s="42"/>
      <c r="AP1145" s="53"/>
      <c r="AQ1145" s="53"/>
      <c r="AR1145" s="53"/>
      <c r="AS1145" s="72"/>
      <c r="AT1145" s="24">
        <f t="shared" si="757"/>
        <v>0</v>
      </c>
      <c r="AU1145" s="42"/>
      <c r="AV1145" s="53"/>
      <c r="AW1145" s="53"/>
      <c r="AX1145" s="53"/>
      <c r="AY1145" s="72"/>
      <c r="AZ1145" s="24">
        <f t="shared" si="758"/>
        <v>0</v>
      </c>
      <c r="BA1145" s="24">
        <f t="shared" si="759"/>
        <v>0</v>
      </c>
      <c r="BB1145" s="128"/>
    </row>
    <row r="1146" spans="1:54" ht="14.25" x14ac:dyDescent="0.15">
      <c r="A1146" s="23" t="s">
        <v>48</v>
      </c>
      <c r="B1146" s="41"/>
      <c r="C1146" s="42"/>
      <c r="D1146" s="42">
        <v>1</v>
      </c>
      <c r="E1146" s="42"/>
      <c r="F1146" s="42"/>
      <c r="G1146" s="43">
        <f t="shared" si="761"/>
        <v>1</v>
      </c>
      <c r="H1146" s="41"/>
      <c r="I1146" s="42"/>
      <c r="J1146" s="42"/>
      <c r="K1146" s="42"/>
      <c r="L1146" s="42"/>
      <c r="M1146" s="43">
        <f t="shared" si="762"/>
        <v>0</v>
      </c>
      <c r="N1146" s="42"/>
      <c r="O1146" s="53"/>
      <c r="P1146" s="53"/>
      <c r="Q1146" s="53"/>
      <c r="R1146" s="72"/>
      <c r="S1146" s="24">
        <f t="shared" si="742"/>
        <v>0</v>
      </c>
      <c r="T1146" s="42"/>
      <c r="U1146" s="53"/>
      <c r="V1146" s="53"/>
      <c r="W1146" s="53"/>
      <c r="X1146" s="72"/>
      <c r="Y1146" s="24">
        <f t="shared" si="743"/>
        <v>0</v>
      </c>
      <c r="Z1146" s="24">
        <f t="shared" si="744"/>
        <v>1</v>
      </c>
      <c r="AA1146" s="83">
        <v>45008</v>
      </c>
      <c r="AB1146" s="23"/>
      <c r="AC1146" s="41"/>
      <c r="AD1146" s="42"/>
      <c r="AE1146" s="42"/>
      <c r="AF1146" s="42"/>
      <c r="AG1146" s="42"/>
      <c r="AH1146" s="43">
        <f t="shared" si="755"/>
        <v>0</v>
      </c>
      <c r="AI1146" s="41"/>
      <c r="AJ1146" s="42"/>
      <c r="AK1146" s="42"/>
      <c r="AL1146" s="42"/>
      <c r="AM1146" s="42"/>
      <c r="AN1146" s="43">
        <f t="shared" si="756"/>
        <v>0</v>
      </c>
      <c r="AO1146" s="42"/>
      <c r="AP1146" s="53"/>
      <c r="AQ1146" s="53"/>
      <c r="AR1146" s="53"/>
      <c r="AS1146" s="72"/>
      <c r="AT1146" s="24">
        <f t="shared" si="757"/>
        <v>0</v>
      </c>
      <c r="AU1146" s="42"/>
      <c r="AV1146" s="53"/>
      <c r="AW1146" s="53"/>
      <c r="AX1146" s="53"/>
      <c r="AY1146" s="72"/>
      <c r="AZ1146" s="24">
        <f t="shared" si="758"/>
        <v>0</v>
      </c>
      <c r="BA1146" s="24">
        <f t="shared" si="759"/>
        <v>0</v>
      </c>
      <c r="BB1146" s="128"/>
    </row>
    <row r="1147" spans="1:54" ht="14.25" x14ac:dyDescent="0.15">
      <c r="A1147" s="23" t="s">
        <v>438</v>
      </c>
      <c r="B1147" s="41"/>
      <c r="C1147" s="42"/>
      <c r="D1147" s="42"/>
      <c r="E1147" s="42">
        <v>1</v>
      </c>
      <c r="F1147" s="42"/>
      <c r="G1147" s="43">
        <f t="shared" si="761"/>
        <v>1</v>
      </c>
      <c r="H1147" s="41"/>
      <c r="I1147" s="42"/>
      <c r="J1147" s="42"/>
      <c r="K1147" s="42"/>
      <c r="L1147" s="42"/>
      <c r="M1147" s="43">
        <f t="shared" si="762"/>
        <v>0</v>
      </c>
      <c r="N1147" s="42"/>
      <c r="O1147" s="53"/>
      <c r="P1147" s="53"/>
      <c r="Q1147" s="53"/>
      <c r="R1147" s="72"/>
      <c r="S1147" s="24">
        <f t="shared" si="742"/>
        <v>0</v>
      </c>
      <c r="T1147" s="42"/>
      <c r="U1147" s="53"/>
      <c r="V1147" s="53"/>
      <c r="W1147" s="53"/>
      <c r="X1147" s="72"/>
      <c r="Y1147" s="24">
        <f t="shared" si="743"/>
        <v>0</v>
      </c>
      <c r="Z1147" s="24">
        <f t="shared" si="744"/>
        <v>1</v>
      </c>
      <c r="AA1147" s="83">
        <v>45012</v>
      </c>
      <c r="AB1147" s="23"/>
      <c r="AC1147" s="41"/>
      <c r="AD1147" s="42"/>
      <c r="AE1147" s="42"/>
      <c r="AF1147" s="42"/>
      <c r="AG1147" s="42"/>
      <c r="AH1147" s="43">
        <f t="shared" si="755"/>
        <v>0</v>
      </c>
      <c r="AI1147" s="41"/>
      <c r="AJ1147" s="42"/>
      <c r="AK1147" s="42"/>
      <c r="AL1147" s="42"/>
      <c r="AM1147" s="42"/>
      <c r="AN1147" s="43">
        <f t="shared" si="756"/>
        <v>0</v>
      </c>
      <c r="AO1147" s="42"/>
      <c r="AP1147" s="53"/>
      <c r="AQ1147" s="53"/>
      <c r="AR1147" s="53"/>
      <c r="AS1147" s="72"/>
      <c r="AT1147" s="24">
        <f t="shared" si="757"/>
        <v>0</v>
      </c>
      <c r="AU1147" s="42"/>
      <c r="AV1147" s="53"/>
      <c r="AW1147" s="53"/>
      <c r="AX1147" s="53"/>
      <c r="AY1147" s="72"/>
      <c r="AZ1147" s="24">
        <f t="shared" si="758"/>
        <v>0</v>
      </c>
      <c r="BA1147" s="24">
        <f t="shared" si="759"/>
        <v>0</v>
      </c>
      <c r="BB1147" s="128"/>
    </row>
    <row r="1148" spans="1:54" ht="14.25" x14ac:dyDescent="0.15">
      <c r="A1148" s="23" t="s">
        <v>48</v>
      </c>
      <c r="B1148" s="41"/>
      <c r="C1148" s="42">
        <v>1</v>
      </c>
      <c r="D1148" s="42"/>
      <c r="E1148" s="42"/>
      <c r="F1148" s="42"/>
      <c r="G1148" s="43">
        <f t="shared" si="761"/>
        <v>1</v>
      </c>
      <c r="H1148" s="41"/>
      <c r="I1148" s="42"/>
      <c r="J1148" s="42"/>
      <c r="K1148" s="42"/>
      <c r="L1148" s="42"/>
      <c r="M1148" s="43">
        <f t="shared" si="762"/>
        <v>0</v>
      </c>
      <c r="N1148" s="42"/>
      <c r="O1148" s="53"/>
      <c r="P1148" s="53"/>
      <c r="Q1148" s="53"/>
      <c r="R1148" s="72"/>
      <c r="S1148" s="24">
        <f t="shared" si="742"/>
        <v>0</v>
      </c>
      <c r="T1148" s="42"/>
      <c r="U1148" s="53"/>
      <c r="V1148" s="53"/>
      <c r="W1148" s="53"/>
      <c r="X1148" s="72"/>
      <c r="Y1148" s="24">
        <f t="shared" si="743"/>
        <v>0</v>
      </c>
      <c r="Z1148" s="24">
        <f t="shared" si="744"/>
        <v>1</v>
      </c>
      <c r="AA1148" s="83">
        <v>45009</v>
      </c>
      <c r="AB1148" s="23"/>
      <c r="AC1148" s="41"/>
      <c r="AD1148" s="42"/>
      <c r="AE1148" s="42"/>
      <c r="AF1148" s="42"/>
      <c r="AG1148" s="42"/>
      <c r="AH1148" s="43">
        <f t="shared" si="755"/>
        <v>0</v>
      </c>
      <c r="AI1148" s="41"/>
      <c r="AJ1148" s="42"/>
      <c r="AK1148" s="42"/>
      <c r="AL1148" s="42"/>
      <c r="AM1148" s="42"/>
      <c r="AN1148" s="43">
        <f t="shared" si="756"/>
        <v>0</v>
      </c>
      <c r="AO1148" s="42"/>
      <c r="AP1148" s="53"/>
      <c r="AQ1148" s="53"/>
      <c r="AR1148" s="53"/>
      <c r="AS1148" s="72"/>
      <c r="AT1148" s="24">
        <f t="shared" si="757"/>
        <v>0</v>
      </c>
      <c r="AU1148" s="42"/>
      <c r="AV1148" s="53"/>
      <c r="AW1148" s="53"/>
      <c r="AX1148" s="53"/>
      <c r="AY1148" s="72"/>
      <c r="AZ1148" s="24">
        <f t="shared" si="758"/>
        <v>0</v>
      </c>
      <c r="BA1148" s="24">
        <f t="shared" si="759"/>
        <v>0</v>
      </c>
      <c r="BB1148" s="128"/>
    </row>
    <row r="1149" spans="1:54" ht="14.25" x14ac:dyDescent="0.15">
      <c r="A1149" s="23" t="s">
        <v>438</v>
      </c>
      <c r="B1149" s="41"/>
      <c r="C1149" s="42"/>
      <c r="D1149" s="42"/>
      <c r="E1149" s="42"/>
      <c r="F1149" s="42"/>
      <c r="G1149" s="43">
        <f t="shared" si="761"/>
        <v>0</v>
      </c>
      <c r="H1149" s="41"/>
      <c r="I1149" s="42"/>
      <c r="J1149" s="42"/>
      <c r="K1149" s="42"/>
      <c r="L1149" s="42"/>
      <c r="M1149" s="43">
        <f t="shared" si="762"/>
        <v>0</v>
      </c>
      <c r="N1149" s="42"/>
      <c r="O1149" s="53"/>
      <c r="P1149" s="53"/>
      <c r="Q1149" s="53"/>
      <c r="R1149" s="72"/>
      <c r="S1149" s="24">
        <f t="shared" si="742"/>
        <v>0</v>
      </c>
      <c r="T1149" s="42"/>
      <c r="U1149" s="53"/>
      <c r="V1149" s="53">
        <v>1</v>
      </c>
      <c r="W1149" s="53"/>
      <c r="X1149" s="72"/>
      <c r="Y1149" s="24">
        <f t="shared" si="743"/>
        <v>1</v>
      </c>
      <c r="Z1149" s="24">
        <f t="shared" si="744"/>
        <v>1</v>
      </c>
      <c r="AA1149" s="83">
        <v>45013</v>
      </c>
      <c r="AB1149" s="23"/>
      <c r="AC1149" s="41"/>
      <c r="AD1149" s="42"/>
      <c r="AE1149" s="42"/>
      <c r="AF1149" s="42"/>
      <c r="AG1149" s="42"/>
      <c r="AH1149" s="43">
        <f t="shared" si="755"/>
        <v>0</v>
      </c>
      <c r="AI1149" s="41"/>
      <c r="AJ1149" s="42"/>
      <c r="AK1149" s="42"/>
      <c r="AL1149" s="42"/>
      <c r="AM1149" s="42"/>
      <c r="AN1149" s="43">
        <f t="shared" si="756"/>
        <v>0</v>
      </c>
      <c r="AO1149" s="42"/>
      <c r="AP1149" s="53"/>
      <c r="AQ1149" s="53"/>
      <c r="AR1149" s="53"/>
      <c r="AS1149" s="72"/>
      <c r="AT1149" s="24">
        <f t="shared" si="757"/>
        <v>0</v>
      </c>
      <c r="AU1149" s="42"/>
      <c r="AV1149" s="53"/>
      <c r="AW1149" s="53"/>
      <c r="AX1149" s="53"/>
      <c r="AY1149" s="72"/>
      <c r="AZ1149" s="24">
        <f t="shared" si="758"/>
        <v>0</v>
      </c>
      <c r="BA1149" s="24">
        <f t="shared" si="759"/>
        <v>0</v>
      </c>
      <c r="BB1149" s="128"/>
    </row>
    <row r="1150" spans="1:54" ht="14.25" x14ac:dyDescent="0.15">
      <c r="A1150" s="23" t="s">
        <v>48</v>
      </c>
      <c r="B1150" s="41"/>
      <c r="C1150" s="42"/>
      <c r="D1150" s="42"/>
      <c r="E1150" s="42"/>
      <c r="F1150" s="42">
        <v>1</v>
      </c>
      <c r="G1150" s="43">
        <f t="shared" si="761"/>
        <v>1</v>
      </c>
      <c r="H1150" s="41"/>
      <c r="I1150" s="42"/>
      <c r="J1150" s="42"/>
      <c r="K1150" s="42"/>
      <c r="L1150" s="42"/>
      <c r="M1150" s="43">
        <f t="shared" si="762"/>
        <v>0</v>
      </c>
      <c r="N1150" s="42">
        <v>1</v>
      </c>
      <c r="O1150" s="53"/>
      <c r="P1150" s="53"/>
      <c r="Q1150" s="53"/>
      <c r="R1150" s="72"/>
      <c r="S1150" s="24">
        <f t="shared" si="742"/>
        <v>1</v>
      </c>
      <c r="T1150" s="42"/>
      <c r="U1150" s="53"/>
      <c r="V1150" s="53"/>
      <c r="W1150" s="53"/>
      <c r="X1150" s="72"/>
      <c r="Y1150" s="24">
        <f t="shared" si="743"/>
        <v>0</v>
      </c>
      <c r="Z1150" s="24">
        <f t="shared" si="744"/>
        <v>2</v>
      </c>
      <c r="AA1150" s="93">
        <v>45012</v>
      </c>
      <c r="AB1150" s="23"/>
      <c r="AC1150" s="44"/>
      <c r="AD1150" s="45"/>
      <c r="AE1150" s="45"/>
      <c r="AF1150" s="45"/>
      <c r="AG1150" s="45"/>
      <c r="AH1150" s="43">
        <f t="shared" si="755"/>
        <v>0</v>
      </c>
      <c r="AI1150" s="44"/>
      <c r="AJ1150" s="45"/>
      <c r="AK1150" s="45"/>
      <c r="AL1150" s="45"/>
      <c r="AM1150" s="45"/>
      <c r="AN1150" s="43">
        <f t="shared" si="756"/>
        <v>0</v>
      </c>
      <c r="AO1150" s="42"/>
      <c r="AP1150" s="53"/>
      <c r="AQ1150" s="53"/>
      <c r="AR1150" s="53"/>
      <c r="AS1150" s="72"/>
      <c r="AT1150" s="24">
        <f t="shared" si="757"/>
        <v>0</v>
      </c>
      <c r="AU1150" s="42"/>
      <c r="AV1150" s="53"/>
      <c r="AW1150" s="53"/>
      <c r="AX1150" s="53"/>
      <c r="AY1150" s="72"/>
      <c r="AZ1150" s="24">
        <f t="shared" si="758"/>
        <v>0</v>
      </c>
      <c r="BA1150" s="24">
        <f t="shared" si="759"/>
        <v>0</v>
      </c>
      <c r="BB1150" s="128"/>
    </row>
    <row r="1151" spans="1:54" ht="14.25" x14ac:dyDescent="0.15">
      <c r="A1151" s="23" t="s">
        <v>438</v>
      </c>
      <c r="B1151" s="41"/>
      <c r="C1151" s="42"/>
      <c r="D1151" s="42"/>
      <c r="E1151" s="42"/>
      <c r="F1151" s="42"/>
      <c r="G1151" s="43">
        <f t="shared" si="761"/>
        <v>0</v>
      </c>
      <c r="H1151" s="41"/>
      <c r="I1151" s="42"/>
      <c r="J1151" s="42">
        <v>1</v>
      </c>
      <c r="K1151" s="42"/>
      <c r="L1151" s="42"/>
      <c r="M1151" s="43">
        <f t="shared" si="762"/>
        <v>1</v>
      </c>
      <c r="N1151" s="42"/>
      <c r="O1151" s="53">
        <v>1</v>
      </c>
      <c r="P1151" s="53"/>
      <c r="Q1151" s="53"/>
      <c r="R1151" s="72"/>
      <c r="S1151" s="24">
        <f t="shared" si="742"/>
        <v>1</v>
      </c>
      <c r="T1151" s="42"/>
      <c r="U1151" s="53"/>
      <c r="V1151" s="53"/>
      <c r="W1151" s="53"/>
      <c r="X1151" s="72"/>
      <c r="Y1151" s="24">
        <f t="shared" si="743"/>
        <v>0</v>
      </c>
      <c r="Z1151" s="24">
        <f t="shared" si="744"/>
        <v>2</v>
      </c>
      <c r="AA1151" s="83">
        <v>45014</v>
      </c>
      <c r="AB1151" s="23"/>
      <c r="AC1151" s="14"/>
      <c r="AD1151" s="15"/>
      <c r="AE1151" s="15"/>
      <c r="AF1151" s="15"/>
      <c r="AG1151" s="15"/>
      <c r="AH1151" s="24">
        <f>SUM(AC1151:AG1151)</f>
        <v>0</v>
      </c>
      <c r="AI1151" s="14"/>
      <c r="AJ1151" s="15"/>
      <c r="AK1151" s="15"/>
      <c r="AL1151" s="15"/>
      <c r="AM1151" s="15"/>
      <c r="AN1151" s="24">
        <f>SUM(AI1151:AM1151)</f>
        <v>0</v>
      </c>
      <c r="AO1151" s="15"/>
      <c r="AP1151" s="55"/>
      <c r="AQ1151" s="55"/>
      <c r="AR1151" s="55"/>
      <c r="AS1151" s="67"/>
      <c r="AT1151" s="24">
        <f>SUM(AO1151:AS1151)</f>
        <v>0</v>
      </c>
      <c r="AU1151" s="15"/>
      <c r="AV1151" s="55"/>
      <c r="AW1151" s="55"/>
      <c r="AX1151" s="55"/>
      <c r="AY1151" s="67"/>
      <c r="AZ1151" s="24">
        <f>SUM(AU1151:AY1151)</f>
        <v>0</v>
      </c>
      <c r="BA1151" s="24">
        <f>AH1151+AN1151+AT1151+AZ1151</f>
        <v>0</v>
      </c>
      <c r="BB1151" s="128"/>
    </row>
    <row r="1152" spans="1:54" ht="14.25" x14ac:dyDescent="0.15">
      <c r="A1152" s="23" t="s">
        <v>48</v>
      </c>
      <c r="B1152" s="41"/>
      <c r="C1152" s="42"/>
      <c r="D1152" s="42">
        <v>1</v>
      </c>
      <c r="E1152" s="42"/>
      <c r="F1152" s="42"/>
      <c r="G1152" s="43">
        <f t="shared" si="761"/>
        <v>1</v>
      </c>
      <c r="H1152" s="41"/>
      <c r="I1152" s="42"/>
      <c r="J1152" s="42"/>
      <c r="K1152" s="42"/>
      <c r="L1152" s="42"/>
      <c r="M1152" s="43">
        <f t="shared" si="762"/>
        <v>0</v>
      </c>
      <c r="N1152" s="42"/>
      <c r="O1152" s="53"/>
      <c r="P1152" s="53">
        <v>1</v>
      </c>
      <c r="Q1152" s="53"/>
      <c r="R1152" s="72"/>
      <c r="S1152" s="24">
        <f t="shared" si="742"/>
        <v>1</v>
      </c>
      <c r="T1152" s="42"/>
      <c r="U1152" s="53"/>
      <c r="V1152" s="53"/>
      <c r="W1152" s="53"/>
      <c r="X1152" s="72"/>
      <c r="Y1152" s="24">
        <f t="shared" si="743"/>
        <v>0</v>
      </c>
      <c r="Z1152" s="24">
        <f t="shared" si="744"/>
        <v>2</v>
      </c>
      <c r="AA1152" s="83">
        <v>45014</v>
      </c>
      <c r="AB1152" s="23"/>
      <c r="AC1152" s="41"/>
      <c r="AD1152" s="42"/>
      <c r="AE1152" s="42"/>
      <c r="AF1152" s="42"/>
      <c r="AG1152" s="42"/>
      <c r="AH1152" s="43">
        <f t="shared" ref="AH1152:AH1160" si="771">SUM(AC1152:AG1152)</f>
        <v>0</v>
      </c>
      <c r="AI1152" s="41"/>
      <c r="AJ1152" s="42"/>
      <c r="AK1152" s="42"/>
      <c r="AL1152" s="42"/>
      <c r="AM1152" s="42"/>
      <c r="AN1152" s="43">
        <f t="shared" ref="AN1152:AN1161" si="772">SUM(AI1152:AM1152)</f>
        <v>0</v>
      </c>
      <c r="AO1152" s="42"/>
      <c r="AP1152" s="53"/>
      <c r="AQ1152" s="53"/>
      <c r="AR1152" s="53"/>
      <c r="AS1152" s="72"/>
      <c r="AT1152" s="24">
        <f t="shared" ref="AT1152:AT1161" si="773">SUM(AO1152:AS1152)</f>
        <v>0</v>
      </c>
      <c r="AU1152" s="42"/>
      <c r="AV1152" s="53"/>
      <c r="AW1152" s="53"/>
      <c r="AX1152" s="53"/>
      <c r="AY1152" s="72"/>
      <c r="AZ1152" s="24">
        <f t="shared" ref="AZ1152:AZ1161" si="774">SUM(AU1152:AY1152)</f>
        <v>0</v>
      </c>
      <c r="BA1152" s="24">
        <f t="shared" ref="BA1152:BA1168" si="775">AH1152+AN1152+AT1152+AZ1152</f>
        <v>0</v>
      </c>
      <c r="BB1152" s="128"/>
    </row>
    <row r="1153" spans="1:54" ht="14.25" x14ac:dyDescent="0.15">
      <c r="A1153" s="23" t="s">
        <v>48</v>
      </c>
      <c r="B1153" s="41"/>
      <c r="C1153" s="42"/>
      <c r="D1153" s="42">
        <v>1</v>
      </c>
      <c r="E1153" s="42"/>
      <c r="F1153" s="42"/>
      <c r="G1153" s="43">
        <f t="shared" si="761"/>
        <v>1</v>
      </c>
      <c r="H1153" s="41"/>
      <c r="I1153" s="42"/>
      <c r="J1153" s="42"/>
      <c r="K1153" s="42"/>
      <c r="L1153" s="42"/>
      <c r="M1153" s="43">
        <f t="shared" si="762"/>
        <v>0</v>
      </c>
      <c r="N1153" s="42"/>
      <c r="O1153" s="53"/>
      <c r="P1153" s="53"/>
      <c r="Q1153" s="53"/>
      <c r="R1153" s="72"/>
      <c r="S1153" s="24">
        <f t="shared" si="742"/>
        <v>0</v>
      </c>
      <c r="T1153" s="42"/>
      <c r="U1153" s="53"/>
      <c r="V1153" s="53"/>
      <c r="W1153" s="53"/>
      <c r="X1153" s="72"/>
      <c r="Y1153" s="24">
        <f t="shared" si="743"/>
        <v>0</v>
      </c>
      <c r="Z1153" s="24">
        <f t="shared" si="744"/>
        <v>1</v>
      </c>
      <c r="AA1153" s="83">
        <v>45015</v>
      </c>
      <c r="AB1153" s="23"/>
      <c r="AC1153" s="14"/>
      <c r="AD1153" s="15"/>
      <c r="AE1153" s="15"/>
      <c r="AF1153" s="15"/>
      <c r="AG1153" s="15"/>
      <c r="AH1153" s="24">
        <f t="shared" si="771"/>
        <v>0</v>
      </c>
      <c r="AI1153" s="14"/>
      <c r="AJ1153" s="15"/>
      <c r="AK1153" s="15"/>
      <c r="AL1153" s="15"/>
      <c r="AM1153" s="15"/>
      <c r="AN1153" s="185">
        <f t="shared" si="772"/>
        <v>0</v>
      </c>
      <c r="AO1153" s="14"/>
      <c r="AP1153" s="55"/>
      <c r="AQ1153" s="55"/>
      <c r="AR1153" s="55"/>
      <c r="AS1153" s="67"/>
      <c r="AT1153" s="24">
        <f t="shared" si="773"/>
        <v>0</v>
      </c>
      <c r="AU1153" s="15"/>
      <c r="AV1153" s="55"/>
      <c r="AW1153" s="55"/>
      <c r="AX1153" s="55"/>
      <c r="AY1153" s="67"/>
      <c r="AZ1153" s="24">
        <f t="shared" si="774"/>
        <v>0</v>
      </c>
      <c r="BA1153" s="24">
        <f t="shared" si="775"/>
        <v>0</v>
      </c>
      <c r="BB1153" s="128"/>
    </row>
    <row r="1154" spans="1:54" ht="14.25" x14ac:dyDescent="0.15">
      <c r="A1154" s="23" t="s">
        <v>48</v>
      </c>
      <c r="B1154" s="41"/>
      <c r="C1154" s="42">
        <v>1</v>
      </c>
      <c r="D1154" s="42"/>
      <c r="E1154" s="42"/>
      <c r="F1154" s="42"/>
      <c r="G1154" s="43">
        <f t="shared" si="761"/>
        <v>1</v>
      </c>
      <c r="H1154" s="41"/>
      <c r="I1154" s="42"/>
      <c r="J1154" s="42"/>
      <c r="K1154" s="42"/>
      <c r="L1154" s="42"/>
      <c r="M1154" s="43">
        <f t="shared" si="762"/>
        <v>0</v>
      </c>
      <c r="N1154" s="42"/>
      <c r="O1154" s="53"/>
      <c r="P1154" s="53"/>
      <c r="Q1154" s="53"/>
      <c r="R1154" s="72"/>
      <c r="S1154" s="24">
        <f t="shared" si="742"/>
        <v>0</v>
      </c>
      <c r="T1154" s="42"/>
      <c r="U1154" s="53"/>
      <c r="V1154" s="53"/>
      <c r="W1154" s="53"/>
      <c r="X1154" s="72"/>
      <c r="Y1154" s="24">
        <f t="shared" si="743"/>
        <v>0</v>
      </c>
      <c r="Z1154" s="24">
        <f t="shared" si="744"/>
        <v>1</v>
      </c>
      <c r="AA1154" s="83">
        <v>45016</v>
      </c>
      <c r="AB1154" s="23"/>
      <c r="AC1154" s="38"/>
      <c r="AD1154" s="39"/>
      <c r="AE1154" s="39"/>
      <c r="AF1154" s="39"/>
      <c r="AG1154" s="39"/>
      <c r="AH1154" s="37">
        <f t="shared" si="771"/>
        <v>0</v>
      </c>
      <c r="AI1154" s="38"/>
      <c r="AJ1154" s="39"/>
      <c r="AK1154" s="39"/>
      <c r="AL1154" s="39"/>
      <c r="AM1154" s="39"/>
      <c r="AN1154" s="37">
        <f t="shared" si="772"/>
        <v>0</v>
      </c>
      <c r="AO1154" s="39"/>
      <c r="AP1154" s="56"/>
      <c r="AQ1154" s="56"/>
      <c r="AR1154" s="56"/>
      <c r="AS1154" s="71"/>
      <c r="AT1154" s="16">
        <f t="shared" si="773"/>
        <v>0</v>
      </c>
      <c r="AU1154" s="39"/>
      <c r="AV1154" s="56"/>
      <c r="AW1154" s="56"/>
      <c r="AX1154" s="56"/>
      <c r="AY1154" s="71"/>
      <c r="AZ1154" s="16">
        <f t="shared" si="774"/>
        <v>0</v>
      </c>
      <c r="BA1154" s="16">
        <f t="shared" si="775"/>
        <v>0</v>
      </c>
      <c r="BB1154" s="128"/>
    </row>
    <row r="1155" spans="1:54" ht="14.25" x14ac:dyDescent="0.15">
      <c r="A1155" s="23" t="s">
        <v>438</v>
      </c>
      <c r="B1155" s="41"/>
      <c r="C1155" s="42"/>
      <c r="D1155" s="42">
        <v>1</v>
      </c>
      <c r="E1155" s="42"/>
      <c r="F1155" s="42"/>
      <c r="G1155" s="43">
        <f t="shared" si="761"/>
        <v>1</v>
      </c>
      <c r="H1155" s="41"/>
      <c r="I1155" s="42"/>
      <c r="J1155" s="42"/>
      <c r="K1155" s="42"/>
      <c r="L1155" s="42"/>
      <c r="M1155" s="43">
        <f t="shared" si="762"/>
        <v>0</v>
      </c>
      <c r="N1155" s="42"/>
      <c r="O1155" s="53"/>
      <c r="P1155" s="53"/>
      <c r="Q1155" s="53"/>
      <c r="R1155" s="72"/>
      <c r="S1155" s="24">
        <f t="shared" si="742"/>
        <v>0</v>
      </c>
      <c r="T1155" s="42"/>
      <c r="U1155" s="53"/>
      <c r="V1155" s="53"/>
      <c r="W1155" s="53"/>
      <c r="X1155" s="72"/>
      <c r="Y1155" s="24">
        <f t="shared" si="743"/>
        <v>0</v>
      </c>
      <c r="Z1155" s="24">
        <f t="shared" si="744"/>
        <v>1</v>
      </c>
      <c r="AA1155" s="83">
        <v>45020</v>
      </c>
      <c r="AB1155" s="23"/>
      <c r="AC1155" s="41"/>
      <c r="AD1155" s="42"/>
      <c r="AE1155" s="42"/>
      <c r="AF1155" s="42"/>
      <c r="AG1155" s="42"/>
      <c r="AH1155" s="43">
        <f t="shared" si="771"/>
        <v>0</v>
      </c>
      <c r="AI1155" s="41"/>
      <c r="AJ1155" s="42"/>
      <c r="AK1155" s="42"/>
      <c r="AL1155" s="42"/>
      <c r="AM1155" s="42"/>
      <c r="AN1155" s="43">
        <f t="shared" si="772"/>
        <v>0</v>
      </c>
      <c r="AO1155" s="42"/>
      <c r="AP1155" s="53"/>
      <c r="AQ1155" s="53"/>
      <c r="AR1155" s="53"/>
      <c r="AS1155" s="72"/>
      <c r="AT1155" s="24">
        <f t="shared" si="773"/>
        <v>0</v>
      </c>
      <c r="AU1155" s="42"/>
      <c r="AV1155" s="53"/>
      <c r="AW1155" s="53"/>
      <c r="AX1155" s="53"/>
      <c r="AY1155" s="72"/>
      <c r="AZ1155" s="24">
        <f t="shared" si="774"/>
        <v>0</v>
      </c>
      <c r="BA1155" s="24">
        <f t="shared" si="775"/>
        <v>0</v>
      </c>
      <c r="BB1155" s="128"/>
    </row>
    <row r="1156" spans="1:54" ht="14.25" x14ac:dyDescent="0.15">
      <c r="A1156" s="23" t="s">
        <v>48</v>
      </c>
      <c r="B1156" s="41"/>
      <c r="C1156" s="42"/>
      <c r="D1156" s="42"/>
      <c r="E1156" s="42">
        <v>1</v>
      </c>
      <c r="F1156" s="42"/>
      <c r="G1156" s="43">
        <f t="shared" si="761"/>
        <v>1</v>
      </c>
      <c r="H1156" s="41"/>
      <c r="I1156" s="42"/>
      <c r="J1156" s="42"/>
      <c r="K1156" s="42"/>
      <c r="L1156" s="42"/>
      <c r="M1156" s="43">
        <f t="shared" si="762"/>
        <v>0</v>
      </c>
      <c r="N1156" s="42"/>
      <c r="O1156" s="53"/>
      <c r="P1156" s="53"/>
      <c r="Q1156" s="53"/>
      <c r="R1156" s="72"/>
      <c r="S1156" s="24">
        <f t="shared" si="742"/>
        <v>0</v>
      </c>
      <c r="T1156" s="42"/>
      <c r="U1156" s="53"/>
      <c r="V1156" s="53"/>
      <c r="W1156" s="53"/>
      <c r="X1156" s="72"/>
      <c r="Y1156" s="24">
        <f t="shared" si="743"/>
        <v>0</v>
      </c>
      <c r="Z1156" s="24">
        <f t="shared" si="744"/>
        <v>1</v>
      </c>
      <c r="AA1156" s="83">
        <v>45019</v>
      </c>
      <c r="AB1156" s="23"/>
      <c r="AC1156" s="41"/>
      <c r="AD1156" s="42"/>
      <c r="AE1156" s="42"/>
      <c r="AF1156" s="42"/>
      <c r="AG1156" s="42"/>
      <c r="AH1156" s="43">
        <f t="shared" si="771"/>
        <v>0</v>
      </c>
      <c r="AI1156" s="41"/>
      <c r="AJ1156" s="42"/>
      <c r="AK1156" s="42"/>
      <c r="AL1156" s="42"/>
      <c r="AM1156" s="42"/>
      <c r="AN1156" s="43">
        <f t="shared" si="772"/>
        <v>0</v>
      </c>
      <c r="AO1156" s="42"/>
      <c r="AP1156" s="53"/>
      <c r="AQ1156" s="53"/>
      <c r="AR1156" s="53"/>
      <c r="AS1156" s="72"/>
      <c r="AT1156" s="24">
        <f t="shared" si="773"/>
        <v>0</v>
      </c>
      <c r="AU1156" s="42"/>
      <c r="AV1156" s="53"/>
      <c r="AW1156" s="53"/>
      <c r="AX1156" s="53"/>
      <c r="AY1156" s="72"/>
      <c r="AZ1156" s="24">
        <f t="shared" si="774"/>
        <v>0</v>
      </c>
      <c r="BA1156" s="24">
        <f t="shared" si="775"/>
        <v>0</v>
      </c>
      <c r="BB1156" s="128"/>
    </row>
    <row r="1157" spans="1:54" ht="14.25" x14ac:dyDescent="0.15">
      <c r="A1157" s="23" t="s">
        <v>590</v>
      </c>
      <c r="B1157" s="41"/>
      <c r="C1157" s="42"/>
      <c r="D1157" s="42"/>
      <c r="E1157" s="42">
        <v>1</v>
      </c>
      <c r="F1157" s="42"/>
      <c r="G1157" s="43">
        <f t="shared" si="761"/>
        <v>1</v>
      </c>
      <c r="H1157" s="41"/>
      <c r="I1157" s="42"/>
      <c r="J1157" s="42"/>
      <c r="K1157" s="42"/>
      <c r="L1157" s="42"/>
      <c r="M1157" s="43">
        <f t="shared" si="762"/>
        <v>0</v>
      </c>
      <c r="N1157" s="42"/>
      <c r="O1157" s="53"/>
      <c r="P1157" s="53"/>
      <c r="Q1157" s="53"/>
      <c r="R1157" s="72"/>
      <c r="S1157" s="24">
        <f t="shared" si="742"/>
        <v>0</v>
      </c>
      <c r="T1157" s="42"/>
      <c r="U1157" s="53"/>
      <c r="V1157" s="53"/>
      <c r="W1157" s="53"/>
      <c r="X1157" s="72"/>
      <c r="Y1157" s="24">
        <f t="shared" si="743"/>
        <v>0</v>
      </c>
      <c r="Z1157" s="24">
        <f t="shared" si="744"/>
        <v>1</v>
      </c>
      <c r="AA1157" s="83">
        <v>45022</v>
      </c>
      <c r="AB1157" s="23"/>
      <c r="AC1157" s="14"/>
      <c r="AD1157" s="15"/>
      <c r="AE1157" s="15"/>
      <c r="AF1157" s="15"/>
      <c r="AG1157" s="15"/>
      <c r="AH1157" s="24">
        <f t="shared" si="771"/>
        <v>0</v>
      </c>
      <c r="AI1157" s="14"/>
      <c r="AJ1157" s="15"/>
      <c r="AK1157" s="15"/>
      <c r="AL1157" s="15"/>
      <c r="AM1157" s="15"/>
      <c r="AN1157" s="24">
        <f t="shared" si="772"/>
        <v>0</v>
      </c>
      <c r="AO1157" s="15"/>
      <c r="AP1157" s="55"/>
      <c r="AQ1157" s="55"/>
      <c r="AR1157" s="55"/>
      <c r="AS1157" s="67"/>
      <c r="AT1157" s="24">
        <f t="shared" si="773"/>
        <v>0</v>
      </c>
      <c r="AU1157" s="15"/>
      <c r="AV1157" s="55"/>
      <c r="AW1157" s="55"/>
      <c r="AX1157" s="55"/>
      <c r="AY1157" s="67"/>
      <c r="AZ1157" s="24">
        <f t="shared" si="774"/>
        <v>0</v>
      </c>
      <c r="BA1157" s="24">
        <f t="shared" si="775"/>
        <v>0</v>
      </c>
      <c r="BB1157" s="128"/>
    </row>
    <row r="1158" spans="1:54" ht="14.25" x14ac:dyDescent="0.15">
      <c r="A1158" s="23" t="s">
        <v>136</v>
      </c>
      <c r="B1158" s="41"/>
      <c r="C1158" s="42"/>
      <c r="D1158" s="42"/>
      <c r="E1158" s="42"/>
      <c r="F1158" s="42">
        <v>-1</v>
      </c>
      <c r="G1158" s="43">
        <f t="shared" si="761"/>
        <v>-1</v>
      </c>
      <c r="H1158" s="41"/>
      <c r="I1158" s="42"/>
      <c r="J1158" s="42"/>
      <c r="K1158" s="42"/>
      <c r="L1158" s="42"/>
      <c r="M1158" s="43">
        <f t="shared" si="762"/>
        <v>0</v>
      </c>
      <c r="N1158" s="42"/>
      <c r="O1158" s="53"/>
      <c r="P1158" s="53"/>
      <c r="Q1158" s="53"/>
      <c r="R1158" s="72"/>
      <c r="S1158" s="24">
        <f t="shared" si="742"/>
        <v>0</v>
      </c>
      <c r="T1158" s="42"/>
      <c r="U1158" s="53"/>
      <c r="V1158" s="53"/>
      <c r="W1158" s="53"/>
      <c r="X1158" s="72"/>
      <c r="Y1158" s="24">
        <f t="shared" si="743"/>
        <v>0</v>
      </c>
      <c r="Z1158" s="24">
        <f t="shared" si="744"/>
        <v>-1</v>
      </c>
      <c r="AA1158" s="93">
        <v>45026</v>
      </c>
      <c r="AB1158" s="180"/>
      <c r="AC1158" s="14"/>
      <c r="AD1158" s="15"/>
      <c r="AE1158" s="15"/>
      <c r="AF1158" s="15"/>
      <c r="AG1158" s="15"/>
      <c r="AH1158" s="24">
        <f t="shared" si="771"/>
        <v>0</v>
      </c>
      <c r="AI1158" s="14"/>
      <c r="AJ1158" s="15"/>
      <c r="AK1158" s="15"/>
      <c r="AL1158" s="15"/>
      <c r="AM1158" s="15"/>
      <c r="AN1158" s="24">
        <f t="shared" si="772"/>
        <v>0</v>
      </c>
      <c r="AO1158" s="15"/>
      <c r="AP1158" s="55"/>
      <c r="AQ1158" s="55"/>
      <c r="AR1158" s="55"/>
      <c r="AS1158" s="67"/>
      <c r="AT1158" s="24">
        <f t="shared" si="773"/>
        <v>0</v>
      </c>
      <c r="AU1158" s="15"/>
      <c r="AV1158" s="55"/>
      <c r="AW1158" s="55"/>
      <c r="AX1158" s="55"/>
      <c r="AY1158" s="67"/>
      <c r="AZ1158" s="24">
        <f t="shared" si="774"/>
        <v>0</v>
      </c>
      <c r="BA1158" s="24">
        <f t="shared" si="775"/>
        <v>0</v>
      </c>
      <c r="BB1158" s="128"/>
    </row>
    <row r="1159" spans="1:54" ht="14.25" x14ac:dyDescent="0.15">
      <c r="A1159" s="23" t="s">
        <v>438</v>
      </c>
      <c r="B1159" s="41"/>
      <c r="C1159" s="42"/>
      <c r="D1159" s="42"/>
      <c r="E1159" s="42"/>
      <c r="F1159" s="42"/>
      <c r="G1159" s="43">
        <f t="shared" si="761"/>
        <v>0</v>
      </c>
      <c r="H1159" s="41"/>
      <c r="I1159" s="42"/>
      <c r="J1159" s="42"/>
      <c r="K1159" s="42"/>
      <c r="L1159" s="42"/>
      <c r="M1159" s="43">
        <f t="shared" si="762"/>
        <v>0</v>
      </c>
      <c r="N1159" s="42"/>
      <c r="O1159" s="53"/>
      <c r="P1159" s="53">
        <v>2</v>
      </c>
      <c r="Q1159" s="53"/>
      <c r="R1159" s="72"/>
      <c r="S1159" s="24">
        <f t="shared" si="742"/>
        <v>2</v>
      </c>
      <c r="T1159" s="42"/>
      <c r="U1159" s="53"/>
      <c r="V1159" s="53"/>
      <c r="W1159" s="53">
        <v>1</v>
      </c>
      <c r="X1159" s="72"/>
      <c r="Y1159" s="24">
        <f t="shared" si="743"/>
        <v>1</v>
      </c>
      <c r="Z1159" s="24">
        <f t="shared" si="744"/>
        <v>3</v>
      </c>
      <c r="AA1159" s="83">
        <v>45028</v>
      </c>
      <c r="AB1159" s="180"/>
      <c r="AC1159" s="14"/>
      <c r="AD1159" s="15"/>
      <c r="AE1159" s="15"/>
      <c r="AF1159" s="15"/>
      <c r="AG1159" s="15"/>
      <c r="AH1159" s="24">
        <f t="shared" si="771"/>
        <v>0</v>
      </c>
      <c r="AI1159" s="14"/>
      <c r="AJ1159" s="15"/>
      <c r="AK1159" s="15"/>
      <c r="AL1159" s="15"/>
      <c r="AM1159" s="15"/>
      <c r="AN1159" s="24">
        <f t="shared" si="772"/>
        <v>0</v>
      </c>
      <c r="AO1159" s="15"/>
      <c r="AP1159" s="55"/>
      <c r="AQ1159" s="55"/>
      <c r="AR1159" s="55"/>
      <c r="AS1159" s="67"/>
      <c r="AT1159" s="24">
        <f t="shared" si="773"/>
        <v>0</v>
      </c>
      <c r="AU1159" s="15"/>
      <c r="AV1159" s="55"/>
      <c r="AW1159" s="55"/>
      <c r="AX1159" s="55"/>
      <c r="AY1159" s="67"/>
      <c r="AZ1159" s="24">
        <f t="shared" si="774"/>
        <v>0</v>
      </c>
      <c r="BA1159" s="24">
        <f t="shared" si="775"/>
        <v>0</v>
      </c>
      <c r="BB1159" s="128"/>
    </row>
    <row r="1160" spans="1:54" ht="14.25" x14ac:dyDescent="0.15">
      <c r="A1160" s="23" t="s">
        <v>48</v>
      </c>
      <c r="B1160" s="41"/>
      <c r="C1160" s="42"/>
      <c r="D1160" s="42"/>
      <c r="E1160" s="42"/>
      <c r="F1160" s="42"/>
      <c r="G1160" s="43">
        <f t="shared" si="761"/>
        <v>0</v>
      </c>
      <c r="H1160" s="41"/>
      <c r="I1160" s="42"/>
      <c r="J1160" s="42"/>
      <c r="K1160" s="42"/>
      <c r="L1160" s="42"/>
      <c r="M1160" s="43">
        <f t="shared" si="762"/>
        <v>0</v>
      </c>
      <c r="N1160" s="42"/>
      <c r="O1160" s="53"/>
      <c r="P1160" s="53"/>
      <c r="Q1160" s="53"/>
      <c r="R1160" s="72"/>
      <c r="S1160" s="24">
        <f t="shared" si="742"/>
        <v>0</v>
      </c>
      <c r="T1160" s="42"/>
      <c r="U1160" s="53"/>
      <c r="V1160" s="53">
        <v>1</v>
      </c>
      <c r="W1160" s="53"/>
      <c r="X1160" s="72"/>
      <c r="Y1160" s="24">
        <f t="shared" si="743"/>
        <v>1</v>
      </c>
      <c r="Z1160" s="24">
        <f t="shared" si="744"/>
        <v>1</v>
      </c>
      <c r="AA1160" s="93">
        <v>45027</v>
      </c>
      <c r="AB1160" s="21"/>
      <c r="AC1160" s="14"/>
      <c r="AD1160" s="15"/>
      <c r="AE1160" s="15"/>
      <c r="AF1160" s="15"/>
      <c r="AG1160" s="15"/>
      <c r="AH1160" s="24">
        <f t="shared" si="771"/>
        <v>0</v>
      </c>
      <c r="AI1160" s="14"/>
      <c r="AJ1160" s="15"/>
      <c r="AK1160" s="15"/>
      <c r="AL1160" s="15"/>
      <c r="AM1160" s="15"/>
      <c r="AN1160" s="24">
        <f t="shared" si="772"/>
        <v>0</v>
      </c>
      <c r="AO1160" s="15"/>
      <c r="AP1160" s="55"/>
      <c r="AQ1160" s="55"/>
      <c r="AR1160" s="55"/>
      <c r="AS1160" s="67"/>
      <c r="AT1160" s="24">
        <f t="shared" si="773"/>
        <v>0</v>
      </c>
      <c r="AU1160" s="15"/>
      <c r="AV1160" s="55"/>
      <c r="AW1160" s="55"/>
      <c r="AX1160" s="55"/>
      <c r="AY1160" s="67"/>
      <c r="AZ1160" s="24">
        <f t="shared" si="774"/>
        <v>0</v>
      </c>
      <c r="BA1160" s="24">
        <f t="shared" si="775"/>
        <v>0</v>
      </c>
      <c r="BB1160" s="128"/>
    </row>
    <row r="1161" spans="1:54" ht="14.25" x14ac:dyDescent="0.15">
      <c r="A1161" s="23" t="s">
        <v>48</v>
      </c>
      <c r="B1161" s="41"/>
      <c r="C1161" s="42"/>
      <c r="D1161" s="42"/>
      <c r="E1161" s="42"/>
      <c r="F1161" s="42">
        <v>1</v>
      </c>
      <c r="G1161" s="43">
        <f t="shared" si="761"/>
        <v>1</v>
      </c>
      <c r="H1161" s="41"/>
      <c r="I1161" s="42"/>
      <c r="J1161" s="42"/>
      <c r="K1161" s="42"/>
      <c r="L1161" s="42"/>
      <c r="M1161" s="43">
        <f t="shared" si="762"/>
        <v>0</v>
      </c>
      <c r="N1161" s="42"/>
      <c r="O1161" s="53"/>
      <c r="P1161" s="53"/>
      <c r="Q1161" s="53"/>
      <c r="R1161" s="72"/>
      <c r="S1161" s="24">
        <f t="shared" si="742"/>
        <v>0</v>
      </c>
      <c r="T1161" s="42"/>
      <c r="U1161" s="53"/>
      <c r="V1161" s="53"/>
      <c r="W1161" s="53"/>
      <c r="X1161" s="72"/>
      <c r="Y1161" s="24">
        <f t="shared" si="743"/>
        <v>0</v>
      </c>
      <c r="Z1161" s="24">
        <f t="shared" si="744"/>
        <v>1</v>
      </c>
      <c r="AA1161" s="93">
        <v>45028</v>
      </c>
      <c r="AB1161" s="47"/>
      <c r="AC1161" s="14"/>
      <c r="AD1161" s="15"/>
      <c r="AE1161" s="15"/>
      <c r="AF1161" s="15"/>
      <c r="AG1161" s="15"/>
      <c r="AH1161" s="24">
        <f t="shared" ref="AH1161:AH1163" si="776">SUM(AC1161:AG1161)</f>
        <v>0</v>
      </c>
      <c r="AI1161" s="14"/>
      <c r="AJ1161" s="15"/>
      <c r="AK1161" s="15"/>
      <c r="AL1161" s="15"/>
      <c r="AM1161" s="15"/>
      <c r="AN1161" s="24">
        <f t="shared" si="772"/>
        <v>0</v>
      </c>
      <c r="AO1161" s="15"/>
      <c r="AP1161" s="55"/>
      <c r="AQ1161" s="55"/>
      <c r="AR1161" s="55"/>
      <c r="AS1161" s="67"/>
      <c r="AT1161" s="24">
        <f t="shared" si="773"/>
        <v>0</v>
      </c>
      <c r="AU1161" s="15"/>
      <c r="AV1161" s="55"/>
      <c r="AW1161" s="55"/>
      <c r="AX1161" s="55"/>
      <c r="AY1161" s="67"/>
      <c r="AZ1161" s="24">
        <f t="shared" si="774"/>
        <v>0</v>
      </c>
      <c r="BA1161" s="24">
        <f t="shared" si="775"/>
        <v>0</v>
      </c>
      <c r="BB1161" s="128"/>
    </row>
    <row r="1162" spans="1:54" ht="14.25" x14ac:dyDescent="0.15">
      <c r="A1162" s="23" t="s">
        <v>48</v>
      </c>
      <c r="B1162" s="41"/>
      <c r="C1162" s="42"/>
      <c r="D1162" s="42"/>
      <c r="E1162" s="42">
        <v>1</v>
      </c>
      <c r="F1162" s="42"/>
      <c r="G1162" s="43">
        <f t="shared" si="761"/>
        <v>1</v>
      </c>
      <c r="H1162" s="41"/>
      <c r="I1162" s="42"/>
      <c r="J1162" s="42"/>
      <c r="K1162" s="42"/>
      <c r="L1162" s="42">
        <v>1</v>
      </c>
      <c r="M1162" s="43">
        <f t="shared" si="762"/>
        <v>1</v>
      </c>
      <c r="N1162" s="42"/>
      <c r="O1162" s="53"/>
      <c r="P1162" s="53"/>
      <c r="Q1162" s="53"/>
      <c r="R1162" s="72">
        <v>1</v>
      </c>
      <c r="S1162" s="24">
        <f t="shared" si="742"/>
        <v>1</v>
      </c>
      <c r="T1162" s="42"/>
      <c r="U1162" s="53"/>
      <c r="V1162" s="53"/>
      <c r="W1162" s="53"/>
      <c r="X1162" s="72"/>
      <c r="Y1162" s="24">
        <f t="shared" si="743"/>
        <v>0</v>
      </c>
      <c r="Z1162" s="24">
        <f t="shared" si="744"/>
        <v>3</v>
      </c>
      <c r="AA1162" s="83">
        <v>45029</v>
      </c>
      <c r="AB1162" s="47"/>
      <c r="AC1162" s="14"/>
      <c r="AD1162" s="15"/>
      <c r="AE1162" s="15"/>
      <c r="AF1162" s="15"/>
      <c r="AG1162" s="15"/>
      <c r="AH1162" s="24">
        <f t="shared" si="776"/>
        <v>0</v>
      </c>
      <c r="AI1162" s="14"/>
      <c r="AJ1162" s="15"/>
      <c r="AK1162" s="15"/>
      <c r="AL1162" s="15"/>
      <c r="AM1162" s="15"/>
      <c r="AN1162" s="24">
        <f t="shared" ref="AN1162:AN1163" si="777">SUM(AI1162:AM1162)</f>
        <v>0</v>
      </c>
      <c r="AO1162" s="15"/>
      <c r="AP1162" s="55"/>
      <c r="AQ1162" s="55"/>
      <c r="AR1162" s="55"/>
      <c r="AS1162" s="67"/>
      <c r="AT1162" s="24">
        <f t="shared" ref="AT1162:AT1163" si="778">SUM(AO1162:AS1162)</f>
        <v>0</v>
      </c>
      <c r="AU1162" s="15"/>
      <c r="AV1162" s="55"/>
      <c r="AW1162" s="55"/>
      <c r="AX1162" s="55"/>
      <c r="AY1162" s="67"/>
      <c r="AZ1162" s="24">
        <f t="shared" ref="AZ1162:AZ1163" si="779">SUM(AU1162:AY1162)</f>
        <v>0</v>
      </c>
      <c r="BA1162" s="24">
        <f t="shared" si="775"/>
        <v>0</v>
      </c>
      <c r="BB1162" s="128"/>
    </row>
    <row r="1163" spans="1:54" ht="14.25" x14ac:dyDescent="0.15">
      <c r="A1163" s="23" t="s">
        <v>438</v>
      </c>
      <c r="B1163" s="41"/>
      <c r="C1163" s="42">
        <v>1</v>
      </c>
      <c r="D1163" s="42"/>
      <c r="E1163" s="42"/>
      <c r="F1163" s="42"/>
      <c r="G1163" s="43">
        <f t="shared" si="761"/>
        <v>1</v>
      </c>
      <c r="H1163" s="41"/>
      <c r="I1163" s="42"/>
      <c r="J1163" s="42"/>
      <c r="K1163" s="42"/>
      <c r="L1163" s="42"/>
      <c r="M1163" s="43">
        <f t="shared" si="762"/>
        <v>0</v>
      </c>
      <c r="N1163" s="42"/>
      <c r="O1163" s="53"/>
      <c r="P1163" s="53"/>
      <c r="Q1163" s="53"/>
      <c r="R1163" s="72"/>
      <c r="S1163" s="24">
        <f t="shared" si="742"/>
        <v>0</v>
      </c>
      <c r="T1163" s="42"/>
      <c r="U1163" s="53"/>
      <c r="V1163" s="53"/>
      <c r="W1163" s="53">
        <v>1</v>
      </c>
      <c r="X1163" s="72"/>
      <c r="Y1163" s="24">
        <f t="shared" si="743"/>
        <v>1</v>
      </c>
      <c r="Z1163" s="24">
        <f t="shared" si="744"/>
        <v>2</v>
      </c>
      <c r="AA1163" s="83">
        <v>45033</v>
      </c>
      <c r="AB1163" s="47"/>
      <c r="AC1163" s="14"/>
      <c r="AD1163" s="15"/>
      <c r="AE1163" s="15"/>
      <c r="AF1163" s="15"/>
      <c r="AG1163" s="15"/>
      <c r="AH1163" s="24">
        <f t="shared" si="776"/>
        <v>0</v>
      </c>
      <c r="AI1163" s="14"/>
      <c r="AJ1163" s="15"/>
      <c r="AK1163" s="15"/>
      <c r="AL1163" s="15"/>
      <c r="AM1163" s="15"/>
      <c r="AN1163" s="24">
        <f t="shared" si="777"/>
        <v>0</v>
      </c>
      <c r="AO1163" s="15"/>
      <c r="AP1163" s="55"/>
      <c r="AQ1163" s="55"/>
      <c r="AR1163" s="55"/>
      <c r="AS1163" s="67"/>
      <c r="AT1163" s="24">
        <f t="shared" si="778"/>
        <v>0</v>
      </c>
      <c r="AU1163" s="15"/>
      <c r="AV1163" s="55"/>
      <c r="AW1163" s="55"/>
      <c r="AX1163" s="55"/>
      <c r="AY1163" s="67"/>
      <c r="AZ1163" s="24">
        <f t="shared" si="779"/>
        <v>0</v>
      </c>
      <c r="BA1163" s="24">
        <f t="shared" si="775"/>
        <v>0</v>
      </c>
      <c r="BB1163" s="128"/>
    </row>
    <row r="1164" spans="1:54" ht="14.25" x14ac:dyDescent="0.15">
      <c r="A1164" s="23" t="s">
        <v>48</v>
      </c>
      <c r="B1164" s="41"/>
      <c r="C1164" s="42"/>
      <c r="D1164" s="42">
        <v>1</v>
      </c>
      <c r="E1164" s="42"/>
      <c r="F1164" s="42"/>
      <c r="G1164" s="43">
        <f t="shared" si="761"/>
        <v>1</v>
      </c>
      <c r="H1164" s="41"/>
      <c r="I1164" s="42"/>
      <c r="J1164" s="42"/>
      <c r="K1164" s="42"/>
      <c r="L1164" s="42"/>
      <c r="M1164" s="43">
        <f t="shared" si="762"/>
        <v>0</v>
      </c>
      <c r="N1164" s="42"/>
      <c r="O1164" s="53"/>
      <c r="P1164" s="53"/>
      <c r="Q1164" s="53"/>
      <c r="R1164" s="72"/>
      <c r="S1164" s="24">
        <f t="shared" si="742"/>
        <v>0</v>
      </c>
      <c r="T1164" s="42"/>
      <c r="U1164" s="53">
        <v>1</v>
      </c>
      <c r="V1164" s="53"/>
      <c r="W1164" s="53"/>
      <c r="X1164" s="72"/>
      <c r="Y1164" s="24">
        <f t="shared" si="743"/>
        <v>1</v>
      </c>
      <c r="Z1164" s="24">
        <f t="shared" si="744"/>
        <v>2</v>
      </c>
      <c r="AA1164" s="83">
        <v>45030</v>
      </c>
      <c r="AB1164" s="47"/>
      <c r="AC1164" s="14"/>
      <c r="AD1164" s="15"/>
      <c r="AE1164" s="15"/>
      <c r="AF1164" s="15"/>
      <c r="AG1164" s="15"/>
      <c r="AH1164" s="24">
        <f t="shared" ref="AH1164:AH1165" si="780">SUM(AC1164:AG1164)</f>
        <v>0</v>
      </c>
      <c r="AI1164" s="14"/>
      <c r="AJ1164" s="15"/>
      <c r="AK1164" s="15"/>
      <c r="AL1164" s="15"/>
      <c r="AM1164" s="15"/>
      <c r="AN1164" s="24">
        <f t="shared" ref="AN1164:AN1165" si="781">SUM(AI1164:AM1164)</f>
        <v>0</v>
      </c>
      <c r="AO1164" s="15"/>
      <c r="AP1164" s="55"/>
      <c r="AQ1164" s="55"/>
      <c r="AR1164" s="55"/>
      <c r="AS1164" s="67"/>
      <c r="AT1164" s="24">
        <f t="shared" ref="AT1164:AT1165" si="782">SUM(AO1164:AS1164)</f>
        <v>0</v>
      </c>
      <c r="AU1164" s="15"/>
      <c r="AV1164" s="55"/>
      <c r="AW1164" s="55"/>
      <c r="AX1164" s="55"/>
      <c r="AY1164" s="67"/>
      <c r="AZ1164" s="24">
        <f t="shared" ref="AZ1164:AZ1165" si="783">SUM(AU1164:AY1164)</f>
        <v>0</v>
      </c>
      <c r="BA1164" s="24">
        <f t="shared" ref="BA1164:BA1165" si="784">AH1164+AN1164+AT1164+AZ1164</f>
        <v>0</v>
      </c>
      <c r="BB1164" s="128"/>
    </row>
    <row r="1165" spans="1:54" ht="14.25" x14ac:dyDescent="0.15">
      <c r="A1165" s="23" t="s">
        <v>48</v>
      </c>
      <c r="B1165" s="41"/>
      <c r="C1165" s="42"/>
      <c r="D1165" s="42"/>
      <c r="E1165" s="42">
        <v>1</v>
      </c>
      <c r="F1165" s="42">
        <v>1</v>
      </c>
      <c r="G1165" s="43">
        <f t="shared" si="761"/>
        <v>2</v>
      </c>
      <c r="H1165" s="41"/>
      <c r="I1165" s="42"/>
      <c r="J1165" s="42"/>
      <c r="K1165" s="42"/>
      <c r="L1165" s="42"/>
      <c r="M1165" s="43">
        <f t="shared" si="762"/>
        <v>0</v>
      </c>
      <c r="N1165" s="42">
        <v>1</v>
      </c>
      <c r="O1165" s="53"/>
      <c r="P1165" s="53"/>
      <c r="Q1165" s="53"/>
      <c r="R1165" s="72"/>
      <c r="S1165" s="24">
        <f>SUM(N1165:R1165)</f>
        <v>1</v>
      </c>
      <c r="T1165" s="42"/>
      <c r="U1165" s="53"/>
      <c r="V1165" s="53"/>
      <c r="W1165" s="53"/>
      <c r="X1165" s="72"/>
      <c r="Y1165" s="24">
        <f>SUM(T1165:X1165)</f>
        <v>0</v>
      </c>
      <c r="Z1165" s="24">
        <f>G1165+M1165+S1165+Y1165</f>
        <v>3</v>
      </c>
      <c r="AA1165" s="83">
        <v>45031</v>
      </c>
      <c r="AB1165" s="47"/>
      <c r="AC1165" s="14"/>
      <c r="AD1165" s="15"/>
      <c r="AE1165" s="15"/>
      <c r="AF1165" s="15"/>
      <c r="AG1165" s="15"/>
      <c r="AH1165" s="24">
        <f t="shared" si="780"/>
        <v>0</v>
      </c>
      <c r="AI1165" s="14"/>
      <c r="AJ1165" s="15"/>
      <c r="AK1165" s="15"/>
      <c r="AL1165" s="15"/>
      <c r="AM1165" s="15"/>
      <c r="AN1165" s="24">
        <f t="shared" si="781"/>
        <v>0</v>
      </c>
      <c r="AO1165" s="15"/>
      <c r="AP1165" s="55"/>
      <c r="AQ1165" s="55"/>
      <c r="AR1165" s="55"/>
      <c r="AS1165" s="67"/>
      <c r="AT1165" s="24">
        <f t="shared" si="782"/>
        <v>0</v>
      </c>
      <c r="AU1165" s="15"/>
      <c r="AV1165" s="55"/>
      <c r="AW1165" s="55"/>
      <c r="AX1165" s="55"/>
      <c r="AY1165" s="67"/>
      <c r="AZ1165" s="24">
        <f t="shared" si="783"/>
        <v>0</v>
      </c>
      <c r="BA1165" s="24">
        <f t="shared" si="784"/>
        <v>0</v>
      </c>
      <c r="BB1165" s="128"/>
    </row>
    <row r="1166" spans="1:54" ht="15" thickBot="1" x14ac:dyDescent="0.2">
      <c r="A1166" s="23" t="s">
        <v>438</v>
      </c>
      <c r="B1166" s="44">
        <v>1</v>
      </c>
      <c r="C1166" s="45"/>
      <c r="D1166" s="45">
        <v>2</v>
      </c>
      <c r="E1166" s="45"/>
      <c r="F1166" s="45"/>
      <c r="G1166" s="43">
        <f t="shared" si="761"/>
        <v>3</v>
      </c>
      <c r="H1166" s="44"/>
      <c r="I1166" s="45"/>
      <c r="J1166" s="45"/>
      <c r="K1166" s="45"/>
      <c r="L1166" s="45"/>
      <c r="M1166" s="112">
        <f t="shared" si="762"/>
        <v>0</v>
      </c>
      <c r="N1166" s="45"/>
      <c r="O1166" s="78"/>
      <c r="P1166" s="78">
        <v>1</v>
      </c>
      <c r="Q1166" s="78"/>
      <c r="R1166" s="79"/>
      <c r="S1166" s="113">
        <f>SUM(N1166:R1166)</f>
        <v>1</v>
      </c>
      <c r="T1166" s="45"/>
      <c r="U1166" s="78"/>
      <c r="V1166" s="78"/>
      <c r="W1166" s="78"/>
      <c r="X1166" s="79"/>
      <c r="Y1166" s="113">
        <f>SUM(T1166:X1166)</f>
        <v>0</v>
      </c>
      <c r="Z1166" s="82">
        <f>G1166+M1166+S1166+Y1166</f>
        <v>4</v>
      </c>
      <c r="AA1166" s="83">
        <v>45034</v>
      </c>
      <c r="AB1166" s="47" t="s">
        <v>581</v>
      </c>
      <c r="AC1166" s="14"/>
      <c r="AD1166" s="15"/>
      <c r="AE1166" s="15"/>
      <c r="AF1166" s="15"/>
      <c r="AG1166" s="15"/>
      <c r="AH1166" s="24">
        <f t="shared" ref="AH1166:AH1167" si="785">SUM(AC1166:AG1166)</f>
        <v>0</v>
      </c>
      <c r="AI1166" s="189"/>
      <c r="AJ1166" s="183"/>
      <c r="AK1166" s="183"/>
      <c r="AL1166" s="183"/>
      <c r="AM1166" s="183"/>
      <c r="AN1166" s="24">
        <f t="shared" ref="AN1166:AN1167" si="786">SUM(AI1166:AM1166)</f>
        <v>0</v>
      </c>
      <c r="AO1166" s="14"/>
      <c r="AP1166" s="15"/>
      <c r="AQ1166" s="15"/>
      <c r="AR1166" s="15"/>
      <c r="AS1166" s="15"/>
      <c r="AT1166" s="24">
        <f t="shared" ref="AT1166:AT1167" si="787">SUM(AO1166:AS1166)</f>
        <v>0</v>
      </c>
      <c r="AU1166" s="14"/>
      <c r="AV1166" s="15"/>
      <c r="AW1166" s="15"/>
      <c r="AX1166" s="15"/>
      <c r="AY1166" s="15"/>
      <c r="AZ1166" s="24">
        <f t="shared" ref="AZ1166:AZ1167" si="788">SUM(AU1166:AY1166)</f>
        <v>0</v>
      </c>
      <c r="BA1166" s="24">
        <f t="shared" si="775"/>
        <v>0</v>
      </c>
      <c r="BB1166" s="128" t="s">
        <v>582</v>
      </c>
    </row>
    <row r="1167" spans="1:54" ht="15" thickBot="1" x14ac:dyDescent="0.2">
      <c r="A1167" s="9" t="s">
        <v>13</v>
      </c>
      <c r="B1167" s="25">
        <f>SUM(B1141:B1166)</f>
        <v>1</v>
      </c>
      <c r="C1167" s="26">
        <f>SUM(C1141:C1166)</f>
        <v>4</v>
      </c>
      <c r="D1167" s="26">
        <f>SUM(D1141:D1166)</f>
        <v>7</v>
      </c>
      <c r="E1167" s="26">
        <f>SUM(E1141:E1166)</f>
        <v>5</v>
      </c>
      <c r="F1167" s="27">
        <f>SUM(F1141:F1166)</f>
        <v>3</v>
      </c>
      <c r="G1167" s="19">
        <f>SUM(B1167:F1167)</f>
        <v>20</v>
      </c>
      <c r="H1167" s="25">
        <f>SUM(H1141:H1166)</f>
        <v>0</v>
      </c>
      <c r="I1167" s="26">
        <f>SUM(I1141:I1166)</f>
        <v>0</v>
      </c>
      <c r="J1167" s="26">
        <f>SUM(J1141:J1166)</f>
        <v>1</v>
      </c>
      <c r="K1167" s="26">
        <f>SUM(K1141:K1166)</f>
        <v>0</v>
      </c>
      <c r="L1167" s="27">
        <f>SUM(L1141:L1166)</f>
        <v>1</v>
      </c>
      <c r="M1167" s="25">
        <f>SUM(H1167:L1167)</f>
        <v>2</v>
      </c>
      <c r="N1167" s="65">
        <f>SUM(N1141:N1166)</f>
        <v>2</v>
      </c>
      <c r="O1167" s="18">
        <f>SUM(O1141:O1166)</f>
        <v>1</v>
      </c>
      <c r="P1167" s="18">
        <f>SUM(P1141:P1166)</f>
        <v>4</v>
      </c>
      <c r="Q1167" s="18">
        <f>SUM(Q1141:Q1166)</f>
        <v>1</v>
      </c>
      <c r="R1167" s="70">
        <f>SUM(R1141:R1166)</f>
        <v>2</v>
      </c>
      <c r="S1167" s="49">
        <f>SUM(N1167:R1167)</f>
        <v>10</v>
      </c>
      <c r="T1167" s="74">
        <f>SUM(T1141:T1166)</f>
        <v>0</v>
      </c>
      <c r="U1167" s="18">
        <f>SUM(U1141:U1166)</f>
        <v>1</v>
      </c>
      <c r="V1167" s="18">
        <f>SUM(V1141:V1166)</f>
        <v>3</v>
      </c>
      <c r="W1167" s="18">
        <f>SUM(W1141:W1166)</f>
        <v>2</v>
      </c>
      <c r="X1167" s="70">
        <f>SUM(X1141:X1166)</f>
        <v>1</v>
      </c>
      <c r="Y1167" s="49">
        <f>SUM(T1167:X1167)</f>
        <v>7</v>
      </c>
      <c r="Z1167" s="137">
        <f>G1167+M1167+S1167+Y1167</f>
        <v>39</v>
      </c>
      <c r="AB1167" s="9" t="s">
        <v>13</v>
      </c>
      <c r="AC1167" s="25">
        <f>SUM(AC1141:AC1166)</f>
        <v>1</v>
      </c>
      <c r="AD1167" s="26">
        <f>SUM(AD1141:AD1166)</f>
        <v>4</v>
      </c>
      <c r="AE1167" s="26">
        <f>SUM(AE1141:AE1166)</f>
        <v>3</v>
      </c>
      <c r="AF1167" s="26">
        <f>SUM(AF1141:AF1166)</f>
        <v>8</v>
      </c>
      <c r="AG1167" s="27">
        <f>SUM(AG1141:AG1166)</f>
        <v>3</v>
      </c>
      <c r="AH1167" s="19">
        <f t="shared" si="785"/>
        <v>19</v>
      </c>
      <c r="AI1167" s="25">
        <f>SUM(AI1141:AI1166)</f>
        <v>0</v>
      </c>
      <c r="AJ1167" s="26">
        <f>SUM(AJ1141:AJ1166)</f>
        <v>0</v>
      </c>
      <c r="AK1167" s="26">
        <f>SUM(AK1141:AK1166)</f>
        <v>0</v>
      </c>
      <c r="AL1167" s="26">
        <f>SUM(AL1141:AL1166)</f>
        <v>0</v>
      </c>
      <c r="AM1167" s="27">
        <f>SUM(AM1141:AM1166)</f>
        <v>0</v>
      </c>
      <c r="AN1167" s="25">
        <f t="shared" si="786"/>
        <v>0</v>
      </c>
      <c r="AO1167" s="65">
        <f>SUM(AO1141:AO1166)</f>
        <v>0</v>
      </c>
      <c r="AP1167" s="18">
        <f>SUM(AP1141:AP1166)</f>
        <v>1</v>
      </c>
      <c r="AQ1167" s="18">
        <f>SUM(AQ1141:AQ1166)</f>
        <v>1</v>
      </c>
      <c r="AR1167" s="18">
        <f>SUM(AR1141:AR1166)</f>
        <v>0</v>
      </c>
      <c r="AS1167" s="70">
        <f>SUM(AS1141:AS1166)</f>
        <v>0</v>
      </c>
      <c r="AT1167" s="49">
        <f t="shared" si="787"/>
        <v>2</v>
      </c>
      <c r="AU1167" s="74">
        <f>SUM(AU1141:AU1166)</f>
        <v>0</v>
      </c>
      <c r="AV1167" s="18">
        <f>SUM(AV1141:AV1166)</f>
        <v>0</v>
      </c>
      <c r="AW1167" s="18">
        <f>SUM(AW1141:AW1166)</f>
        <v>0</v>
      </c>
      <c r="AX1167" s="18">
        <f>SUM(AX1141:AX1166)</f>
        <v>0</v>
      </c>
      <c r="AY1167" s="70">
        <f>SUM(AY1141:AY1166)</f>
        <v>3</v>
      </c>
      <c r="AZ1167" s="49">
        <f t="shared" si="788"/>
        <v>3</v>
      </c>
      <c r="BA1167" s="77">
        <f t="shared" si="775"/>
        <v>24</v>
      </c>
    </row>
    <row r="1168" spans="1:54" ht="15" thickBot="1" x14ac:dyDescent="0.2">
      <c r="A1168" s="32" t="s">
        <v>14</v>
      </c>
      <c r="B1168" s="29">
        <f t="shared" ref="B1168:Y1168" si="789">B1140-B1167</f>
        <v>3</v>
      </c>
      <c r="C1168" s="30">
        <f t="shared" si="789"/>
        <v>4</v>
      </c>
      <c r="D1168" s="30">
        <f t="shared" si="789"/>
        <v>4</v>
      </c>
      <c r="E1168" s="30">
        <f t="shared" si="789"/>
        <v>5</v>
      </c>
      <c r="F1168" s="31">
        <f t="shared" si="789"/>
        <v>4</v>
      </c>
      <c r="G1168" s="31">
        <f t="shared" si="789"/>
        <v>20</v>
      </c>
      <c r="H1168" s="29">
        <f t="shared" si="789"/>
        <v>4</v>
      </c>
      <c r="I1168" s="30">
        <f t="shared" si="789"/>
        <v>5</v>
      </c>
      <c r="J1168" s="30">
        <f t="shared" si="789"/>
        <v>4</v>
      </c>
      <c r="K1168" s="30">
        <f t="shared" si="789"/>
        <v>4</v>
      </c>
      <c r="L1168" s="31">
        <f t="shared" si="789"/>
        <v>4</v>
      </c>
      <c r="M1168" s="66">
        <f t="shared" si="789"/>
        <v>21</v>
      </c>
      <c r="N1168" s="29">
        <f t="shared" si="789"/>
        <v>3</v>
      </c>
      <c r="O1168" s="30">
        <f t="shared" si="789"/>
        <v>4</v>
      </c>
      <c r="P1168" s="30">
        <f t="shared" si="789"/>
        <v>1</v>
      </c>
      <c r="Q1168" s="30">
        <f t="shared" si="789"/>
        <v>3</v>
      </c>
      <c r="R1168" s="66">
        <f t="shared" si="789"/>
        <v>3</v>
      </c>
      <c r="S1168" s="33">
        <f t="shared" si="789"/>
        <v>14</v>
      </c>
      <c r="T1168" s="75">
        <f t="shared" si="789"/>
        <v>6</v>
      </c>
      <c r="U1168" s="30">
        <f t="shared" si="789"/>
        <v>4</v>
      </c>
      <c r="V1168" s="30">
        <f t="shared" si="789"/>
        <v>3</v>
      </c>
      <c r="W1168" s="30">
        <f t="shared" si="789"/>
        <v>2</v>
      </c>
      <c r="X1168" s="66">
        <f t="shared" si="789"/>
        <v>4</v>
      </c>
      <c r="Y1168" s="33">
        <f t="shared" si="789"/>
        <v>19</v>
      </c>
      <c r="Z1168" s="77">
        <f>G1168+M1168+S1168+Y1168</f>
        <v>74</v>
      </c>
      <c r="AB1168" s="32" t="s">
        <v>14</v>
      </c>
      <c r="AC1168" s="29">
        <f t="shared" ref="AC1168:AZ1168" si="790">AC1140-AC1167</f>
        <v>88</v>
      </c>
      <c r="AD1168" s="30">
        <f t="shared" si="790"/>
        <v>103</v>
      </c>
      <c r="AE1168" s="30">
        <f t="shared" si="790"/>
        <v>114</v>
      </c>
      <c r="AF1168" s="30">
        <f t="shared" si="790"/>
        <v>87</v>
      </c>
      <c r="AG1168" s="31">
        <f t="shared" si="790"/>
        <v>70</v>
      </c>
      <c r="AH1168" s="31">
        <f t="shared" si="790"/>
        <v>462</v>
      </c>
      <c r="AI1168" s="29">
        <f t="shared" si="790"/>
        <v>80</v>
      </c>
      <c r="AJ1168" s="30">
        <f t="shared" si="790"/>
        <v>90</v>
      </c>
      <c r="AK1168" s="30">
        <f t="shared" si="790"/>
        <v>102</v>
      </c>
      <c r="AL1168" s="30">
        <f t="shared" si="790"/>
        <v>84</v>
      </c>
      <c r="AM1168" s="31">
        <f t="shared" si="790"/>
        <v>95</v>
      </c>
      <c r="AN1168" s="66">
        <f t="shared" si="790"/>
        <v>451</v>
      </c>
      <c r="AO1168" s="29">
        <f t="shared" si="790"/>
        <v>156</v>
      </c>
      <c r="AP1168" s="30">
        <f t="shared" si="790"/>
        <v>121</v>
      </c>
      <c r="AQ1168" s="30">
        <f t="shared" si="790"/>
        <v>125</v>
      </c>
      <c r="AR1168" s="30">
        <f t="shared" si="790"/>
        <v>134</v>
      </c>
      <c r="AS1168" s="66">
        <f t="shared" si="790"/>
        <v>146</v>
      </c>
      <c r="AT1168" s="33">
        <f t="shared" si="790"/>
        <v>682</v>
      </c>
      <c r="AU1168" s="75">
        <f t="shared" si="790"/>
        <v>115</v>
      </c>
      <c r="AV1168" s="30">
        <f t="shared" si="790"/>
        <v>68</v>
      </c>
      <c r="AW1168" s="30">
        <f t="shared" si="790"/>
        <v>54</v>
      </c>
      <c r="AX1168" s="30">
        <f t="shared" si="790"/>
        <v>54</v>
      </c>
      <c r="AY1168" s="66">
        <f t="shared" si="790"/>
        <v>92</v>
      </c>
      <c r="AZ1168" s="33">
        <f t="shared" si="790"/>
        <v>383</v>
      </c>
      <c r="BA1168" s="77">
        <f t="shared" si="775"/>
        <v>1978</v>
      </c>
    </row>
    <row r="1171" spans="1:54" ht="19.5" thickBot="1" x14ac:dyDescent="0.25">
      <c r="A1171" s="1" t="s">
        <v>15</v>
      </c>
      <c r="AB1171" s="1" t="s">
        <v>16</v>
      </c>
    </row>
    <row r="1172" spans="1:54" ht="15" thickBot="1" x14ac:dyDescent="0.2">
      <c r="A1172" s="4"/>
      <c r="B1172" s="245" t="s">
        <v>17</v>
      </c>
      <c r="C1172" s="246"/>
      <c r="D1172" s="246"/>
      <c r="E1172" s="246"/>
      <c r="F1172" s="246"/>
      <c r="G1172" s="247"/>
      <c r="H1172" s="245" t="s">
        <v>18</v>
      </c>
      <c r="I1172" s="246"/>
      <c r="J1172" s="246"/>
      <c r="K1172" s="246"/>
      <c r="L1172" s="246"/>
      <c r="M1172" s="247"/>
      <c r="N1172" s="248" t="s">
        <v>27</v>
      </c>
      <c r="O1172" s="249"/>
      <c r="P1172" s="249"/>
      <c r="Q1172" s="249"/>
      <c r="R1172" s="249"/>
      <c r="S1172" s="250"/>
      <c r="T1172" s="248" t="s">
        <v>28</v>
      </c>
      <c r="U1172" s="249"/>
      <c r="V1172" s="249"/>
      <c r="W1172" s="249"/>
      <c r="X1172" s="249"/>
      <c r="Y1172" s="250"/>
      <c r="Z1172" s="251" t="s">
        <v>1</v>
      </c>
      <c r="AB1172" s="4"/>
      <c r="AC1172" s="253" t="s">
        <v>17</v>
      </c>
      <c r="AD1172" s="249"/>
      <c r="AE1172" s="249"/>
      <c r="AF1172" s="249"/>
      <c r="AG1172" s="249"/>
      <c r="AH1172" s="250"/>
      <c r="AI1172" s="248" t="s">
        <v>18</v>
      </c>
      <c r="AJ1172" s="249"/>
      <c r="AK1172" s="249"/>
      <c r="AL1172" s="249"/>
      <c r="AM1172" s="249"/>
      <c r="AN1172" s="250"/>
      <c r="AO1172" s="248" t="s">
        <v>27</v>
      </c>
      <c r="AP1172" s="249"/>
      <c r="AQ1172" s="249"/>
      <c r="AR1172" s="249"/>
      <c r="AS1172" s="249"/>
      <c r="AT1172" s="250"/>
      <c r="AU1172" s="248" t="s">
        <v>28</v>
      </c>
      <c r="AV1172" s="249"/>
      <c r="AW1172" s="249"/>
      <c r="AX1172" s="249"/>
      <c r="AY1172" s="249"/>
      <c r="AZ1172" s="250"/>
      <c r="BA1172" s="243" t="s">
        <v>1</v>
      </c>
    </row>
    <row r="1173" spans="1:54" ht="15" thickBot="1" x14ac:dyDescent="0.2">
      <c r="A1173" s="9" t="s">
        <v>2</v>
      </c>
      <c r="B1173" s="6" t="s">
        <v>3</v>
      </c>
      <c r="C1173" s="7" t="s">
        <v>4</v>
      </c>
      <c r="D1173" s="7" t="s">
        <v>5</v>
      </c>
      <c r="E1173" s="48" t="s">
        <v>20</v>
      </c>
      <c r="F1173" s="8" t="s">
        <v>21</v>
      </c>
      <c r="G1173" s="5" t="s">
        <v>6</v>
      </c>
      <c r="H1173" s="6" t="s">
        <v>3</v>
      </c>
      <c r="I1173" s="7" t="s">
        <v>4</v>
      </c>
      <c r="J1173" s="7" t="s">
        <v>5</v>
      </c>
      <c r="K1173" s="48" t="s">
        <v>20</v>
      </c>
      <c r="L1173" s="8" t="s">
        <v>21</v>
      </c>
      <c r="M1173" s="5" t="s">
        <v>6</v>
      </c>
      <c r="N1173" s="6" t="s">
        <v>3</v>
      </c>
      <c r="O1173" s="7" t="s">
        <v>4</v>
      </c>
      <c r="P1173" s="7" t="s">
        <v>5</v>
      </c>
      <c r="Q1173" s="48" t="s">
        <v>20</v>
      </c>
      <c r="R1173" s="8" t="s">
        <v>21</v>
      </c>
      <c r="S1173" s="5" t="s">
        <v>6</v>
      </c>
      <c r="T1173" s="7" t="s">
        <v>3</v>
      </c>
      <c r="U1173" s="7" t="s">
        <v>4</v>
      </c>
      <c r="V1173" s="7" t="s">
        <v>5</v>
      </c>
      <c r="W1173" s="48" t="s">
        <v>20</v>
      </c>
      <c r="X1173" s="109" t="s">
        <v>21</v>
      </c>
      <c r="Y1173" s="62" t="s">
        <v>6</v>
      </c>
      <c r="Z1173" s="252"/>
      <c r="AB1173" s="9" t="s">
        <v>2</v>
      </c>
      <c r="AC1173" s="6" t="s">
        <v>3</v>
      </c>
      <c r="AD1173" s="7" t="s">
        <v>4</v>
      </c>
      <c r="AE1173" s="7" t="s">
        <v>5</v>
      </c>
      <c r="AF1173" s="48" t="s">
        <v>20</v>
      </c>
      <c r="AG1173" s="8" t="s">
        <v>21</v>
      </c>
      <c r="AH1173" s="5" t="s">
        <v>6</v>
      </c>
      <c r="AI1173" s="6" t="s">
        <v>3</v>
      </c>
      <c r="AJ1173" s="7" t="s">
        <v>4</v>
      </c>
      <c r="AK1173" s="7" t="s">
        <v>5</v>
      </c>
      <c r="AL1173" s="48" t="s">
        <v>20</v>
      </c>
      <c r="AM1173" s="8" t="s">
        <v>21</v>
      </c>
      <c r="AN1173" s="5" t="s">
        <v>6</v>
      </c>
      <c r="AO1173" s="6" t="s">
        <v>3</v>
      </c>
      <c r="AP1173" s="7" t="s">
        <v>4</v>
      </c>
      <c r="AQ1173" s="7" t="s">
        <v>5</v>
      </c>
      <c r="AR1173" s="48" t="s">
        <v>20</v>
      </c>
      <c r="AS1173" s="8" t="s">
        <v>21</v>
      </c>
      <c r="AT1173" s="5" t="s">
        <v>6</v>
      </c>
      <c r="AU1173" s="7" t="s">
        <v>3</v>
      </c>
      <c r="AV1173" s="7" t="s">
        <v>4</v>
      </c>
      <c r="AW1173" s="7" t="s">
        <v>5</v>
      </c>
      <c r="AX1173" s="48" t="s">
        <v>20</v>
      </c>
      <c r="AY1173" s="109" t="s">
        <v>21</v>
      </c>
      <c r="AZ1173" s="62" t="s">
        <v>6</v>
      </c>
      <c r="BA1173" s="244"/>
    </row>
    <row r="1174" spans="1:54" ht="14.25" x14ac:dyDescent="0.15">
      <c r="A1174" s="103" t="s">
        <v>43</v>
      </c>
      <c r="B1174" s="104">
        <f>B1168</f>
        <v>3</v>
      </c>
      <c r="C1174" s="105">
        <f>C1168</f>
        <v>4</v>
      </c>
      <c r="D1174" s="105">
        <f>D1168</f>
        <v>4</v>
      </c>
      <c r="E1174" s="105">
        <f>E1168</f>
        <v>5</v>
      </c>
      <c r="F1174" s="105">
        <f>F1168</f>
        <v>4</v>
      </c>
      <c r="G1174" s="106">
        <f t="shared" ref="G1174" si="791">SUM(B1174:F1174)</f>
        <v>20</v>
      </c>
      <c r="H1174" s="104">
        <f>H1168</f>
        <v>4</v>
      </c>
      <c r="I1174" s="105">
        <f>I1168</f>
        <v>5</v>
      </c>
      <c r="J1174" s="105">
        <f>J1168</f>
        <v>4</v>
      </c>
      <c r="K1174" s="105">
        <f>K1168</f>
        <v>4</v>
      </c>
      <c r="L1174" s="105">
        <f>L1168</f>
        <v>4</v>
      </c>
      <c r="M1174" s="107">
        <f t="shared" ref="M1174:M1179" si="792">SUM(H1174:L1174)</f>
        <v>21</v>
      </c>
      <c r="N1174" s="104">
        <f>N1168</f>
        <v>3</v>
      </c>
      <c r="O1174" s="105">
        <f>O1168</f>
        <v>4</v>
      </c>
      <c r="P1174" s="105">
        <f>P1168</f>
        <v>1</v>
      </c>
      <c r="Q1174" s="105">
        <f>Q1168</f>
        <v>3</v>
      </c>
      <c r="R1174" s="105">
        <f>R1168</f>
        <v>3</v>
      </c>
      <c r="S1174" s="108">
        <f t="shared" ref="S1174:S1203" si="793">SUM(N1174:R1174)</f>
        <v>14</v>
      </c>
      <c r="T1174" s="104">
        <f>T1168</f>
        <v>6</v>
      </c>
      <c r="U1174" s="105">
        <f>U1168</f>
        <v>4</v>
      </c>
      <c r="V1174" s="105">
        <f>V1168</f>
        <v>3</v>
      </c>
      <c r="W1174" s="105">
        <f>W1168</f>
        <v>2</v>
      </c>
      <c r="X1174" s="105">
        <f>X1168</f>
        <v>4</v>
      </c>
      <c r="Y1174" s="106">
        <f t="shared" ref="Y1174:Y1203" si="794">SUM(T1174:X1174)</f>
        <v>19</v>
      </c>
      <c r="Z1174" s="106">
        <f t="shared" ref="Z1174:Z1203" si="795">G1174+M1174+S1174+Y1174</f>
        <v>74</v>
      </c>
      <c r="AB1174" s="103" t="s">
        <v>43</v>
      </c>
      <c r="AC1174" s="104">
        <f>AC1168</f>
        <v>88</v>
      </c>
      <c r="AD1174" s="105">
        <f>AD1168</f>
        <v>103</v>
      </c>
      <c r="AE1174" s="105">
        <f>AE1168</f>
        <v>114</v>
      </c>
      <c r="AF1174" s="105">
        <f>AF1168</f>
        <v>87</v>
      </c>
      <c r="AG1174" s="105">
        <f>AG1168</f>
        <v>70</v>
      </c>
      <c r="AH1174" s="106">
        <f>SUM(AC1174:AG1174)</f>
        <v>462</v>
      </c>
      <c r="AI1174" s="104">
        <f>AI1168</f>
        <v>80</v>
      </c>
      <c r="AJ1174" s="105">
        <f>AJ1168</f>
        <v>90</v>
      </c>
      <c r="AK1174" s="105">
        <f>AK1168</f>
        <v>102</v>
      </c>
      <c r="AL1174" s="105">
        <f>AL1168</f>
        <v>84</v>
      </c>
      <c r="AM1174" s="105">
        <f>AM1168</f>
        <v>95</v>
      </c>
      <c r="AN1174" s="107">
        <f>SUM(AI1174:AM1174)</f>
        <v>451</v>
      </c>
      <c r="AO1174" s="104">
        <f>AO1168</f>
        <v>156</v>
      </c>
      <c r="AP1174" s="105">
        <f>AP1168</f>
        <v>121</v>
      </c>
      <c r="AQ1174" s="105">
        <f>AQ1168</f>
        <v>125</v>
      </c>
      <c r="AR1174" s="105">
        <f>AR1168</f>
        <v>134</v>
      </c>
      <c r="AS1174" s="105">
        <f>AS1168</f>
        <v>146</v>
      </c>
      <c r="AT1174" s="108">
        <f>SUM(AO1174:AS1174)</f>
        <v>682</v>
      </c>
      <c r="AU1174" s="104">
        <f>AU1168</f>
        <v>115</v>
      </c>
      <c r="AV1174" s="105">
        <f>AV1168</f>
        <v>68</v>
      </c>
      <c r="AW1174" s="105">
        <f>AW1168</f>
        <v>54</v>
      </c>
      <c r="AX1174" s="105">
        <f>AX1168</f>
        <v>54</v>
      </c>
      <c r="AY1174" s="105">
        <f>AY1168</f>
        <v>92</v>
      </c>
      <c r="AZ1174" s="106">
        <f>SUM(AU1174:AY1174)</f>
        <v>383</v>
      </c>
      <c r="BA1174" s="106">
        <f>AH1174+AN1174+AT1174+AZ1174</f>
        <v>1978</v>
      </c>
    </row>
    <row r="1175" spans="1:54" ht="14.25" x14ac:dyDescent="0.15">
      <c r="A1175" s="10" t="s">
        <v>181</v>
      </c>
      <c r="B1175" s="14"/>
      <c r="C1175" s="15"/>
      <c r="D1175" s="15"/>
      <c r="E1175" s="15"/>
      <c r="F1175" s="15"/>
      <c r="G1175" s="16">
        <f t="shared" ref="G1175:G1176" si="796">SUM(B1175:F1175)</f>
        <v>0</v>
      </c>
      <c r="H1175" s="14"/>
      <c r="I1175" s="15"/>
      <c r="J1175" s="15"/>
      <c r="K1175" s="15"/>
      <c r="L1175" s="15"/>
      <c r="M1175" s="57">
        <f t="shared" si="792"/>
        <v>0</v>
      </c>
      <c r="N1175" s="14"/>
      <c r="O1175" s="55"/>
      <c r="P1175" s="55">
        <v>2</v>
      </c>
      <c r="Q1175" s="55"/>
      <c r="R1175" s="67"/>
      <c r="S1175" s="24">
        <f t="shared" si="793"/>
        <v>2</v>
      </c>
      <c r="T1175" s="15"/>
      <c r="U1175" s="55"/>
      <c r="V1175" s="55"/>
      <c r="W1175" s="55">
        <v>2</v>
      </c>
      <c r="X1175" s="67"/>
      <c r="Y1175" s="24">
        <f t="shared" si="794"/>
        <v>2</v>
      </c>
      <c r="Z1175" s="24">
        <f t="shared" si="795"/>
        <v>4</v>
      </c>
      <c r="AA1175" s="83">
        <v>45035</v>
      </c>
      <c r="AB1175" s="10" t="s">
        <v>597</v>
      </c>
      <c r="AC1175" s="14">
        <v>34</v>
      </c>
      <c r="AD1175" s="15">
        <v>9</v>
      </c>
      <c r="AE1175" s="15"/>
      <c r="AF1175" s="15"/>
      <c r="AG1175" s="15"/>
      <c r="AH1175" s="43">
        <f t="shared" ref="AH1175" si="797">SUM(AC1175:AG1175)</f>
        <v>43</v>
      </c>
      <c r="AI1175" s="14">
        <v>14</v>
      </c>
      <c r="AJ1175" s="15">
        <v>5</v>
      </c>
      <c r="AK1175" s="15"/>
      <c r="AL1175" s="15"/>
      <c r="AM1175" s="15"/>
      <c r="AN1175" s="43">
        <f t="shared" ref="AN1175" si="798">SUM(AI1175:AM1175)</f>
        <v>19</v>
      </c>
      <c r="AO1175" s="14"/>
      <c r="AP1175" s="55"/>
      <c r="AQ1175" s="55"/>
      <c r="AR1175" s="55"/>
      <c r="AS1175" s="67"/>
      <c r="AT1175" s="24">
        <f t="shared" ref="AT1175" si="799">SUM(AO1175:AS1175)</f>
        <v>0</v>
      </c>
      <c r="AU1175" s="15"/>
      <c r="AV1175" s="55"/>
      <c r="AW1175" s="55"/>
      <c r="AX1175" s="55"/>
      <c r="AY1175" s="67"/>
      <c r="AZ1175" s="24">
        <f t="shared" ref="AZ1175" si="800">SUM(AU1175:AY1175)</f>
        <v>0</v>
      </c>
      <c r="BA1175" s="24">
        <f t="shared" ref="BA1175" si="801">AH1175+AN1175+AT1175+AZ1175</f>
        <v>62</v>
      </c>
      <c r="BB1175" s="83">
        <v>45043</v>
      </c>
    </row>
    <row r="1176" spans="1:54" ht="14.25" x14ac:dyDescent="0.15">
      <c r="A1176" s="10" t="s">
        <v>181</v>
      </c>
      <c r="B1176" s="14"/>
      <c r="C1176" s="15"/>
      <c r="D1176" s="15">
        <v>2</v>
      </c>
      <c r="E1176" s="15"/>
      <c r="F1176" s="15"/>
      <c r="G1176" s="16">
        <f t="shared" si="796"/>
        <v>2</v>
      </c>
      <c r="H1176" s="14"/>
      <c r="I1176" s="15"/>
      <c r="J1176" s="15"/>
      <c r="K1176" s="15"/>
      <c r="L1176" s="15"/>
      <c r="M1176" s="57">
        <f t="shared" si="792"/>
        <v>0</v>
      </c>
      <c r="N1176" s="14"/>
      <c r="O1176" s="55"/>
      <c r="P1176" s="55"/>
      <c r="Q1176" s="55"/>
      <c r="R1176" s="67">
        <v>2</v>
      </c>
      <c r="S1176" s="24">
        <f t="shared" si="793"/>
        <v>2</v>
      </c>
      <c r="T1176" s="15"/>
      <c r="U1176" s="55"/>
      <c r="V1176" s="55"/>
      <c r="W1176" s="55">
        <v>2</v>
      </c>
      <c r="X1176" s="67"/>
      <c r="Y1176" s="24">
        <f t="shared" si="794"/>
        <v>2</v>
      </c>
      <c r="Z1176" s="24">
        <f t="shared" si="795"/>
        <v>6</v>
      </c>
      <c r="AA1176" s="83">
        <v>45037</v>
      </c>
      <c r="AB1176" s="10" t="s">
        <v>181</v>
      </c>
      <c r="AC1176" s="14"/>
      <c r="AD1176" s="15"/>
      <c r="AE1176" s="15"/>
      <c r="AF1176" s="15"/>
      <c r="AG1176" s="15"/>
      <c r="AH1176" s="43">
        <f t="shared" ref="AH1176:AH1189" si="802">SUM(AC1176:AG1176)</f>
        <v>0</v>
      </c>
      <c r="AI1176" s="14"/>
      <c r="AJ1176" s="15"/>
      <c r="AK1176" s="15"/>
      <c r="AL1176" s="15"/>
      <c r="AM1176" s="15"/>
      <c r="AN1176" s="43">
        <f t="shared" ref="AN1176:AN1189" si="803">SUM(AI1176:AM1176)</f>
        <v>0</v>
      </c>
      <c r="AO1176" s="14"/>
      <c r="AP1176" s="55"/>
      <c r="AQ1176" s="55"/>
      <c r="AR1176" s="55"/>
      <c r="AS1176" s="67"/>
      <c r="AT1176" s="24">
        <f t="shared" ref="AT1176:AT1189" si="804">SUM(AO1176:AS1176)</f>
        <v>0</v>
      </c>
      <c r="AU1176" s="15"/>
      <c r="AV1176" s="55"/>
      <c r="AW1176" s="55"/>
      <c r="AX1176" s="55"/>
      <c r="AY1176" s="67"/>
      <c r="AZ1176" s="24">
        <f t="shared" ref="AZ1176:AZ1189" si="805">SUM(AU1176:AY1176)</f>
        <v>0</v>
      </c>
      <c r="BA1176" s="24">
        <f t="shared" ref="BA1176:BA1189" si="806">AH1176+AN1176+AT1176+AZ1176</f>
        <v>0</v>
      </c>
      <c r="BB1176" s="128"/>
    </row>
    <row r="1177" spans="1:54" ht="14.25" x14ac:dyDescent="0.15">
      <c r="A1177" s="10" t="s">
        <v>587</v>
      </c>
      <c r="B1177" s="14">
        <v>34</v>
      </c>
      <c r="C1177" s="15">
        <v>9</v>
      </c>
      <c r="D1177" s="15"/>
      <c r="E1177" s="15"/>
      <c r="F1177" s="15"/>
      <c r="G1177" s="16">
        <f t="shared" ref="G1177:G1205" si="807">SUM(B1177:F1177)</f>
        <v>43</v>
      </c>
      <c r="H1177" s="14">
        <v>14</v>
      </c>
      <c r="I1177" s="15">
        <v>5</v>
      </c>
      <c r="J1177" s="15"/>
      <c r="K1177" s="15"/>
      <c r="L1177" s="15"/>
      <c r="M1177" s="57">
        <f t="shared" si="792"/>
        <v>19</v>
      </c>
      <c r="N1177" s="14"/>
      <c r="O1177" s="55"/>
      <c r="P1177" s="55"/>
      <c r="Q1177" s="55"/>
      <c r="R1177" s="67"/>
      <c r="S1177" s="24">
        <f t="shared" si="793"/>
        <v>0</v>
      </c>
      <c r="T1177" s="15"/>
      <c r="U1177" s="55"/>
      <c r="V1177" s="55"/>
      <c r="W1177" s="55"/>
      <c r="X1177" s="67"/>
      <c r="Y1177" s="24">
        <f t="shared" si="794"/>
        <v>0</v>
      </c>
      <c r="Z1177" s="24">
        <f t="shared" si="795"/>
        <v>62</v>
      </c>
      <c r="AA1177" s="83">
        <v>45038</v>
      </c>
      <c r="AB1177" s="10" t="s">
        <v>181</v>
      </c>
      <c r="AC1177" s="14"/>
      <c r="AD1177" s="15"/>
      <c r="AE1177" s="15"/>
      <c r="AF1177" s="15"/>
      <c r="AG1177" s="15"/>
      <c r="AH1177" s="43">
        <f t="shared" si="802"/>
        <v>0</v>
      </c>
      <c r="AI1177" s="14"/>
      <c r="AJ1177" s="15"/>
      <c r="AK1177" s="15"/>
      <c r="AL1177" s="15"/>
      <c r="AM1177" s="15"/>
      <c r="AN1177" s="43">
        <f t="shared" si="803"/>
        <v>0</v>
      </c>
      <c r="AO1177" s="14"/>
      <c r="AP1177" s="55"/>
      <c r="AQ1177" s="55"/>
      <c r="AR1177" s="55"/>
      <c r="AS1177" s="67"/>
      <c r="AT1177" s="24">
        <f t="shared" si="804"/>
        <v>0</v>
      </c>
      <c r="AU1177" s="15"/>
      <c r="AV1177" s="55"/>
      <c r="AW1177" s="55"/>
      <c r="AX1177" s="55"/>
      <c r="AY1177" s="67"/>
      <c r="AZ1177" s="24">
        <f t="shared" si="805"/>
        <v>0</v>
      </c>
      <c r="BA1177" s="24">
        <f t="shared" si="806"/>
        <v>0</v>
      </c>
      <c r="BB1177" s="128"/>
    </row>
    <row r="1178" spans="1:54" ht="15" thickBot="1" x14ac:dyDescent="0.2">
      <c r="A1178" s="10" t="s">
        <v>181</v>
      </c>
      <c r="B1178" s="14"/>
      <c r="C1178" s="15"/>
      <c r="D1178" s="15"/>
      <c r="E1178" s="15"/>
      <c r="F1178" s="15">
        <v>3</v>
      </c>
      <c r="G1178" s="16">
        <f t="shared" si="807"/>
        <v>3</v>
      </c>
      <c r="H1178" s="14"/>
      <c r="I1178" s="15"/>
      <c r="J1178" s="15"/>
      <c r="K1178" s="15"/>
      <c r="L1178" s="15"/>
      <c r="M1178" s="57">
        <f t="shared" si="792"/>
        <v>0</v>
      </c>
      <c r="N1178" s="198">
        <v>3</v>
      </c>
      <c r="O1178" s="199"/>
      <c r="P1178" s="199">
        <v>3</v>
      </c>
      <c r="Q1178" s="199"/>
      <c r="R1178" s="200"/>
      <c r="S1178" s="178">
        <f t="shared" si="793"/>
        <v>6</v>
      </c>
      <c r="T1178" s="201"/>
      <c r="U1178" s="199"/>
      <c r="V1178" s="199">
        <v>5</v>
      </c>
      <c r="W1178" s="199">
        <v>3</v>
      </c>
      <c r="X1178" s="200"/>
      <c r="Y1178" s="178">
        <f t="shared" si="794"/>
        <v>8</v>
      </c>
      <c r="Z1178" s="178">
        <f t="shared" si="795"/>
        <v>17</v>
      </c>
      <c r="AA1178" s="83">
        <v>45043</v>
      </c>
      <c r="AB1178" s="10" t="s">
        <v>181</v>
      </c>
      <c r="AC1178" s="14"/>
      <c r="AD1178" s="15"/>
      <c r="AE1178" s="15"/>
      <c r="AF1178" s="15"/>
      <c r="AG1178" s="15"/>
      <c r="AH1178" s="43">
        <f t="shared" si="802"/>
        <v>0</v>
      </c>
      <c r="AI1178" s="14"/>
      <c r="AJ1178" s="15"/>
      <c r="AK1178" s="15"/>
      <c r="AL1178" s="15"/>
      <c r="AM1178" s="15"/>
      <c r="AN1178" s="43">
        <f t="shared" si="803"/>
        <v>0</v>
      </c>
      <c r="AO1178" s="14"/>
      <c r="AP1178" s="55"/>
      <c r="AQ1178" s="55"/>
      <c r="AR1178" s="55"/>
      <c r="AS1178" s="67"/>
      <c r="AT1178" s="24">
        <f t="shared" si="804"/>
        <v>0</v>
      </c>
      <c r="AU1178" s="15"/>
      <c r="AV1178" s="55"/>
      <c r="AW1178" s="55"/>
      <c r="AX1178" s="55"/>
      <c r="AY1178" s="67"/>
      <c r="AZ1178" s="24">
        <f t="shared" si="805"/>
        <v>0</v>
      </c>
      <c r="BA1178" s="24">
        <f t="shared" si="806"/>
        <v>0</v>
      </c>
      <c r="BB1178" s="128"/>
    </row>
    <row r="1179" spans="1:54" ht="15" thickBot="1" x14ac:dyDescent="0.2">
      <c r="A1179" s="4" t="s">
        <v>12</v>
      </c>
      <c r="B1179" s="17">
        <f>SUM(B1174:B1178)</f>
        <v>37</v>
      </c>
      <c r="C1179" s="18">
        <f>SUM(C1174:C1178)</f>
        <v>13</v>
      </c>
      <c r="D1179" s="18">
        <f>SUM(D1174:D1178)</f>
        <v>6</v>
      </c>
      <c r="E1179" s="18">
        <f>SUM(E1174:E1178)</f>
        <v>5</v>
      </c>
      <c r="F1179" s="18">
        <f>SUM(F1174:F1178)</f>
        <v>7</v>
      </c>
      <c r="G1179" s="148">
        <f t="shared" si="807"/>
        <v>68</v>
      </c>
      <c r="H1179" s="17">
        <f>SUM(H1174:H1178)</f>
        <v>18</v>
      </c>
      <c r="I1179" s="18">
        <f>SUM(I1174:I1178)</f>
        <v>10</v>
      </c>
      <c r="J1179" s="18">
        <f>SUM(J1174:J1178)</f>
        <v>4</v>
      </c>
      <c r="K1179" s="18">
        <f>SUM(K1174:K1178)</f>
        <v>4</v>
      </c>
      <c r="L1179" s="18">
        <f>SUM(L1174:L1178)</f>
        <v>4</v>
      </c>
      <c r="M1179" s="17">
        <f t="shared" si="792"/>
        <v>40</v>
      </c>
      <c r="N1179" s="65">
        <f>SUM(N1174:N1178)</f>
        <v>6</v>
      </c>
      <c r="O1179" s="18">
        <f>SUM(O1174:O1178)</f>
        <v>4</v>
      </c>
      <c r="P1179" s="18">
        <f>SUM(P1174:P1178)</f>
        <v>6</v>
      </c>
      <c r="Q1179" s="18">
        <f>SUM(Q1174:Q1178)</f>
        <v>3</v>
      </c>
      <c r="R1179" s="70">
        <f>SUM(R1174:R1178)</f>
        <v>5</v>
      </c>
      <c r="S1179" s="49">
        <f t="shared" si="793"/>
        <v>24</v>
      </c>
      <c r="T1179" s="74">
        <f>SUM(T1174:T1178)</f>
        <v>6</v>
      </c>
      <c r="U1179" s="18">
        <f>SUM(U1174:U1178)</f>
        <v>4</v>
      </c>
      <c r="V1179" s="18">
        <f>SUM(V1174:V1178)</f>
        <v>8</v>
      </c>
      <c r="W1179" s="18">
        <f>SUM(W1174:W1178)</f>
        <v>9</v>
      </c>
      <c r="X1179" s="70">
        <f>SUM(X1174:X1178)</f>
        <v>4</v>
      </c>
      <c r="Y1179" s="49">
        <f t="shared" si="794"/>
        <v>31</v>
      </c>
      <c r="Z1179" s="33">
        <f t="shared" si="795"/>
        <v>163</v>
      </c>
      <c r="AB1179" s="4" t="s">
        <v>12</v>
      </c>
      <c r="AC1179" s="17">
        <f>SUM(AC1174:AC1178)</f>
        <v>122</v>
      </c>
      <c r="AD1179" s="18">
        <f>SUM(AD1174:AD1178)</f>
        <v>112</v>
      </c>
      <c r="AE1179" s="18">
        <f>SUM(AE1174:AE1178)</f>
        <v>114</v>
      </c>
      <c r="AF1179" s="18">
        <f>SUM(AF1174:AF1178)</f>
        <v>87</v>
      </c>
      <c r="AG1179" s="18">
        <f>SUM(AG1174:AG1178)</f>
        <v>70</v>
      </c>
      <c r="AH1179" s="148">
        <f t="shared" si="802"/>
        <v>505</v>
      </c>
      <c r="AI1179" s="17">
        <f>SUM(AI1174:AI1178)</f>
        <v>94</v>
      </c>
      <c r="AJ1179" s="18">
        <f>SUM(AJ1174:AJ1178)</f>
        <v>95</v>
      </c>
      <c r="AK1179" s="18">
        <f>SUM(AK1174:AK1178)</f>
        <v>102</v>
      </c>
      <c r="AL1179" s="18">
        <f>SUM(AL1174:AL1178)</f>
        <v>84</v>
      </c>
      <c r="AM1179" s="18">
        <f>SUM(AM1174:AM1178)</f>
        <v>95</v>
      </c>
      <c r="AN1179" s="148">
        <f t="shared" si="803"/>
        <v>470</v>
      </c>
      <c r="AO1179" s="65">
        <f>SUM(AO1174:AO1178)</f>
        <v>156</v>
      </c>
      <c r="AP1179" s="18">
        <f>SUM(AP1174:AP1178)</f>
        <v>121</v>
      </c>
      <c r="AQ1179" s="18">
        <f>SUM(AQ1174:AQ1178)</f>
        <v>125</v>
      </c>
      <c r="AR1179" s="18">
        <f>SUM(AR1174:AR1178)</f>
        <v>134</v>
      </c>
      <c r="AS1179" s="70">
        <f>SUM(AS1174:AS1178)</f>
        <v>146</v>
      </c>
      <c r="AT1179" s="49">
        <f t="shared" si="804"/>
        <v>682</v>
      </c>
      <c r="AU1179" s="74">
        <f>SUM(AU1174:AU1178)</f>
        <v>115</v>
      </c>
      <c r="AV1179" s="18">
        <f>SUM(AV1174:AV1178)</f>
        <v>68</v>
      </c>
      <c r="AW1179" s="18">
        <f>SUM(AW1174:AW1178)</f>
        <v>54</v>
      </c>
      <c r="AX1179" s="18">
        <f>SUM(AX1174:AX1178)</f>
        <v>54</v>
      </c>
      <c r="AY1179" s="70">
        <f>SUM(AY1174:AY1178)</f>
        <v>92</v>
      </c>
      <c r="AZ1179" s="49">
        <f t="shared" si="805"/>
        <v>383</v>
      </c>
      <c r="BA1179" s="33">
        <f t="shared" si="806"/>
        <v>2040</v>
      </c>
    </row>
    <row r="1180" spans="1:54" ht="14.25" x14ac:dyDescent="0.15">
      <c r="A1180" s="23" t="s">
        <v>48</v>
      </c>
      <c r="B1180" s="41"/>
      <c r="C1180" s="42"/>
      <c r="D1180" s="42"/>
      <c r="E1180" s="42">
        <v>1</v>
      </c>
      <c r="F1180" s="42"/>
      <c r="G1180" s="43">
        <f t="shared" ref="G1180:G1203" si="808">SUM(B1180:F1180)</f>
        <v>1</v>
      </c>
      <c r="H1180" s="41"/>
      <c r="I1180" s="42"/>
      <c r="J1180" s="42"/>
      <c r="K1180" s="42"/>
      <c r="L1180" s="42"/>
      <c r="M1180" s="43">
        <f t="shared" ref="M1180:M1203" si="809">SUM(H1180:L1180)</f>
        <v>0</v>
      </c>
      <c r="N1180" s="42"/>
      <c r="O1180" s="53"/>
      <c r="P1180" s="53"/>
      <c r="Q1180" s="53"/>
      <c r="R1180" s="72"/>
      <c r="S1180" s="24">
        <f t="shared" si="793"/>
        <v>0</v>
      </c>
      <c r="T1180" s="42"/>
      <c r="U1180" s="53">
        <v>1</v>
      </c>
      <c r="V1180" s="53"/>
      <c r="W1180" s="53">
        <v>1</v>
      </c>
      <c r="X1180" s="72"/>
      <c r="Y1180" s="24">
        <f t="shared" si="794"/>
        <v>2</v>
      </c>
      <c r="Z1180" s="24">
        <f t="shared" si="795"/>
        <v>3</v>
      </c>
      <c r="AA1180" s="83">
        <v>45033</v>
      </c>
      <c r="AB1180" s="23" t="s">
        <v>438</v>
      </c>
      <c r="AC1180" s="41"/>
      <c r="AD1180" s="42">
        <v>3</v>
      </c>
      <c r="AE1180" s="42"/>
      <c r="AF1180" s="42"/>
      <c r="AG1180" s="42"/>
      <c r="AH1180" s="43">
        <f t="shared" ref="AH1180:AH1182" si="810">SUM(AC1180:AG1180)</f>
        <v>3</v>
      </c>
      <c r="AI1180" s="41"/>
      <c r="AJ1180" s="42"/>
      <c r="AK1180" s="42"/>
      <c r="AL1180" s="42"/>
      <c r="AM1180" s="42"/>
      <c r="AN1180" s="43">
        <f t="shared" ref="AN1180:AN1182" si="811">SUM(AI1180:AM1180)</f>
        <v>0</v>
      </c>
      <c r="AO1180" s="42">
        <v>1</v>
      </c>
      <c r="AP1180" s="53"/>
      <c r="AQ1180" s="53"/>
      <c r="AR1180" s="53">
        <v>1</v>
      </c>
      <c r="AS1180" s="72"/>
      <c r="AT1180" s="24">
        <f t="shared" ref="AT1180:AT1182" si="812">SUM(AO1180:AS1180)</f>
        <v>2</v>
      </c>
      <c r="AU1180" s="42"/>
      <c r="AV1180" s="53"/>
      <c r="AW1180" s="53"/>
      <c r="AX1180" s="53"/>
      <c r="AY1180" s="72"/>
      <c r="AZ1180" s="24">
        <f t="shared" ref="AZ1180:AZ1182" si="813">SUM(AU1180:AY1180)</f>
        <v>0</v>
      </c>
      <c r="BA1180" s="24">
        <f t="shared" ref="BA1180:BA1183" si="814">AH1180+AN1180+AT1180+AZ1180</f>
        <v>5</v>
      </c>
      <c r="BB1180" s="83">
        <v>45035</v>
      </c>
    </row>
    <row r="1181" spans="1:54" ht="14.25" x14ac:dyDescent="0.15">
      <c r="A1181" s="23" t="s">
        <v>48</v>
      </c>
      <c r="B1181" s="41"/>
      <c r="C1181" s="42"/>
      <c r="D1181" s="42">
        <v>1</v>
      </c>
      <c r="E1181" s="42"/>
      <c r="F1181" s="42"/>
      <c r="G1181" s="43">
        <f t="shared" si="808"/>
        <v>1</v>
      </c>
      <c r="H1181" s="41"/>
      <c r="I1181" s="42"/>
      <c r="J1181" s="42"/>
      <c r="K1181" s="42"/>
      <c r="L1181" s="42"/>
      <c r="M1181" s="43">
        <f t="shared" si="809"/>
        <v>0</v>
      </c>
      <c r="N1181" s="42"/>
      <c r="O1181" s="53"/>
      <c r="P1181" s="53"/>
      <c r="Q1181" s="53"/>
      <c r="R1181" s="72">
        <v>1</v>
      </c>
      <c r="S1181" s="24">
        <f t="shared" si="793"/>
        <v>1</v>
      </c>
      <c r="T1181" s="42"/>
      <c r="U1181" s="53"/>
      <c r="V1181" s="53"/>
      <c r="W1181" s="53"/>
      <c r="X1181" s="72"/>
      <c r="Y1181" s="24">
        <f t="shared" si="794"/>
        <v>0</v>
      </c>
      <c r="Z1181" s="24">
        <f t="shared" si="795"/>
        <v>2</v>
      </c>
      <c r="AA1181" s="83">
        <v>45035</v>
      </c>
      <c r="AB1181" s="23" t="s">
        <v>126</v>
      </c>
      <c r="AC1181" s="41"/>
      <c r="AD1181" s="42"/>
      <c r="AE1181" s="42"/>
      <c r="AF1181" s="42"/>
      <c r="AG1181" s="42"/>
      <c r="AH1181" s="43">
        <f t="shared" ref="AH1181" si="815">SUM(AC1181:AG1181)</f>
        <v>0</v>
      </c>
      <c r="AI1181" s="41"/>
      <c r="AJ1181" s="42"/>
      <c r="AK1181" s="42"/>
      <c r="AL1181" s="42"/>
      <c r="AM1181" s="42"/>
      <c r="AN1181" s="43">
        <f t="shared" ref="AN1181" si="816">SUM(AI1181:AM1181)</f>
        <v>0</v>
      </c>
      <c r="AO1181" s="42"/>
      <c r="AP1181" s="53"/>
      <c r="AQ1181" s="53">
        <v>2</v>
      </c>
      <c r="AR1181" s="53"/>
      <c r="AS1181" s="72"/>
      <c r="AT1181" s="24">
        <f t="shared" ref="AT1181" si="817">SUM(AO1181:AS1181)</f>
        <v>2</v>
      </c>
      <c r="AU1181" s="42"/>
      <c r="AV1181" s="53"/>
      <c r="AW1181" s="53"/>
      <c r="AX1181" s="53">
        <v>2</v>
      </c>
      <c r="AY1181" s="72"/>
      <c r="AZ1181" s="24">
        <f t="shared" ref="AZ1181" si="818">SUM(AU1181:AY1181)</f>
        <v>2</v>
      </c>
      <c r="BA1181" s="24">
        <f t="shared" si="814"/>
        <v>4</v>
      </c>
      <c r="BB1181" s="83">
        <v>45035</v>
      </c>
    </row>
    <row r="1182" spans="1:54" ht="14.25" x14ac:dyDescent="0.15">
      <c r="A1182" s="23" t="s">
        <v>438</v>
      </c>
      <c r="B1182" s="41"/>
      <c r="C1182" s="42"/>
      <c r="D1182" s="42">
        <v>1</v>
      </c>
      <c r="E1182" s="42"/>
      <c r="F1182" s="42">
        <v>1</v>
      </c>
      <c r="G1182" s="43">
        <f t="shared" si="808"/>
        <v>2</v>
      </c>
      <c r="H1182" s="41"/>
      <c r="I1182" s="42"/>
      <c r="J1182" s="42"/>
      <c r="K1182" s="42"/>
      <c r="L1182" s="42"/>
      <c r="M1182" s="43">
        <f t="shared" si="809"/>
        <v>0</v>
      </c>
      <c r="N1182" s="42"/>
      <c r="O1182" s="53"/>
      <c r="P1182" s="53"/>
      <c r="Q1182" s="53"/>
      <c r="R1182" s="72"/>
      <c r="S1182" s="24">
        <f t="shared" si="793"/>
        <v>0</v>
      </c>
      <c r="T1182" s="42"/>
      <c r="U1182" s="53"/>
      <c r="V1182" s="53"/>
      <c r="W1182" s="53">
        <v>2</v>
      </c>
      <c r="X1182" s="72"/>
      <c r="Y1182" s="24">
        <f t="shared" si="794"/>
        <v>2</v>
      </c>
      <c r="Z1182" s="24">
        <f t="shared" si="795"/>
        <v>4</v>
      </c>
      <c r="AA1182" s="83">
        <v>45037</v>
      </c>
      <c r="AB1182" s="23" t="s">
        <v>438</v>
      </c>
      <c r="AC1182" s="41"/>
      <c r="AD1182" s="42"/>
      <c r="AE1182" s="42">
        <v>3</v>
      </c>
      <c r="AF1182" s="42">
        <v>1</v>
      </c>
      <c r="AG1182" s="42">
        <v>1</v>
      </c>
      <c r="AH1182" s="43">
        <f t="shared" si="810"/>
        <v>5</v>
      </c>
      <c r="AI1182" s="41"/>
      <c r="AJ1182" s="42"/>
      <c r="AK1182" s="42"/>
      <c r="AL1182" s="42"/>
      <c r="AM1182" s="42"/>
      <c r="AN1182" s="43">
        <f t="shared" si="811"/>
        <v>0</v>
      </c>
      <c r="AO1182" s="42"/>
      <c r="AP1182" s="53"/>
      <c r="AQ1182" s="53"/>
      <c r="AR1182" s="53"/>
      <c r="AS1182" s="72"/>
      <c r="AT1182" s="24">
        <f t="shared" si="812"/>
        <v>0</v>
      </c>
      <c r="AU1182" s="42"/>
      <c r="AV1182" s="53"/>
      <c r="AW1182" s="53"/>
      <c r="AX1182" s="53"/>
      <c r="AY1182" s="72"/>
      <c r="AZ1182" s="24">
        <f t="shared" si="813"/>
        <v>0</v>
      </c>
      <c r="BA1182" s="24">
        <f t="shared" si="814"/>
        <v>5</v>
      </c>
      <c r="BB1182" s="83">
        <v>45036</v>
      </c>
    </row>
    <row r="1183" spans="1:54" ht="14.25" x14ac:dyDescent="0.15">
      <c r="A1183" s="23" t="s">
        <v>438</v>
      </c>
      <c r="B1183" s="41"/>
      <c r="C1183" s="42"/>
      <c r="D1183" s="42"/>
      <c r="E1183" s="42"/>
      <c r="F1183" s="42"/>
      <c r="G1183" s="43">
        <f t="shared" si="808"/>
        <v>0</v>
      </c>
      <c r="H1183" s="41"/>
      <c r="I1183" s="42"/>
      <c r="J1183" s="42"/>
      <c r="K1183" s="42"/>
      <c r="L1183" s="42"/>
      <c r="M1183" s="43">
        <f t="shared" si="809"/>
        <v>0</v>
      </c>
      <c r="N1183" s="42"/>
      <c r="O1183" s="53"/>
      <c r="P1183" s="53"/>
      <c r="Q1183" s="53"/>
      <c r="R1183" s="72"/>
      <c r="S1183" s="24">
        <f t="shared" si="793"/>
        <v>0</v>
      </c>
      <c r="T1183" s="42"/>
      <c r="U1183" s="53"/>
      <c r="V1183" s="53">
        <v>1</v>
      </c>
      <c r="W1183" s="53"/>
      <c r="X1183" s="72"/>
      <c r="Y1183" s="24">
        <f t="shared" si="794"/>
        <v>1</v>
      </c>
      <c r="Z1183" s="24">
        <f t="shared" si="795"/>
        <v>1</v>
      </c>
      <c r="AA1183" s="83">
        <v>45040</v>
      </c>
      <c r="AB1183" s="23" t="s">
        <v>126</v>
      </c>
      <c r="AC1183" s="41"/>
      <c r="AD1183" s="42"/>
      <c r="AE1183" s="42">
        <v>2</v>
      </c>
      <c r="AF1183" s="42"/>
      <c r="AG1183" s="42"/>
      <c r="AH1183" s="43">
        <f t="shared" ref="AH1183" si="819">SUM(AC1183:AG1183)</f>
        <v>2</v>
      </c>
      <c r="AI1183" s="41"/>
      <c r="AJ1183" s="42"/>
      <c r="AK1183" s="42"/>
      <c r="AL1183" s="42"/>
      <c r="AM1183" s="42"/>
      <c r="AN1183" s="43">
        <f t="shared" ref="AN1183" si="820">SUM(AI1183:AM1183)</f>
        <v>0</v>
      </c>
      <c r="AO1183" s="42"/>
      <c r="AP1183" s="53"/>
      <c r="AQ1183" s="53"/>
      <c r="AR1183" s="53"/>
      <c r="AS1183" s="72">
        <v>2</v>
      </c>
      <c r="AT1183" s="24">
        <f t="shared" ref="AT1183" si="821">SUM(AO1183:AS1183)</f>
        <v>2</v>
      </c>
      <c r="AU1183" s="42"/>
      <c r="AV1183" s="53"/>
      <c r="AW1183" s="53"/>
      <c r="AX1183" s="53">
        <v>2</v>
      </c>
      <c r="AY1183" s="72"/>
      <c r="AZ1183" s="24">
        <f t="shared" ref="AZ1183" si="822">SUM(AU1183:AY1183)</f>
        <v>2</v>
      </c>
      <c r="BA1183" s="24">
        <f t="shared" si="814"/>
        <v>6</v>
      </c>
      <c r="BB1183" s="83">
        <v>45037</v>
      </c>
    </row>
    <row r="1184" spans="1:54" ht="14.25" x14ac:dyDescent="0.15">
      <c r="A1184" s="23" t="s">
        <v>48</v>
      </c>
      <c r="B1184" s="41"/>
      <c r="C1184" s="42"/>
      <c r="D1184" s="42"/>
      <c r="E1184" s="42">
        <v>1</v>
      </c>
      <c r="F1184" s="42"/>
      <c r="G1184" s="43">
        <f t="shared" si="808"/>
        <v>1</v>
      </c>
      <c r="H1184" s="41"/>
      <c r="I1184" s="42"/>
      <c r="J1184" s="42"/>
      <c r="K1184" s="42"/>
      <c r="L1184" s="42"/>
      <c r="M1184" s="43">
        <f t="shared" si="809"/>
        <v>0</v>
      </c>
      <c r="N1184" s="42"/>
      <c r="O1184" s="53"/>
      <c r="P1184" s="53"/>
      <c r="Q1184" s="53"/>
      <c r="R1184" s="72"/>
      <c r="S1184" s="24">
        <f t="shared" si="793"/>
        <v>0</v>
      </c>
      <c r="T1184" s="42"/>
      <c r="U1184" s="53"/>
      <c r="V1184" s="53">
        <v>1</v>
      </c>
      <c r="W1184" s="53"/>
      <c r="X1184" s="72"/>
      <c r="Y1184" s="24">
        <f t="shared" si="794"/>
        <v>1</v>
      </c>
      <c r="Z1184" s="24">
        <f t="shared" si="795"/>
        <v>2</v>
      </c>
      <c r="AA1184" s="83">
        <v>45037</v>
      </c>
      <c r="AB1184" s="23" t="s">
        <v>438</v>
      </c>
      <c r="AC1184" s="41"/>
      <c r="AD1184" s="42"/>
      <c r="AE1184" s="42"/>
      <c r="AF1184" s="42"/>
      <c r="AG1184" s="42"/>
      <c r="AH1184" s="43">
        <f t="shared" si="802"/>
        <v>0</v>
      </c>
      <c r="AI1184" s="41"/>
      <c r="AJ1184" s="42"/>
      <c r="AK1184" s="42"/>
      <c r="AL1184" s="42"/>
      <c r="AM1184" s="42"/>
      <c r="AN1184" s="43">
        <f t="shared" si="803"/>
        <v>0</v>
      </c>
      <c r="AO1184" s="42"/>
      <c r="AP1184" s="53"/>
      <c r="AQ1184" s="53"/>
      <c r="AR1184" s="53"/>
      <c r="AS1184" s="72"/>
      <c r="AT1184" s="24">
        <f t="shared" si="804"/>
        <v>0</v>
      </c>
      <c r="AU1184" s="42"/>
      <c r="AV1184" s="53"/>
      <c r="AW1184" s="53">
        <v>2</v>
      </c>
      <c r="AX1184" s="53">
        <v>1</v>
      </c>
      <c r="AY1184" s="72"/>
      <c r="AZ1184" s="24">
        <f t="shared" si="805"/>
        <v>3</v>
      </c>
      <c r="BA1184" s="24">
        <f t="shared" si="806"/>
        <v>3</v>
      </c>
      <c r="BB1184" s="83">
        <v>45042</v>
      </c>
    </row>
    <row r="1185" spans="1:54" ht="14.25" x14ac:dyDescent="0.15">
      <c r="A1185" s="23" t="s">
        <v>438</v>
      </c>
      <c r="B1185" s="41"/>
      <c r="C1185" s="42"/>
      <c r="D1185" s="42"/>
      <c r="E1185" s="42"/>
      <c r="F1185" s="42"/>
      <c r="G1185" s="43">
        <f t="shared" si="808"/>
        <v>0</v>
      </c>
      <c r="H1185" s="41"/>
      <c r="I1185" s="42"/>
      <c r="J1185" s="42"/>
      <c r="K1185" s="42"/>
      <c r="L1185" s="42"/>
      <c r="M1185" s="43">
        <f t="shared" si="809"/>
        <v>0</v>
      </c>
      <c r="N1185" s="42"/>
      <c r="O1185" s="53"/>
      <c r="P1185" s="53"/>
      <c r="Q1185" s="53"/>
      <c r="R1185" s="72"/>
      <c r="S1185" s="24">
        <f t="shared" si="793"/>
        <v>0</v>
      </c>
      <c r="T1185" s="42"/>
      <c r="U1185" s="53"/>
      <c r="V1185" s="53"/>
      <c r="W1185" s="53"/>
      <c r="X1185" s="72">
        <v>1</v>
      </c>
      <c r="Y1185" s="24">
        <f t="shared" si="794"/>
        <v>1</v>
      </c>
      <c r="Z1185" s="24">
        <f t="shared" si="795"/>
        <v>1</v>
      </c>
      <c r="AA1185" s="83">
        <v>45041</v>
      </c>
      <c r="AB1185" s="23" t="s">
        <v>126</v>
      </c>
      <c r="AC1185" s="41"/>
      <c r="AD1185" s="42"/>
      <c r="AE1185" s="42"/>
      <c r="AF1185" s="42"/>
      <c r="AG1185" s="42">
        <v>3</v>
      </c>
      <c r="AH1185" s="43">
        <f t="shared" si="802"/>
        <v>3</v>
      </c>
      <c r="AI1185" s="41"/>
      <c r="AJ1185" s="42"/>
      <c r="AK1185" s="42"/>
      <c r="AL1185" s="42"/>
      <c r="AM1185" s="42"/>
      <c r="AN1185" s="43">
        <f t="shared" si="803"/>
        <v>0</v>
      </c>
      <c r="AO1185" s="42">
        <v>3</v>
      </c>
      <c r="AP1185" s="53"/>
      <c r="AQ1185" s="53">
        <v>3</v>
      </c>
      <c r="AR1185" s="53"/>
      <c r="AS1185" s="72"/>
      <c r="AT1185" s="24">
        <f t="shared" si="804"/>
        <v>6</v>
      </c>
      <c r="AU1185" s="42"/>
      <c r="AV1185" s="53"/>
      <c r="AW1185" s="53">
        <v>5</v>
      </c>
      <c r="AX1185" s="53">
        <v>3</v>
      </c>
      <c r="AY1185" s="72"/>
      <c r="AZ1185" s="24">
        <f t="shared" si="805"/>
        <v>8</v>
      </c>
      <c r="BA1185" s="24">
        <f t="shared" si="806"/>
        <v>17</v>
      </c>
      <c r="BB1185" s="83">
        <v>45043</v>
      </c>
    </row>
    <row r="1186" spans="1:54" ht="14.25" x14ac:dyDescent="0.15">
      <c r="A1186" s="23" t="s">
        <v>592</v>
      </c>
      <c r="B1186" s="41"/>
      <c r="C1186" s="42"/>
      <c r="D1186" s="42"/>
      <c r="E1186" s="42"/>
      <c r="F1186" s="42"/>
      <c r="G1186" s="43">
        <f t="shared" si="808"/>
        <v>0</v>
      </c>
      <c r="H1186" s="41"/>
      <c r="I1186" s="42"/>
      <c r="J1186" s="42"/>
      <c r="K1186" s="42"/>
      <c r="L1186" s="42"/>
      <c r="M1186" s="43">
        <f t="shared" si="809"/>
        <v>0</v>
      </c>
      <c r="N1186" s="42"/>
      <c r="O1186" s="53"/>
      <c r="P1186" s="53"/>
      <c r="Q1186" s="53"/>
      <c r="R1186" s="72"/>
      <c r="S1186" s="24">
        <f t="shared" si="793"/>
        <v>0</v>
      </c>
      <c r="T1186" s="42"/>
      <c r="U1186" s="53">
        <v>-1</v>
      </c>
      <c r="V1186" s="53"/>
      <c r="W1186" s="53">
        <v>1</v>
      </c>
      <c r="X1186" s="72"/>
      <c r="Y1186" s="24">
        <f t="shared" si="794"/>
        <v>0</v>
      </c>
      <c r="Z1186" s="24">
        <f t="shared" si="795"/>
        <v>0</v>
      </c>
      <c r="AA1186" s="83">
        <v>45040</v>
      </c>
      <c r="AB1186" s="23" t="s">
        <v>599</v>
      </c>
      <c r="AC1186" s="41"/>
      <c r="AD1186" s="42"/>
      <c r="AE1186" s="42">
        <v>2</v>
      </c>
      <c r="AF1186" s="42"/>
      <c r="AG1186" s="42"/>
      <c r="AH1186" s="43">
        <f t="shared" si="802"/>
        <v>2</v>
      </c>
      <c r="AI1186" s="41"/>
      <c r="AJ1186" s="42"/>
      <c r="AK1186" s="42"/>
      <c r="AL1186" s="42"/>
      <c r="AM1186" s="42"/>
      <c r="AN1186" s="43">
        <f t="shared" si="803"/>
        <v>0</v>
      </c>
      <c r="AO1186" s="42"/>
      <c r="AP1186" s="53"/>
      <c r="AQ1186" s="53"/>
      <c r="AR1186" s="53"/>
      <c r="AS1186" s="72"/>
      <c r="AT1186" s="24">
        <f t="shared" si="804"/>
        <v>0</v>
      </c>
      <c r="AU1186" s="42"/>
      <c r="AV1186" s="53"/>
      <c r="AW1186" s="53"/>
      <c r="AX1186" s="53"/>
      <c r="AY1186" s="72"/>
      <c r="AZ1186" s="24">
        <f t="shared" si="805"/>
        <v>0</v>
      </c>
      <c r="BA1186" s="24">
        <f t="shared" si="806"/>
        <v>2</v>
      </c>
      <c r="BB1186" s="83">
        <v>45055</v>
      </c>
    </row>
    <row r="1187" spans="1:54" ht="14.25" x14ac:dyDescent="0.15">
      <c r="A1187" s="23" t="s">
        <v>48</v>
      </c>
      <c r="B1187" s="41"/>
      <c r="C1187" s="42">
        <v>1</v>
      </c>
      <c r="D1187" s="42"/>
      <c r="E1187" s="42"/>
      <c r="F1187" s="42"/>
      <c r="G1187" s="43">
        <f t="shared" si="808"/>
        <v>1</v>
      </c>
      <c r="H1187" s="41"/>
      <c r="I1187" s="42">
        <v>1</v>
      </c>
      <c r="J1187" s="42">
        <v>1</v>
      </c>
      <c r="K1187" s="42"/>
      <c r="L1187" s="42"/>
      <c r="M1187" s="43">
        <f t="shared" si="809"/>
        <v>2</v>
      </c>
      <c r="N1187" s="42"/>
      <c r="O1187" s="53"/>
      <c r="P1187" s="53"/>
      <c r="Q1187" s="53"/>
      <c r="R1187" s="72"/>
      <c r="S1187" s="24">
        <f t="shared" si="793"/>
        <v>0</v>
      </c>
      <c r="T1187" s="42"/>
      <c r="U1187" s="53"/>
      <c r="V1187" s="53"/>
      <c r="W1187" s="53"/>
      <c r="X1187" s="72"/>
      <c r="Y1187" s="24">
        <f t="shared" si="794"/>
        <v>0</v>
      </c>
      <c r="Z1187" s="24">
        <f>G1187+M1187+S1187+Y1187</f>
        <v>3</v>
      </c>
      <c r="AA1187" s="83">
        <v>45040</v>
      </c>
      <c r="AB1187" s="23" t="s">
        <v>126</v>
      </c>
      <c r="AC1187" s="41">
        <v>2</v>
      </c>
      <c r="AD1187" s="42">
        <v>2</v>
      </c>
      <c r="AE1187" s="42">
        <v>2</v>
      </c>
      <c r="AF1187" s="42">
        <v>2</v>
      </c>
      <c r="AG1187" s="42"/>
      <c r="AH1187" s="43">
        <f t="shared" si="802"/>
        <v>8</v>
      </c>
      <c r="AI1187" s="41"/>
      <c r="AJ1187" s="42"/>
      <c r="AK1187" s="42"/>
      <c r="AL1187" s="42"/>
      <c r="AM1187" s="42"/>
      <c r="AN1187" s="43">
        <f t="shared" si="803"/>
        <v>0</v>
      </c>
      <c r="AO1187" s="42"/>
      <c r="AP1187" s="53">
        <v>2</v>
      </c>
      <c r="AQ1187" s="53"/>
      <c r="AR1187" s="53"/>
      <c r="AS1187" s="72"/>
      <c r="AT1187" s="24">
        <f t="shared" ref="AT1187" si="823">SUM(AO1187:AS1187)</f>
        <v>2</v>
      </c>
      <c r="AU1187" s="42"/>
      <c r="AV1187" s="53"/>
      <c r="AW1187" s="53"/>
      <c r="AX1187" s="53"/>
      <c r="AY1187" s="72"/>
      <c r="AZ1187" s="24">
        <f t="shared" ref="AZ1187" si="824">SUM(AU1187:AY1187)</f>
        <v>0</v>
      </c>
      <c r="BA1187" s="24">
        <f t="shared" si="806"/>
        <v>10</v>
      </c>
      <c r="BB1187" s="83">
        <v>45056</v>
      </c>
    </row>
    <row r="1188" spans="1:54" ht="14.25" x14ac:dyDescent="0.15">
      <c r="A1188" s="23" t="s">
        <v>48</v>
      </c>
      <c r="B1188" s="41"/>
      <c r="C1188" s="42"/>
      <c r="D1188" s="42"/>
      <c r="E1188" s="42"/>
      <c r="F1188" s="42">
        <v>1</v>
      </c>
      <c r="G1188" s="43">
        <f t="shared" si="808"/>
        <v>1</v>
      </c>
      <c r="H1188" s="41"/>
      <c r="I1188" s="42"/>
      <c r="J1188" s="42"/>
      <c r="K1188" s="42"/>
      <c r="L1188" s="42"/>
      <c r="M1188" s="43">
        <f t="shared" si="809"/>
        <v>0</v>
      </c>
      <c r="N1188" s="42"/>
      <c r="O1188" s="53"/>
      <c r="P1188" s="53"/>
      <c r="Q1188" s="53"/>
      <c r="R1188" s="72"/>
      <c r="S1188" s="24">
        <f t="shared" si="793"/>
        <v>0</v>
      </c>
      <c r="T1188" s="42"/>
      <c r="U1188" s="53"/>
      <c r="V1188" s="53"/>
      <c r="W1188" s="53"/>
      <c r="X1188" s="72"/>
      <c r="Y1188" s="24">
        <f t="shared" si="794"/>
        <v>0</v>
      </c>
      <c r="Z1188" s="24">
        <f t="shared" si="795"/>
        <v>1</v>
      </c>
      <c r="AA1188" s="83">
        <v>45041</v>
      </c>
      <c r="AB1188" s="23"/>
      <c r="AC1188" s="41"/>
      <c r="AD1188" s="42"/>
      <c r="AE1188" s="42"/>
      <c r="AF1188" s="42"/>
      <c r="AG1188" s="42"/>
      <c r="AH1188" s="43">
        <f t="shared" si="802"/>
        <v>0</v>
      </c>
      <c r="AI1188" s="41"/>
      <c r="AJ1188" s="42"/>
      <c r="AK1188" s="42"/>
      <c r="AL1188" s="42"/>
      <c r="AM1188" s="42"/>
      <c r="AN1188" s="43">
        <f t="shared" si="803"/>
        <v>0</v>
      </c>
      <c r="AO1188" s="42"/>
      <c r="AP1188" s="53"/>
      <c r="AQ1188" s="53"/>
      <c r="AR1188" s="53"/>
      <c r="AS1188" s="72"/>
      <c r="AT1188" s="24">
        <f t="shared" si="804"/>
        <v>0</v>
      </c>
      <c r="AU1188" s="42"/>
      <c r="AV1188" s="53"/>
      <c r="AW1188" s="53"/>
      <c r="AX1188" s="53"/>
      <c r="AY1188" s="72"/>
      <c r="AZ1188" s="24">
        <f t="shared" si="805"/>
        <v>0</v>
      </c>
      <c r="BA1188" s="24">
        <f t="shared" si="806"/>
        <v>0</v>
      </c>
      <c r="BB1188" s="128"/>
    </row>
    <row r="1189" spans="1:54" ht="14.25" x14ac:dyDescent="0.15">
      <c r="A1189" s="23" t="s">
        <v>438</v>
      </c>
      <c r="B1189" s="41"/>
      <c r="C1189" s="42"/>
      <c r="D1189" s="42"/>
      <c r="E1189" s="42"/>
      <c r="F1189" s="42"/>
      <c r="G1189" s="43">
        <f t="shared" si="808"/>
        <v>0</v>
      </c>
      <c r="H1189" s="41"/>
      <c r="I1189" s="42"/>
      <c r="J1189" s="42"/>
      <c r="K1189" s="42"/>
      <c r="L1189" s="42"/>
      <c r="M1189" s="43">
        <f t="shared" si="809"/>
        <v>0</v>
      </c>
      <c r="N1189" s="42"/>
      <c r="O1189" s="53"/>
      <c r="P1189" s="53">
        <v>2</v>
      </c>
      <c r="Q1189" s="53"/>
      <c r="R1189" s="72"/>
      <c r="S1189" s="24">
        <f t="shared" si="793"/>
        <v>2</v>
      </c>
      <c r="T1189" s="42"/>
      <c r="U1189" s="53"/>
      <c r="V1189" s="53">
        <v>1</v>
      </c>
      <c r="W1189" s="53"/>
      <c r="X1189" s="72"/>
      <c r="Y1189" s="24">
        <f t="shared" si="794"/>
        <v>1</v>
      </c>
      <c r="Z1189" s="24">
        <f t="shared" si="795"/>
        <v>3</v>
      </c>
      <c r="AA1189" s="83">
        <v>45043</v>
      </c>
      <c r="AB1189" s="23"/>
      <c r="AC1189" s="44"/>
      <c r="AD1189" s="45"/>
      <c r="AE1189" s="45"/>
      <c r="AF1189" s="45"/>
      <c r="AG1189" s="45"/>
      <c r="AH1189" s="43">
        <f t="shared" si="802"/>
        <v>0</v>
      </c>
      <c r="AI1189" s="44"/>
      <c r="AJ1189" s="45"/>
      <c r="AK1189" s="45"/>
      <c r="AL1189" s="45"/>
      <c r="AM1189" s="45"/>
      <c r="AN1189" s="43">
        <f t="shared" si="803"/>
        <v>0</v>
      </c>
      <c r="AO1189" s="42"/>
      <c r="AP1189" s="53"/>
      <c r="AQ1189" s="53"/>
      <c r="AR1189" s="53"/>
      <c r="AS1189" s="72"/>
      <c r="AT1189" s="24">
        <f t="shared" si="804"/>
        <v>0</v>
      </c>
      <c r="AU1189" s="42"/>
      <c r="AV1189" s="53"/>
      <c r="AW1189" s="53"/>
      <c r="AX1189" s="53"/>
      <c r="AY1189" s="72"/>
      <c r="AZ1189" s="24">
        <f t="shared" si="805"/>
        <v>0</v>
      </c>
      <c r="BA1189" s="24">
        <f t="shared" si="806"/>
        <v>0</v>
      </c>
      <c r="BB1189" s="128"/>
    </row>
    <row r="1190" spans="1:54" ht="14.25" x14ac:dyDescent="0.15">
      <c r="A1190" s="23" t="s">
        <v>596</v>
      </c>
      <c r="B1190" s="14">
        <v>34</v>
      </c>
      <c r="C1190" s="15">
        <v>9</v>
      </c>
      <c r="D1190" s="15"/>
      <c r="E1190" s="15"/>
      <c r="F1190" s="15"/>
      <c r="G1190" s="16">
        <f t="shared" si="808"/>
        <v>43</v>
      </c>
      <c r="H1190" s="14">
        <v>14</v>
      </c>
      <c r="I1190" s="15">
        <v>5</v>
      </c>
      <c r="J1190" s="15"/>
      <c r="K1190" s="15"/>
      <c r="L1190" s="15"/>
      <c r="M1190" s="57">
        <f t="shared" ref="M1190" si="825">SUM(H1190:L1190)</f>
        <v>19</v>
      </c>
      <c r="N1190" s="14"/>
      <c r="O1190" s="55"/>
      <c r="P1190" s="55"/>
      <c r="Q1190" s="55"/>
      <c r="R1190" s="67"/>
      <c r="S1190" s="24">
        <f t="shared" ref="S1190" si="826">SUM(N1190:R1190)</f>
        <v>0</v>
      </c>
      <c r="T1190" s="15"/>
      <c r="U1190" s="55"/>
      <c r="V1190" s="55"/>
      <c r="W1190" s="55"/>
      <c r="X1190" s="67"/>
      <c r="Y1190" s="24">
        <f t="shared" ref="Y1190" si="827">SUM(T1190:X1190)</f>
        <v>0</v>
      </c>
      <c r="Z1190" s="24">
        <f t="shared" ref="Z1190" si="828">G1190+M1190+S1190+Y1190</f>
        <v>62</v>
      </c>
      <c r="AA1190" s="83">
        <v>45043</v>
      </c>
      <c r="AB1190" s="23"/>
      <c r="AC1190" s="14"/>
      <c r="AD1190" s="15"/>
      <c r="AE1190" s="15"/>
      <c r="AF1190" s="15"/>
      <c r="AG1190" s="15"/>
      <c r="AH1190" s="24">
        <f>SUM(AC1190:AG1190)</f>
        <v>0</v>
      </c>
      <c r="AI1190" s="14"/>
      <c r="AJ1190" s="15"/>
      <c r="AK1190" s="15"/>
      <c r="AL1190" s="15"/>
      <c r="AM1190" s="15"/>
      <c r="AN1190" s="24">
        <f>SUM(AI1190:AM1190)</f>
        <v>0</v>
      </c>
      <c r="AO1190" s="15"/>
      <c r="AP1190" s="55"/>
      <c r="AQ1190" s="55"/>
      <c r="AR1190" s="55"/>
      <c r="AS1190" s="67"/>
      <c r="AT1190" s="24">
        <f>SUM(AO1190:AS1190)</f>
        <v>0</v>
      </c>
      <c r="AU1190" s="15"/>
      <c r="AV1190" s="55"/>
      <c r="AW1190" s="55"/>
      <c r="AX1190" s="55"/>
      <c r="AY1190" s="67"/>
      <c r="AZ1190" s="24">
        <f>SUM(AU1190:AY1190)</f>
        <v>0</v>
      </c>
      <c r="BA1190" s="24">
        <f>AH1190+AN1190+AT1190+AZ1190</f>
        <v>0</v>
      </c>
      <c r="BB1190" s="128"/>
    </row>
    <row r="1191" spans="1:54" ht="14.25" x14ac:dyDescent="0.15">
      <c r="A1191" s="23" t="s">
        <v>48</v>
      </c>
      <c r="B1191" s="41"/>
      <c r="C1191" s="42"/>
      <c r="D1191" s="42"/>
      <c r="E1191" s="42"/>
      <c r="F1191" s="42"/>
      <c r="G1191" s="43">
        <f t="shared" si="808"/>
        <v>0</v>
      </c>
      <c r="H1191" s="41"/>
      <c r="I1191" s="42"/>
      <c r="J1191" s="42"/>
      <c r="K1191" s="42"/>
      <c r="L1191" s="42"/>
      <c r="M1191" s="43">
        <f t="shared" si="809"/>
        <v>0</v>
      </c>
      <c r="N1191" s="42">
        <v>1</v>
      </c>
      <c r="O1191" s="53"/>
      <c r="P1191" s="53"/>
      <c r="Q1191" s="53"/>
      <c r="R1191" s="72"/>
      <c r="S1191" s="24">
        <f t="shared" si="793"/>
        <v>1</v>
      </c>
      <c r="T1191" s="42"/>
      <c r="U1191" s="53"/>
      <c r="V1191" s="53"/>
      <c r="W1191" s="53"/>
      <c r="X1191" s="72"/>
      <c r="Y1191" s="24">
        <f t="shared" si="794"/>
        <v>0</v>
      </c>
      <c r="Z1191" s="24">
        <f t="shared" si="795"/>
        <v>1</v>
      </c>
      <c r="AA1191" s="83">
        <v>45042</v>
      </c>
      <c r="AB1191" s="23"/>
      <c r="AC1191" s="41"/>
      <c r="AD1191" s="42"/>
      <c r="AE1191" s="42"/>
      <c r="AF1191" s="42"/>
      <c r="AG1191" s="42"/>
      <c r="AH1191" s="43">
        <f t="shared" ref="AH1191:AH1193" si="829">SUM(AC1191:AG1191)</f>
        <v>0</v>
      </c>
      <c r="AI1191" s="41"/>
      <c r="AJ1191" s="42"/>
      <c r="AK1191" s="42"/>
      <c r="AL1191" s="42"/>
      <c r="AM1191" s="42"/>
      <c r="AN1191" s="43">
        <f t="shared" ref="AN1191:AN1193" si="830">SUM(AI1191:AM1191)</f>
        <v>0</v>
      </c>
      <c r="AO1191" s="42"/>
      <c r="AP1191" s="53"/>
      <c r="AQ1191" s="53"/>
      <c r="AR1191" s="53"/>
      <c r="AS1191" s="72"/>
      <c r="AT1191" s="24">
        <f t="shared" ref="AT1191:AT1193" si="831">SUM(AO1191:AS1191)</f>
        <v>0</v>
      </c>
      <c r="AU1191" s="42"/>
      <c r="AV1191" s="53"/>
      <c r="AW1191" s="53"/>
      <c r="AX1191" s="53"/>
      <c r="AY1191" s="72"/>
      <c r="AZ1191" s="24">
        <f t="shared" ref="AZ1191:AZ1193" si="832">SUM(AU1191:AY1191)</f>
        <v>0</v>
      </c>
      <c r="BA1191" s="24">
        <f t="shared" ref="BA1191:BA1207" si="833">AH1191+AN1191+AT1191+AZ1191</f>
        <v>0</v>
      </c>
      <c r="BB1191" s="128"/>
    </row>
    <row r="1192" spans="1:54" ht="14.25" x14ac:dyDescent="0.15">
      <c r="A1192" s="23" t="s">
        <v>438</v>
      </c>
      <c r="B1192" s="41"/>
      <c r="C1192" s="42"/>
      <c r="D1192" s="42">
        <v>1</v>
      </c>
      <c r="E1192" s="42"/>
      <c r="F1192" s="42"/>
      <c r="G1192" s="43">
        <f t="shared" si="808"/>
        <v>1</v>
      </c>
      <c r="H1192" s="41"/>
      <c r="I1192" s="42"/>
      <c r="J1192" s="42"/>
      <c r="K1192" s="42"/>
      <c r="L1192" s="42"/>
      <c r="M1192" s="43">
        <f t="shared" si="809"/>
        <v>0</v>
      </c>
      <c r="N1192" s="42"/>
      <c r="O1192" s="53"/>
      <c r="P1192" s="53"/>
      <c r="Q1192" s="53"/>
      <c r="R1192" s="72"/>
      <c r="S1192" s="24">
        <f t="shared" si="793"/>
        <v>0</v>
      </c>
      <c r="T1192" s="42"/>
      <c r="U1192" s="53"/>
      <c r="V1192" s="53"/>
      <c r="W1192" s="53"/>
      <c r="X1192" s="72"/>
      <c r="Y1192" s="24">
        <f t="shared" si="794"/>
        <v>0</v>
      </c>
      <c r="Z1192" s="24">
        <f t="shared" si="795"/>
        <v>1</v>
      </c>
      <c r="AA1192" s="83">
        <v>45044</v>
      </c>
      <c r="AB1192" s="23"/>
      <c r="AC1192" s="14"/>
      <c r="AD1192" s="15"/>
      <c r="AE1192" s="15"/>
      <c r="AF1192" s="15"/>
      <c r="AG1192" s="15"/>
      <c r="AH1192" s="24">
        <f t="shared" si="829"/>
        <v>0</v>
      </c>
      <c r="AI1192" s="14"/>
      <c r="AJ1192" s="15"/>
      <c r="AK1192" s="15"/>
      <c r="AL1192" s="15"/>
      <c r="AM1192" s="15"/>
      <c r="AN1192" s="185">
        <f t="shared" si="830"/>
        <v>0</v>
      </c>
      <c r="AO1192" s="14"/>
      <c r="AP1192" s="55"/>
      <c r="AQ1192" s="55"/>
      <c r="AR1192" s="55"/>
      <c r="AS1192" s="67"/>
      <c r="AT1192" s="24">
        <f t="shared" si="831"/>
        <v>0</v>
      </c>
      <c r="AU1192" s="15"/>
      <c r="AV1192" s="55"/>
      <c r="AW1192" s="55"/>
      <c r="AX1192" s="55"/>
      <c r="AY1192" s="67"/>
      <c r="AZ1192" s="24">
        <f t="shared" si="832"/>
        <v>0</v>
      </c>
      <c r="BA1192" s="24">
        <f t="shared" si="833"/>
        <v>0</v>
      </c>
      <c r="BB1192" s="128"/>
    </row>
    <row r="1193" spans="1:54" ht="14.25" x14ac:dyDescent="0.15">
      <c r="A1193" s="23" t="s">
        <v>598</v>
      </c>
      <c r="B1193" s="41">
        <v>-1</v>
      </c>
      <c r="C1193" s="42"/>
      <c r="D1193" s="42">
        <v>-1</v>
      </c>
      <c r="E1193" s="42"/>
      <c r="F1193" s="42"/>
      <c r="G1193" s="43">
        <f t="shared" si="808"/>
        <v>-2</v>
      </c>
      <c r="H1193" s="41"/>
      <c r="I1193" s="42"/>
      <c r="J1193" s="42"/>
      <c r="K1193" s="42"/>
      <c r="L1193" s="42"/>
      <c r="M1193" s="43">
        <f t="shared" si="809"/>
        <v>0</v>
      </c>
      <c r="N1193" s="42"/>
      <c r="O1193" s="53"/>
      <c r="P1193" s="53"/>
      <c r="Q1193" s="53"/>
      <c r="R1193" s="72"/>
      <c r="S1193" s="24">
        <f t="shared" si="793"/>
        <v>0</v>
      </c>
      <c r="T1193" s="42"/>
      <c r="U1193" s="53"/>
      <c r="V1193" s="53"/>
      <c r="W1193" s="53"/>
      <c r="X1193" s="72"/>
      <c r="Y1193" s="24">
        <f t="shared" si="794"/>
        <v>0</v>
      </c>
      <c r="Z1193" s="24">
        <f t="shared" si="795"/>
        <v>-2</v>
      </c>
      <c r="AA1193" s="83">
        <v>45043</v>
      </c>
      <c r="AB1193" s="23"/>
      <c r="AC1193" s="38"/>
      <c r="AD1193" s="39"/>
      <c r="AE1193" s="39"/>
      <c r="AF1193" s="39"/>
      <c r="AG1193" s="39"/>
      <c r="AH1193" s="37">
        <f t="shared" si="829"/>
        <v>0</v>
      </c>
      <c r="AI1193" s="38"/>
      <c r="AJ1193" s="39"/>
      <c r="AK1193" s="39"/>
      <c r="AL1193" s="39"/>
      <c r="AM1193" s="39"/>
      <c r="AN1193" s="37">
        <f t="shared" si="830"/>
        <v>0</v>
      </c>
      <c r="AO1193" s="39"/>
      <c r="AP1193" s="56"/>
      <c r="AQ1193" s="56"/>
      <c r="AR1193" s="56"/>
      <c r="AS1193" s="71"/>
      <c r="AT1193" s="16">
        <f t="shared" si="831"/>
        <v>0</v>
      </c>
      <c r="AU1193" s="39"/>
      <c r="AV1193" s="56"/>
      <c r="AW1193" s="56"/>
      <c r="AX1193" s="56"/>
      <c r="AY1193" s="71"/>
      <c r="AZ1193" s="16">
        <f t="shared" si="832"/>
        <v>0</v>
      </c>
      <c r="BA1193" s="16">
        <f t="shared" si="833"/>
        <v>0</v>
      </c>
      <c r="BB1193" s="128"/>
    </row>
    <row r="1194" spans="1:54" ht="14.25" x14ac:dyDescent="0.15">
      <c r="A1194" s="23" t="s">
        <v>48</v>
      </c>
      <c r="B1194" s="41">
        <v>1</v>
      </c>
      <c r="C1194" s="42"/>
      <c r="D1194" s="42"/>
      <c r="E1194" s="42"/>
      <c r="F1194" s="42"/>
      <c r="G1194" s="43">
        <f t="shared" si="808"/>
        <v>1</v>
      </c>
      <c r="H1194" s="41"/>
      <c r="I1194" s="42"/>
      <c r="J1194" s="42"/>
      <c r="K1194" s="42"/>
      <c r="L1194" s="42"/>
      <c r="M1194" s="43">
        <f t="shared" si="809"/>
        <v>0</v>
      </c>
      <c r="N1194" s="42"/>
      <c r="O1194" s="53"/>
      <c r="P1194" s="53"/>
      <c r="Q1194" s="53"/>
      <c r="R1194" s="72"/>
      <c r="S1194" s="24">
        <f t="shared" si="793"/>
        <v>0</v>
      </c>
      <c r="T1194" s="42"/>
      <c r="U1194" s="53"/>
      <c r="V1194" s="53"/>
      <c r="W1194" s="53"/>
      <c r="X1194" s="72"/>
      <c r="Y1194" s="24">
        <f t="shared" si="794"/>
        <v>0</v>
      </c>
      <c r="Z1194" s="24">
        <f t="shared" si="795"/>
        <v>1</v>
      </c>
      <c r="AA1194" s="83">
        <v>45043</v>
      </c>
      <c r="AB1194" s="23"/>
      <c r="AC1194" s="38"/>
      <c r="AD1194" s="39"/>
      <c r="AE1194" s="39"/>
      <c r="AF1194" s="39"/>
      <c r="AG1194" s="39"/>
      <c r="AH1194" s="37">
        <f t="shared" ref="AH1194:AH1205" si="834">SUM(AC1194:AG1194)</f>
        <v>0</v>
      </c>
      <c r="AI1194" s="38"/>
      <c r="AJ1194" s="39"/>
      <c r="AK1194" s="39"/>
      <c r="AL1194" s="39"/>
      <c r="AM1194" s="39"/>
      <c r="AN1194" s="37">
        <f t="shared" ref="AN1194:AN1205" si="835">SUM(AI1194:AM1194)</f>
        <v>0</v>
      </c>
      <c r="AO1194" s="39"/>
      <c r="AP1194" s="56"/>
      <c r="AQ1194" s="56"/>
      <c r="AR1194" s="56"/>
      <c r="AS1194" s="71"/>
      <c r="AT1194" s="16">
        <f t="shared" ref="AT1194:AT1205" si="836">SUM(AO1194:AS1194)</f>
        <v>0</v>
      </c>
      <c r="AU1194" s="39"/>
      <c r="AV1194" s="56"/>
      <c r="AW1194" s="56"/>
      <c r="AX1194" s="56"/>
      <c r="AY1194" s="71"/>
      <c r="AZ1194" s="16">
        <f t="shared" ref="AZ1194:AZ1205" si="837">SUM(AU1194:AY1194)</f>
        <v>0</v>
      </c>
      <c r="BA1194" s="16">
        <f t="shared" ref="BA1194:BA1205" si="838">AH1194+AN1194+AT1194+AZ1194</f>
        <v>0</v>
      </c>
      <c r="BB1194" s="128"/>
    </row>
    <row r="1195" spans="1:54" ht="14.25" x14ac:dyDescent="0.15">
      <c r="A1195" s="23" t="s">
        <v>48</v>
      </c>
      <c r="B1195" s="41"/>
      <c r="C1195" s="42"/>
      <c r="D1195" s="42">
        <v>1</v>
      </c>
      <c r="E1195" s="42"/>
      <c r="F1195" s="42"/>
      <c r="G1195" s="43">
        <f t="shared" si="808"/>
        <v>1</v>
      </c>
      <c r="H1195" s="41"/>
      <c r="I1195" s="42"/>
      <c r="J1195" s="42"/>
      <c r="K1195" s="42"/>
      <c r="L1195" s="42"/>
      <c r="M1195" s="43">
        <f t="shared" si="809"/>
        <v>0</v>
      </c>
      <c r="N1195" s="42"/>
      <c r="O1195" s="53"/>
      <c r="P1195" s="53"/>
      <c r="Q1195" s="53"/>
      <c r="R1195" s="72"/>
      <c r="S1195" s="24">
        <f t="shared" si="793"/>
        <v>0</v>
      </c>
      <c r="T1195" s="42"/>
      <c r="U1195" s="53"/>
      <c r="V1195" s="53"/>
      <c r="W1195" s="53"/>
      <c r="X1195" s="72"/>
      <c r="Y1195" s="24">
        <f t="shared" si="794"/>
        <v>0</v>
      </c>
      <c r="Z1195" s="24">
        <f t="shared" si="795"/>
        <v>1</v>
      </c>
      <c r="AA1195" s="83">
        <v>45044</v>
      </c>
      <c r="AB1195" s="23"/>
      <c r="AC1195" s="38"/>
      <c r="AD1195" s="39"/>
      <c r="AE1195" s="39"/>
      <c r="AF1195" s="39"/>
      <c r="AG1195" s="39"/>
      <c r="AH1195" s="37">
        <f t="shared" si="834"/>
        <v>0</v>
      </c>
      <c r="AI1195" s="38"/>
      <c r="AJ1195" s="39"/>
      <c r="AK1195" s="39"/>
      <c r="AL1195" s="39"/>
      <c r="AM1195" s="39"/>
      <c r="AN1195" s="37">
        <f t="shared" si="835"/>
        <v>0</v>
      </c>
      <c r="AO1195" s="39"/>
      <c r="AP1195" s="56"/>
      <c r="AQ1195" s="56"/>
      <c r="AR1195" s="56"/>
      <c r="AS1195" s="71"/>
      <c r="AT1195" s="16">
        <f t="shared" si="836"/>
        <v>0</v>
      </c>
      <c r="AU1195" s="39"/>
      <c r="AV1195" s="56"/>
      <c r="AW1195" s="56"/>
      <c r="AX1195" s="56"/>
      <c r="AY1195" s="71"/>
      <c r="AZ1195" s="16">
        <f t="shared" si="837"/>
        <v>0</v>
      </c>
      <c r="BA1195" s="16">
        <f t="shared" si="838"/>
        <v>0</v>
      </c>
      <c r="BB1195" s="128"/>
    </row>
    <row r="1196" spans="1:54" ht="14.25" x14ac:dyDescent="0.15">
      <c r="A1196" s="23" t="s">
        <v>438</v>
      </c>
      <c r="B1196" s="41"/>
      <c r="C1196" s="42"/>
      <c r="D1196" s="42"/>
      <c r="E1196" s="42"/>
      <c r="F1196" s="42">
        <v>1</v>
      </c>
      <c r="G1196" s="43">
        <f t="shared" si="808"/>
        <v>1</v>
      </c>
      <c r="H1196" s="41"/>
      <c r="I1196" s="42"/>
      <c r="J1196" s="42"/>
      <c r="K1196" s="42"/>
      <c r="L1196" s="42"/>
      <c r="M1196" s="43">
        <f t="shared" si="809"/>
        <v>0</v>
      </c>
      <c r="N1196" s="42"/>
      <c r="O1196" s="53"/>
      <c r="P1196" s="53"/>
      <c r="Q1196" s="53"/>
      <c r="R1196" s="72"/>
      <c r="S1196" s="24">
        <f t="shared" si="793"/>
        <v>0</v>
      </c>
      <c r="T1196" s="42"/>
      <c r="U1196" s="53"/>
      <c r="V1196" s="53"/>
      <c r="W1196" s="53"/>
      <c r="X1196" s="72"/>
      <c r="Y1196" s="24">
        <f t="shared" si="794"/>
        <v>0</v>
      </c>
      <c r="Z1196" s="24">
        <f t="shared" si="795"/>
        <v>1</v>
      </c>
      <c r="AA1196" s="83">
        <v>45048</v>
      </c>
      <c r="AB1196" s="23"/>
      <c r="AC1196" s="38"/>
      <c r="AD1196" s="39"/>
      <c r="AE1196" s="39"/>
      <c r="AF1196" s="39"/>
      <c r="AG1196" s="39"/>
      <c r="AH1196" s="37">
        <f t="shared" si="834"/>
        <v>0</v>
      </c>
      <c r="AI1196" s="38"/>
      <c r="AJ1196" s="39"/>
      <c r="AK1196" s="39"/>
      <c r="AL1196" s="39"/>
      <c r="AM1196" s="39"/>
      <c r="AN1196" s="37">
        <f t="shared" si="835"/>
        <v>0</v>
      </c>
      <c r="AO1196" s="39"/>
      <c r="AP1196" s="56"/>
      <c r="AQ1196" s="56"/>
      <c r="AR1196" s="56"/>
      <c r="AS1196" s="71"/>
      <c r="AT1196" s="16">
        <f t="shared" si="836"/>
        <v>0</v>
      </c>
      <c r="AU1196" s="39"/>
      <c r="AV1196" s="56"/>
      <c r="AW1196" s="56"/>
      <c r="AX1196" s="56"/>
      <c r="AY1196" s="71"/>
      <c r="AZ1196" s="16">
        <f t="shared" si="837"/>
        <v>0</v>
      </c>
      <c r="BA1196" s="16">
        <f t="shared" si="838"/>
        <v>0</v>
      </c>
      <c r="BB1196" s="128"/>
    </row>
    <row r="1197" spans="1:54" ht="14.25" x14ac:dyDescent="0.15">
      <c r="A1197" s="23" t="s">
        <v>48</v>
      </c>
      <c r="B1197" s="41"/>
      <c r="C1197" s="42"/>
      <c r="D1197" s="42">
        <v>1</v>
      </c>
      <c r="E1197" s="42"/>
      <c r="F1197" s="42"/>
      <c r="G1197" s="43">
        <f t="shared" si="808"/>
        <v>1</v>
      </c>
      <c r="H1197" s="41"/>
      <c r="I1197" s="42"/>
      <c r="J1197" s="42"/>
      <c r="K1197" s="42"/>
      <c r="L1197" s="42"/>
      <c r="M1197" s="43">
        <f t="shared" si="809"/>
        <v>0</v>
      </c>
      <c r="N1197" s="42"/>
      <c r="O1197" s="53"/>
      <c r="P1197" s="53"/>
      <c r="Q1197" s="53"/>
      <c r="R1197" s="72"/>
      <c r="S1197" s="24">
        <f t="shared" si="793"/>
        <v>0</v>
      </c>
      <c r="T1197" s="42"/>
      <c r="U1197" s="53"/>
      <c r="V1197" s="53"/>
      <c r="W1197" s="53"/>
      <c r="X1197" s="72"/>
      <c r="Y1197" s="24">
        <f t="shared" si="794"/>
        <v>0</v>
      </c>
      <c r="Z1197" s="24">
        <f t="shared" si="795"/>
        <v>1</v>
      </c>
      <c r="AA1197" s="83">
        <v>45047</v>
      </c>
      <c r="AB1197" s="23"/>
      <c r="AC1197" s="38"/>
      <c r="AD1197" s="39"/>
      <c r="AE1197" s="39"/>
      <c r="AF1197" s="39"/>
      <c r="AG1197" s="39"/>
      <c r="AH1197" s="37">
        <f t="shared" si="834"/>
        <v>0</v>
      </c>
      <c r="AI1197" s="38"/>
      <c r="AJ1197" s="39"/>
      <c r="AK1197" s="39"/>
      <c r="AL1197" s="39"/>
      <c r="AM1197" s="39"/>
      <c r="AN1197" s="37">
        <f t="shared" si="835"/>
        <v>0</v>
      </c>
      <c r="AO1197" s="39"/>
      <c r="AP1197" s="56"/>
      <c r="AQ1197" s="56"/>
      <c r="AR1197" s="56"/>
      <c r="AS1197" s="71"/>
      <c r="AT1197" s="16">
        <f t="shared" si="836"/>
        <v>0</v>
      </c>
      <c r="AU1197" s="39"/>
      <c r="AV1197" s="56"/>
      <c r="AW1197" s="56"/>
      <c r="AX1197" s="56"/>
      <c r="AY1197" s="71"/>
      <c r="AZ1197" s="16">
        <f t="shared" si="837"/>
        <v>0</v>
      </c>
      <c r="BA1197" s="16">
        <f t="shared" si="838"/>
        <v>0</v>
      </c>
      <c r="BB1197" s="128"/>
    </row>
    <row r="1198" spans="1:54" ht="14.25" x14ac:dyDescent="0.15">
      <c r="A1198" s="23" t="s">
        <v>438</v>
      </c>
      <c r="B1198" s="41"/>
      <c r="C1198" s="42"/>
      <c r="D1198" s="42"/>
      <c r="E1198" s="42"/>
      <c r="F1198" s="42"/>
      <c r="G1198" s="43">
        <f t="shared" si="808"/>
        <v>0</v>
      </c>
      <c r="H1198" s="41"/>
      <c r="I1198" s="42"/>
      <c r="J1198" s="42"/>
      <c r="K1198" s="42"/>
      <c r="L1198" s="42"/>
      <c r="M1198" s="43">
        <f t="shared" si="809"/>
        <v>0</v>
      </c>
      <c r="N1198" s="42"/>
      <c r="O1198" s="53">
        <v>1</v>
      </c>
      <c r="P1198" s="53"/>
      <c r="Q1198" s="53"/>
      <c r="R1198" s="72"/>
      <c r="S1198" s="24">
        <f t="shared" si="793"/>
        <v>1</v>
      </c>
      <c r="T1198" s="42"/>
      <c r="U1198" s="53"/>
      <c r="V1198" s="53"/>
      <c r="W1198" s="53"/>
      <c r="X1198" s="72"/>
      <c r="Y1198" s="24">
        <f t="shared" si="794"/>
        <v>0</v>
      </c>
      <c r="Z1198" s="24">
        <f t="shared" si="795"/>
        <v>1</v>
      </c>
      <c r="AA1198" s="83">
        <v>45054</v>
      </c>
      <c r="AB1198" s="23"/>
      <c r="AC1198" s="38"/>
      <c r="AD1198" s="39"/>
      <c r="AE1198" s="39"/>
      <c r="AF1198" s="39"/>
      <c r="AG1198" s="39"/>
      <c r="AH1198" s="37">
        <f t="shared" si="834"/>
        <v>0</v>
      </c>
      <c r="AI1198" s="38"/>
      <c r="AJ1198" s="39"/>
      <c r="AK1198" s="39"/>
      <c r="AL1198" s="39"/>
      <c r="AM1198" s="39"/>
      <c r="AN1198" s="37">
        <f t="shared" si="835"/>
        <v>0</v>
      </c>
      <c r="AO1198" s="39"/>
      <c r="AP1198" s="56"/>
      <c r="AQ1198" s="56"/>
      <c r="AR1198" s="56"/>
      <c r="AS1198" s="71"/>
      <c r="AT1198" s="16">
        <f t="shared" si="836"/>
        <v>0</v>
      </c>
      <c r="AU1198" s="39"/>
      <c r="AV1198" s="56"/>
      <c r="AW1198" s="56"/>
      <c r="AX1198" s="56"/>
      <c r="AY1198" s="71"/>
      <c r="AZ1198" s="16">
        <f t="shared" si="837"/>
        <v>0</v>
      </c>
      <c r="BA1198" s="16">
        <f t="shared" si="838"/>
        <v>0</v>
      </c>
      <c r="BB1198" s="128"/>
    </row>
    <row r="1199" spans="1:54" ht="14.25" x14ac:dyDescent="0.15">
      <c r="A1199" s="23" t="s">
        <v>48</v>
      </c>
      <c r="B1199" s="41"/>
      <c r="C1199" s="42"/>
      <c r="D1199" s="42"/>
      <c r="E1199" s="42">
        <v>1</v>
      </c>
      <c r="F1199" s="42"/>
      <c r="G1199" s="43">
        <f t="shared" si="808"/>
        <v>1</v>
      </c>
      <c r="H1199" s="41"/>
      <c r="I1199" s="42"/>
      <c r="J1199" s="42"/>
      <c r="K1199" s="42"/>
      <c r="L1199" s="42"/>
      <c r="M1199" s="43">
        <f t="shared" si="809"/>
        <v>0</v>
      </c>
      <c r="N1199" s="42"/>
      <c r="O1199" s="53"/>
      <c r="P1199" s="53"/>
      <c r="Q1199" s="53"/>
      <c r="R1199" s="72"/>
      <c r="S1199" s="24">
        <f t="shared" si="793"/>
        <v>0</v>
      </c>
      <c r="T1199" s="42"/>
      <c r="U1199" s="53"/>
      <c r="V1199" s="53"/>
      <c r="W1199" s="53"/>
      <c r="X1199" s="72"/>
      <c r="Y1199" s="24">
        <f t="shared" si="794"/>
        <v>0</v>
      </c>
      <c r="Z1199" s="24">
        <f t="shared" si="795"/>
        <v>1</v>
      </c>
      <c r="AA1199" s="83">
        <v>45047</v>
      </c>
      <c r="AB1199" s="23"/>
      <c r="AC1199" s="38"/>
      <c r="AD1199" s="39"/>
      <c r="AE1199" s="39"/>
      <c r="AF1199" s="39"/>
      <c r="AG1199" s="39"/>
      <c r="AH1199" s="37">
        <f t="shared" si="834"/>
        <v>0</v>
      </c>
      <c r="AI1199" s="38"/>
      <c r="AJ1199" s="39"/>
      <c r="AK1199" s="39"/>
      <c r="AL1199" s="39"/>
      <c r="AM1199" s="39"/>
      <c r="AN1199" s="37">
        <f t="shared" si="835"/>
        <v>0</v>
      </c>
      <c r="AO1199" s="39"/>
      <c r="AP1199" s="56"/>
      <c r="AQ1199" s="56"/>
      <c r="AR1199" s="56"/>
      <c r="AS1199" s="71"/>
      <c r="AT1199" s="16">
        <f t="shared" si="836"/>
        <v>0</v>
      </c>
      <c r="AU1199" s="39"/>
      <c r="AV1199" s="56"/>
      <c r="AW1199" s="56"/>
      <c r="AX1199" s="56"/>
      <c r="AY1199" s="71"/>
      <c r="AZ1199" s="16">
        <f t="shared" si="837"/>
        <v>0</v>
      </c>
      <c r="BA1199" s="16">
        <f t="shared" si="838"/>
        <v>0</v>
      </c>
      <c r="BB1199" s="128"/>
    </row>
    <row r="1200" spans="1:54" ht="14.25" x14ac:dyDescent="0.15">
      <c r="A1200" s="23" t="s">
        <v>48</v>
      </c>
      <c r="B1200" s="41"/>
      <c r="C1200" s="42"/>
      <c r="D1200" s="42"/>
      <c r="E1200" s="42"/>
      <c r="F1200" s="42"/>
      <c r="G1200" s="43">
        <f t="shared" si="808"/>
        <v>0</v>
      </c>
      <c r="H1200" s="41">
        <v>1</v>
      </c>
      <c r="I1200" s="42"/>
      <c r="J1200" s="42"/>
      <c r="K1200" s="42"/>
      <c r="L1200" s="42"/>
      <c r="M1200" s="43">
        <f t="shared" si="809"/>
        <v>1</v>
      </c>
      <c r="N1200" s="42"/>
      <c r="O1200" s="53"/>
      <c r="P1200" s="53">
        <v>1</v>
      </c>
      <c r="Q1200" s="53"/>
      <c r="R1200" s="72"/>
      <c r="S1200" s="24">
        <f t="shared" si="793"/>
        <v>1</v>
      </c>
      <c r="T1200" s="42">
        <v>1</v>
      </c>
      <c r="U1200" s="53"/>
      <c r="V1200" s="53"/>
      <c r="W1200" s="53"/>
      <c r="X1200" s="72"/>
      <c r="Y1200" s="24">
        <f t="shared" si="794"/>
        <v>1</v>
      </c>
      <c r="Z1200" s="24">
        <f t="shared" si="795"/>
        <v>3</v>
      </c>
      <c r="AA1200" s="83">
        <v>45054</v>
      </c>
      <c r="AB1200" s="23"/>
      <c r="AC1200" s="38"/>
      <c r="AD1200" s="39"/>
      <c r="AE1200" s="39"/>
      <c r="AF1200" s="39"/>
      <c r="AG1200" s="39"/>
      <c r="AH1200" s="37">
        <f t="shared" si="834"/>
        <v>0</v>
      </c>
      <c r="AI1200" s="38"/>
      <c r="AJ1200" s="39"/>
      <c r="AK1200" s="39"/>
      <c r="AL1200" s="39"/>
      <c r="AM1200" s="39"/>
      <c r="AN1200" s="37">
        <f t="shared" si="835"/>
        <v>0</v>
      </c>
      <c r="AO1200" s="39"/>
      <c r="AP1200" s="56"/>
      <c r="AQ1200" s="56"/>
      <c r="AR1200" s="56"/>
      <c r="AS1200" s="71"/>
      <c r="AT1200" s="16">
        <f t="shared" si="836"/>
        <v>0</v>
      </c>
      <c r="AU1200" s="39"/>
      <c r="AV1200" s="56"/>
      <c r="AW1200" s="56"/>
      <c r="AX1200" s="56"/>
      <c r="AY1200" s="71"/>
      <c r="AZ1200" s="16">
        <f t="shared" si="837"/>
        <v>0</v>
      </c>
      <c r="BA1200" s="16">
        <f t="shared" si="838"/>
        <v>0</v>
      </c>
      <c r="BB1200" s="128"/>
    </row>
    <row r="1201" spans="1:54" ht="14.25" x14ac:dyDescent="0.15">
      <c r="A1201" s="23" t="s">
        <v>438</v>
      </c>
      <c r="B1201" s="41"/>
      <c r="C1201" s="42"/>
      <c r="D1201" s="42"/>
      <c r="E1201" s="42"/>
      <c r="F1201" s="42">
        <v>1</v>
      </c>
      <c r="G1201" s="43">
        <f t="shared" si="808"/>
        <v>1</v>
      </c>
      <c r="H1201" s="41"/>
      <c r="I1201" s="42"/>
      <c r="J1201" s="42"/>
      <c r="K1201" s="42"/>
      <c r="L1201" s="42">
        <v>1</v>
      </c>
      <c r="M1201" s="43">
        <f t="shared" si="809"/>
        <v>1</v>
      </c>
      <c r="N1201" s="42"/>
      <c r="O1201" s="53">
        <v>1</v>
      </c>
      <c r="P1201" s="53"/>
      <c r="Q1201" s="53"/>
      <c r="R1201" s="72"/>
      <c r="S1201" s="24">
        <f t="shared" si="793"/>
        <v>1</v>
      </c>
      <c r="T1201" s="42"/>
      <c r="U1201" s="53"/>
      <c r="V1201" s="53"/>
      <c r="W1201" s="53"/>
      <c r="X1201" s="72"/>
      <c r="Y1201" s="24">
        <f t="shared" si="794"/>
        <v>0</v>
      </c>
      <c r="Z1201" s="24">
        <f t="shared" si="795"/>
        <v>3</v>
      </c>
      <c r="AA1201" s="83">
        <v>45056</v>
      </c>
      <c r="AB1201" s="23"/>
      <c r="AC1201" s="38"/>
      <c r="AD1201" s="39"/>
      <c r="AE1201" s="39"/>
      <c r="AF1201" s="39"/>
      <c r="AG1201" s="39"/>
      <c r="AH1201" s="37">
        <f t="shared" si="834"/>
        <v>0</v>
      </c>
      <c r="AI1201" s="38"/>
      <c r="AJ1201" s="39"/>
      <c r="AK1201" s="39"/>
      <c r="AL1201" s="39"/>
      <c r="AM1201" s="39"/>
      <c r="AN1201" s="37">
        <f t="shared" si="835"/>
        <v>0</v>
      </c>
      <c r="AO1201" s="39"/>
      <c r="AP1201" s="56"/>
      <c r="AQ1201" s="56"/>
      <c r="AR1201" s="56"/>
      <c r="AS1201" s="71"/>
      <c r="AT1201" s="16">
        <f t="shared" si="836"/>
        <v>0</v>
      </c>
      <c r="AU1201" s="39"/>
      <c r="AV1201" s="56"/>
      <c r="AW1201" s="56"/>
      <c r="AX1201" s="56"/>
      <c r="AY1201" s="71"/>
      <c r="AZ1201" s="16">
        <f t="shared" si="837"/>
        <v>0</v>
      </c>
      <c r="BA1201" s="16">
        <f t="shared" si="838"/>
        <v>0</v>
      </c>
      <c r="BB1201" s="128"/>
    </row>
    <row r="1202" spans="1:54" ht="14.25" x14ac:dyDescent="0.15">
      <c r="A1202" s="23" t="s">
        <v>600</v>
      </c>
      <c r="B1202" s="41">
        <v>-2</v>
      </c>
      <c r="C1202" s="42">
        <v>-2</v>
      </c>
      <c r="D1202" s="42">
        <v>-2</v>
      </c>
      <c r="E1202" s="42">
        <v>-2</v>
      </c>
      <c r="F1202" s="42"/>
      <c r="G1202" s="43">
        <f t="shared" si="808"/>
        <v>-8</v>
      </c>
      <c r="H1202" s="41"/>
      <c r="I1202" s="42"/>
      <c r="J1202" s="42"/>
      <c r="K1202" s="42"/>
      <c r="L1202" s="42"/>
      <c r="M1202" s="43">
        <f t="shared" si="809"/>
        <v>0</v>
      </c>
      <c r="N1202" s="42"/>
      <c r="O1202" s="53">
        <v>-2</v>
      </c>
      <c r="P1202" s="53"/>
      <c r="Q1202" s="53"/>
      <c r="R1202" s="72"/>
      <c r="S1202" s="24">
        <f t="shared" si="793"/>
        <v>-2</v>
      </c>
      <c r="T1202" s="42"/>
      <c r="U1202" s="53"/>
      <c r="V1202" s="53"/>
      <c r="W1202" s="53"/>
      <c r="X1202" s="72"/>
      <c r="Y1202" s="24">
        <f t="shared" si="794"/>
        <v>0</v>
      </c>
      <c r="Z1202" s="24">
        <f t="shared" si="795"/>
        <v>-10</v>
      </c>
      <c r="AA1202" s="83">
        <v>45056</v>
      </c>
      <c r="AB1202" s="23"/>
      <c r="AC1202" s="38"/>
      <c r="AD1202" s="39"/>
      <c r="AE1202" s="39"/>
      <c r="AF1202" s="39"/>
      <c r="AG1202" s="39"/>
      <c r="AH1202" s="37">
        <f t="shared" si="834"/>
        <v>0</v>
      </c>
      <c r="AI1202" s="38"/>
      <c r="AJ1202" s="39"/>
      <c r="AK1202" s="39"/>
      <c r="AL1202" s="39"/>
      <c r="AM1202" s="39"/>
      <c r="AN1202" s="37">
        <f t="shared" si="835"/>
        <v>0</v>
      </c>
      <c r="AO1202" s="39"/>
      <c r="AP1202" s="56"/>
      <c r="AQ1202" s="56"/>
      <c r="AR1202" s="56"/>
      <c r="AS1202" s="71"/>
      <c r="AT1202" s="16">
        <f t="shared" si="836"/>
        <v>0</v>
      </c>
      <c r="AU1202" s="39"/>
      <c r="AV1202" s="56"/>
      <c r="AW1202" s="56"/>
      <c r="AX1202" s="56"/>
      <c r="AY1202" s="71"/>
      <c r="AZ1202" s="16">
        <f t="shared" si="837"/>
        <v>0</v>
      </c>
      <c r="BA1202" s="16">
        <f t="shared" si="838"/>
        <v>0</v>
      </c>
      <c r="BB1202" s="128"/>
    </row>
    <row r="1203" spans="1:54" ht="14.25" x14ac:dyDescent="0.15">
      <c r="A1203" s="23" t="s">
        <v>438</v>
      </c>
      <c r="B1203" s="41"/>
      <c r="C1203" s="42"/>
      <c r="D1203" s="42"/>
      <c r="E1203" s="42"/>
      <c r="F1203" s="42">
        <v>1</v>
      </c>
      <c r="G1203" s="43">
        <f t="shared" si="808"/>
        <v>1</v>
      </c>
      <c r="H1203" s="41"/>
      <c r="I1203" s="42"/>
      <c r="J1203" s="42"/>
      <c r="K1203" s="42"/>
      <c r="L1203" s="42"/>
      <c r="M1203" s="43">
        <f t="shared" si="809"/>
        <v>0</v>
      </c>
      <c r="N1203" s="42"/>
      <c r="O1203" s="53"/>
      <c r="P1203" s="53"/>
      <c r="Q1203" s="53"/>
      <c r="R1203" s="72"/>
      <c r="S1203" s="24">
        <f t="shared" si="793"/>
        <v>0</v>
      </c>
      <c r="T1203" s="42"/>
      <c r="U1203" s="53"/>
      <c r="V1203" s="53"/>
      <c r="W1203" s="53"/>
      <c r="X1203" s="72"/>
      <c r="Y1203" s="24">
        <f t="shared" si="794"/>
        <v>0</v>
      </c>
      <c r="Z1203" s="24">
        <f t="shared" si="795"/>
        <v>1</v>
      </c>
      <c r="AA1203" s="83">
        <v>45057</v>
      </c>
      <c r="AB1203" s="23"/>
      <c r="AC1203" s="38"/>
      <c r="AD1203" s="39"/>
      <c r="AE1203" s="39"/>
      <c r="AF1203" s="39"/>
      <c r="AG1203" s="39"/>
      <c r="AH1203" s="37">
        <f t="shared" si="834"/>
        <v>0</v>
      </c>
      <c r="AI1203" s="38"/>
      <c r="AJ1203" s="39"/>
      <c r="AK1203" s="39"/>
      <c r="AL1203" s="39"/>
      <c r="AM1203" s="39"/>
      <c r="AN1203" s="37">
        <f t="shared" si="835"/>
        <v>0</v>
      </c>
      <c r="AO1203" s="39"/>
      <c r="AP1203" s="56"/>
      <c r="AQ1203" s="56"/>
      <c r="AR1203" s="56"/>
      <c r="AS1203" s="71"/>
      <c r="AT1203" s="16">
        <f t="shared" si="836"/>
        <v>0</v>
      </c>
      <c r="AU1203" s="39"/>
      <c r="AV1203" s="56"/>
      <c r="AW1203" s="56"/>
      <c r="AX1203" s="56"/>
      <c r="AY1203" s="71"/>
      <c r="AZ1203" s="16">
        <f t="shared" si="837"/>
        <v>0</v>
      </c>
      <c r="BA1203" s="16">
        <f t="shared" si="838"/>
        <v>0</v>
      </c>
      <c r="BB1203" s="128"/>
    </row>
    <row r="1204" spans="1:54" ht="14.25" x14ac:dyDescent="0.15">
      <c r="A1204" s="23" t="s">
        <v>601</v>
      </c>
      <c r="B1204" s="41"/>
      <c r="C1204" s="42">
        <v>-1</v>
      </c>
      <c r="D1204" s="42">
        <v>-1</v>
      </c>
      <c r="E1204" s="42"/>
      <c r="F1204" s="42"/>
      <c r="G1204" s="43">
        <f t="shared" si="807"/>
        <v>-2</v>
      </c>
      <c r="H1204" s="41"/>
      <c r="I1204" s="42"/>
      <c r="J1204" s="42"/>
      <c r="K1204" s="42"/>
      <c r="L1204" s="42"/>
      <c r="M1204" s="43">
        <f t="shared" ref="M1204:M1205" si="839">SUM(H1204:L1204)</f>
        <v>0</v>
      </c>
      <c r="N1204" s="42"/>
      <c r="O1204" s="53"/>
      <c r="P1204" s="53"/>
      <c r="Q1204" s="53"/>
      <c r="R1204" s="72"/>
      <c r="S1204" s="24">
        <f>SUM(N1204:R1204)</f>
        <v>0</v>
      </c>
      <c r="T1204" s="42"/>
      <c r="U1204" s="53"/>
      <c r="V1204" s="53"/>
      <c r="W1204" s="53"/>
      <c r="X1204" s="72"/>
      <c r="Y1204" s="24">
        <f>SUM(T1204:X1204)</f>
        <v>0</v>
      </c>
      <c r="Z1204" s="24">
        <f>G1204+M1204+S1204+Y1204</f>
        <v>-2</v>
      </c>
      <c r="AA1204" s="83">
        <v>45058</v>
      </c>
      <c r="AB1204" s="23"/>
      <c r="AC1204" s="38"/>
      <c r="AD1204" s="39"/>
      <c r="AE1204" s="39"/>
      <c r="AF1204" s="39"/>
      <c r="AG1204" s="39"/>
      <c r="AH1204" s="37">
        <f t="shared" si="834"/>
        <v>0</v>
      </c>
      <c r="AI1204" s="38"/>
      <c r="AJ1204" s="39"/>
      <c r="AK1204" s="39"/>
      <c r="AL1204" s="39"/>
      <c r="AM1204" s="39"/>
      <c r="AN1204" s="37">
        <f t="shared" si="835"/>
        <v>0</v>
      </c>
      <c r="AO1204" s="39"/>
      <c r="AP1204" s="56"/>
      <c r="AQ1204" s="56"/>
      <c r="AR1204" s="56"/>
      <c r="AS1204" s="71"/>
      <c r="AT1204" s="16">
        <f t="shared" si="836"/>
        <v>0</v>
      </c>
      <c r="AU1204" s="39"/>
      <c r="AV1204" s="56"/>
      <c r="AW1204" s="56"/>
      <c r="AX1204" s="56"/>
      <c r="AY1204" s="71"/>
      <c r="AZ1204" s="16">
        <f t="shared" si="837"/>
        <v>0</v>
      </c>
      <c r="BA1204" s="16">
        <f t="shared" si="838"/>
        <v>0</v>
      </c>
      <c r="BB1204" s="128"/>
    </row>
    <row r="1205" spans="1:54" ht="15" thickBot="1" x14ac:dyDescent="0.2">
      <c r="A1205" s="23" t="s">
        <v>48</v>
      </c>
      <c r="B1205" s="44"/>
      <c r="C1205" s="45"/>
      <c r="D1205" s="45">
        <v>1</v>
      </c>
      <c r="E1205" s="45"/>
      <c r="F1205" s="45"/>
      <c r="G1205" s="43">
        <f t="shared" si="807"/>
        <v>1</v>
      </c>
      <c r="H1205" s="44"/>
      <c r="I1205" s="45"/>
      <c r="J1205" s="45"/>
      <c r="K1205" s="45"/>
      <c r="L1205" s="45"/>
      <c r="M1205" s="112">
        <f t="shared" si="839"/>
        <v>0</v>
      </c>
      <c r="N1205" s="45"/>
      <c r="O1205" s="78"/>
      <c r="P1205" s="78"/>
      <c r="Q1205" s="78"/>
      <c r="R1205" s="79"/>
      <c r="S1205" s="113">
        <f>SUM(N1205:R1205)</f>
        <v>0</v>
      </c>
      <c r="T1205" s="45"/>
      <c r="U1205" s="78"/>
      <c r="V1205" s="78"/>
      <c r="W1205" s="78"/>
      <c r="X1205" s="79"/>
      <c r="Y1205" s="113">
        <f>SUM(T1205:X1205)</f>
        <v>0</v>
      </c>
      <c r="Z1205" s="82">
        <f>G1205+M1205+S1205+Y1205</f>
        <v>1</v>
      </c>
      <c r="AA1205" s="93">
        <v>45058</v>
      </c>
      <c r="AB1205" s="23"/>
      <c r="AC1205" s="38"/>
      <c r="AD1205" s="39"/>
      <c r="AE1205" s="39"/>
      <c r="AF1205" s="39"/>
      <c r="AG1205" s="39"/>
      <c r="AH1205" s="37">
        <f t="shared" si="834"/>
        <v>0</v>
      </c>
      <c r="AI1205" s="38"/>
      <c r="AJ1205" s="39"/>
      <c r="AK1205" s="39"/>
      <c r="AL1205" s="39"/>
      <c r="AM1205" s="39"/>
      <c r="AN1205" s="37">
        <f t="shared" si="835"/>
        <v>0</v>
      </c>
      <c r="AO1205" s="39"/>
      <c r="AP1205" s="56"/>
      <c r="AQ1205" s="56"/>
      <c r="AR1205" s="56"/>
      <c r="AS1205" s="71"/>
      <c r="AT1205" s="16">
        <f t="shared" si="836"/>
        <v>0</v>
      </c>
      <c r="AU1205" s="39"/>
      <c r="AV1205" s="56"/>
      <c r="AW1205" s="56"/>
      <c r="AX1205" s="56"/>
      <c r="AY1205" s="71"/>
      <c r="AZ1205" s="16">
        <f t="shared" si="837"/>
        <v>0</v>
      </c>
      <c r="BA1205" s="16">
        <f t="shared" si="838"/>
        <v>0</v>
      </c>
      <c r="BB1205" s="128"/>
    </row>
    <row r="1206" spans="1:54" ht="15" thickBot="1" x14ac:dyDescent="0.2">
      <c r="A1206" s="9" t="s">
        <v>13</v>
      </c>
      <c r="B1206" s="25">
        <f>SUM(B1180:B1205)</f>
        <v>32</v>
      </c>
      <c r="C1206" s="26">
        <f>SUM(C1180:C1205)</f>
        <v>7</v>
      </c>
      <c r="D1206" s="26">
        <f>SUM(D1180:D1205)</f>
        <v>2</v>
      </c>
      <c r="E1206" s="26">
        <f>SUM(E1180:E1205)</f>
        <v>1</v>
      </c>
      <c r="F1206" s="27">
        <f>SUM(F1180:F1205)</f>
        <v>5</v>
      </c>
      <c r="G1206" s="19">
        <f>SUM(B1206:F1206)</f>
        <v>47</v>
      </c>
      <c r="H1206" s="25">
        <f>SUM(H1180:H1205)</f>
        <v>15</v>
      </c>
      <c r="I1206" s="26">
        <f>SUM(I1180:I1205)</f>
        <v>6</v>
      </c>
      <c r="J1206" s="26">
        <f>SUM(J1180:J1205)</f>
        <v>1</v>
      </c>
      <c r="K1206" s="26">
        <f>SUM(K1180:K1205)</f>
        <v>0</v>
      </c>
      <c r="L1206" s="27">
        <f>SUM(L1180:L1205)</f>
        <v>1</v>
      </c>
      <c r="M1206" s="25">
        <f>SUM(H1206:L1206)</f>
        <v>23</v>
      </c>
      <c r="N1206" s="65">
        <f>SUM(N1180:N1205)</f>
        <v>1</v>
      </c>
      <c r="O1206" s="18">
        <f>SUM(O1180:O1205)</f>
        <v>0</v>
      </c>
      <c r="P1206" s="18">
        <f>SUM(P1180:P1205)</f>
        <v>3</v>
      </c>
      <c r="Q1206" s="18">
        <f>SUM(Q1180:Q1205)</f>
        <v>0</v>
      </c>
      <c r="R1206" s="70">
        <f>SUM(R1180:R1205)</f>
        <v>1</v>
      </c>
      <c r="S1206" s="49">
        <f>SUM(N1206:R1206)</f>
        <v>5</v>
      </c>
      <c r="T1206" s="74">
        <f>SUM(T1180:T1205)</f>
        <v>1</v>
      </c>
      <c r="U1206" s="18">
        <f>SUM(U1180:U1205)</f>
        <v>0</v>
      </c>
      <c r="V1206" s="18">
        <f>SUM(V1180:V1205)</f>
        <v>3</v>
      </c>
      <c r="W1206" s="18">
        <f>SUM(W1180:W1205)</f>
        <v>4</v>
      </c>
      <c r="X1206" s="70">
        <f>SUM(X1180:X1205)</f>
        <v>1</v>
      </c>
      <c r="Y1206" s="49">
        <f>SUM(T1206:X1206)</f>
        <v>9</v>
      </c>
      <c r="Z1206" s="137">
        <f>G1206+M1206+S1206+Y1206</f>
        <v>84</v>
      </c>
      <c r="AB1206" s="9" t="s">
        <v>13</v>
      </c>
      <c r="AC1206" s="25">
        <f>SUM(AC1180:AC1205)</f>
        <v>2</v>
      </c>
      <c r="AD1206" s="26">
        <f>SUM(AD1180:AD1205)</f>
        <v>5</v>
      </c>
      <c r="AE1206" s="26">
        <f>SUM(AE1180:AE1205)</f>
        <v>9</v>
      </c>
      <c r="AF1206" s="26">
        <f>SUM(AF1180:AF1205)</f>
        <v>3</v>
      </c>
      <c r="AG1206" s="27">
        <f>SUM(AG1180:AG1205)</f>
        <v>4</v>
      </c>
      <c r="AH1206" s="19">
        <f t="shared" ref="AH1206" si="840">SUM(AC1206:AG1206)</f>
        <v>23</v>
      </c>
      <c r="AI1206" s="25">
        <f>SUM(AI1180:AI1205)</f>
        <v>0</v>
      </c>
      <c r="AJ1206" s="26">
        <f>SUM(AJ1180:AJ1205)</f>
        <v>0</v>
      </c>
      <c r="AK1206" s="26">
        <f>SUM(AK1180:AK1205)</f>
        <v>0</v>
      </c>
      <c r="AL1206" s="26">
        <f>SUM(AL1180:AL1205)</f>
        <v>0</v>
      </c>
      <c r="AM1206" s="27">
        <f>SUM(AM1180:AM1205)</f>
        <v>0</v>
      </c>
      <c r="AN1206" s="25">
        <f t="shared" ref="AN1206" si="841">SUM(AI1206:AM1206)</f>
        <v>0</v>
      </c>
      <c r="AO1206" s="65">
        <f>SUM(AO1180:AO1205)</f>
        <v>4</v>
      </c>
      <c r="AP1206" s="18">
        <f>SUM(AP1180:AP1205)</f>
        <v>2</v>
      </c>
      <c r="AQ1206" s="18">
        <f>SUM(AQ1180:AQ1205)</f>
        <v>5</v>
      </c>
      <c r="AR1206" s="18">
        <f>SUM(AR1180:AR1205)</f>
        <v>1</v>
      </c>
      <c r="AS1206" s="70">
        <f>SUM(AS1180:AS1205)</f>
        <v>2</v>
      </c>
      <c r="AT1206" s="49">
        <f t="shared" ref="AT1206" si="842">SUM(AO1206:AS1206)</f>
        <v>14</v>
      </c>
      <c r="AU1206" s="74">
        <f>SUM(AU1180:AU1205)</f>
        <v>0</v>
      </c>
      <c r="AV1206" s="18">
        <f>SUM(AV1180:AV1205)</f>
        <v>0</v>
      </c>
      <c r="AW1206" s="18">
        <f>SUM(AW1180:AW1205)</f>
        <v>7</v>
      </c>
      <c r="AX1206" s="18">
        <f>SUM(AX1180:AX1205)</f>
        <v>8</v>
      </c>
      <c r="AY1206" s="70">
        <f>SUM(AY1180:AY1205)</f>
        <v>0</v>
      </c>
      <c r="AZ1206" s="49">
        <f t="shared" ref="AZ1206" si="843">SUM(AU1206:AY1206)</f>
        <v>15</v>
      </c>
      <c r="BA1206" s="77">
        <f t="shared" si="833"/>
        <v>52</v>
      </c>
    </row>
    <row r="1207" spans="1:54" ht="15" thickBot="1" x14ac:dyDescent="0.2">
      <c r="A1207" s="32" t="s">
        <v>14</v>
      </c>
      <c r="B1207" s="29">
        <f t="shared" ref="B1207:Y1207" si="844">B1179-B1206</f>
        <v>5</v>
      </c>
      <c r="C1207" s="30">
        <f t="shared" si="844"/>
        <v>6</v>
      </c>
      <c r="D1207" s="30">
        <f t="shared" si="844"/>
        <v>4</v>
      </c>
      <c r="E1207" s="30">
        <f t="shared" si="844"/>
        <v>4</v>
      </c>
      <c r="F1207" s="31">
        <f t="shared" si="844"/>
        <v>2</v>
      </c>
      <c r="G1207" s="31">
        <f t="shared" si="844"/>
        <v>21</v>
      </c>
      <c r="H1207" s="29">
        <f t="shared" si="844"/>
        <v>3</v>
      </c>
      <c r="I1207" s="30">
        <f t="shared" si="844"/>
        <v>4</v>
      </c>
      <c r="J1207" s="30">
        <f t="shared" si="844"/>
        <v>3</v>
      </c>
      <c r="K1207" s="30">
        <f t="shared" si="844"/>
        <v>4</v>
      </c>
      <c r="L1207" s="31">
        <f t="shared" si="844"/>
        <v>3</v>
      </c>
      <c r="M1207" s="66">
        <f t="shared" si="844"/>
        <v>17</v>
      </c>
      <c r="N1207" s="29">
        <f t="shared" si="844"/>
        <v>5</v>
      </c>
      <c r="O1207" s="30">
        <f t="shared" si="844"/>
        <v>4</v>
      </c>
      <c r="P1207" s="30">
        <f t="shared" si="844"/>
        <v>3</v>
      </c>
      <c r="Q1207" s="30">
        <f t="shared" si="844"/>
        <v>3</v>
      </c>
      <c r="R1207" s="66">
        <f t="shared" si="844"/>
        <v>4</v>
      </c>
      <c r="S1207" s="33">
        <f t="shared" si="844"/>
        <v>19</v>
      </c>
      <c r="T1207" s="75">
        <f t="shared" si="844"/>
        <v>5</v>
      </c>
      <c r="U1207" s="30">
        <f t="shared" si="844"/>
        <v>4</v>
      </c>
      <c r="V1207" s="30">
        <f t="shared" si="844"/>
        <v>5</v>
      </c>
      <c r="W1207" s="30">
        <f t="shared" si="844"/>
        <v>5</v>
      </c>
      <c r="X1207" s="66">
        <f t="shared" si="844"/>
        <v>3</v>
      </c>
      <c r="Y1207" s="33">
        <f t="shared" si="844"/>
        <v>22</v>
      </c>
      <c r="Z1207" s="77">
        <f>G1207+M1207+S1207+Y1207</f>
        <v>79</v>
      </c>
      <c r="AB1207" s="32" t="s">
        <v>14</v>
      </c>
      <c r="AC1207" s="29">
        <f t="shared" ref="AC1207:AZ1207" si="845">AC1179-AC1206</f>
        <v>120</v>
      </c>
      <c r="AD1207" s="30">
        <f t="shared" si="845"/>
        <v>107</v>
      </c>
      <c r="AE1207" s="30">
        <f t="shared" si="845"/>
        <v>105</v>
      </c>
      <c r="AF1207" s="30">
        <f t="shared" si="845"/>
        <v>84</v>
      </c>
      <c r="AG1207" s="31">
        <f t="shared" si="845"/>
        <v>66</v>
      </c>
      <c r="AH1207" s="31">
        <f t="shared" si="845"/>
        <v>482</v>
      </c>
      <c r="AI1207" s="29">
        <f t="shared" si="845"/>
        <v>94</v>
      </c>
      <c r="AJ1207" s="30">
        <f t="shared" si="845"/>
        <v>95</v>
      </c>
      <c r="AK1207" s="30">
        <f t="shared" si="845"/>
        <v>102</v>
      </c>
      <c r="AL1207" s="30">
        <f t="shared" si="845"/>
        <v>84</v>
      </c>
      <c r="AM1207" s="31">
        <f t="shared" si="845"/>
        <v>95</v>
      </c>
      <c r="AN1207" s="66">
        <f t="shared" si="845"/>
        <v>470</v>
      </c>
      <c r="AO1207" s="29">
        <f t="shared" si="845"/>
        <v>152</v>
      </c>
      <c r="AP1207" s="30">
        <f t="shared" si="845"/>
        <v>119</v>
      </c>
      <c r="AQ1207" s="30">
        <f t="shared" si="845"/>
        <v>120</v>
      </c>
      <c r="AR1207" s="30">
        <f t="shared" si="845"/>
        <v>133</v>
      </c>
      <c r="AS1207" s="66">
        <f t="shared" si="845"/>
        <v>144</v>
      </c>
      <c r="AT1207" s="33">
        <f t="shared" si="845"/>
        <v>668</v>
      </c>
      <c r="AU1207" s="75">
        <f t="shared" si="845"/>
        <v>115</v>
      </c>
      <c r="AV1207" s="30">
        <f t="shared" si="845"/>
        <v>68</v>
      </c>
      <c r="AW1207" s="30">
        <f t="shared" si="845"/>
        <v>47</v>
      </c>
      <c r="AX1207" s="30">
        <f t="shared" si="845"/>
        <v>46</v>
      </c>
      <c r="AY1207" s="66">
        <f t="shared" si="845"/>
        <v>92</v>
      </c>
      <c r="AZ1207" s="33">
        <f t="shared" si="845"/>
        <v>368</v>
      </c>
      <c r="BA1207" s="77">
        <f t="shared" si="833"/>
        <v>1988</v>
      </c>
    </row>
    <row r="1210" spans="1:54" ht="19.5" thickBot="1" x14ac:dyDescent="0.25">
      <c r="A1210" s="1" t="s">
        <v>15</v>
      </c>
      <c r="AB1210" s="1" t="s">
        <v>16</v>
      </c>
    </row>
    <row r="1211" spans="1:54" ht="15" thickBot="1" x14ac:dyDescent="0.2">
      <c r="A1211" s="4"/>
      <c r="B1211" s="245" t="s">
        <v>17</v>
      </c>
      <c r="C1211" s="246"/>
      <c r="D1211" s="246"/>
      <c r="E1211" s="246"/>
      <c r="F1211" s="246"/>
      <c r="G1211" s="247"/>
      <c r="H1211" s="245" t="s">
        <v>18</v>
      </c>
      <c r="I1211" s="246"/>
      <c r="J1211" s="246"/>
      <c r="K1211" s="246"/>
      <c r="L1211" s="246"/>
      <c r="M1211" s="247"/>
      <c r="N1211" s="248" t="s">
        <v>27</v>
      </c>
      <c r="O1211" s="249"/>
      <c r="P1211" s="249"/>
      <c r="Q1211" s="249"/>
      <c r="R1211" s="249"/>
      <c r="S1211" s="250"/>
      <c r="T1211" s="248" t="s">
        <v>28</v>
      </c>
      <c r="U1211" s="249"/>
      <c r="V1211" s="249"/>
      <c r="W1211" s="249"/>
      <c r="X1211" s="249"/>
      <c r="Y1211" s="250"/>
      <c r="Z1211" s="251" t="s">
        <v>1</v>
      </c>
      <c r="AB1211" s="4"/>
      <c r="AC1211" s="253" t="s">
        <v>17</v>
      </c>
      <c r="AD1211" s="249"/>
      <c r="AE1211" s="249"/>
      <c r="AF1211" s="249"/>
      <c r="AG1211" s="249"/>
      <c r="AH1211" s="250"/>
      <c r="AI1211" s="248" t="s">
        <v>18</v>
      </c>
      <c r="AJ1211" s="249"/>
      <c r="AK1211" s="249"/>
      <c r="AL1211" s="249"/>
      <c r="AM1211" s="249"/>
      <c r="AN1211" s="250"/>
      <c r="AO1211" s="248" t="s">
        <v>27</v>
      </c>
      <c r="AP1211" s="249"/>
      <c r="AQ1211" s="249"/>
      <c r="AR1211" s="249"/>
      <c r="AS1211" s="249"/>
      <c r="AT1211" s="250"/>
      <c r="AU1211" s="248" t="s">
        <v>28</v>
      </c>
      <c r="AV1211" s="249"/>
      <c r="AW1211" s="249"/>
      <c r="AX1211" s="249"/>
      <c r="AY1211" s="249"/>
      <c r="AZ1211" s="250"/>
      <c r="BA1211" s="243" t="s">
        <v>1</v>
      </c>
    </row>
    <row r="1212" spans="1:54" ht="15" thickBot="1" x14ac:dyDescent="0.2">
      <c r="A1212" s="9" t="s">
        <v>2</v>
      </c>
      <c r="B1212" s="6" t="s">
        <v>3</v>
      </c>
      <c r="C1212" s="7" t="s">
        <v>4</v>
      </c>
      <c r="D1212" s="7" t="s">
        <v>5</v>
      </c>
      <c r="E1212" s="48" t="s">
        <v>20</v>
      </c>
      <c r="F1212" s="8" t="s">
        <v>21</v>
      </c>
      <c r="G1212" s="5" t="s">
        <v>6</v>
      </c>
      <c r="H1212" s="6" t="s">
        <v>3</v>
      </c>
      <c r="I1212" s="7" t="s">
        <v>4</v>
      </c>
      <c r="J1212" s="7" t="s">
        <v>5</v>
      </c>
      <c r="K1212" s="48" t="s">
        <v>20</v>
      </c>
      <c r="L1212" s="8" t="s">
        <v>21</v>
      </c>
      <c r="M1212" s="5" t="s">
        <v>6</v>
      </c>
      <c r="N1212" s="6" t="s">
        <v>3</v>
      </c>
      <c r="O1212" s="7" t="s">
        <v>4</v>
      </c>
      <c r="P1212" s="7" t="s">
        <v>5</v>
      </c>
      <c r="Q1212" s="48" t="s">
        <v>20</v>
      </c>
      <c r="R1212" s="8" t="s">
        <v>21</v>
      </c>
      <c r="S1212" s="5" t="s">
        <v>6</v>
      </c>
      <c r="T1212" s="7" t="s">
        <v>3</v>
      </c>
      <c r="U1212" s="7" t="s">
        <v>4</v>
      </c>
      <c r="V1212" s="7" t="s">
        <v>5</v>
      </c>
      <c r="W1212" s="48" t="s">
        <v>20</v>
      </c>
      <c r="X1212" s="109" t="s">
        <v>21</v>
      </c>
      <c r="Y1212" s="62" t="s">
        <v>6</v>
      </c>
      <c r="Z1212" s="252"/>
      <c r="AB1212" s="9" t="s">
        <v>2</v>
      </c>
      <c r="AC1212" s="6" t="s">
        <v>3</v>
      </c>
      <c r="AD1212" s="7" t="s">
        <v>4</v>
      </c>
      <c r="AE1212" s="7" t="s">
        <v>5</v>
      </c>
      <c r="AF1212" s="48" t="s">
        <v>20</v>
      </c>
      <c r="AG1212" s="8" t="s">
        <v>21</v>
      </c>
      <c r="AH1212" s="5" t="s">
        <v>6</v>
      </c>
      <c r="AI1212" s="6" t="s">
        <v>3</v>
      </c>
      <c r="AJ1212" s="7" t="s">
        <v>4</v>
      </c>
      <c r="AK1212" s="7" t="s">
        <v>5</v>
      </c>
      <c r="AL1212" s="48" t="s">
        <v>20</v>
      </c>
      <c r="AM1212" s="8" t="s">
        <v>21</v>
      </c>
      <c r="AN1212" s="5" t="s">
        <v>6</v>
      </c>
      <c r="AO1212" s="6" t="s">
        <v>3</v>
      </c>
      <c r="AP1212" s="7" t="s">
        <v>4</v>
      </c>
      <c r="AQ1212" s="7" t="s">
        <v>5</v>
      </c>
      <c r="AR1212" s="48" t="s">
        <v>20</v>
      </c>
      <c r="AS1212" s="8" t="s">
        <v>21</v>
      </c>
      <c r="AT1212" s="5" t="s">
        <v>6</v>
      </c>
      <c r="AU1212" s="7" t="s">
        <v>3</v>
      </c>
      <c r="AV1212" s="7" t="s">
        <v>4</v>
      </c>
      <c r="AW1212" s="7" t="s">
        <v>5</v>
      </c>
      <c r="AX1212" s="48" t="s">
        <v>20</v>
      </c>
      <c r="AY1212" s="109" t="s">
        <v>21</v>
      </c>
      <c r="AZ1212" s="62" t="s">
        <v>6</v>
      </c>
      <c r="BA1212" s="244"/>
    </row>
    <row r="1213" spans="1:54" ht="14.25" x14ac:dyDescent="0.15">
      <c r="A1213" s="103" t="s">
        <v>43</v>
      </c>
      <c r="B1213" s="104">
        <f>B1207</f>
        <v>5</v>
      </c>
      <c r="C1213" s="105">
        <f>C1207</f>
        <v>6</v>
      </c>
      <c r="D1213" s="105">
        <f>D1207</f>
        <v>4</v>
      </c>
      <c r="E1213" s="105">
        <f>E1207</f>
        <v>4</v>
      </c>
      <c r="F1213" s="105">
        <f>F1207</f>
        <v>2</v>
      </c>
      <c r="G1213" s="106">
        <f t="shared" ref="G1213" si="846">SUM(B1213:F1213)</f>
        <v>21</v>
      </c>
      <c r="H1213" s="104">
        <f>H1207</f>
        <v>3</v>
      </c>
      <c r="I1213" s="105">
        <f>I1207</f>
        <v>4</v>
      </c>
      <c r="J1213" s="105">
        <f>J1207</f>
        <v>3</v>
      </c>
      <c r="K1213" s="105">
        <f>K1207</f>
        <v>4</v>
      </c>
      <c r="L1213" s="105">
        <f>L1207</f>
        <v>3</v>
      </c>
      <c r="M1213" s="107">
        <f t="shared" ref="M1213:M1218" si="847">SUM(H1213:L1213)</f>
        <v>17</v>
      </c>
      <c r="N1213" s="104">
        <f>N1207</f>
        <v>5</v>
      </c>
      <c r="O1213" s="105">
        <f>O1207</f>
        <v>4</v>
      </c>
      <c r="P1213" s="105">
        <f>P1207</f>
        <v>3</v>
      </c>
      <c r="Q1213" s="105">
        <f>Q1207</f>
        <v>3</v>
      </c>
      <c r="R1213" s="105">
        <f>R1207</f>
        <v>4</v>
      </c>
      <c r="S1213" s="108">
        <f t="shared" ref="S1213:S1242" si="848">SUM(N1213:R1213)</f>
        <v>19</v>
      </c>
      <c r="T1213" s="104">
        <f>T1207</f>
        <v>5</v>
      </c>
      <c r="U1213" s="105">
        <f>U1207</f>
        <v>4</v>
      </c>
      <c r="V1213" s="105">
        <f>V1207</f>
        <v>5</v>
      </c>
      <c r="W1213" s="105">
        <f>W1207</f>
        <v>5</v>
      </c>
      <c r="X1213" s="105">
        <f>X1207</f>
        <v>3</v>
      </c>
      <c r="Y1213" s="106">
        <f t="shared" ref="Y1213:Y1242" si="849">SUM(T1213:X1213)</f>
        <v>22</v>
      </c>
      <c r="Z1213" s="106">
        <f t="shared" ref="Z1213:Z1242" si="850">G1213+M1213+S1213+Y1213</f>
        <v>79</v>
      </c>
      <c r="AB1213" s="103" t="s">
        <v>43</v>
      </c>
      <c r="AC1213" s="104">
        <f>AC1207</f>
        <v>120</v>
      </c>
      <c r="AD1213" s="105">
        <f>AD1207</f>
        <v>107</v>
      </c>
      <c r="AE1213" s="105">
        <f>AE1207</f>
        <v>105</v>
      </c>
      <c r="AF1213" s="105">
        <f>AF1207</f>
        <v>84</v>
      </c>
      <c r="AG1213" s="105">
        <f>AG1207</f>
        <v>66</v>
      </c>
      <c r="AH1213" s="106">
        <f>SUM(AC1213:AG1213)</f>
        <v>482</v>
      </c>
      <c r="AI1213" s="104">
        <f>AI1207</f>
        <v>94</v>
      </c>
      <c r="AJ1213" s="105">
        <f>AJ1207</f>
        <v>95</v>
      </c>
      <c r="AK1213" s="105">
        <f>AK1207</f>
        <v>102</v>
      </c>
      <c r="AL1213" s="105">
        <f>AL1207</f>
        <v>84</v>
      </c>
      <c r="AM1213" s="105">
        <f>AM1207</f>
        <v>95</v>
      </c>
      <c r="AN1213" s="107">
        <f>SUM(AI1213:AM1213)</f>
        <v>470</v>
      </c>
      <c r="AO1213" s="104">
        <f>AO1207</f>
        <v>152</v>
      </c>
      <c r="AP1213" s="105">
        <f>AP1207</f>
        <v>119</v>
      </c>
      <c r="AQ1213" s="105">
        <f>AQ1207</f>
        <v>120</v>
      </c>
      <c r="AR1213" s="105">
        <f>AR1207</f>
        <v>133</v>
      </c>
      <c r="AS1213" s="105">
        <f>AS1207</f>
        <v>144</v>
      </c>
      <c r="AT1213" s="108">
        <f>SUM(AO1213:AS1213)</f>
        <v>668</v>
      </c>
      <c r="AU1213" s="104">
        <f>AU1207</f>
        <v>115</v>
      </c>
      <c r="AV1213" s="105">
        <f>AV1207</f>
        <v>68</v>
      </c>
      <c r="AW1213" s="105">
        <f>AW1207</f>
        <v>47</v>
      </c>
      <c r="AX1213" s="105">
        <f>AX1207</f>
        <v>46</v>
      </c>
      <c r="AY1213" s="105">
        <f>AY1207</f>
        <v>92</v>
      </c>
      <c r="AZ1213" s="106">
        <f>SUM(AU1213:AY1213)</f>
        <v>368</v>
      </c>
      <c r="BA1213" s="106">
        <f>AH1213+AN1213+AT1213+AZ1213</f>
        <v>1988</v>
      </c>
    </row>
    <row r="1214" spans="1:54" ht="14.25" x14ac:dyDescent="0.15">
      <c r="A1214" s="10" t="s">
        <v>181</v>
      </c>
      <c r="B1214" s="14"/>
      <c r="C1214" s="15"/>
      <c r="D1214" s="15"/>
      <c r="E1214" s="15"/>
      <c r="F1214" s="15">
        <v>3</v>
      </c>
      <c r="G1214" s="16">
        <f t="shared" ref="G1214:G1215" si="851">SUM(B1214:F1214)</f>
        <v>3</v>
      </c>
      <c r="H1214" s="14">
        <v>3</v>
      </c>
      <c r="I1214" s="15">
        <v>3</v>
      </c>
      <c r="J1214" s="15">
        <v>3</v>
      </c>
      <c r="K1214" s="15">
        <v>3</v>
      </c>
      <c r="L1214" s="15">
        <v>3</v>
      </c>
      <c r="M1214" s="57">
        <f t="shared" si="847"/>
        <v>15</v>
      </c>
      <c r="N1214" s="14"/>
      <c r="O1214" s="55"/>
      <c r="P1214" s="55">
        <v>3</v>
      </c>
      <c r="Q1214" s="55">
        <v>3</v>
      </c>
      <c r="R1214" s="67">
        <v>5</v>
      </c>
      <c r="S1214" s="24">
        <f t="shared" si="848"/>
        <v>11</v>
      </c>
      <c r="T1214" s="15"/>
      <c r="U1214" s="55"/>
      <c r="V1214" s="55"/>
      <c r="W1214" s="55"/>
      <c r="X1214" s="67">
        <v>3</v>
      </c>
      <c r="Y1214" s="24">
        <f t="shared" si="849"/>
        <v>3</v>
      </c>
      <c r="Z1214" s="24">
        <f t="shared" si="850"/>
        <v>32</v>
      </c>
      <c r="AA1214" s="83">
        <v>45066</v>
      </c>
      <c r="AB1214" s="10" t="s">
        <v>181</v>
      </c>
      <c r="AC1214" s="14"/>
      <c r="AD1214" s="15"/>
      <c r="AE1214" s="15"/>
      <c r="AF1214" s="15"/>
      <c r="AG1214" s="15"/>
      <c r="AH1214" s="43">
        <f t="shared" ref="AH1214:AH1215" si="852">SUM(AC1214:AG1214)</f>
        <v>0</v>
      </c>
      <c r="AI1214" s="14"/>
      <c r="AJ1214" s="15"/>
      <c r="AK1214" s="15"/>
      <c r="AL1214" s="15"/>
      <c r="AM1214" s="15"/>
      <c r="AN1214" s="43">
        <f t="shared" ref="AN1214:AN1215" si="853">SUM(AI1214:AM1214)</f>
        <v>0</v>
      </c>
      <c r="AO1214" s="14"/>
      <c r="AP1214" s="55"/>
      <c r="AQ1214" s="55"/>
      <c r="AR1214" s="55"/>
      <c r="AS1214" s="67"/>
      <c r="AT1214" s="24">
        <f t="shared" ref="AT1214:AT1215" si="854">SUM(AO1214:AS1214)</f>
        <v>0</v>
      </c>
      <c r="AU1214" s="15"/>
      <c r="AV1214" s="55"/>
      <c r="AW1214" s="55"/>
      <c r="AX1214" s="55"/>
      <c r="AY1214" s="67"/>
      <c r="AZ1214" s="24">
        <f t="shared" ref="AZ1214:AZ1215" si="855">SUM(AU1214:AY1214)</f>
        <v>0</v>
      </c>
      <c r="BA1214" s="24">
        <f t="shared" ref="BA1214:BA1215" si="856">AH1214+AN1214+AT1214+AZ1214</f>
        <v>0</v>
      </c>
      <c r="BB1214" s="128"/>
    </row>
    <row r="1215" spans="1:54" ht="14.25" x14ac:dyDescent="0.15">
      <c r="A1215" s="10" t="s">
        <v>181</v>
      </c>
      <c r="B1215" s="14"/>
      <c r="C1215" s="15"/>
      <c r="D1215" s="15"/>
      <c r="E1215" s="15"/>
      <c r="F1215" s="15"/>
      <c r="G1215" s="16">
        <f t="shared" si="851"/>
        <v>0</v>
      </c>
      <c r="H1215" s="14"/>
      <c r="I1215" s="15"/>
      <c r="J1215" s="15">
        <v>3</v>
      </c>
      <c r="K1215" s="15"/>
      <c r="L1215" s="15"/>
      <c r="M1215" s="57">
        <f t="shared" si="847"/>
        <v>3</v>
      </c>
      <c r="N1215" s="14"/>
      <c r="O1215" s="55"/>
      <c r="P1215" s="55"/>
      <c r="Q1215" s="55">
        <v>3</v>
      </c>
      <c r="R1215" s="67"/>
      <c r="S1215" s="24">
        <f t="shared" si="848"/>
        <v>3</v>
      </c>
      <c r="T1215" s="15"/>
      <c r="U1215" s="55"/>
      <c r="V1215" s="55"/>
      <c r="W1215" s="55"/>
      <c r="X1215" s="67"/>
      <c r="Y1215" s="24">
        <f t="shared" si="849"/>
        <v>0</v>
      </c>
      <c r="Z1215" s="24">
        <f t="shared" si="850"/>
        <v>6</v>
      </c>
      <c r="AA1215" s="83">
        <v>45079</v>
      </c>
      <c r="AB1215" s="10" t="s">
        <v>181</v>
      </c>
      <c r="AC1215" s="14"/>
      <c r="AD1215" s="15"/>
      <c r="AE1215" s="15"/>
      <c r="AF1215" s="15"/>
      <c r="AG1215" s="15"/>
      <c r="AH1215" s="43">
        <f t="shared" si="852"/>
        <v>0</v>
      </c>
      <c r="AI1215" s="14"/>
      <c r="AJ1215" s="15"/>
      <c r="AK1215" s="15"/>
      <c r="AL1215" s="15"/>
      <c r="AM1215" s="15"/>
      <c r="AN1215" s="43">
        <f t="shared" si="853"/>
        <v>0</v>
      </c>
      <c r="AO1215" s="14"/>
      <c r="AP1215" s="55"/>
      <c r="AQ1215" s="55"/>
      <c r="AR1215" s="55"/>
      <c r="AS1215" s="67"/>
      <c r="AT1215" s="24">
        <f t="shared" si="854"/>
        <v>0</v>
      </c>
      <c r="AU1215" s="15"/>
      <c r="AV1215" s="55"/>
      <c r="AW1215" s="55"/>
      <c r="AX1215" s="55"/>
      <c r="AY1215" s="67"/>
      <c r="AZ1215" s="24">
        <f t="shared" si="855"/>
        <v>0</v>
      </c>
      <c r="BA1215" s="24">
        <f t="shared" si="856"/>
        <v>0</v>
      </c>
      <c r="BB1215" s="128"/>
    </row>
    <row r="1216" spans="1:54" ht="14.25" x14ac:dyDescent="0.15">
      <c r="A1216" s="10" t="s">
        <v>77</v>
      </c>
      <c r="B1216" s="14"/>
      <c r="C1216" s="15"/>
      <c r="D1216" s="15"/>
      <c r="E1216" s="15"/>
      <c r="F1216" s="15"/>
      <c r="G1216" s="16">
        <f t="shared" ref="G1216:G1244" si="857">SUM(B1216:F1216)</f>
        <v>0</v>
      </c>
      <c r="H1216" s="14"/>
      <c r="I1216" s="15"/>
      <c r="J1216" s="15"/>
      <c r="K1216" s="15"/>
      <c r="L1216" s="15"/>
      <c r="M1216" s="57">
        <f t="shared" si="847"/>
        <v>0</v>
      </c>
      <c r="N1216" s="14"/>
      <c r="O1216" s="55"/>
      <c r="P1216" s="55"/>
      <c r="Q1216" s="55">
        <v>1</v>
      </c>
      <c r="R1216" s="67"/>
      <c r="S1216" s="24">
        <f t="shared" si="848"/>
        <v>1</v>
      </c>
      <c r="T1216" s="15"/>
      <c r="U1216" s="55"/>
      <c r="V1216" s="55"/>
      <c r="W1216" s="55"/>
      <c r="X1216" s="67"/>
      <c r="Y1216" s="24">
        <f t="shared" si="849"/>
        <v>0</v>
      </c>
      <c r="Z1216" s="24">
        <f t="shared" si="850"/>
        <v>1</v>
      </c>
      <c r="AA1216" s="83">
        <v>45086</v>
      </c>
      <c r="AB1216" s="10" t="s">
        <v>181</v>
      </c>
      <c r="AC1216" s="14"/>
      <c r="AD1216" s="15"/>
      <c r="AE1216" s="15"/>
      <c r="AF1216" s="15"/>
      <c r="AG1216" s="15"/>
      <c r="AH1216" s="43">
        <f t="shared" ref="AH1216:AH1218" si="858">SUM(AC1216:AG1216)</f>
        <v>0</v>
      </c>
      <c r="AI1216" s="14"/>
      <c r="AJ1216" s="15"/>
      <c r="AK1216" s="15"/>
      <c r="AL1216" s="15"/>
      <c r="AM1216" s="15"/>
      <c r="AN1216" s="43">
        <f t="shared" ref="AN1216:AN1218" si="859">SUM(AI1216:AM1216)</f>
        <v>0</v>
      </c>
      <c r="AO1216" s="14"/>
      <c r="AP1216" s="55"/>
      <c r="AQ1216" s="55"/>
      <c r="AR1216" s="55"/>
      <c r="AS1216" s="67"/>
      <c r="AT1216" s="24">
        <f t="shared" ref="AT1216:AT1218" si="860">SUM(AO1216:AS1216)</f>
        <v>0</v>
      </c>
      <c r="AU1216" s="15"/>
      <c r="AV1216" s="55"/>
      <c r="AW1216" s="55"/>
      <c r="AX1216" s="55"/>
      <c r="AY1216" s="67"/>
      <c r="AZ1216" s="24">
        <f t="shared" ref="AZ1216:AZ1218" si="861">SUM(AU1216:AY1216)</f>
        <v>0</v>
      </c>
      <c r="BA1216" s="24">
        <f t="shared" ref="BA1216:BA1231" si="862">AH1216+AN1216+AT1216+AZ1216</f>
        <v>0</v>
      </c>
      <c r="BB1216" s="128"/>
    </row>
    <row r="1217" spans="1:55" ht="15" thickBot="1" x14ac:dyDescent="0.2">
      <c r="A1217" s="10" t="s">
        <v>181</v>
      </c>
      <c r="B1217" s="14">
        <v>2</v>
      </c>
      <c r="C1217" s="15"/>
      <c r="D1217" s="15"/>
      <c r="E1217" s="15">
        <v>2</v>
      </c>
      <c r="F1217" s="15">
        <v>2</v>
      </c>
      <c r="G1217" s="16">
        <f t="shared" si="857"/>
        <v>6</v>
      </c>
      <c r="H1217" s="14"/>
      <c r="I1217" s="15"/>
      <c r="J1217" s="15"/>
      <c r="K1217" s="15"/>
      <c r="L1217" s="15"/>
      <c r="M1217" s="57">
        <f t="shared" si="847"/>
        <v>0</v>
      </c>
      <c r="N1217" s="198"/>
      <c r="O1217" s="199"/>
      <c r="P1217" s="199"/>
      <c r="Q1217" s="199"/>
      <c r="R1217" s="200"/>
      <c r="S1217" s="178">
        <f t="shared" si="848"/>
        <v>0</v>
      </c>
      <c r="T1217" s="201"/>
      <c r="U1217" s="199">
        <v>2</v>
      </c>
      <c r="V1217" s="199">
        <v>2</v>
      </c>
      <c r="W1217" s="199">
        <v>2</v>
      </c>
      <c r="X1217" s="200">
        <v>2</v>
      </c>
      <c r="Y1217" s="178">
        <f t="shared" si="849"/>
        <v>8</v>
      </c>
      <c r="Z1217" s="178">
        <f t="shared" si="850"/>
        <v>14</v>
      </c>
      <c r="AA1217" s="83">
        <v>45093</v>
      </c>
      <c r="AB1217" s="10" t="s">
        <v>181</v>
      </c>
      <c r="AC1217" s="14"/>
      <c r="AD1217" s="15"/>
      <c r="AE1217" s="15"/>
      <c r="AF1217" s="15"/>
      <c r="AG1217" s="15"/>
      <c r="AH1217" s="43">
        <f t="shared" si="858"/>
        <v>0</v>
      </c>
      <c r="AI1217" s="14"/>
      <c r="AJ1217" s="15"/>
      <c r="AK1217" s="15"/>
      <c r="AL1217" s="15"/>
      <c r="AM1217" s="15"/>
      <c r="AN1217" s="43">
        <f t="shared" si="859"/>
        <v>0</v>
      </c>
      <c r="AO1217" s="14"/>
      <c r="AP1217" s="55"/>
      <c r="AQ1217" s="55"/>
      <c r="AR1217" s="55"/>
      <c r="AS1217" s="67"/>
      <c r="AT1217" s="24">
        <f t="shared" si="860"/>
        <v>0</v>
      </c>
      <c r="AU1217" s="15"/>
      <c r="AV1217" s="55"/>
      <c r="AW1217" s="55"/>
      <c r="AX1217" s="55"/>
      <c r="AY1217" s="67"/>
      <c r="AZ1217" s="24">
        <f t="shared" si="861"/>
        <v>0</v>
      </c>
      <c r="BA1217" s="24">
        <f t="shared" si="862"/>
        <v>0</v>
      </c>
      <c r="BB1217" s="128"/>
    </row>
    <row r="1218" spans="1:55" ht="15" thickBot="1" x14ac:dyDescent="0.2">
      <c r="A1218" s="4" t="s">
        <v>12</v>
      </c>
      <c r="B1218" s="17">
        <f>SUM(B1213:B1217)</f>
        <v>7</v>
      </c>
      <c r="C1218" s="18">
        <f>SUM(C1213:C1217)</f>
        <v>6</v>
      </c>
      <c r="D1218" s="18">
        <f>SUM(D1213:D1217)</f>
        <v>4</v>
      </c>
      <c r="E1218" s="18">
        <f>SUM(E1213:E1217)</f>
        <v>6</v>
      </c>
      <c r="F1218" s="18">
        <f>SUM(F1213:F1217)</f>
        <v>7</v>
      </c>
      <c r="G1218" s="148">
        <f t="shared" si="857"/>
        <v>30</v>
      </c>
      <c r="H1218" s="17">
        <f>SUM(H1213:H1217)</f>
        <v>6</v>
      </c>
      <c r="I1218" s="18">
        <f>SUM(I1213:I1217)</f>
        <v>7</v>
      </c>
      <c r="J1218" s="18">
        <f>SUM(J1213:J1217)</f>
        <v>9</v>
      </c>
      <c r="K1218" s="18">
        <f>SUM(K1213:K1217)</f>
        <v>7</v>
      </c>
      <c r="L1218" s="18">
        <f>SUM(L1213:L1217)</f>
        <v>6</v>
      </c>
      <c r="M1218" s="17">
        <f t="shared" si="847"/>
        <v>35</v>
      </c>
      <c r="N1218" s="65">
        <f>SUM(N1213:N1217)</f>
        <v>5</v>
      </c>
      <c r="O1218" s="18">
        <f>SUM(O1213:O1217)</f>
        <v>4</v>
      </c>
      <c r="P1218" s="18">
        <f>SUM(P1213:P1217)</f>
        <v>6</v>
      </c>
      <c r="Q1218" s="18">
        <f>SUM(Q1213:Q1217)</f>
        <v>10</v>
      </c>
      <c r="R1218" s="70">
        <f>SUM(R1213:R1217)</f>
        <v>9</v>
      </c>
      <c r="S1218" s="49">
        <f t="shared" si="848"/>
        <v>34</v>
      </c>
      <c r="T1218" s="74">
        <f>SUM(T1213:T1217)</f>
        <v>5</v>
      </c>
      <c r="U1218" s="18">
        <f>SUM(U1213:U1217)</f>
        <v>6</v>
      </c>
      <c r="V1218" s="18">
        <f>SUM(V1213:V1217)</f>
        <v>7</v>
      </c>
      <c r="W1218" s="18">
        <f>SUM(W1213:W1217)</f>
        <v>7</v>
      </c>
      <c r="X1218" s="70">
        <f>SUM(X1213:X1217)</f>
        <v>8</v>
      </c>
      <c r="Y1218" s="49">
        <f t="shared" si="849"/>
        <v>33</v>
      </c>
      <c r="Z1218" s="33">
        <f t="shared" si="850"/>
        <v>132</v>
      </c>
      <c r="AB1218" s="4" t="s">
        <v>12</v>
      </c>
      <c r="AC1218" s="17">
        <f>SUM(AC1213:AC1217)</f>
        <v>120</v>
      </c>
      <c r="AD1218" s="18">
        <f>SUM(AD1213:AD1217)</f>
        <v>107</v>
      </c>
      <c r="AE1218" s="18">
        <f>SUM(AE1213:AE1217)</f>
        <v>105</v>
      </c>
      <c r="AF1218" s="18">
        <f>SUM(AF1213:AF1217)</f>
        <v>84</v>
      </c>
      <c r="AG1218" s="18">
        <f>SUM(AG1213:AG1217)</f>
        <v>66</v>
      </c>
      <c r="AH1218" s="148">
        <f t="shared" si="858"/>
        <v>482</v>
      </c>
      <c r="AI1218" s="17">
        <f>SUM(AI1213:AI1217)</f>
        <v>94</v>
      </c>
      <c r="AJ1218" s="18">
        <f>SUM(AJ1213:AJ1217)</f>
        <v>95</v>
      </c>
      <c r="AK1218" s="18">
        <f>SUM(AK1213:AK1217)</f>
        <v>102</v>
      </c>
      <c r="AL1218" s="18">
        <f>SUM(AL1213:AL1217)</f>
        <v>84</v>
      </c>
      <c r="AM1218" s="18">
        <f>SUM(AM1213:AM1217)</f>
        <v>95</v>
      </c>
      <c r="AN1218" s="148">
        <f t="shared" si="859"/>
        <v>470</v>
      </c>
      <c r="AO1218" s="65">
        <f>SUM(AO1213:AO1217)</f>
        <v>152</v>
      </c>
      <c r="AP1218" s="18">
        <f>SUM(AP1213:AP1217)</f>
        <v>119</v>
      </c>
      <c r="AQ1218" s="18">
        <f>SUM(AQ1213:AQ1217)</f>
        <v>120</v>
      </c>
      <c r="AR1218" s="18">
        <f>SUM(AR1213:AR1217)</f>
        <v>133</v>
      </c>
      <c r="AS1218" s="70">
        <f>SUM(AS1213:AS1217)</f>
        <v>144</v>
      </c>
      <c r="AT1218" s="49">
        <f t="shared" si="860"/>
        <v>668</v>
      </c>
      <c r="AU1218" s="74">
        <f>SUM(AU1213:AU1217)</f>
        <v>115</v>
      </c>
      <c r="AV1218" s="18">
        <f>SUM(AV1213:AV1217)</f>
        <v>68</v>
      </c>
      <c r="AW1218" s="18">
        <f>SUM(AW1213:AW1217)</f>
        <v>47</v>
      </c>
      <c r="AX1218" s="18">
        <f>SUM(AX1213:AX1217)</f>
        <v>46</v>
      </c>
      <c r="AY1218" s="70">
        <f>SUM(AY1213:AY1217)</f>
        <v>92</v>
      </c>
      <c r="AZ1218" s="49">
        <f t="shared" si="861"/>
        <v>368</v>
      </c>
      <c r="BA1218" s="33">
        <f t="shared" si="862"/>
        <v>1988</v>
      </c>
    </row>
    <row r="1219" spans="1:55" ht="14.25" x14ac:dyDescent="0.15">
      <c r="A1219" s="23" t="s">
        <v>438</v>
      </c>
      <c r="B1219" s="41"/>
      <c r="C1219" s="42"/>
      <c r="D1219" s="42"/>
      <c r="E1219" s="42"/>
      <c r="F1219" s="42"/>
      <c r="G1219" s="43">
        <f t="shared" ref="G1219:G1242" si="863">SUM(B1219:F1219)</f>
        <v>0</v>
      </c>
      <c r="H1219" s="41"/>
      <c r="I1219" s="42"/>
      <c r="J1219" s="42"/>
      <c r="K1219" s="42"/>
      <c r="L1219" s="42"/>
      <c r="M1219" s="43">
        <f t="shared" ref="M1219:M1242" si="864">SUM(H1219:L1219)</f>
        <v>0</v>
      </c>
      <c r="N1219" s="42"/>
      <c r="O1219" s="53"/>
      <c r="P1219" s="53"/>
      <c r="Q1219" s="53"/>
      <c r="R1219" s="72">
        <v>1</v>
      </c>
      <c r="S1219" s="24">
        <f t="shared" si="848"/>
        <v>1</v>
      </c>
      <c r="T1219" s="42"/>
      <c r="U1219" s="53"/>
      <c r="V1219" s="53"/>
      <c r="W1219" s="53"/>
      <c r="X1219" s="72"/>
      <c r="Y1219" s="24">
        <f t="shared" si="849"/>
        <v>0</v>
      </c>
      <c r="Z1219" s="24">
        <f t="shared" si="850"/>
        <v>1</v>
      </c>
      <c r="AA1219" s="83">
        <v>45062</v>
      </c>
      <c r="AB1219" s="23" t="s">
        <v>438</v>
      </c>
      <c r="AC1219" s="38"/>
      <c r="AD1219" s="39"/>
      <c r="AE1219" s="39"/>
      <c r="AF1219" s="39"/>
      <c r="AG1219" s="39"/>
      <c r="AH1219" s="37">
        <f t="shared" ref="AH1219:AH1231" si="865">SUM(AC1219:AG1219)</f>
        <v>0</v>
      </c>
      <c r="AI1219" s="38"/>
      <c r="AJ1219" s="39"/>
      <c r="AK1219" s="39"/>
      <c r="AL1219" s="39"/>
      <c r="AM1219" s="39"/>
      <c r="AN1219" s="37">
        <f t="shared" ref="AN1219:AN1231" si="866">SUM(AI1219:AM1219)</f>
        <v>0</v>
      </c>
      <c r="AO1219" s="39"/>
      <c r="AP1219" s="56"/>
      <c r="AQ1219" s="56"/>
      <c r="AR1219" s="56">
        <v>1</v>
      </c>
      <c r="AS1219" s="71"/>
      <c r="AT1219" s="16">
        <f t="shared" ref="AT1219:AT1231" si="867">SUM(AO1219:AS1219)</f>
        <v>1</v>
      </c>
      <c r="AU1219" s="39"/>
      <c r="AV1219" s="56"/>
      <c r="AW1219" s="56"/>
      <c r="AX1219" s="56"/>
      <c r="AY1219" s="71">
        <v>1</v>
      </c>
      <c r="AZ1219" s="16">
        <f t="shared" ref="AZ1219:AZ1231" si="868">SUM(AU1219:AY1219)</f>
        <v>1</v>
      </c>
      <c r="BA1219" s="16">
        <f t="shared" si="862"/>
        <v>2</v>
      </c>
      <c r="BB1219" s="83">
        <v>45063</v>
      </c>
    </row>
    <row r="1220" spans="1:55" ht="14.25" x14ac:dyDescent="0.15">
      <c r="A1220" s="23" t="s">
        <v>48</v>
      </c>
      <c r="B1220" s="41"/>
      <c r="C1220" s="42">
        <v>1</v>
      </c>
      <c r="D1220" s="42"/>
      <c r="E1220" s="42"/>
      <c r="F1220" s="42"/>
      <c r="G1220" s="43">
        <f t="shared" si="863"/>
        <v>1</v>
      </c>
      <c r="H1220" s="41"/>
      <c r="I1220" s="42"/>
      <c r="J1220" s="42"/>
      <c r="K1220" s="42">
        <v>1</v>
      </c>
      <c r="L1220" s="42"/>
      <c r="M1220" s="43">
        <f t="shared" si="864"/>
        <v>1</v>
      </c>
      <c r="N1220" s="42"/>
      <c r="O1220" s="53"/>
      <c r="P1220" s="53"/>
      <c r="Q1220" s="53"/>
      <c r="R1220" s="72"/>
      <c r="S1220" s="24">
        <f t="shared" si="848"/>
        <v>0</v>
      </c>
      <c r="T1220" s="42"/>
      <c r="U1220" s="53"/>
      <c r="V1220" s="53"/>
      <c r="W1220" s="53"/>
      <c r="X1220" s="72"/>
      <c r="Y1220" s="24">
        <f t="shared" si="849"/>
        <v>0</v>
      </c>
      <c r="Z1220" s="24">
        <f t="shared" si="850"/>
        <v>2</v>
      </c>
      <c r="AA1220" s="83">
        <v>45061</v>
      </c>
      <c r="AB1220" s="23" t="s">
        <v>438</v>
      </c>
      <c r="AC1220" s="38"/>
      <c r="AD1220" s="39"/>
      <c r="AE1220" s="39"/>
      <c r="AF1220" s="39"/>
      <c r="AG1220" s="39"/>
      <c r="AH1220" s="37">
        <f t="shared" si="865"/>
        <v>0</v>
      </c>
      <c r="AI1220" s="38">
        <v>4</v>
      </c>
      <c r="AJ1220" s="39"/>
      <c r="AK1220" s="39"/>
      <c r="AL1220" s="39">
        <v>1</v>
      </c>
      <c r="AM1220" s="39"/>
      <c r="AN1220" s="37">
        <f t="shared" si="866"/>
        <v>5</v>
      </c>
      <c r="AO1220" s="39"/>
      <c r="AP1220" s="56"/>
      <c r="AQ1220" s="56"/>
      <c r="AR1220" s="56"/>
      <c r="AS1220" s="71"/>
      <c r="AT1220" s="16">
        <f t="shared" si="867"/>
        <v>0</v>
      </c>
      <c r="AU1220" s="39"/>
      <c r="AV1220" s="56"/>
      <c r="AW1220" s="56"/>
      <c r="AX1220" s="56"/>
      <c r="AY1220" s="71"/>
      <c r="AZ1220" s="16">
        <f t="shared" si="868"/>
        <v>0</v>
      </c>
      <c r="BA1220" s="16">
        <f t="shared" si="862"/>
        <v>5</v>
      </c>
      <c r="BB1220" s="83">
        <v>45064</v>
      </c>
    </row>
    <row r="1221" spans="1:55" ht="14.25" x14ac:dyDescent="0.15">
      <c r="A1221" s="23" t="s">
        <v>438</v>
      </c>
      <c r="B1221" s="41"/>
      <c r="C1221" s="42"/>
      <c r="D1221" s="42"/>
      <c r="E1221" s="42"/>
      <c r="F1221" s="42"/>
      <c r="G1221" s="43">
        <f t="shared" si="863"/>
        <v>0</v>
      </c>
      <c r="H1221" s="41"/>
      <c r="I1221" s="42">
        <v>1</v>
      </c>
      <c r="J1221" s="42"/>
      <c r="K1221" s="42"/>
      <c r="L1221" s="42"/>
      <c r="M1221" s="43">
        <f t="shared" si="864"/>
        <v>1</v>
      </c>
      <c r="N1221" s="42"/>
      <c r="O1221" s="53"/>
      <c r="P1221" s="53"/>
      <c r="Q1221" s="53"/>
      <c r="R1221" s="72"/>
      <c r="S1221" s="24">
        <f t="shared" si="848"/>
        <v>0</v>
      </c>
      <c r="T1221" s="42"/>
      <c r="U1221" s="53"/>
      <c r="V1221" s="53"/>
      <c r="W1221" s="53"/>
      <c r="X1221" s="72"/>
      <c r="Y1221" s="24">
        <f t="shared" si="849"/>
        <v>0</v>
      </c>
      <c r="Z1221" s="24">
        <f t="shared" si="850"/>
        <v>1</v>
      </c>
      <c r="AA1221" s="83">
        <v>45065</v>
      </c>
      <c r="AB1221" s="23" t="s">
        <v>126</v>
      </c>
      <c r="AC1221" s="38"/>
      <c r="AD1221" s="39"/>
      <c r="AE1221" s="39"/>
      <c r="AF1221" s="39"/>
      <c r="AG1221" s="39">
        <v>3</v>
      </c>
      <c r="AH1221" s="37">
        <f t="shared" ref="AH1221" si="869">SUM(AC1221:AG1221)</f>
        <v>3</v>
      </c>
      <c r="AI1221" s="38">
        <v>3</v>
      </c>
      <c r="AJ1221" s="39">
        <v>3</v>
      </c>
      <c r="AK1221" s="39">
        <v>3</v>
      </c>
      <c r="AL1221" s="39">
        <v>3</v>
      </c>
      <c r="AM1221" s="39">
        <v>3</v>
      </c>
      <c r="AN1221" s="37">
        <f t="shared" ref="AN1221" si="870">SUM(AI1221:AM1221)</f>
        <v>15</v>
      </c>
      <c r="AO1221" s="39"/>
      <c r="AP1221" s="56"/>
      <c r="AQ1221" s="56">
        <v>3</v>
      </c>
      <c r="AR1221" s="56">
        <v>3</v>
      </c>
      <c r="AS1221" s="71">
        <v>5</v>
      </c>
      <c r="AT1221" s="16">
        <f t="shared" ref="AT1221" si="871">SUM(AO1221:AS1221)</f>
        <v>11</v>
      </c>
      <c r="AU1221" s="39"/>
      <c r="AV1221" s="56"/>
      <c r="AW1221" s="56"/>
      <c r="AX1221" s="56"/>
      <c r="AY1221" s="71">
        <v>3</v>
      </c>
      <c r="AZ1221" s="16">
        <f t="shared" ref="AZ1221" si="872">SUM(AU1221:AY1221)</f>
        <v>3</v>
      </c>
      <c r="BA1221" s="16">
        <f t="shared" si="862"/>
        <v>32</v>
      </c>
      <c r="BB1221" s="83">
        <v>45066</v>
      </c>
    </row>
    <row r="1222" spans="1:55" ht="14.25" x14ac:dyDescent="0.15">
      <c r="A1222" s="23" t="s">
        <v>48</v>
      </c>
      <c r="B1222" s="41"/>
      <c r="C1222" s="42"/>
      <c r="D1222" s="42"/>
      <c r="E1222" s="42"/>
      <c r="F1222" s="42"/>
      <c r="G1222" s="43">
        <f t="shared" si="863"/>
        <v>0</v>
      </c>
      <c r="H1222" s="41"/>
      <c r="I1222" s="42"/>
      <c r="J1222" s="42"/>
      <c r="K1222" s="42"/>
      <c r="L1222" s="42"/>
      <c r="M1222" s="43">
        <f t="shared" si="864"/>
        <v>0</v>
      </c>
      <c r="N1222" s="42"/>
      <c r="O1222" s="53"/>
      <c r="P1222" s="53"/>
      <c r="Q1222" s="53"/>
      <c r="R1222" s="72">
        <v>1</v>
      </c>
      <c r="S1222" s="24">
        <f t="shared" si="848"/>
        <v>1</v>
      </c>
      <c r="T1222" s="42"/>
      <c r="U1222" s="53"/>
      <c r="V1222" s="53"/>
      <c r="W1222" s="53"/>
      <c r="X1222" s="72"/>
      <c r="Y1222" s="24">
        <f t="shared" si="849"/>
        <v>0</v>
      </c>
      <c r="Z1222" s="24">
        <f t="shared" si="850"/>
        <v>1</v>
      </c>
      <c r="AA1222" s="83">
        <v>45064</v>
      </c>
      <c r="AB1222" s="23" t="s">
        <v>126</v>
      </c>
      <c r="AC1222" s="38"/>
      <c r="AD1222" s="39"/>
      <c r="AE1222" s="39"/>
      <c r="AF1222" s="39"/>
      <c r="AG1222" s="39"/>
      <c r="AH1222" s="37">
        <f t="shared" ref="AH1222:AH1224" si="873">SUM(AC1222:AG1222)</f>
        <v>0</v>
      </c>
      <c r="AI1222" s="38"/>
      <c r="AJ1222" s="39"/>
      <c r="AK1222" s="39">
        <v>3</v>
      </c>
      <c r="AL1222" s="39"/>
      <c r="AM1222" s="39"/>
      <c r="AN1222" s="37">
        <f t="shared" ref="AN1222" si="874">SUM(AI1222:AM1222)</f>
        <v>3</v>
      </c>
      <c r="AO1222" s="39"/>
      <c r="AP1222" s="56"/>
      <c r="AQ1222" s="56"/>
      <c r="AR1222" s="56">
        <v>3</v>
      </c>
      <c r="AS1222" s="71"/>
      <c r="AT1222" s="16">
        <f t="shared" ref="AT1222" si="875">SUM(AO1222:AS1222)</f>
        <v>3</v>
      </c>
      <c r="AU1222" s="39"/>
      <c r="AV1222" s="56"/>
      <c r="AW1222" s="56"/>
      <c r="AX1222" s="56"/>
      <c r="AY1222" s="71"/>
      <c r="AZ1222" s="16">
        <f t="shared" ref="AZ1222" si="876">SUM(AU1222:AY1222)</f>
        <v>0</v>
      </c>
      <c r="BA1222" s="16">
        <f t="shared" si="862"/>
        <v>6</v>
      </c>
      <c r="BB1222" s="83">
        <v>45079</v>
      </c>
      <c r="BC1222" s="111"/>
    </row>
    <row r="1223" spans="1:55" ht="14.25" x14ac:dyDescent="0.15">
      <c r="A1223" s="23" t="s">
        <v>438</v>
      </c>
      <c r="B1223" s="41"/>
      <c r="C1223" s="42"/>
      <c r="D1223" s="42"/>
      <c r="E1223" s="42"/>
      <c r="F1223" s="42"/>
      <c r="G1223" s="43">
        <f t="shared" si="863"/>
        <v>0</v>
      </c>
      <c r="H1223" s="41"/>
      <c r="I1223" s="42"/>
      <c r="J1223" s="42">
        <v>1</v>
      </c>
      <c r="K1223" s="42"/>
      <c r="L1223" s="42"/>
      <c r="M1223" s="43">
        <f t="shared" si="864"/>
        <v>1</v>
      </c>
      <c r="N1223" s="42"/>
      <c r="O1223" s="53"/>
      <c r="P1223" s="53"/>
      <c r="Q1223" s="53"/>
      <c r="R1223" s="72">
        <v>1</v>
      </c>
      <c r="S1223" s="24">
        <f t="shared" si="848"/>
        <v>1</v>
      </c>
      <c r="T1223" s="42"/>
      <c r="U1223" s="53"/>
      <c r="V1223" s="53"/>
      <c r="W1223" s="53"/>
      <c r="X1223" s="72"/>
      <c r="Y1223" s="24">
        <f t="shared" si="849"/>
        <v>0</v>
      </c>
      <c r="Z1223" s="24">
        <f t="shared" si="850"/>
        <v>2</v>
      </c>
      <c r="AA1223" s="83">
        <v>45068</v>
      </c>
      <c r="AB1223" s="23" t="s">
        <v>126</v>
      </c>
      <c r="AC1223" s="38">
        <v>2</v>
      </c>
      <c r="AD1223" s="39"/>
      <c r="AE1223" s="39"/>
      <c r="AF1223" s="39">
        <v>2</v>
      </c>
      <c r="AG1223" s="39">
        <v>2</v>
      </c>
      <c r="AH1223" s="37">
        <f t="shared" si="873"/>
        <v>6</v>
      </c>
      <c r="AI1223" s="38"/>
      <c r="AJ1223" s="39"/>
      <c r="AK1223" s="39"/>
      <c r="AL1223" s="39"/>
      <c r="AM1223" s="39"/>
      <c r="AN1223" s="37">
        <f t="shared" ref="AN1223:AN1224" si="877">SUM(AI1223:AM1223)</f>
        <v>0</v>
      </c>
      <c r="AO1223" s="39"/>
      <c r="AP1223" s="56"/>
      <c r="AQ1223" s="56"/>
      <c r="AR1223" s="56"/>
      <c r="AS1223" s="71"/>
      <c r="AT1223" s="16">
        <f t="shared" ref="AT1223:AT1224" si="878">SUM(AO1223:AS1223)</f>
        <v>0</v>
      </c>
      <c r="AU1223" s="39"/>
      <c r="AV1223" s="56">
        <v>2</v>
      </c>
      <c r="AW1223" s="56">
        <v>2</v>
      </c>
      <c r="AX1223" s="56">
        <v>2</v>
      </c>
      <c r="AY1223" s="71">
        <v>2</v>
      </c>
      <c r="AZ1223" s="16">
        <f t="shared" ref="AZ1223:AZ1224" si="879">SUM(AU1223:AY1223)</f>
        <v>8</v>
      </c>
      <c r="BA1223" s="16">
        <f t="shared" si="862"/>
        <v>14</v>
      </c>
      <c r="BB1223" s="83">
        <v>45093</v>
      </c>
    </row>
    <row r="1224" spans="1:55" ht="14.25" x14ac:dyDescent="0.15">
      <c r="A1224" s="23" t="s">
        <v>592</v>
      </c>
      <c r="B1224" s="41"/>
      <c r="C1224" s="42"/>
      <c r="D1224" s="42"/>
      <c r="E1224" s="42"/>
      <c r="F1224" s="42"/>
      <c r="G1224" s="43">
        <f t="shared" si="863"/>
        <v>0</v>
      </c>
      <c r="H1224" s="41"/>
      <c r="I1224" s="42"/>
      <c r="J1224" s="42">
        <v>1</v>
      </c>
      <c r="K1224" s="42">
        <v>-1</v>
      </c>
      <c r="L1224" s="42"/>
      <c r="M1224" s="43">
        <f t="shared" si="864"/>
        <v>0</v>
      </c>
      <c r="N1224" s="42"/>
      <c r="O1224" s="53"/>
      <c r="P1224" s="53"/>
      <c r="Q1224" s="53"/>
      <c r="R1224" s="72"/>
      <c r="S1224" s="24">
        <f t="shared" si="848"/>
        <v>0</v>
      </c>
      <c r="T1224" s="42"/>
      <c r="U1224" s="53"/>
      <c r="V1224" s="53"/>
      <c r="W1224" s="53"/>
      <c r="X1224" s="72"/>
      <c r="Y1224" s="24">
        <f t="shared" si="849"/>
        <v>0</v>
      </c>
      <c r="Z1224" s="24">
        <f t="shared" si="850"/>
        <v>0</v>
      </c>
      <c r="AA1224" s="83">
        <v>45065</v>
      </c>
      <c r="AB1224" s="23" t="s">
        <v>438</v>
      </c>
      <c r="AC1224" s="38"/>
      <c r="AD1224" s="39">
        <v>1</v>
      </c>
      <c r="AE1224" s="39">
        <v>1</v>
      </c>
      <c r="AF1224" s="39">
        <v>4</v>
      </c>
      <c r="AG1224" s="39"/>
      <c r="AH1224" s="37">
        <f t="shared" si="873"/>
        <v>6</v>
      </c>
      <c r="AI1224" s="38"/>
      <c r="AJ1224" s="39"/>
      <c r="AK1224" s="39"/>
      <c r="AL1224" s="39"/>
      <c r="AM1224" s="39">
        <v>1</v>
      </c>
      <c r="AN1224" s="37">
        <f t="shared" si="877"/>
        <v>1</v>
      </c>
      <c r="AO1224" s="39">
        <v>2</v>
      </c>
      <c r="AP1224" s="56">
        <v>1</v>
      </c>
      <c r="AQ1224" s="56">
        <v>1</v>
      </c>
      <c r="AR1224" s="56">
        <v>1</v>
      </c>
      <c r="AS1224" s="71"/>
      <c r="AT1224" s="16">
        <f t="shared" si="878"/>
        <v>5</v>
      </c>
      <c r="AU1224" s="39"/>
      <c r="AV1224" s="56"/>
      <c r="AW1224" s="56"/>
      <c r="AX1224" s="56">
        <v>3</v>
      </c>
      <c r="AY1224" s="71"/>
      <c r="AZ1224" s="16">
        <f t="shared" si="879"/>
        <v>3</v>
      </c>
      <c r="BA1224" s="16">
        <f t="shared" ref="BA1224:BA1228" si="880">AH1224+AN1224+AT1224+AZ1224</f>
        <v>15</v>
      </c>
      <c r="BB1224" s="83">
        <v>45098</v>
      </c>
    </row>
    <row r="1225" spans="1:55" ht="14.25" x14ac:dyDescent="0.15">
      <c r="A1225" s="23" t="s">
        <v>438</v>
      </c>
      <c r="B1225" s="41"/>
      <c r="C1225" s="42"/>
      <c r="D1225" s="42"/>
      <c r="E1225" s="42"/>
      <c r="F1225" s="42"/>
      <c r="G1225" s="43">
        <f t="shared" si="863"/>
        <v>0</v>
      </c>
      <c r="H1225" s="41"/>
      <c r="I1225" s="42"/>
      <c r="J1225" s="42"/>
      <c r="K1225" s="42"/>
      <c r="L1225" s="42">
        <v>1</v>
      </c>
      <c r="M1225" s="43">
        <f t="shared" si="864"/>
        <v>1</v>
      </c>
      <c r="N1225" s="42"/>
      <c r="O1225" s="53"/>
      <c r="P1225" s="53"/>
      <c r="Q1225" s="53">
        <v>1</v>
      </c>
      <c r="R1225" s="72"/>
      <c r="S1225" s="24">
        <f t="shared" si="848"/>
        <v>1</v>
      </c>
      <c r="T1225" s="42"/>
      <c r="U1225" s="53"/>
      <c r="V1225" s="53"/>
      <c r="W1225" s="53"/>
      <c r="X1225" s="72"/>
      <c r="Y1225" s="24">
        <f t="shared" si="849"/>
        <v>0</v>
      </c>
      <c r="Z1225" s="24">
        <f t="shared" si="850"/>
        <v>2</v>
      </c>
      <c r="AA1225" s="83">
        <v>45070</v>
      </c>
      <c r="AB1225" s="23" t="s">
        <v>126</v>
      </c>
      <c r="AC1225" s="38"/>
      <c r="AD1225" s="39"/>
      <c r="AE1225" s="39">
        <v>3</v>
      </c>
      <c r="AF1225" s="39">
        <v>3</v>
      </c>
      <c r="AG1225" s="39"/>
      <c r="AH1225" s="37">
        <f t="shared" ref="AH1225" si="881">SUM(AC1225:AG1225)</f>
        <v>6</v>
      </c>
      <c r="AI1225" s="38"/>
      <c r="AJ1225" s="39"/>
      <c r="AK1225" s="39"/>
      <c r="AL1225" s="39"/>
      <c r="AM1225" s="39"/>
      <c r="AN1225" s="37">
        <f t="shared" ref="AN1225" si="882">SUM(AI1225:AM1225)</f>
        <v>0</v>
      </c>
      <c r="AO1225" s="39"/>
      <c r="AP1225" s="56">
        <v>3</v>
      </c>
      <c r="AQ1225" s="56"/>
      <c r="AR1225" s="56"/>
      <c r="AS1225" s="71"/>
      <c r="AT1225" s="16">
        <f t="shared" ref="AT1225" si="883">SUM(AO1225:AS1225)</f>
        <v>3</v>
      </c>
      <c r="AU1225" s="39"/>
      <c r="AV1225" s="56"/>
      <c r="AW1225" s="56"/>
      <c r="AX1225" s="56"/>
      <c r="AY1225" s="71"/>
      <c r="AZ1225" s="16">
        <f t="shared" ref="AZ1225" si="884">SUM(AU1225:AY1225)</f>
        <v>0</v>
      </c>
      <c r="BA1225" s="16">
        <f t="shared" si="880"/>
        <v>9</v>
      </c>
      <c r="BB1225" s="83">
        <v>45103</v>
      </c>
    </row>
    <row r="1226" spans="1:55" ht="14.25" x14ac:dyDescent="0.15">
      <c r="A1226" s="23" t="s">
        <v>604</v>
      </c>
      <c r="B1226" s="41">
        <v>1</v>
      </c>
      <c r="C1226" s="42"/>
      <c r="D1226" s="42"/>
      <c r="E1226" s="42"/>
      <c r="F1226" s="42"/>
      <c r="G1226" s="43">
        <f t="shared" si="863"/>
        <v>1</v>
      </c>
      <c r="H1226" s="41"/>
      <c r="I1226" s="42"/>
      <c r="J1226" s="42"/>
      <c r="K1226" s="42"/>
      <c r="L1226" s="42"/>
      <c r="M1226" s="43">
        <f t="shared" si="864"/>
        <v>0</v>
      </c>
      <c r="N1226" s="42"/>
      <c r="O1226" s="53"/>
      <c r="P1226" s="53"/>
      <c r="Q1226" s="53"/>
      <c r="R1226" s="72"/>
      <c r="S1226" s="24">
        <f t="shared" si="848"/>
        <v>0</v>
      </c>
      <c r="T1226" s="42"/>
      <c r="U1226" s="53"/>
      <c r="V1226" s="53"/>
      <c r="W1226" s="53"/>
      <c r="X1226" s="72"/>
      <c r="Y1226" s="24">
        <f t="shared" si="849"/>
        <v>0</v>
      </c>
      <c r="Z1226" s="24">
        <f t="shared" si="850"/>
        <v>1</v>
      </c>
      <c r="AA1226" s="83">
        <v>45070</v>
      </c>
      <c r="AB1226" s="23" t="s">
        <v>126</v>
      </c>
      <c r="AC1226" s="38"/>
      <c r="AD1226" s="39"/>
      <c r="AE1226" s="39"/>
      <c r="AF1226" s="39"/>
      <c r="AG1226" s="39">
        <v>5</v>
      </c>
      <c r="AH1226" s="37">
        <f>SUM(AC1226:AG1226)</f>
        <v>5</v>
      </c>
      <c r="AI1226" s="38"/>
      <c r="AJ1226" s="39"/>
      <c r="AK1226" s="39"/>
      <c r="AL1226" s="39"/>
      <c r="AM1226" s="39"/>
      <c r="AN1226" s="37">
        <f t="shared" ref="AN1226:AN1228" si="885">SUM(AI1226:AM1226)</f>
        <v>0</v>
      </c>
      <c r="AO1226" s="39"/>
      <c r="AP1226" s="56"/>
      <c r="AQ1226" s="56"/>
      <c r="AR1226" s="56"/>
      <c r="AS1226" s="71"/>
      <c r="AT1226" s="16">
        <f t="shared" ref="AT1226:AT1228" si="886">SUM(AO1226:AS1226)</f>
        <v>0</v>
      </c>
      <c r="AU1226" s="39"/>
      <c r="AV1226" s="56"/>
      <c r="AW1226" s="56"/>
      <c r="AX1226" s="56"/>
      <c r="AY1226" s="71"/>
      <c r="AZ1226" s="16">
        <f t="shared" ref="AZ1226:AZ1228" si="887">SUM(AU1226:AY1226)</f>
        <v>0</v>
      </c>
      <c r="BA1226" s="16">
        <f t="shared" si="880"/>
        <v>5</v>
      </c>
      <c r="BB1226" s="83">
        <v>45105</v>
      </c>
    </row>
    <row r="1227" spans="1:55" ht="14.25" x14ac:dyDescent="0.15">
      <c r="A1227" s="23" t="s">
        <v>438</v>
      </c>
      <c r="B1227" s="41"/>
      <c r="C1227" s="42"/>
      <c r="D1227" s="42"/>
      <c r="E1227" s="42"/>
      <c r="F1227" s="42"/>
      <c r="G1227" s="43">
        <f t="shared" si="863"/>
        <v>0</v>
      </c>
      <c r="H1227" s="41"/>
      <c r="I1227" s="42"/>
      <c r="J1227" s="42"/>
      <c r="K1227" s="42"/>
      <c r="L1227" s="42"/>
      <c r="M1227" s="43">
        <f t="shared" si="864"/>
        <v>0</v>
      </c>
      <c r="N1227" s="42"/>
      <c r="O1227" s="53"/>
      <c r="P1227" s="53">
        <v>1</v>
      </c>
      <c r="Q1227" s="53"/>
      <c r="R1227" s="72"/>
      <c r="S1227" s="24">
        <f t="shared" si="848"/>
        <v>1</v>
      </c>
      <c r="T1227" s="42"/>
      <c r="U1227" s="53"/>
      <c r="V1227" s="53"/>
      <c r="W1227" s="53"/>
      <c r="X1227" s="72">
        <v>1</v>
      </c>
      <c r="Y1227" s="24">
        <f t="shared" si="849"/>
        <v>1</v>
      </c>
      <c r="Z1227" s="24">
        <f t="shared" si="850"/>
        <v>2</v>
      </c>
      <c r="AA1227" s="83">
        <v>45071</v>
      </c>
      <c r="AB1227" s="23" t="s">
        <v>126</v>
      </c>
      <c r="AC1227" s="38"/>
      <c r="AD1227" s="39"/>
      <c r="AE1227" s="39"/>
      <c r="AF1227" s="39"/>
      <c r="AG1227" s="39"/>
      <c r="AH1227" s="37">
        <f t="shared" ref="AH1227:AH1228" si="888">SUM(AC1227:AG1227)</f>
        <v>0</v>
      </c>
      <c r="AI1227" s="38"/>
      <c r="AJ1227" s="39"/>
      <c r="AK1227" s="39"/>
      <c r="AL1227" s="39"/>
      <c r="AM1227" s="39"/>
      <c r="AN1227" s="37">
        <f t="shared" si="885"/>
        <v>0</v>
      </c>
      <c r="AO1227" s="39"/>
      <c r="AP1227" s="56"/>
      <c r="AQ1227" s="56"/>
      <c r="AR1227" s="56"/>
      <c r="AS1227" s="71">
        <v>5</v>
      </c>
      <c r="AT1227" s="16">
        <f t="shared" si="886"/>
        <v>5</v>
      </c>
      <c r="AU1227" s="39"/>
      <c r="AV1227" s="56"/>
      <c r="AW1227" s="56"/>
      <c r="AX1227" s="56"/>
      <c r="AY1227" s="71"/>
      <c r="AZ1227" s="16">
        <f t="shared" si="887"/>
        <v>0</v>
      </c>
      <c r="BA1227" s="16">
        <f t="shared" si="880"/>
        <v>5</v>
      </c>
      <c r="BB1227" s="83">
        <v>45108</v>
      </c>
    </row>
    <row r="1228" spans="1:55" ht="14.25" x14ac:dyDescent="0.15">
      <c r="A1228" s="23" t="s">
        <v>438</v>
      </c>
      <c r="B1228" s="41"/>
      <c r="C1228" s="42"/>
      <c r="D1228" s="42"/>
      <c r="E1228" s="42"/>
      <c r="F1228" s="42"/>
      <c r="G1228" s="43">
        <f t="shared" si="863"/>
        <v>0</v>
      </c>
      <c r="H1228" s="41"/>
      <c r="I1228" s="42"/>
      <c r="J1228" s="42"/>
      <c r="K1228" s="42"/>
      <c r="L1228" s="42"/>
      <c r="M1228" s="43">
        <f t="shared" si="864"/>
        <v>0</v>
      </c>
      <c r="N1228" s="42"/>
      <c r="O1228" s="53"/>
      <c r="P1228" s="53"/>
      <c r="Q1228" s="53">
        <v>1</v>
      </c>
      <c r="R1228" s="72"/>
      <c r="S1228" s="24">
        <f t="shared" si="848"/>
        <v>1</v>
      </c>
      <c r="T1228" s="42"/>
      <c r="U1228" s="53"/>
      <c r="V1228" s="53"/>
      <c r="W1228" s="53">
        <v>1</v>
      </c>
      <c r="X1228" s="72"/>
      <c r="Y1228" s="24">
        <f t="shared" si="849"/>
        <v>1</v>
      </c>
      <c r="Z1228" s="24">
        <f t="shared" si="850"/>
        <v>2</v>
      </c>
      <c r="AA1228" s="83">
        <v>45075</v>
      </c>
      <c r="AB1228" s="23" t="s">
        <v>126</v>
      </c>
      <c r="AC1228" s="38"/>
      <c r="AD1228" s="39">
        <v>3</v>
      </c>
      <c r="AE1228" s="39"/>
      <c r="AF1228" s="39"/>
      <c r="AG1228" s="39"/>
      <c r="AH1228" s="37">
        <f t="shared" si="888"/>
        <v>3</v>
      </c>
      <c r="AI1228" s="38"/>
      <c r="AJ1228" s="39"/>
      <c r="AK1228" s="39"/>
      <c r="AL1228" s="39"/>
      <c r="AM1228" s="39"/>
      <c r="AN1228" s="37">
        <f t="shared" si="885"/>
        <v>0</v>
      </c>
      <c r="AO1228" s="39"/>
      <c r="AP1228" s="56"/>
      <c r="AQ1228" s="56"/>
      <c r="AR1228" s="56"/>
      <c r="AS1228" s="71"/>
      <c r="AT1228" s="16">
        <f t="shared" si="886"/>
        <v>0</v>
      </c>
      <c r="AU1228" s="39"/>
      <c r="AV1228" s="56"/>
      <c r="AW1228" s="56"/>
      <c r="AX1228" s="56">
        <v>3</v>
      </c>
      <c r="AY1228" s="71">
        <v>3</v>
      </c>
      <c r="AZ1228" s="16">
        <f t="shared" si="887"/>
        <v>6</v>
      </c>
      <c r="BA1228" s="16">
        <f t="shared" si="880"/>
        <v>9</v>
      </c>
      <c r="BB1228" s="83">
        <v>45112</v>
      </c>
    </row>
    <row r="1229" spans="1:55" ht="14.25" x14ac:dyDescent="0.15">
      <c r="A1229" s="23" t="s">
        <v>438</v>
      </c>
      <c r="B1229" s="41"/>
      <c r="C1229" s="42"/>
      <c r="D1229" s="42"/>
      <c r="E1229" s="42"/>
      <c r="F1229" s="42">
        <v>1</v>
      </c>
      <c r="G1229" s="43">
        <f t="shared" si="863"/>
        <v>1</v>
      </c>
      <c r="H1229" s="41"/>
      <c r="I1229" s="42"/>
      <c r="J1229" s="42"/>
      <c r="K1229" s="42"/>
      <c r="L1229" s="42"/>
      <c r="M1229" s="43">
        <f t="shared" si="864"/>
        <v>0</v>
      </c>
      <c r="N1229" s="42"/>
      <c r="O1229" s="53"/>
      <c r="P1229" s="53"/>
      <c r="Q1229" s="53"/>
      <c r="R1229" s="72"/>
      <c r="S1229" s="24">
        <f t="shared" si="848"/>
        <v>0</v>
      </c>
      <c r="T1229" s="42"/>
      <c r="U1229" s="53"/>
      <c r="V1229" s="53"/>
      <c r="W1229" s="53"/>
      <c r="X1229" s="72"/>
      <c r="Y1229" s="24">
        <f t="shared" si="849"/>
        <v>0</v>
      </c>
      <c r="Z1229" s="24">
        <f t="shared" si="850"/>
        <v>1</v>
      </c>
      <c r="AA1229" s="83">
        <v>45077</v>
      </c>
      <c r="AB1229" s="23"/>
      <c r="AC1229" s="38"/>
      <c r="AD1229" s="39"/>
      <c r="AE1229" s="39"/>
      <c r="AF1229" s="39"/>
      <c r="AG1229" s="39"/>
      <c r="AH1229" s="37">
        <f t="shared" si="865"/>
        <v>0</v>
      </c>
      <c r="AI1229" s="38"/>
      <c r="AJ1229" s="39"/>
      <c r="AK1229" s="39"/>
      <c r="AL1229" s="39"/>
      <c r="AM1229" s="39"/>
      <c r="AN1229" s="37">
        <f t="shared" si="866"/>
        <v>0</v>
      </c>
      <c r="AO1229" s="39"/>
      <c r="AP1229" s="56"/>
      <c r="AQ1229" s="56"/>
      <c r="AR1229" s="56"/>
      <c r="AS1229" s="71"/>
      <c r="AT1229" s="16">
        <f t="shared" si="867"/>
        <v>0</v>
      </c>
      <c r="AU1229" s="39"/>
      <c r="AV1229" s="56"/>
      <c r="AW1229" s="56"/>
      <c r="AX1229" s="56"/>
      <c r="AY1229" s="71"/>
      <c r="AZ1229" s="16">
        <f t="shared" si="868"/>
        <v>0</v>
      </c>
      <c r="BA1229" s="16">
        <f t="shared" si="862"/>
        <v>0</v>
      </c>
      <c r="BB1229" s="128"/>
    </row>
    <row r="1230" spans="1:55" ht="14.25" x14ac:dyDescent="0.15">
      <c r="A1230" s="23" t="s">
        <v>48</v>
      </c>
      <c r="B1230" s="41"/>
      <c r="C1230" s="42"/>
      <c r="D1230" s="42"/>
      <c r="E1230" s="42"/>
      <c r="F1230" s="42"/>
      <c r="G1230" s="43">
        <f t="shared" si="863"/>
        <v>0</v>
      </c>
      <c r="H1230" s="41"/>
      <c r="I1230" s="42"/>
      <c r="J1230" s="42">
        <v>1</v>
      </c>
      <c r="K1230" s="42"/>
      <c r="L1230" s="42"/>
      <c r="M1230" s="43">
        <f t="shared" si="864"/>
        <v>1</v>
      </c>
      <c r="N1230" s="42"/>
      <c r="O1230" s="53"/>
      <c r="P1230" s="53"/>
      <c r="Q1230" s="53">
        <v>1</v>
      </c>
      <c r="R1230" s="72"/>
      <c r="S1230" s="24">
        <f t="shared" si="848"/>
        <v>1</v>
      </c>
      <c r="T1230" s="42"/>
      <c r="U1230" s="53"/>
      <c r="V1230" s="53"/>
      <c r="W1230" s="53"/>
      <c r="X1230" s="72"/>
      <c r="Y1230" s="24">
        <f t="shared" si="849"/>
        <v>0</v>
      </c>
      <c r="Z1230" s="24">
        <f t="shared" si="850"/>
        <v>2</v>
      </c>
      <c r="AA1230" s="83">
        <v>45077</v>
      </c>
      <c r="AB1230" s="23"/>
      <c r="AC1230" s="38"/>
      <c r="AD1230" s="39"/>
      <c r="AE1230" s="39"/>
      <c r="AF1230" s="39"/>
      <c r="AG1230" s="39"/>
      <c r="AH1230" s="37">
        <f t="shared" si="865"/>
        <v>0</v>
      </c>
      <c r="AI1230" s="38"/>
      <c r="AJ1230" s="39"/>
      <c r="AK1230" s="39"/>
      <c r="AL1230" s="39"/>
      <c r="AM1230" s="39"/>
      <c r="AN1230" s="37">
        <f t="shared" si="866"/>
        <v>0</v>
      </c>
      <c r="AO1230" s="39"/>
      <c r="AP1230" s="56"/>
      <c r="AQ1230" s="56"/>
      <c r="AR1230" s="56"/>
      <c r="AS1230" s="71"/>
      <c r="AT1230" s="16">
        <f t="shared" si="867"/>
        <v>0</v>
      </c>
      <c r="AU1230" s="39"/>
      <c r="AV1230" s="56"/>
      <c r="AW1230" s="56"/>
      <c r="AX1230" s="56"/>
      <c r="AY1230" s="71"/>
      <c r="AZ1230" s="16">
        <f t="shared" si="868"/>
        <v>0</v>
      </c>
      <c r="BA1230" s="16">
        <f t="shared" si="862"/>
        <v>0</v>
      </c>
      <c r="BB1230" s="128"/>
    </row>
    <row r="1231" spans="1:55" ht="14.25" x14ac:dyDescent="0.15">
      <c r="A1231" s="23" t="s">
        <v>438</v>
      </c>
      <c r="B1231" s="41"/>
      <c r="C1231" s="42"/>
      <c r="D1231" s="42"/>
      <c r="E1231" s="42"/>
      <c r="F1231" s="42"/>
      <c r="G1231" s="43">
        <f t="shared" si="863"/>
        <v>0</v>
      </c>
      <c r="H1231" s="41"/>
      <c r="I1231" s="42"/>
      <c r="J1231" s="42"/>
      <c r="K1231" s="42"/>
      <c r="L1231" s="42"/>
      <c r="M1231" s="43">
        <f t="shared" si="864"/>
        <v>0</v>
      </c>
      <c r="N1231" s="42"/>
      <c r="O1231" s="53"/>
      <c r="P1231" s="53"/>
      <c r="Q1231" s="53">
        <v>1</v>
      </c>
      <c r="R1231" s="72"/>
      <c r="S1231" s="24">
        <f t="shared" si="848"/>
        <v>1</v>
      </c>
      <c r="T1231" s="42"/>
      <c r="U1231" s="53"/>
      <c r="V1231" s="53"/>
      <c r="W1231" s="53"/>
      <c r="X1231" s="72">
        <v>1</v>
      </c>
      <c r="Y1231" s="24">
        <f t="shared" si="849"/>
        <v>1</v>
      </c>
      <c r="Z1231" s="24">
        <f t="shared" si="850"/>
        <v>2</v>
      </c>
      <c r="AA1231" s="83">
        <v>45082</v>
      </c>
      <c r="AB1231" s="23"/>
      <c r="AC1231" s="38"/>
      <c r="AD1231" s="39"/>
      <c r="AE1231" s="39"/>
      <c r="AF1231" s="39"/>
      <c r="AG1231" s="39"/>
      <c r="AH1231" s="37">
        <f t="shared" si="865"/>
        <v>0</v>
      </c>
      <c r="AI1231" s="38"/>
      <c r="AJ1231" s="39"/>
      <c r="AK1231" s="39"/>
      <c r="AL1231" s="39"/>
      <c r="AM1231" s="39"/>
      <c r="AN1231" s="37">
        <f t="shared" si="866"/>
        <v>0</v>
      </c>
      <c r="AO1231" s="39"/>
      <c r="AP1231" s="56"/>
      <c r="AQ1231" s="56"/>
      <c r="AR1231" s="56"/>
      <c r="AS1231" s="71"/>
      <c r="AT1231" s="16">
        <f t="shared" si="867"/>
        <v>0</v>
      </c>
      <c r="AU1231" s="39"/>
      <c r="AV1231" s="56"/>
      <c r="AW1231" s="56"/>
      <c r="AX1231" s="56"/>
      <c r="AY1231" s="71"/>
      <c r="AZ1231" s="16">
        <f t="shared" si="868"/>
        <v>0</v>
      </c>
      <c r="BA1231" s="16">
        <f t="shared" si="862"/>
        <v>0</v>
      </c>
      <c r="BB1231" s="128"/>
    </row>
    <row r="1232" spans="1:55" ht="14.25" x14ac:dyDescent="0.15">
      <c r="A1232" s="23" t="s">
        <v>438</v>
      </c>
      <c r="B1232" s="41"/>
      <c r="C1232" s="42"/>
      <c r="D1232" s="42"/>
      <c r="E1232" s="42"/>
      <c r="F1232" s="42"/>
      <c r="G1232" s="43">
        <f t="shared" si="863"/>
        <v>0</v>
      </c>
      <c r="H1232" s="41"/>
      <c r="I1232" s="42"/>
      <c r="J1232" s="42"/>
      <c r="K1232" s="42"/>
      <c r="L1232" s="42"/>
      <c r="M1232" s="43">
        <f t="shared" si="864"/>
        <v>0</v>
      </c>
      <c r="N1232" s="42"/>
      <c r="O1232" s="53"/>
      <c r="P1232" s="53"/>
      <c r="Q1232" s="53"/>
      <c r="R1232" s="72"/>
      <c r="S1232" s="24">
        <f t="shared" si="848"/>
        <v>0</v>
      </c>
      <c r="T1232" s="42"/>
      <c r="U1232" s="53"/>
      <c r="V1232" s="53"/>
      <c r="W1232" s="53">
        <v>1</v>
      </c>
      <c r="X1232" s="72"/>
      <c r="Y1232" s="24">
        <f t="shared" si="849"/>
        <v>1</v>
      </c>
      <c r="Z1232" s="24">
        <f t="shared" si="850"/>
        <v>1</v>
      </c>
      <c r="AA1232" s="83">
        <v>45083</v>
      </c>
      <c r="AB1232" s="23"/>
      <c r="AC1232" s="38"/>
      <c r="AD1232" s="39"/>
      <c r="AE1232" s="39"/>
      <c r="AF1232" s="39"/>
      <c r="AG1232" s="39"/>
      <c r="AH1232" s="37">
        <f t="shared" ref="AH1232:AH1239" si="889">SUM(AC1232:AG1232)</f>
        <v>0</v>
      </c>
      <c r="AI1232" s="38"/>
      <c r="AJ1232" s="39"/>
      <c r="AK1232" s="39"/>
      <c r="AL1232" s="39"/>
      <c r="AM1232" s="39"/>
      <c r="AN1232" s="37">
        <f t="shared" ref="AN1232:AN1239" si="890">SUM(AI1232:AM1232)</f>
        <v>0</v>
      </c>
      <c r="AO1232" s="39"/>
      <c r="AP1232" s="56"/>
      <c r="AQ1232" s="56"/>
      <c r="AR1232" s="56"/>
      <c r="AS1232" s="71"/>
      <c r="AT1232" s="16">
        <f t="shared" ref="AT1232:AT1239" si="891">SUM(AO1232:AS1232)</f>
        <v>0</v>
      </c>
      <c r="AU1232" s="39"/>
      <c r="AV1232" s="56"/>
      <c r="AW1232" s="56"/>
      <c r="AX1232" s="56"/>
      <c r="AY1232" s="71"/>
      <c r="AZ1232" s="16">
        <f t="shared" ref="AZ1232:AZ1239" si="892">SUM(AU1232:AY1232)</f>
        <v>0</v>
      </c>
      <c r="BA1232" s="16">
        <f t="shared" ref="BA1232:BA1246" si="893">AH1232+AN1232+AT1232+AZ1232</f>
        <v>0</v>
      </c>
      <c r="BB1232" s="128"/>
    </row>
    <row r="1233" spans="1:54" ht="14.25" x14ac:dyDescent="0.15">
      <c r="A1233" s="23" t="s">
        <v>48</v>
      </c>
      <c r="B1233" s="41"/>
      <c r="C1233" s="42"/>
      <c r="D1233" s="42"/>
      <c r="E1233" s="42">
        <v>1</v>
      </c>
      <c r="F1233" s="42"/>
      <c r="G1233" s="43">
        <f t="shared" si="863"/>
        <v>1</v>
      </c>
      <c r="H1233" s="41"/>
      <c r="I1233" s="42"/>
      <c r="J1233" s="42"/>
      <c r="K1233" s="42"/>
      <c r="L1233" s="42"/>
      <c r="M1233" s="43">
        <f t="shared" si="864"/>
        <v>0</v>
      </c>
      <c r="N1233" s="42"/>
      <c r="O1233" s="53"/>
      <c r="P1233" s="53"/>
      <c r="Q1233" s="53"/>
      <c r="R1233" s="72"/>
      <c r="S1233" s="24">
        <f t="shared" si="848"/>
        <v>0</v>
      </c>
      <c r="T1233" s="42"/>
      <c r="U1233" s="53"/>
      <c r="V1233" s="53"/>
      <c r="W1233" s="53"/>
      <c r="X1233" s="72"/>
      <c r="Y1233" s="24">
        <f t="shared" si="849"/>
        <v>0</v>
      </c>
      <c r="Z1233" s="24">
        <f t="shared" si="850"/>
        <v>1</v>
      </c>
      <c r="AA1233" s="83">
        <v>45082</v>
      </c>
      <c r="AB1233" s="23"/>
      <c r="AC1233" s="41"/>
      <c r="AD1233" s="42"/>
      <c r="AE1233" s="42"/>
      <c r="AF1233" s="42"/>
      <c r="AG1233" s="42"/>
      <c r="AH1233" s="43">
        <f t="shared" si="889"/>
        <v>0</v>
      </c>
      <c r="AI1233" s="41"/>
      <c r="AJ1233" s="42"/>
      <c r="AK1233" s="42"/>
      <c r="AL1233" s="42"/>
      <c r="AM1233" s="42"/>
      <c r="AN1233" s="43">
        <f t="shared" si="890"/>
        <v>0</v>
      </c>
      <c r="AO1233" s="42"/>
      <c r="AP1233" s="53"/>
      <c r="AQ1233" s="53"/>
      <c r="AR1233" s="53"/>
      <c r="AS1233" s="72"/>
      <c r="AT1233" s="24">
        <f t="shared" si="891"/>
        <v>0</v>
      </c>
      <c r="AU1233" s="42"/>
      <c r="AV1233" s="53"/>
      <c r="AW1233" s="53"/>
      <c r="AX1233" s="53"/>
      <c r="AY1233" s="72"/>
      <c r="AZ1233" s="24">
        <f t="shared" si="892"/>
        <v>0</v>
      </c>
      <c r="BA1233" s="24">
        <f t="shared" si="893"/>
        <v>0</v>
      </c>
      <c r="BB1233" s="128"/>
    </row>
    <row r="1234" spans="1:54" ht="14.25" x14ac:dyDescent="0.15">
      <c r="A1234" s="23" t="s">
        <v>438</v>
      </c>
      <c r="B1234" s="41"/>
      <c r="C1234" s="42"/>
      <c r="D1234" s="42"/>
      <c r="E1234" s="42"/>
      <c r="F1234" s="42"/>
      <c r="G1234" s="43">
        <f t="shared" si="863"/>
        <v>0</v>
      </c>
      <c r="H1234" s="41"/>
      <c r="I1234" s="42"/>
      <c r="J1234" s="42"/>
      <c r="K1234" s="42"/>
      <c r="L1234" s="42"/>
      <c r="M1234" s="43">
        <f t="shared" si="864"/>
        <v>0</v>
      </c>
      <c r="N1234" s="42"/>
      <c r="O1234" s="53"/>
      <c r="P1234" s="53"/>
      <c r="Q1234" s="53"/>
      <c r="R1234" s="72"/>
      <c r="S1234" s="24">
        <f t="shared" si="848"/>
        <v>0</v>
      </c>
      <c r="T1234" s="42"/>
      <c r="U1234" s="53"/>
      <c r="V1234" s="53">
        <v>1</v>
      </c>
      <c r="W1234" s="53"/>
      <c r="X1234" s="72"/>
      <c r="Y1234" s="24">
        <f t="shared" si="849"/>
        <v>1</v>
      </c>
      <c r="Z1234" s="24">
        <f t="shared" si="850"/>
        <v>1</v>
      </c>
      <c r="AA1234" s="83">
        <v>45084</v>
      </c>
      <c r="AB1234" s="23"/>
      <c r="AC1234" s="41"/>
      <c r="AD1234" s="42"/>
      <c r="AE1234" s="42"/>
      <c r="AF1234" s="42"/>
      <c r="AG1234" s="42"/>
      <c r="AH1234" s="43">
        <f t="shared" si="889"/>
        <v>0</v>
      </c>
      <c r="AI1234" s="41"/>
      <c r="AJ1234" s="42"/>
      <c r="AK1234" s="42"/>
      <c r="AL1234" s="42"/>
      <c r="AM1234" s="42"/>
      <c r="AN1234" s="43">
        <f t="shared" si="890"/>
        <v>0</v>
      </c>
      <c r="AO1234" s="42"/>
      <c r="AP1234" s="53"/>
      <c r="AQ1234" s="53"/>
      <c r="AR1234" s="53"/>
      <c r="AS1234" s="72"/>
      <c r="AT1234" s="24">
        <f t="shared" si="891"/>
        <v>0</v>
      </c>
      <c r="AU1234" s="42"/>
      <c r="AV1234" s="53"/>
      <c r="AW1234" s="53"/>
      <c r="AX1234" s="53"/>
      <c r="AY1234" s="72"/>
      <c r="AZ1234" s="24">
        <f t="shared" si="892"/>
        <v>0</v>
      </c>
      <c r="BA1234" s="24">
        <f t="shared" si="893"/>
        <v>0</v>
      </c>
      <c r="BB1234" s="128"/>
    </row>
    <row r="1235" spans="1:54" ht="14.25" x14ac:dyDescent="0.15">
      <c r="A1235" s="23" t="s">
        <v>48</v>
      </c>
      <c r="B1235" s="41"/>
      <c r="C1235" s="42"/>
      <c r="D1235" s="42"/>
      <c r="E1235" s="42"/>
      <c r="F1235" s="42"/>
      <c r="G1235" s="43">
        <f t="shared" si="863"/>
        <v>0</v>
      </c>
      <c r="H1235" s="41"/>
      <c r="I1235" s="42"/>
      <c r="J1235" s="42">
        <v>1</v>
      </c>
      <c r="K1235" s="42"/>
      <c r="L1235" s="42"/>
      <c r="M1235" s="43">
        <f t="shared" si="864"/>
        <v>1</v>
      </c>
      <c r="N1235" s="42"/>
      <c r="O1235" s="53"/>
      <c r="P1235" s="53"/>
      <c r="Q1235" s="53"/>
      <c r="R1235" s="72"/>
      <c r="S1235" s="24">
        <f t="shared" si="848"/>
        <v>0</v>
      </c>
      <c r="T1235" s="42"/>
      <c r="U1235" s="53"/>
      <c r="V1235" s="53"/>
      <c r="W1235" s="53"/>
      <c r="X1235" s="72"/>
      <c r="Y1235" s="24">
        <f t="shared" si="849"/>
        <v>0</v>
      </c>
      <c r="Z1235" s="24">
        <f t="shared" si="850"/>
        <v>1</v>
      </c>
      <c r="AA1235" s="83">
        <v>45083</v>
      </c>
      <c r="AB1235" s="23"/>
      <c r="AC1235" s="14"/>
      <c r="AD1235" s="15"/>
      <c r="AE1235" s="15"/>
      <c r="AF1235" s="15"/>
      <c r="AG1235" s="15"/>
      <c r="AH1235" s="24">
        <f t="shared" si="889"/>
        <v>0</v>
      </c>
      <c r="AI1235" s="14"/>
      <c r="AJ1235" s="15"/>
      <c r="AK1235" s="15"/>
      <c r="AL1235" s="15"/>
      <c r="AM1235" s="15"/>
      <c r="AN1235" s="24">
        <f t="shared" si="890"/>
        <v>0</v>
      </c>
      <c r="AO1235" s="15"/>
      <c r="AP1235" s="55"/>
      <c r="AQ1235" s="55"/>
      <c r="AR1235" s="55"/>
      <c r="AS1235" s="67"/>
      <c r="AT1235" s="24">
        <f t="shared" si="891"/>
        <v>0</v>
      </c>
      <c r="AU1235" s="15"/>
      <c r="AV1235" s="55"/>
      <c r="AW1235" s="55"/>
      <c r="AX1235" s="55"/>
      <c r="AY1235" s="67"/>
      <c r="AZ1235" s="24">
        <f t="shared" si="892"/>
        <v>0</v>
      </c>
      <c r="BA1235" s="24">
        <f t="shared" si="893"/>
        <v>0</v>
      </c>
      <c r="BB1235" s="128"/>
    </row>
    <row r="1236" spans="1:54" ht="14.25" x14ac:dyDescent="0.15">
      <c r="A1236" s="23" t="s">
        <v>438</v>
      </c>
      <c r="B1236" s="41"/>
      <c r="C1236" s="42"/>
      <c r="D1236" s="42"/>
      <c r="E1236" s="42"/>
      <c r="F1236" s="42"/>
      <c r="G1236" s="43">
        <f t="shared" si="863"/>
        <v>0</v>
      </c>
      <c r="H1236" s="41"/>
      <c r="I1236" s="42">
        <v>1</v>
      </c>
      <c r="J1236" s="42"/>
      <c r="K1236" s="42"/>
      <c r="L1236" s="42"/>
      <c r="M1236" s="43">
        <f t="shared" si="864"/>
        <v>1</v>
      </c>
      <c r="N1236" s="42"/>
      <c r="O1236" s="53"/>
      <c r="P1236" s="53"/>
      <c r="Q1236" s="53"/>
      <c r="R1236" s="72"/>
      <c r="S1236" s="24">
        <f t="shared" si="848"/>
        <v>0</v>
      </c>
      <c r="T1236" s="42"/>
      <c r="U1236" s="53"/>
      <c r="V1236" s="53">
        <v>1</v>
      </c>
      <c r="W1236" s="53"/>
      <c r="X1236" s="72"/>
      <c r="Y1236" s="24">
        <f t="shared" si="849"/>
        <v>1</v>
      </c>
      <c r="Z1236" s="24">
        <f t="shared" si="850"/>
        <v>2</v>
      </c>
      <c r="AA1236" s="83">
        <v>45086</v>
      </c>
      <c r="AB1236" s="23"/>
      <c r="AC1236" s="14"/>
      <c r="AD1236" s="15"/>
      <c r="AE1236" s="15"/>
      <c r="AF1236" s="15"/>
      <c r="AG1236" s="15"/>
      <c r="AH1236" s="24">
        <f t="shared" ref="AH1236:AH1238" si="894">SUM(AC1236:AG1236)</f>
        <v>0</v>
      </c>
      <c r="AI1236" s="14"/>
      <c r="AJ1236" s="15"/>
      <c r="AK1236" s="15"/>
      <c r="AL1236" s="15"/>
      <c r="AM1236" s="15"/>
      <c r="AN1236" s="24">
        <f t="shared" ref="AN1236:AN1238" si="895">SUM(AI1236:AM1236)</f>
        <v>0</v>
      </c>
      <c r="AO1236" s="15"/>
      <c r="AP1236" s="55"/>
      <c r="AQ1236" s="55"/>
      <c r="AR1236" s="55"/>
      <c r="AS1236" s="67"/>
      <c r="AT1236" s="24">
        <f t="shared" ref="AT1236:AT1238" si="896">SUM(AO1236:AS1236)</f>
        <v>0</v>
      </c>
      <c r="AU1236" s="15"/>
      <c r="AV1236" s="55"/>
      <c r="AW1236" s="55"/>
      <c r="AX1236" s="55"/>
      <c r="AY1236" s="67"/>
      <c r="AZ1236" s="24">
        <f t="shared" ref="AZ1236:AZ1238" si="897">SUM(AU1236:AY1236)</f>
        <v>0</v>
      </c>
      <c r="BA1236" s="24">
        <f t="shared" ref="BA1236:BA1238" si="898">AH1236+AN1236+AT1236+AZ1236</f>
        <v>0</v>
      </c>
      <c r="BB1236" s="128"/>
    </row>
    <row r="1237" spans="1:54" ht="14.25" x14ac:dyDescent="0.15">
      <c r="A1237" s="23" t="s">
        <v>438</v>
      </c>
      <c r="B1237" s="41"/>
      <c r="C1237" s="42">
        <v>1</v>
      </c>
      <c r="D1237" s="42"/>
      <c r="E1237" s="42">
        <v>1</v>
      </c>
      <c r="F1237" s="42"/>
      <c r="G1237" s="43">
        <f t="shared" si="863"/>
        <v>2</v>
      </c>
      <c r="H1237" s="41"/>
      <c r="I1237" s="42"/>
      <c r="J1237" s="42"/>
      <c r="K1237" s="42"/>
      <c r="L1237" s="42"/>
      <c r="M1237" s="43">
        <f t="shared" si="864"/>
        <v>0</v>
      </c>
      <c r="N1237" s="42"/>
      <c r="O1237" s="53"/>
      <c r="P1237" s="53"/>
      <c r="Q1237" s="53"/>
      <c r="R1237" s="72"/>
      <c r="S1237" s="24">
        <f t="shared" si="848"/>
        <v>0</v>
      </c>
      <c r="T1237" s="42"/>
      <c r="U1237" s="53">
        <v>1</v>
      </c>
      <c r="V1237" s="53"/>
      <c r="W1237" s="53"/>
      <c r="X1237" s="72"/>
      <c r="Y1237" s="24">
        <f t="shared" si="849"/>
        <v>1</v>
      </c>
      <c r="Z1237" s="24">
        <f t="shared" si="850"/>
        <v>3</v>
      </c>
      <c r="AA1237" s="83">
        <v>45090</v>
      </c>
      <c r="AB1237" s="23"/>
      <c r="AC1237" s="14"/>
      <c r="AD1237" s="15"/>
      <c r="AE1237" s="15"/>
      <c r="AF1237" s="15"/>
      <c r="AG1237" s="15"/>
      <c r="AH1237" s="24">
        <f t="shared" si="894"/>
        <v>0</v>
      </c>
      <c r="AI1237" s="14"/>
      <c r="AJ1237" s="15"/>
      <c r="AK1237" s="15"/>
      <c r="AL1237" s="15"/>
      <c r="AM1237" s="15"/>
      <c r="AN1237" s="24">
        <f t="shared" si="895"/>
        <v>0</v>
      </c>
      <c r="AO1237" s="15"/>
      <c r="AP1237" s="55"/>
      <c r="AQ1237" s="55"/>
      <c r="AR1237" s="55"/>
      <c r="AS1237" s="67"/>
      <c r="AT1237" s="24">
        <f t="shared" si="896"/>
        <v>0</v>
      </c>
      <c r="AU1237" s="15"/>
      <c r="AV1237" s="55"/>
      <c r="AW1237" s="55"/>
      <c r="AX1237" s="55"/>
      <c r="AY1237" s="67"/>
      <c r="AZ1237" s="24">
        <f t="shared" si="897"/>
        <v>0</v>
      </c>
      <c r="BA1237" s="24">
        <f t="shared" si="898"/>
        <v>0</v>
      </c>
      <c r="BB1237" s="128"/>
    </row>
    <row r="1238" spans="1:54" ht="14.25" x14ac:dyDescent="0.15">
      <c r="A1238" s="23" t="s">
        <v>438</v>
      </c>
      <c r="B1238" s="41"/>
      <c r="C1238" s="42"/>
      <c r="D1238" s="42"/>
      <c r="E1238" s="42"/>
      <c r="F1238" s="42"/>
      <c r="G1238" s="43">
        <f t="shared" si="863"/>
        <v>0</v>
      </c>
      <c r="H1238" s="41"/>
      <c r="I1238" s="42"/>
      <c r="J1238" s="42"/>
      <c r="K1238" s="42"/>
      <c r="L1238" s="42"/>
      <c r="M1238" s="43">
        <f t="shared" si="864"/>
        <v>0</v>
      </c>
      <c r="N1238" s="42"/>
      <c r="O1238" s="53"/>
      <c r="P1238" s="53"/>
      <c r="Q1238" s="53"/>
      <c r="R1238" s="72">
        <v>1</v>
      </c>
      <c r="S1238" s="24">
        <f t="shared" si="848"/>
        <v>1</v>
      </c>
      <c r="T1238" s="42"/>
      <c r="U1238" s="53"/>
      <c r="V1238" s="53"/>
      <c r="W1238" s="53"/>
      <c r="X1238" s="72">
        <v>1</v>
      </c>
      <c r="Y1238" s="24">
        <f t="shared" si="849"/>
        <v>1</v>
      </c>
      <c r="Z1238" s="24">
        <f t="shared" si="850"/>
        <v>2</v>
      </c>
      <c r="AA1238" s="83">
        <v>45091</v>
      </c>
      <c r="AB1238" s="23"/>
      <c r="AC1238" s="14"/>
      <c r="AD1238" s="15"/>
      <c r="AE1238" s="15"/>
      <c r="AF1238" s="15"/>
      <c r="AG1238" s="15"/>
      <c r="AH1238" s="24">
        <f t="shared" si="894"/>
        <v>0</v>
      </c>
      <c r="AI1238" s="14"/>
      <c r="AJ1238" s="15"/>
      <c r="AK1238" s="15"/>
      <c r="AL1238" s="15"/>
      <c r="AM1238" s="15"/>
      <c r="AN1238" s="24">
        <f t="shared" si="895"/>
        <v>0</v>
      </c>
      <c r="AO1238" s="15"/>
      <c r="AP1238" s="55"/>
      <c r="AQ1238" s="55"/>
      <c r="AR1238" s="55"/>
      <c r="AS1238" s="67"/>
      <c r="AT1238" s="24">
        <f t="shared" si="896"/>
        <v>0</v>
      </c>
      <c r="AU1238" s="15"/>
      <c r="AV1238" s="55"/>
      <c r="AW1238" s="55"/>
      <c r="AX1238" s="55"/>
      <c r="AY1238" s="67"/>
      <c r="AZ1238" s="24">
        <f t="shared" si="897"/>
        <v>0</v>
      </c>
      <c r="BA1238" s="24">
        <f t="shared" si="898"/>
        <v>0</v>
      </c>
      <c r="BB1238" s="128"/>
    </row>
    <row r="1239" spans="1:54" ht="14.25" x14ac:dyDescent="0.15">
      <c r="A1239" s="23" t="s">
        <v>438</v>
      </c>
      <c r="B1239" s="41"/>
      <c r="C1239" s="42"/>
      <c r="D1239" s="42"/>
      <c r="E1239" s="42"/>
      <c r="F1239" s="42"/>
      <c r="G1239" s="43">
        <f t="shared" si="863"/>
        <v>0</v>
      </c>
      <c r="H1239" s="41"/>
      <c r="I1239" s="42"/>
      <c r="J1239" s="42"/>
      <c r="K1239" s="42">
        <v>1</v>
      </c>
      <c r="L1239" s="42"/>
      <c r="M1239" s="43">
        <f t="shared" si="864"/>
        <v>1</v>
      </c>
      <c r="N1239" s="42"/>
      <c r="O1239" s="53"/>
      <c r="P1239" s="53"/>
      <c r="Q1239" s="53"/>
      <c r="R1239" s="72"/>
      <c r="S1239" s="24">
        <f t="shared" si="848"/>
        <v>0</v>
      </c>
      <c r="T1239" s="42"/>
      <c r="U1239" s="53"/>
      <c r="V1239" s="53"/>
      <c r="W1239" s="53"/>
      <c r="X1239" s="72"/>
      <c r="Y1239" s="24">
        <f t="shared" si="849"/>
        <v>0</v>
      </c>
      <c r="Z1239" s="24">
        <f t="shared" si="850"/>
        <v>1</v>
      </c>
      <c r="AA1239" s="83">
        <v>45092</v>
      </c>
      <c r="AB1239" s="47" t="s">
        <v>605</v>
      </c>
      <c r="AC1239" s="14"/>
      <c r="AD1239" s="15"/>
      <c r="AE1239" s="15"/>
      <c r="AF1239" s="15"/>
      <c r="AG1239" s="15"/>
      <c r="AH1239" s="24">
        <f t="shared" si="889"/>
        <v>0</v>
      </c>
      <c r="AI1239" s="189"/>
      <c r="AJ1239" s="183"/>
      <c r="AK1239" s="183"/>
      <c r="AL1239" s="183"/>
      <c r="AM1239" s="183"/>
      <c r="AN1239" s="24">
        <f t="shared" si="890"/>
        <v>0</v>
      </c>
      <c r="AO1239" s="14"/>
      <c r="AP1239" s="15"/>
      <c r="AQ1239" s="15"/>
      <c r="AR1239" s="15"/>
      <c r="AS1239" s="15"/>
      <c r="AT1239" s="24">
        <f t="shared" si="891"/>
        <v>0</v>
      </c>
      <c r="AU1239" s="14"/>
      <c r="AV1239" s="15"/>
      <c r="AW1239" s="15"/>
      <c r="AX1239" s="15"/>
      <c r="AY1239" s="15"/>
      <c r="AZ1239" s="24">
        <f t="shared" si="892"/>
        <v>0</v>
      </c>
      <c r="BA1239" s="24">
        <f t="shared" si="893"/>
        <v>0</v>
      </c>
      <c r="BB1239" s="128" t="s">
        <v>606</v>
      </c>
    </row>
    <row r="1240" spans="1:54" ht="14.25" x14ac:dyDescent="0.15">
      <c r="A1240" s="23" t="s">
        <v>438</v>
      </c>
      <c r="B1240" s="41">
        <v>1</v>
      </c>
      <c r="C1240" s="42"/>
      <c r="D1240" s="42"/>
      <c r="E1240" s="42"/>
      <c r="F1240" s="42">
        <v>1</v>
      </c>
      <c r="G1240" s="43">
        <f t="shared" si="863"/>
        <v>2</v>
      </c>
      <c r="H1240" s="41"/>
      <c r="I1240" s="42"/>
      <c r="J1240" s="42"/>
      <c r="K1240" s="42"/>
      <c r="L1240" s="42"/>
      <c r="M1240" s="43">
        <f t="shared" si="864"/>
        <v>0</v>
      </c>
      <c r="N1240" s="42"/>
      <c r="O1240" s="53"/>
      <c r="P1240" s="53"/>
      <c r="Q1240" s="53"/>
      <c r="R1240" s="72"/>
      <c r="S1240" s="24">
        <f t="shared" si="848"/>
        <v>0</v>
      </c>
      <c r="T1240" s="42">
        <v>1</v>
      </c>
      <c r="U1240" s="53">
        <v>1</v>
      </c>
      <c r="V1240" s="53"/>
      <c r="W1240" s="53"/>
      <c r="X1240" s="72"/>
      <c r="Y1240" s="24">
        <f t="shared" si="849"/>
        <v>2</v>
      </c>
      <c r="Z1240" s="24">
        <f t="shared" si="850"/>
        <v>4</v>
      </c>
      <c r="AA1240" s="83">
        <v>45093</v>
      </c>
      <c r="AB1240" s="47" t="s">
        <v>602</v>
      </c>
      <c r="AC1240" s="14"/>
      <c r="AD1240" s="15"/>
      <c r="AE1240" s="15"/>
      <c r="AF1240" s="15"/>
      <c r="AG1240" s="15"/>
      <c r="AH1240" s="24">
        <f t="shared" ref="AH1240" si="899">SUM(AC1240:AG1240)</f>
        <v>0</v>
      </c>
      <c r="AI1240" s="189"/>
      <c r="AJ1240" s="183"/>
      <c r="AK1240" s="183"/>
      <c r="AL1240" s="183"/>
      <c r="AM1240" s="183"/>
      <c r="AN1240" s="24">
        <f t="shared" ref="AN1240" si="900">SUM(AI1240:AM1240)</f>
        <v>0</v>
      </c>
      <c r="AO1240" s="14"/>
      <c r="AP1240" s="15"/>
      <c r="AQ1240" s="15"/>
      <c r="AR1240" s="15"/>
      <c r="AS1240" s="15"/>
      <c r="AT1240" s="24">
        <f t="shared" ref="AT1240" si="901">SUM(AO1240:AS1240)</f>
        <v>0</v>
      </c>
      <c r="AU1240" s="14"/>
      <c r="AV1240" s="15"/>
      <c r="AW1240" s="15"/>
      <c r="AX1240" s="15"/>
      <c r="AY1240" s="15"/>
      <c r="AZ1240" s="24">
        <f t="shared" ref="AZ1240" si="902">SUM(AU1240:AY1240)</f>
        <v>0</v>
      </c>
      <c r="BA1240" s="24">
        <f t="shared" ref="BA1240" si="903">AH1240+AN1240+AT1240+AZ1240</f>
        <v>0</v>
      </c>
      <c r="BB1240" s="128" t="s">
        <v>603</v>
      </c>
    </row>
    <row r="1241" spans="1:54" ht="14.25" x14ac:dyDescent="0.15">
      <c r="A1241" s="23" t="s">
        <v>48</v>
      </c>
      <c r="B1241" s="41"/>
      <c r="C1241" s="42"/>
      <c r="D1241" s="42"/>
      <c r="E1241" s="42"/>
      <c r="F1241" s="42"/>
      <c r="G1241" s="43">
        <f t="shared" si="863"/>
        <v>0</v>
      </c>
      <c r="H1241" s="41"/>
      <c r="I1241" s="42"/>
      <c r="J1241" s="42"/>
      <c r="K1241" s="42"/>
      <c r="L1241" s="42"/>
      <c r="M1241" s="43">
        <f t="shared" si="864"/>
        <v>0</v>
      </c>
      <c r="N1241" s="42"/>
      <c r="O1241" s="53"/>
      <c r="P1241" s="53"/>
      <c r="Q1241" s="53"/>
      <c r="R1241" s="72"/>
      <c r="S1241" s="24">
        <f t="shared" si="848"/>
        <v>0</v>
      </c>
      <c r="T1241" s="42"/>
      <c r="U1241" s="53"/>
      <c r="V1241" s="53"/>
      <c r="W1241" s="53">
        <v>1</v>
      </c>
      <c r="X1241" s="72"/>
      <c r="Y1241" s="24">
        <f t="shared" si="849"/>
        <v>1</v>
      </c>
      <c r="Z1241" s="24">
        <f t="shared" si="850"/>
        <v>1</v>
      </c>
      <c r="AA1241" s="83">
        <v>45092</v>
      </c>
      <c r="AB1241" s="47" t="s">
        <v>593</v>
      </c>
      <c r="AC1241" s="189"/>
      <c r="AD1241" s="183"/>
      <c r="AE1241" s="183"/>
      <c r="AF1241" s="183"/>
      <c r="AG1241" s="183"/>
      <c r="AH1241" s="24"/>
      <c r="AI1241" s="14"/>
      <c r="AJ1241" s="15"/>
      <c r="AK1241" s="15"/>
      <c r="AL1241" s="15"/>
      <c r="AM1241" s="15"/>
      <c r="AN1241" s="24"/>
      <c r="AO1241" s="14"/>
      <c r="AP1241" s="15"/>
      <c r="AQ1241" s="15"/>
      <c r="AR1241" s="15"/>
      <c r="AS1241" s="15"/>
      <c r="AT1241" s="24"/>
      <c r="AU1241" s="14"/>
      <c r="AV1241" s="15"/>
      <c r="AW1241" s="15"/>
      <c r="AX1241" s="15"/>
      <c r="AY1241" s="15"/>
      <c r="AZ1241" s="24">
        <f t="shared" ref="AZ1241:AZ1242" si="904">SUM(AU1241:AY1241)</f>
        <v>0</v>
      </c>
      <c r="BA1241" s="24">
        <f t="shared" si="893"/>
        <v>0</v>
      </c>
      <c r="BB1241" s="128" t="s">
        <v>510</v>
      </c>
    </row>
    <row r="1242" spans="1:54" ht="14.25" x14ac:dyDescent="0.15">
      <c r="A1242" s="23" t="s">
        <v>438</v>
      </c>
      <c r="B1242" s="41"/>
      <c r="C1242" s="42"/>
      <c r="D1242" s="42"/>
      <c r="E1242" s="42"/>
      <c r="F1242" s="42"/>
      <c r="G1242" s="43">
        <f t="shared" si="863"/>
        <v>0</v>
      </c>
      <c r="H1242" s="41"/>
      <c r="I1242" s="42"/>
      <c r="J1242" s="42"/>
      <c r="K1242" s="42"/>
      <c r="L1242" s="42"/>
      <c r="M1242" s="43">
        <f t="shared" si="864"/>
        <v>0</v>
      </c>
      <c r="N1242" s="42"/>
      <c r="O1242" s="53">
        <v>1</v>
      </c>
      <c r="P1242" s="53"/>
      <c r="Q1242" s="53"/>
      <c r="R1242" s="72"/>
      <c r="S1242" s="24">
        <f t="shared" si="848"/>
        <v>1</v>
      </c>
      <c r="T1242" s="42"/>
      <c r="U1242" s="53"/>
      <c r="V1242" s="53"/>
      <c r="W1242" s="53"/>
      <c r="X1242" s="72"/>
      <c r="Y1242" s="24">
        <f t="shared" si="849"/>
        <v>0</v>
      </c>
      <c r="Z1242" s="24">
        <f t="shared" si="850"/>
        <v>1</v>
      </c>
      <c r="AA1242" s="83">
        <v>45096</v>
      </c>
      <c r="AB1242" s="47" t="s">
        <v>595</v>
      </c>
      <c r="AC1242" s="14"/>
      <c r="AD1242" s="15"/>
      <c r="AE1242" s="15"/>
      <c r="AF1242" s="15"/>
      <c r="AG1242" s="15"/>
      <c r="AH1242" s="24"/>
      <c r="AI1242" s="14"/>
      <c r="AJ1242" s="15"/>
      <c r="AK1242" s="15"/>
      <c r="AL1242" s="15"/>
      <c r="AM1242" s="15"/>
      <c r="AN1242" s="24"/>
      <c r="AO1242" s="14"/>
      <c r="AP1242" s="15"/>
      <c r="AQ1242" s="15"/>
      <c r="AR1242" s="15"/>
      <c r="AS1242" s="15"/>
      <c r="AT1242" s="24"/>
      <c r="AU1242" s="14"/>
      <c r="AV1242" s="15"/>
      <c r="AW1242" s="15"/>
      <c r="AX1242" s="15"/>
      <c r="AY1242" s="15"/>
      <c r="AZ1242" s="24">
        <f t="shared" si="904"/>
        <v>0</v>
      </c>
      <c r="BA1242" s="24">
        <f t="shared" si="893"/>
        <v>0</v>
      </c>
      <c r="BB1242" s="128" t="s">
        <v>594</v>
      </c>
    </row>
    <row r="1243" spans="1:54" ht="14.25" x14ac:dyDescent="0.15">
      <c r="A1243" s="23" t="s">
        <v>48</v>
      </c>
      <c r="B1243" s="41"/>
      <c r="C1243" s="42"/>
      <c r="D1243" s="42"/>
      <c r="E1243" s="42">
        <v>1</v>
      </c>
      <c r="F1243" s="42"/>
      <c r="G1243" s="43">
        <f t="shared" si="857"/>
        <v>1</v>
      </c>
      <c r="H1243" s="41"/>
      <c r="I1243" s="42"/>
      <c r="J1243" s="42">
        <v>1</v>
      </c>
      <c r="K1243" s="42"/>
      <c r="L1243" s="42"/>
      <c r="M1243" s="43">
        <f t="shared" ref="M1243:M1244" si="905">SUM(H1243:L1243)</f>
        <v>1</v>
      </c>
      <c r="N1243" s="42"/>
      <c r="O1243" s="53"/>
      <c r="P1243" s="53"/>
      <c r="Q1243" s="53"/>
      <c r="R1243" s="72"/>
      <c r="S1243" s="24">
        <f>SUM(N1243:R1243)</f>
        <v>0</v>
      </c>
      <c r="T1243" s="42"/>
      <c r="U1243" s="53"/>
      <c r="V1243" s="53"/>
      <c r="W1243" s="53"/>
      <c r="X1243" s="72"/>
      <c r="Y1243" s="24">
        <f>SUM(T1243:X1243)</f>
        <v>0</v>
      </c>
      <c r="Z1243" s="24">
        <f>G1243+M1243+S1243+Y1243</f>
        <v>2</v>
      </c>
      <c r="AA1243" s="83">
        <v>45096</v>
      </c>
      <c r="AB1243" s="47" t="s">
        <v>588</v>
      </c>
      <c r="AC1243" s="189"/>
      <c r="AD1243" s="183"/>
      <c r="AE1243" s="183"/>
      <c r="AF1243" s="183"/>
      <c r="AG1243" s="183"/>
      <c r="AH1243" s="24">
        <f t="shared" ref="AH1243" si="906">SUM(AC1243:AG1243)</f>
        <v>0</v>
      </c>
      <c r="AI1243" s="14"/>
      <c r="AJ1243" s="15"/>
      <c r="AK1243" s="15"/>
      <c r="AL1243" s="15"/>
      <c r="AM1243" s="15"/>
      <c r="AN1243" s="24">
        <f t="shared" ref="AN1243:AN1245" si="907">SUM(AI1243:AM1243)</f>
        <v>0</v>
      </c>
      <c r="AO1243" s="14"/>
      <c r="AP1243" s="15"/>
      <c r="AQ1243" s="15"/>
      <c r="AR1243" s="15"/>
      <c r="AS1243" s="15"/>
      <c r="AT1243" s="24">
        <f t="shared" ref="AT1243:AT1245" si="908">SUM(AO1243:AS1243)</f>
        <v>0</v>
      </c>
      <c r="AU1243" s="14"/>
      <c r="AV1243" s="15"/>
      <c r="AW1243" s="15"/>
      <c r="AX1243" s="15"/>
      <c r="AY1243" s="15"/>
      <c r="AZ1243" s="24">
        <f t="shared" ref="AZ1243:AZ1245" si="909">SUM(AU1243:AY1243)</f>
        <v>0</v>
      </c>
      <c r="BA1243" s="24">
        <f t="shared" si="893"/>
        <v>0</v>
      </c>
      <c r="BB1243" s="128" t="s">
        <v>589</v>
      </c>
    </row>
    <row r="1244" spans="1:54" ht="15" thickBot="1" x14ac:dyDescent="0.2">
      <c r="A1244" s="23" t="s">
        <v>438</v>
      </c>
      <c r="B1244" s="44"/>
      <c r="C1244" s="45"/>
      <c r="D1244" s="45"/>
      <c r="E1244" s="45"/>
      <c r="F1244" s="45">
        <v>1</v>
      </c>
      <c r="G1244" s="43">
        <f t="shared" si="857"/>
        <v>1</v>
      </c>
      <c r="H1244" s="44"/>
      <c r="I1244" s="45"/>
      <c r="J1244" s="45"/>
      <c r="K1244" s="45">
        <v>1</v>
      </c>
      <c r="L1244" s="45"/>
      <c r="M1244" s="112">
        <f t="shared" si="905"/>
        <v>1</v>
      </c>
      <c r="N1244" s="45"/>
      <c r="O1244" s="78"/>
      <c r="P1244" s="78"/>
      <c r="Q1244" s="78"/>
      <c r="R1244" s="79"/>
      <c r="S1244" s="113">
        <f>SUM(N1244:R1244)</f>
        <v>0</v>
      </c>
      <c r="T1244" s="45"/>
      <c r="U1244" s="78"/>
      <c r="V1244" s="78"/>
      <c r="W1244" s="78"/>
      <c r="X1244" s="79"/>
      <c r="Y1244" s="113">
        <f>SUM(T1244:X1244)</f>
        <v>0</v>
      </c>
      <c r="Z1244" s="82">
        <f>G1244+M1244+S1244+Y1244</f>
        <v>2</v>
      </c>
      <c r="AA1244" s="83">
        <v>45099</v>
      </c>
      <c r="AB1244" s="47" t="s">
        <v>584</v>
      </c>
      <c r="AC1244" s="14"/>
      <c r="AD1244" s="15"/>
      <c r="AE1244" s="15"/>
      <c r="AF1244" s="15"/>
      <c r="AG1244" s="15"/>
      <c r="AH1244" s="24">
        <f t="shared" ref="AH1244" si="910">SUM(AC1244:AG1244)</f>
        <v>0</v>
      </c>
      <c r="AI1244" s="189"/>
      <c r="AJ1244" s="183"/>
      <c r="AK1244" s="183"/>
      <c r="AL1244" s="183"/>
      <c r="AM1244" s="183"/>
      <c r="AN1244" s="24">
        <f t="shared" si="907"/>
        <v>0</v>
      </c>
      <c r="AO1244" s="14"/>
      <c r="AP1244" s="15"/>
      <c r="AQ1244" s="15"/>
      <c r="AR1244" s="15"/>
      <c r="AS1244" s="15"/>
      <c r="AT1244" s="24">
        <f t="shared" si="908"/>
        <v>0</v>
      </c>
      <c r="AU1244" s="14"/>
      <c r="AV1244" s="15"/>
      <c r="AW1244" s="15"/>
      <c r="AX1244" s="15"/>
      <c r="AY1244" s="15"/>
      <c r="AZ1244" s="24">
        <f t="shared" si="909"/>
        <v>0</v>
      </c>
      <c r="BA1244" s="24">
        <f t="shared" si="893"/>
        <v>0</v>
      </c>
      <c r="BB1244" s="128" t="s">
        <v>585</v>
      </c>
    </row>
    <row r="1245" spans="1:54" ht="15" thickBot="1" x14ac:dyDescent="0.2">
      <c r="A1245" s="9" t="s">
        <v>13</v>
      </c>
      <c r="B1245" s="25">
        <f>SUM(B1219:B1244)</f>
        <v>2</v>
      </c>
      <c r="C1245" s="26">
        <f>SUM(C1219:C1244)</f>
        <v>2</v>
      </c>
      <c r="D1245" s="26">
        <f>SUM(D1219:D1244)</f>
        <v>0</v>
      </c>
      <c r="E1245" s="26">
        <f>SUM(E1219:E1244)</f>
        <v>3</v>
      </c>
      <c r="F1245" s="27">
        <f>SUM(F1219:F1244)</f>
        <v>3</v>
      </c>
      <c r="G1245" s="19">
        <f>SUM(B1245:F1245)</f>
        <v>10</v>
      </c>
      <c r="H1245" s="25">
        <f>SUM(H1219:H1244)</f>
        <v>0</v>
      </c>
      <c r="I1245" s="26">
        <f>SUM(I1219:I1244)</f>
        <v>2</v>
      </c>
      <c r="J1245" s="26">
        <f>SUM(J1219:J1244)</f>
        <v>5</v>
      </c>
      <c r="K1245" s="26">
        <f>SUM(K1219:K1244)</f>
        <v>2</v>
      </c>
      <c r="L1245" s="27">
        <f>SUM(L1219:L1244)</f>
        <v>1</v>
      </c>
      <c r="M1245" s="25">
        <f>SUM(H1245:L1245)</f>
        <v>10</v>
      </c>
      <c r="N1245" s="65">
        <f>SUM(N1219:N1244)</f>
        <v>0</v>
      </c>
      <c r="O1245" s="18">
        <f>SUM(O1219:O1244)</f>
        <v>1</v>
      </c>
      <c r="P1245" s="18">
        <f>SUM(P1219:P1244)</f>
        <v>1</v>
      </c>
      <c r="Q1245" s="18">
        <f>SUM(Q1219:Q1244)</f>
        <v>4</v>
      </c>
      <c r="R1245" s="70">
        <f>SUM(R1219:R1244)</f>
        <v>4</v>
      </c>
      <c r="S1245" s="49">
        <f>SUM(N1245:R1245)</f>
        <v>10</v>
      </c>
      <c r="T1245" s="74">
        <f>SUM(T1219:T1244)</f>
        <v>1</v>
      </c>
      <c r="U1245" s="18">
        <f>SUM(U1219:U1244)</f>
        <v>2</v>
      </c>
      <c r="V1245" s="18">
        <f>SUM(V1219:V1244)</f>
        <v>2</v>
      </c>
      <c r="W1245" s="18">
        <f>SUM(W1219:W1244)</f>
        <v>3</v>
      </c>
      <c r="X1245" s="70">
        <f>SUM(X1219:X1244)</f>
        <v>3</v>
      </c>
      <c r="Y1245" s="49">
        <f>SUM(T1245:X1245)</f>
        <v>11</v>
      </c>
      <c r="Z1245" s="137">
        <f>G1245+M1245+S1245+Y1245</f>
        <v>41</v>
      </c>
      <c r="AB1245" s="9" t="s">
        <v>13</v>
      </c>
      <c r="AC1245" s="25">
        <f>SUM(AC1219:AC1244)</f>
        <v>2</v>
      </c>
      <c r="AD1245" s="26">
        <f>SUM(AD1219:AD1244)</f>
        <v>4</v>
      </c>
      <c r="AE1245" s="26">
        <f>SUM(AE1219:AE1244)</f>
        <v>4</v>
      </c>
      <c r="AF1245" s="26">
        <f>SUM(AF1219:AF1244)</f>
        <v>9</v>
      </c>
      <c r="AG1245" s="27">
        <f>SUM(AG1219:AG1244)</f>
        <v>10</v>
      </c>
      <c r="AH1245" s="19">
        <f t="shared" ref="AH1245" si="911">SUM(AC1245:AG1245)</f>
        <v>29</v>
      </c>
      <c r="AI1245" s="25">
        <f>SUM(AI1219:AI1244)</f>
        <v>7</v>
      </c>
      <c r="AJ1245" s="26">
        <f>SUM(AJ1219:AJ1244)</f>
        <v>3</v>
      </c>
      <c r="AK1245" s="26">
        <f>SUM(AK1219:AK1244)</f>
        <v>6</v>
      </c>
      <c r="AL1245" s="26">
        <f>SUM(AL1219:AL1244)</f>
        <v>4</v>
      </c>
      <c r="AM1245" s="27">
        <f>SUM(AM1219:AM1244)</f>
        <v>4</v>
      </c>
      <c r="AN1245" s="25">
        <f t="shared" si="907"/>
        <v>24</v>
      </c>
      <c r="AO1245" s="65">
        <f>SUM(AO1219:AO1244)</f>
        <v>2</v>
      </c>
      <c r="AP1245" s="18">
        <f>SUM(AP1219:AP1244)</f>
        <v>4</v>
      </c>
      <c r="AQ1245" s="18">
        <f>SUM(AQ1219:AQ1244)</f>
        <v>4</v>
      </c>
      <c r="AR1245" s="18">
        <f>SUM(AR1219:AR1244)</f>
        <v>8</v>
      </c>
      <c r="AS1245" s="70">
        <f>SUM(AS1219:AS1244)</f>
        <v>10</v>
      </c>
      <c r="AT1245" s="49">
        <f t="shared" si="908"/>
        <v>28</v>
      </c>
      <c r="AU1245" s="74">
        <f>SUM(AU1219:AU1244)</f>
        <v>0</v>
      </c>
      <c r="AV1245" s="18">
        <f>SUM(AV1219:AV1244)</f>
        <v>2</v>
      </c>
      <c r="AW1245" s="18">
        <f>SUM(AW1219:AW1244)</f>
        <v>2</v>
      </c>
      <c r="AX1245" s="18">
        <f>SUM(AX1219:AX1244)</f>
        <v>8</v>
      </c>
      <c r="AY1245" s="70">
        <f>SUM(AY1219:AY1244)</f>
        <v>9</v>
      </c>
      <c r="AZ1245" s="49">
        <f t="shared" si="909"/>
        <v>21</v>
      </c>
      <c r="BA1245" s="77">
        <f t="shared" si="893"/>
        <v>102</v>
      </c>
    </row>
    <row r="1246" spans="1:54" ht="15" thickBot="1" x14ac:dyDescent="0.2">
      <c r="A1246" s="32" t="s">
        <v>14</v>
      </c>
      <c r="B1246" s="29">
        <f t="shared" ref="B1246:Y1246" si="912">B1218-B1245</f>
        <v>5</v>
      </c>
      <c r="C1246" s="30">
        <f t="shared" si="912"/>
        <v>4</v>
      </c>
      <c r="D1246" s="30">
        <f t="shared" si="912"/>
        <v>4</v>
      </c>
      <c r="E1246" s="30">
        <f t="shared" si="912"/>
        <v>3</v>
      </c>
      <c r="F1246" s="31">
        <f t="shared" si="912"/>
        <v>4</v>
      </c>
      <c r="G1246" s="31">
        <f t="shared" si="912"/>
        <v>20</v>
      </c>
      <c r="H1246" s="29">
        <f t="shared" si="912"/>
        <v>6</v>
      </c>
      <c r="I1246" s="30">
        <f t="shared" si="912"/>
        <v>5</v>
      </c>
      <c r="J1246" s="30">
        <f t="shared" si="912"/>
        <v>4</v>
      </c>
      <c r="K1246" s="30">
        <f t="shared" si="912"/>
        <v>5</v>
      </c>
      <c r="L1246" s="31">
        <f t="shared" si="912"/>
        <v>5</v>
      </c>
      <c r="M1246" s="66">
        <f t="shared" si="912"/>
        <v>25</v>
      </c>
      <c r="N1246" s="29">
        <f t="shared" si="912"/>
        <v>5</v>
      </c>
      <c r="O1246" s="30">
        <f t="shared" si="912"/>
        <v>3</v>
      </c>
      <c r="P1246" s="30">
        <f t="shared" si="912"/>
        <v>5</v>
      </c>
      <c r="Q1246" s="30">
        <f t="shared" si="912"/>
        <v>6</v>
      </c>
      <c r="R1246" s="66">
        <f t="shared" si="912"/>
        <v>5</v>
      </c>
      <c r="S1246" s="33">
        <f t="shared" si="912"/>
        <v>24</v>
      </c>
      <c r="T1246" s="75">
        <f t="shared" si="912"/>
        <v>4</v>
      </c>
      <c r="U1246" s="30">
        <f t="shared" si="912"/>
        <v>4</v>
      </c>
      <c r="V1246" s="30">
        <f t="shared" si="912"/>
        <v>5</v>
      </c>
      <c r="W1246" s="30">
        <f t="shared" si="912"/>
        <v>4</v>
      </c>
      <c r="X1246" s="66">
        <f t="shared" si="912"/>
        <v>5</v>
      </c>
      <c r="Y1246" s="33">
        <f t="shared" si="912"/>
        <v>22</v>
      </c>
      <c r="Z1246" s="77">
        <f>G1246+M1246+S1246+Y1246</f>
        <v>91</v>
      </c>
      <c r="AB1246" s="32" t="s">
        <v>14</v>
      </c>
      <c r="AC1246" s="29">
        <f t="shared" ref="AC1246:AZ1246" si="913">AC1218-AC1245</f>
        <v>118</v>
      </c>
      <c r="AD1246" s="30">
        <f t="shared" si="913"/>
        <v>103</v>
      </c>
      <c r="AE1246" s="30">
        <f t="shared" si="913"/>
        <v>101</v>
      </c>
      <c r="AF1246" s="30">
        <f t="shared" si="913"/>
        <v>75</v>
      </c>
      <c r="AG1246" s="31">
        <f t="shared" si="913"/>
        <v>56</v>
      </c>
      <c r="AH1246" s="31">
        <f t="shared" si="913"/>
        <v>453</v>
      </c>
      <c r="AI1246" s="29">
        <f t="shared" si="913"/>
        <v>87</v>
      </c>
      <c r="AJ1246" s="30">
        <f t="shared" si="913"/>
        <v>92</v>
      </c>
      <c r="AK1246" s="30">
        <f t="shared" si="913"/>
        <v>96</v>
      </c>
      <c r="AL1246" s="30">
        <f t="shared" si="913"/>
        <v>80</v>
      </c>
      <c r="AM1246" s="31">
        <f t="shared" si="913"/>
        <v>91</v>
      </c>
      <c r="AN1246" s="66">
        <f t="shared" si="913"/>
        <v>446</v>
      </c>
      <c r="AO1246" s="29">
        <f t="shared" si="913"/>
        <v>150</v>
      </c>
      <c r="AP1246" s="30">
        <f t="shared" si="913"/>
        <v>115</v>
      </c>
      <c r="AQ1246" s="30">
        <f t="shared" si="913"/>
        <v>116</v>
      </c>
      <c r="AR1246" s="30">
        <f t="shared" si="913"/>
        <v>125</v>
      </c>
      <c r="AS1246" s="66">
        <f t="shared" si="913"/>
        <v>134</v>
      </c>
      <c r="AT1246" s="33">
        <f t="shared" si="913"/>
        <v>640</v>
      </c>
      <c r="AU1246" s="75">
        <f t="shared" si="913"/>
        <v>115</v>
      </c>
      <c r="AV1246" s="30">
        <f t="shared" si="913"/>
        <v>66</v>
      </c>
      <c r="AW1246" s="30">
        <f t="shared" si="913"/>
        <v>45</v>
      </c>
      <c r="AX1246" s="30">
        <f t="shared" si="913"/>
        <v>38</v>
      </c>
      <c r="AY1246" s="66">
        <f t="shared" si="913"/>
        <v>83</v>
      </c>
      <c r="AZ1246" s="33">
        <f t="shared" si="913"/>
        <v>347</v>
      </c>
      <c r="BA1246" s="77">
        <f t="shared" si="893"/>
        <v>1886</v>
      </c>
    </row>
    <row r="1249" spans="1:55" ht="19.5" thickBot="1" x14ac:dyDescent="0.25">
      <c r="A1249" s="1" t="s">
        <v>15</v>
      </c>
      <c r="AB1249" s="1" t="s">
        <v>16</v>
      </c>
    </row>
    <row r="1250" spans="1:55" ht="15" thickBot="1" x14ac:dyDescent="0.2">
      <c r="A1250" s="4"/>
      <c r="B1250" s="245" t="s">
        <v>17</v>
      </c>
      <c r="C1250" s="246"/>
      <c r="D1250" s="246"/>
      <c r="E1250" s="246"/>
      <c r="F1250" s="246"/>
      <c r="G1250" s="247"/>
      <c r="H1250" s="245" t="s">
        <v>18</v>
      </c>
      <c r="I1250" s="246"/>
      <c r="J1250" s="246"/>
      <c r="K1250" s="246"/>
      <c r="L1250" s="246"/>
      <c r="M1250" s="247"/>
      <c r="N1250" s="248" t="s">
        <v>27</v>
      </c>
      <c r="O1250" s="249"/>
      <c r="P1250" s="249"/>
      <c r="Q1250" s="249"/>
      <c r="R1250" s="249"/>
      <c r="S1250" s="250"/>
      <c r="T1250" s="248" t="s">
        <v>28</v>
      </c>
      <c r="U1250" s="249"/>
      <c r="V1250" s="249"/>
      <c r="W1250" s="249"/>
      <c r="X1250" s="249"/>
      <c r="Y1250" s="250"/>
      <c r="Z1250" s="251" t="s">
        <v>1</v>
      </c>
      <c r="AB1250" s="4"/>
      <c r="AC1250" s="253" t="s">
        <v>17</v>
      </c>
      <c r="AD1250" s="249"/>
      <c r="AE1250" s="249"/>
      <c r="AF1250" s="249"/>
      <c r="AG1250" s="249"/>
      <c r="AH1250" s="250"/>
      <c r="AI1250" s="248" t="s">
        <v>18</v>
      </c>
      <c r="AJ1250" s="249"/>
      <c r="AK1250" s="249"/>
      <c r="AL1250" s="249"/>
      <c r="AM1250" s="249"/>
      <c r="AN1250" s="250"/>
      <c r="AO1250" s="248" t="s">
        <v>27</v>
      </c>
      <c r="AP1250" s="249"/>
      <c r="AQ1250" s="249"/>
      <c r="AR1250" s="249"/>
      <c r="AS1250" s="249"/>
      <c r="AT1250" s="250"/>
      <c r="AU1250" s="248" t="s">
        <v>28</v>
      </c>
      <c r="AV1250" s="249"/>
      <c r="AW1250" s="249"/>
      <c r="AX1250" s="249"/>
      <c r="AY1250" s="249"/>
      <c r="AZ1250" s="250"/>
      <c r="BA1250" s="243" t="s">
        <v>1</v>
      </c>
    </row>
    <row r="1251" spans="1:55" ht="15" thickBot="1" x14ac:dyDescent="0.2">
      <c r="A1251" s="9" t="s">
        <v>2</v>
      </c>
      <c r="B1251" s="6" t="s">
        <v>3</v>
      </c>
      <c r="C1251" s="7" t="s">
        <v>4</v>
      </c>
      <c r="D1251" s="7" t="s">
        <v>5</v>
      </c>
      <c r="E1251" s="48" t="s">
        <v>20</v>
      </c>
      <c r="F1251" s="8" t="s">
        <v>21</v>
      </c>
      <c r="G1251" s="5" t="s">
        <v>6</v>
      </c>
      <c r="H1251" s="6" t="s">
        <v>3</v>
      </c>
      <c r="I1251" s="7" t="s">
        <v>4</v>
      </c>
      <c r="J1251" s="7" t="s">
        <v>5</v>
      </c>
      <c r="K1251" s="48" t="s">
        <v>20</v>
      </c>
      <c r="L1251" s="8" t="s">
        <v>21</v>
      </c>
      <c r="M1251" s="5" t="s">
        <v>6</v>
      </c>
      <c r="N1251" s="6" t="s">
        <v>3</v>
      </c>
      <c r="O1251" s="7" t="s">
        <v>4</v>
      </c>
      <c r="P1251" s="7" t="s">
        <v>5</v>
      </c>
      <c r="Q1251" s="48" t="s">
        <v>20</v>
      </c>
      <c r="R1251" s="8" t="s">
        <v>21</v>
      </c>
      <c r="S1251" s="5" t="s">
        <v>6</v>
      </c>
      <c r="T1251" s="7" t="s">
        <v>3</v>
      </c>
      <c r="U1251" s="7" t="s">
        <v>4</v>
      </c>
      <c r="V1251" s="7" t="s">
        <v>5</v>
      </c>
      <c r="W1251" s="48" t="s">
        <v>20</v>
      </c>
      <c r="X1251" s="109" t="s">
        <v>21</v>
      </c>
      <c r="Y1251" s="62" t="s">
        <v>6</v>
      </c>
      <c r="Z1251" s="252"/>
      <c r="AB1251" s="9" t="s">
        <v>2</v>
      </c>
      <c r="AC1251" s="6" t="s">
        <v>3</v>
      </c>
      <c r="AD1251" s="7" t="s">
        <v>4</v>
      </c>
      <c r="AE1251" s="7" t="s">
        <v>5</v>
      </c>
      <c r="AF1251" s="48" t="s">
        <v>20</v>
      </c>
      <c r="AG1251" s="8" t="s">
        <v>21</v>
      </c>
      <c r="AH1251" s="5" t="s">
        <v>6</v>
      </c>
      <c r="AI1251" s="6" t="s">
        <v>3</v>
      </c>
      <c r="AJ1251" s="7" t="s">
        <v>4</v>
      </c>
      <c r="AK1251" s="7" t="s">
        <v>5</v>
      </c>
      <c r="AL1251" s="48" t="s">
        <v>20</v>
      </c>
      <c r="AM1251" s="8" t="s">
        <v>21</v>
      </c>
      <c r="AN1251" s="5" t="s">
        <v>6</v>
      </c>
      <c r="AO1251" s="6" t="s">
        <v>3</v>
      </c>
      <c r="AP1251" s="7" t="s">
        <v>4</v>
      </c>
      <c r="AQ1251" s="7" t="s">
        <v>5</v>
      </c>
      <c r="AR1251" s="48" t="s">
        <v>20</v>
      </c>
      <c r="AS1251" s="8" t="s">
        <v>21</v>
      </c>
      <c r="AT1251" s="5" t="s">
        <v>6</v>
      </c>
      <c r="AU1251" s="7" t="s">
        <v>3</v>
      </c>
      <c r="AV1251" s="7" t="s">
        <v>4</v>
      </c>
      <c r="AW1251" s="7" t="s">
        <v>5</v>
      </c>
      <c r="AX1251" s="48" t="s">
        <v>20</v>
      </c>
      <c r="AY1251" s="109" t="s">
        <v>21</v>
      </c>
      <c r="AZ1251" s="62" t="s">
        <v>6</v>
      </c>
      <c r="BA1251" s="244"/>
    </row>
    <row r="1252" spans="1:55" ht="14.25" x14ac:dyDescent="0.15">
      <c r="A1252" s="103" t="s">
        <v>43</v>
      </c>
      <c r="B1252" s="104">
        <f>B1246</f>
        <v>5</v>
      </c>
      <c r="C1252" s="105">
        <f>C1246</f>
        <v>4</v>
      </c>
      <c r="D1252" s="105">
        <f>D1246</f>
        <v>4</v>
      </c>
      <c r="E1252" s="105">
        <f>E1246</f>
        <v>3</v>
      </c>
      <c r="F1252" s="105">
        <f>F1246</f>
        <v>4</v>
      </c>
      <c r="G1252" s="106">
        <f t="shared" ref="G1252" si="914">SUM(B1252:F1252)</f>
        <v>20</v>
      </c>
      <c r="H1252" s="104">
        <f>H1246</f>
        <v>6</v>
      </c>
      <c r="I1252" s="105">
        <f>I1246</f>
        <v>5</v>
      </c>
      <c r="J1252" s="105">
        <f>J1246</f>
        <v>4</v>
      </c>
      <c r="K1252" s="105">
        <f>K1246</f>
        <v>5</v>
      </c>
      <c r="L1252" s="105">
        <f>L1246</f>
        <v>5</v>
      </c>
      <c r="M1252" s="107">
        <f t="shared" ref="M1252:M1257" si="915">SUM(H1252:L1252)</f>
        <v>25</v>
      </c>
      <c r="N1252" s="104">
        <f>N1246</f>
        <v>5</v>
      </c>
      <c r="O1252" s="105">
        <f>O1246</f>
        <v>3</v>
      </c>
      <c r="P1252" s="105">
        <f>P1246</f>
        <v>5</v>
      </c>
      <c r="Q1252" s="105">
        <f>Q1246</f>
        <v>6</v>
      </c>
      <c r="R1252" s="105">
        <f>R1246</f>
        <v>5</v>
      </c>
      <c r="S1252" s="108">
        <f t="shared" ref="S1252:S1281" si="916">SUM(N1252:R1252)</f>
        <v>24</v>
      </c>
      <c r="T1252" s="104">
        <f>T1246</f>
        <v>4</v>
      </c>
      <c r="U1252" s="105">
        <f>U1246</f>
        <v>4</v>
      </c>
      <c r="V1252" s="105">
        <f>V1246</f>
        <v>5</v>
      </c>
      <c r="W1252" s="105">
        <f>W1246</f>
        <v>4</v>
      </c>
      <c r="X1252" s="105">
        <f>X1246</f>
        <v>5</v>
      </c>
      <c r="Y1252" s="106">
        <f t="shared" ref="Y1252:Y1281" si="917">SUM(T1252:X1252)</f>
        <v>22</v>
      </c>
      <c r="Z1252" s="106">
        <f t="shared" ref="Z1252:Z1281" si="918">G1252+M1252+S1252+Y1252</f>
        <v>91</v>
      </c>
      <c r="AB1252" s="103" t="s">
        <v>43</v>
      </c>
      <c r="AC1252" s="104">
        <f>AC1246</f>
        <v>118</v>
      </c>
      <c r="AD1252" s="105">
        <f>AD1246</f>
        <v>103</v>
      </c>
      <c r="AE1252" s="105">
        <f>AE1246</f>
        <v>101</v>
      </c>
      <c r="AF1252" s="105">
        <f>AF1246</f>
        <v>75</v>
      </c>
      <c r="AG1252" s="105">
        <f>AG1246</f>
        <v>56</v>
      </c>
      <c r="AH1252" s="106">
        <f>SUM(AC1252:AG1252)</f>
        <v>453</v>
      </c>
      <c r="AI1252" s="104">
        <f>AI1246</f>
        <v>87</v>
      </c>
      <c r="AJ1252" s="105">
        <f>AJ1246</f>
        <v>92</v>
      </c>
      <c r="AK1252" s="105">
        <f>AK1246</f>
        <v>96</v>
      </c>
      <c r="AL1252" s="105">
        <f>AL1246</f>
        <v>80</v>
      </c>
      <c r="AM1252" s="105">
        <f>AM1246</f>
        <v>91</v>
      </c>
      <c r="AN1252" s="107">
        <f>SUM(AI1252:AM1252)</f>
        <v>446</v>
      </c>
      <c r="AO1252" s="104">
        <f>AO1246</f>
        <v>150</v>
      </c>
      <c r="AP1252" s="105">
        <f>AP1246</f>
        <v>115</v>
      </c>
      <c r="AQ1252" s="105">
        <f>AQ1246</f>
        <v>116</v>
      </c>
      <c r="AR1252" s="105">
        <f>AR1246</f>
        <v>125</v>
      </c>
      <c r="AS1252" s="105">
        <f>AS1246</f>
        <v>134</v>
      </c>
      <c r="AT1252" s="108">
        <f>SUM(AO1252:AS1252)</f>
        <v>640</v>
      </c>
      <c r="AU1252" s="104">
        <f>AU1246</f>
        <v>115</v>
      </c>
      <c r="AV1252" s="105">
        <f>AV1246</f>
        <v>66</v>
      </c>
      <c r="AW1252" s="105">
        <f>AW1246</f>
        <v>45</v>
      </c>
      <c r="AX1252" s="105">
        <f>AX1246</f>
        <v>38</v>
      </c>
      <c r="AY1252" s="105">
        <f>AY1246</f>
        <v>83</v>
      </c>
      <c r="AZ1252" s="106">
        <f>SUM(AU1252:AY1252)</f>
        <v>347</v>
      </c>
      <c r="BA1252" s="106">
        <f>AH1252+AN1252+AT1252+AZ1252</f>
        <v>1886</v>
      </c>
    </row>
    <row r="1253" spans="1:55" ht="14.25" x14ac:dyDescent="0.15">
      <c r="A1253" s="10" t="s">
        <v>181</v>
      </c>
      <c r="B1253" s="14"/>
      <c r="C1253" s="15"/>
      <c r="D1253" s="15">
        <v>3</v>
      </c>
      <c r="E1253" s="15">
        <v>3</v>
      </c>
      <c r="F1253" s="15"/>
      <c r="G1253" s="16">
        <f t="shared" ref="G1253" si="919">SUM(B1253:F1253)</f>
        <v>6</v>
      </c>
      <c r="H1253" s="14"/>
      <c r="I1253" s="15"/>
      <c r="J1253" s="15"/>
      <c r="K1253" s="15"/>
      <c r="L1253" s="15"/>
      <c r="M1253" s="57">
        <f t="shared" ref="M1253:M1254" si="920">SUM(H1253:L1253)</f>
        <v>0</v>
      </c>
      <c r="N1253" s="14"/>
      <c r="O1253" s="55">
        <v>3</v>
      </c>
      <c r="P1253" s="55"/>
      <c r="Q1253" s="55"/>
      <c r="R1253" s="67"/>
      <c r="S1253" s="24">
        <f t="shared" ref="S1253:S1254" si="921">SUM(N1253:R1253)</f>
        <v>3</v>
      </c>
      <c r="T1253" s="15"/>
      <c r="U1253" s="55"/>
      <c r="V1253" s="55"/>
      <c r="W1253" s="55"/>
      <c r="X1253" s="67"/>
      <c r="Y1253" s="24">
        <f t="shared" ref="Y1253:Y1254" si="922">SUM(T1253:X1253)</f>
        <v>0</v>
      </c>
      <c r="Z1253" s="24">
        <f t="shared" ref="Z1253:Z1254" si="923">G1253+M1253+S1253+Y1253</f>
        <v>9</v>
      </c>
      <c r="AA1253" s="83">
        <v>45103</v>
      </c>
      <c r="AB1253" s="10" t="s">
        <v>181</v>
      </c>
      <c r="AC1253" s="14"/>
      <c r="AD1253" s="15"/>
      <c r="AE1253" s="15"/>
      <c r="AF1253" s="15"/>
      <c r="AG1253" s="15"/>
      <c r="AH1253" s="43">
        <f t="shared" ref="AH1253:AH1254" si="924">SUM(AC1253:AG1253)</f>
        <v>0</v>
      </c>
      <c r="AI1253" s="14"/>
      <c r="AJ1253" s="15"/>
      <c r="AK1253" s="15"/>
      <c r="AL1253" s="15"/>
      <c r="AM1253" s="15"/>
      <c r="AN1253" s="43">
        <f t="shared" ref="AN1253:AN1254" si="925">SUM(AI1253:AM1253)</f>
        <v>0</v>
      </c>
      <c r="AO1253" s="14"/>
      <c r="AP1253" s="55"/>
      <c r="AQ1253" s="55"/>
      <c r="AR1253" s="55"/>
      <c r="AS1253" s="67"/>
      <c r="AT1253" s="24">
        <f t="shared" ref="AT1253:AT1254" si="926">SUM(AO1253:AS1253)</f>
        <v>0</v>
      </c>
      <c r="AU1253" s="15"/>
      <c r="AV1253" s="55"/>
      <c r="AW1253" s="55"/>
      <c r="AX1253" s="55"/>
      <c r="AY1253" s="67"/>
      <c r="AZ1253" s="24">
        <f t="shared" ref="AZ1253:AZ1254" si="927">SUM(AU1253:AY1253)</f>
        <v>0</v>
      </c>
      <c r="BA1253" s="24">
        <f t="shared" ref="BA1253:BA1285" si="928">AH1253+AN1253+AT1253+AZ1253</f>
        <v>0</v>
      </c>
      <c r="BB1253" s="128"/>
    </row>
    <row r="1254" spans="1:55" ht="14.25" x14ac:dyDescent="0.15">
      <c r="A1254" s="10" t="s">
        <v>181</v>
      </c>
      <c r="B1254" s="14"/>
      <c r="C1254" s="15"/>
      <c r="D1254" s="15"/>
      <c r="E1254" s="15"/>
      <c r="F1254" s="15">
        <v>5</v>
      </c>
      <c r="G1254" s="16">
        <f>SUM(B1254:F1254)</f>
        <v>5</v>
      </c>
      <c r="H1254" s="14"/>
      <c r="I1254" s="15"/>
      <c r="J1254" s="15"/>
      <c r="K1254" s="15"/>
      <c r="L1254" s="15"/>
      <c r="M1254" s="57">
        <f t="shared" si="920"/>
        <v>0</v>
      </c>
      <c r="N1254" s="14"/>
      <c r="O1254" s="55"/>
      <c r="P1254" s="55"/>
      <c r="Q1254" s="55"/>
      <c r="R1254" s="67"/>
      <c r="S1254" s="24">
        <f t="shared" si="921"/>
        <v>0</v>
      </c>
      <c r="T1254" s="15"/>
      <c r="U1254" s="55"/>
      <c r="V1254" s="55"/>
      <c r="W1254" s="55"/>
      <c r="X1254" s="67"/>
      <c r="Y1254" s="24">
        <f t="shared" si="922"/>
        <v>0</v>
      </c>
      <c r="Z1254" s="24">
        <f t="shared" si="923"/>
        <v>5</v>
      </c>
      <c r="AA1254" s="83">
        <v>45105</v>
      </c>
      <c r="AB1254" s="10" t="s">
        <v>181</v>
      </c>
      <c r="AC1254" s="14"/>
      <c r="AD1254" s="15"/>
      <c r="AE1254" s="15"/>
      <c r="AF1254" s="15"/>
      <c r="AG1254" s="15"/>
      <c r="AH1254" s="43">
        <f t="shared" si="924"/>
        <v>0</v>
      </c>
      <c r="AI1254" s="14"/>
      <c r="AJ1254" s="15"/>
      <c r="AK1254" s="15"/>
      <c r="AL1254" s="15"/>
      <c r="AM1254" s="15"/>
      <c r="AN1254" s="43">
        <f t="shared" si="925"/>
        <v>0</v>
      </c>
      <c r="AO1254" s="14"/>
      <c r="AP1254" s="55"/>
      <c r="AQ1254" s="55"/>
      <c r="AR1254" s="55"/>
      <c r="AS1254" s="67"/>
      <c r="AT1254" s="24">
        <f t="shared" si="926"/>
        <v>0</v>
      </c>
      <c r="AU1254" s="15"/>
      <c r="AV1254" s="55"/>
      <c r="AW1254" s="55"/>
      <c r="AX1254" s="55"/>
      <c r="AY1254" s="67"/>
      <c r="AZ1254" s="24">
        <f t="shared" si="927"/>
        <v>0</v>
      </c>
      <c r="BA1254" s="24">
        <f t="shared" si="928"/>
        <v>0</v>
      </c>
      <c r="BB1254" s="128"/>
    </row>
    <row r="1255" spans="1:55" ht="14.25" x14ac:dyDescent="0.15">
      <c r="A1255" s="10" t="s">
        <v>181</v>
      </c>
      <c r="B1255" s="14"/>
      <c r="C1255" s="15"/>
      <c r="D1255" s="15"/>
      <c r="E1255" s="15"/>
      <c r="F1255" s="15"/>
      <c r="G1255" s="16">
        <f t="shared" ref="G1255:G1256" si="929">SUM(B1255:F1255)</f>
        <v>0</v>
      </c>
      <c r="H1255" s="14"/>
      <c r="I1255" s="15"/>
      <c r="J1255" s="15"/>
      <c r="K1255" s="15"/>
      <c r="L1255" s="15"/>
      <c r="M1255" s="57">
        <f t="shared" ref="M1255:M1256" si="930">SUM(H1255:L1255)</f>
        <v>0</v>
      </c>
      <c r="N1255" s="14"/>
      <c r="O1255" s="55"/>
      <c r="P1255" s="55"/>
      <c r="Q1255" s="55"/>
      <c r="R1255" s="67">
        <v>5</v>
      </c>
      <c r="S1255" s="24">
        <f t="shared" ref="S1255:S1256" si="931">SUM(N1255:R1255)</f>
        <v>5</v>
      </c>
      <c r="T1255" s="15"/>
      <c r="U1255" s="55"/>
      <c r="V1255" s="55"/>
      <c r="W1255" s="55"/>
      <c r="X1255" s="67"/>
      <c r="Y1255" s="24">
        <f t="shared" ref="Y1255:Y1256" si="932">SUM(T1255:X1255)</f>
        <v>0</v>
      </c>
      <c r="Z1255" s="24">
        <f t="shared" ref="Z1255:Z1256" si="933">G1255+M1255+S1255+Y1255</f>
        <v>5</v>
      </c>
      <c r="AA1255" s="83">
        <v>45108</v>
      </c>
      <c r="AB1255" s="10" t="s">
        <v>181</v>
      </c>
      <c r="AC1255" s="14"/>
      <c r="AD1255" s="15"/>
      <c r="AE1255" s="15"/>
      <c r="AF1255" s="15"/>
      <c r="AG1255" s="15"/>
      <c r="AH1255" s="43">
        <f t="shared" ref="AH1255:AH1271" si="934">SUM(AC1255:AG1255)</f>
        <v>0</v>
      </c>
      <c r="AI1255" s="14"/>
      <c r="AJ1255" s="15"/>
      <c r="AK1255" s="15"/>
      <c r="AL1255" s="15"/>
      <c r="AM1255" s="15"/>
      <c r="AN1255" s="43">
        <f t="shared" ref="AN1255:AN1271" si="935">SUM(AI1255:AM1255)</f>
        <v>0</v>
      </c>
      <c r="AO1255" s="14"/>
      <c r="AP1255" s="55"/>
      <c r="AQ1255" s="55"/>
      <c r="AR1255" s="55"/>
      <c r="AS1255" s="67"/>
      <c r="AT1255" s="24">
        <f t="shared" ref="AT1255:AT1271" si="936">SUM(AO1255:AS1255)</f>
        <v>0</v>
      </c>
      <c r="AU1255" s="15"/>
      <c r="AV1255" s="55"/>
      <c r="AW1255" s="55"/>
      <c r="AX1255" s="55"/>
      <c r="AY1255" s="67"/>
      <c r="AZ1255" s="24">
        <f t="shared" ref="AZ1255:AZ1271" si="937">SUM(AU1255:AY1255)</f>
        <v>0</v>
      </c>
      <c r="BA1255" s="24">
        <f t="shared" si="928"/>
        <v>0</v>
      </c>
      <c r="BB1255" s="128"/>
    </row>
    <row r="1256" spans="1:55" ht="15" thickBot="1" x14ac:dyDescent="0.2">
      <c r="A1256" s="10" t="s">
        <v>181</v>
      </c>
      <c r="B1256" s="14"/>
      <c r="C1256" s="15">
        <v>3</v>
      </c>
      <c r="D1256" s="15"/>
      <c r="E1256" s="15"/>
      <c r="F1256" s="15"/>
      <c r="G1256" s="16">
        <f t="shared" si="929"/>
        <v>3</v>
      </c>
      <c r="H1256" s="14"/>
      <c r="I1256" s="15"/>
      <c r="J1256" s="15"/>
      <c r="K1256" s="15"/>
      <c r="L1256" s="15"/>
      <c r="M1256" s="57">
        <f t="shared" si="930"/>
        <v>0</v>
      </c>
      <c r="N1256" s="14"/>
      <c r="O1256" s="55"/>
      <c r="P1256" s="55"/>
      <c r="Q1256" s="55"/>
      <c r="R1256" s="67"/>
      <c r="S1256" s="24">
        <f t="shared" si="931"/>
        <v>0</v>
      </c>
      <c r="T1256" s="15"/>
      <c r="U1256" s="55"/>
      <c r="V1256" s="55"/>
      <c r="W1256" s="55">
        <v>3</v>
      </c>
      <c r="X1256" s="67">
        <v>3</v>
      </c>
      <c r="Y1256" s="24">
        <f t="shared" si="932"/>
        <v>6</v>
      </c>
      <c r="Z1256" s="24">
        <f t="shared" si="933"/>
        <v>9</v>
      </c>
      <c r="AA1256" s="83">
        <v>45112</v>
      </c>
      <c r="AB1256" s="10" t="s">
        <v>181</v>
      </c>
      <c r="AC1256" s="14"/>
      <c r="AD1256" s="15"/>
      <c r="AE1256" s="15"/>
      <c r="AF1256" s="15"/>
      <c r="AG1256" s="15"/>
      <c r="AH1256" s="43">
        <f t="shared" si="934"/>
        <v>0</v>
      </c>
      <c r="AI1256" s="14"/>
      <c r="AJ1256" s="15"/>
      <c r="AK1256" s="15"/>
      <c r="AL1256" s="15"/>
      <c r="AM1256" s="15"/>
      <c r="AN1256" s="43">
        <f t="shared" si="935"/>
        <v>0</v>
      </c>
      <c r="AO1256" s="14"/>
      <c r="AP1256" s="55"/>
      <c r="AQ1256" s="55"/>
      <c r="AR1256" s="55"/>
      <c r="AS1256" s="67"/>
      <c r="AT1256" s="24">
        <f t="shared" si="936"/>
        <v>0</v>
      </c>
      <c r="AU1256" s="15"/>
      <c r="AV1256" s="55"/>
      <c r="AW1256" s="55"/>
      <c r="AX1256" s="55"/>
      <c r="AY1256" s="67"/>
      <c r="AZ1256" s="24">
        <f t="shared" si="937"/>
        <v>0</v>
      </c>
      <c r="BA1256" s="24">
        <f t="shared" si="928"/>
        <v>0</v>
      </c>
      <c r="BB1256" s="128"/>
    </row>
    <row r="1257" spans="1:55" ht="15" thickBot="1" x14ac:dyDescent="0.2">
      <c r="A1257" s="4" t="s">
        <v>12</v>
      </c>
      <c r="B1257" s="17">
        <f>SUM(B1252:B1256)</f>
        <v>5</v>
      </c>
      <c r="C1257" s="18">
        <f>SUM(C1252:C1256)</f>
        <v>7</v>
      </c>
      <c r="D1257" s="18">
        <f>SUM(D1252:D1256)</f>
        <v>7</v>
      </c>
      <c r="E1257" s="18">
        <f>SUM(E1252:E1256)</f>
        <v>6</v>
      </c>
      <c r="F1257" s="18">
        <f>SUM(F1252:F1256)</f>
        <v>9</v>
      </c>
      <c r="G1257" s="148">
        <f t="shared" ref="G1257:G1283" si="938">SUM(B1257:F1257)</f>
        <v>34</v>
      </c>
      <c r="H1257" s="17">
        <f>SUM(H1252:H1256)</f>
        <v>6</v>
      </c>
      <c r="I1257" s="18">
        <f>SUM(I1252:I1256)</f>
        <v>5</v>
      </c>
      <c r="J1257" s="18">
        <f>SUM(J1252:J1256)</f>
        <v>4</v>
      </c>
      <c r="K1257" s="18">
        <f>SUM(K1252:K1256)</f>
        <v>5</v>
      </c>
      <c r="L1257" s="18">
        <f>SUM(L1252:L1256)</f>
        <v>5</v>
      </c>
      <c r="M1257" s="17">
        <f t="shared" si="915"/>
        <v>25</v>
      </c>
      <c r="N1257" s="65">
        <f>SUM(N1252:N1256)</f>
        <v>5</v>
      </c>
      <c r="O1257" s="18">
        <f>SUM(O1252:O1256)</f>
        <v>6</v>
      </c>
      <c r="P1257" s="18">
        <f>SUM(P1252:P1256)</f>
        <v>5</v>
      </c>
      <c r="Q1257" s="18">
        <f>SUM(Q1252:Q1256)</f>
        <v>6</v>
      </c>
      <c r="R1257" s="70">
        <f>SUM(R1252:R1256)</f>
        <v>10</v>
      </c>
      <c r="S1257" s="49">
        <f t="shared" si="916"/>
        <v>32</v>
      </c>
      <c r="T1257" s="74">
        <f>SUM(T1252:T1256)</f>
        <v>4</v>
      </c>
      <c r="U1257" s="18">
        <f>SUM(U1252:U1256)</f>
        <v>4</v>
      </c>
      <c r="V1257" s="18">
        <f>SUM(V1252:V1256)</f>
        <v>5</v>
      </c>
      <c r="W1257" s="18">
        <f>SUM(W1252:W1256)</f>
        <v>7</v>
      </c>
      <c r="X1257" s="70">
        <f>SUM(X1252:X1256)</f>
        <v>8</v>
      </c>
      <c r="Y1257" s="49">
        <f t="shared" si="917"/>
        <v>28</v>
      </c>
      <c r="Z1257" s="33">
        <f t="shared" si="918"/>
        <v>119</v>
      </c>
      <c r="AB1257" s="4" t="s">
        <v>12</v>
      </c>
      <c r="AC1257" s="17">
        <f>SUM(AC1252:AC1256)</f>
        <v>118</v>
      </c>
      <c r="AD1257" s="18">
        <f>SUM(AD1252:AD1256)</f>
        <v>103</v>
      </c>
      <c r="AE1257" s="18">
        <f>SUM(AE1252:AE1256)</f>
        <v>101</v>
      </c>
      <c r="AF1257" s="18">
        <f>SUM(AF1252:AF1256)</f>
        <v>75</v>
      </c>
      <c r="AG1257" s="18">
        <f>SUM(AG1252:AG1256)</f>
        <v>56</v>
      </c>
      <c r="AH1257" s="148">
        <f t="shared" si="934"/>
        <v>453</v>
      </c>
      <c r="AI1257" s="17">
        <f>SUM(AI1252:AI1256)</f>
        <v>87</v>
      </c>
      <c r="AJ1257" s="18">
        <f>SUM(AJ1252:AJ1256)</f>
        <v>92</v>
      </c>
      <c r="AK1257" s="18">
        <f>SUM(AK1252:AK1256)</f>
        <v>96</v>
      </c>
      <c r="AL1257" s="18">
        <f>SUM(AL1252:AL1256)</f>
        <v>80</v>
      </c>
      <c r="AM1257" s="18">
        <f>SUM(AM1252:AM1256)</f>
        <v>91</v>
      </c>
      <c r="AN1257" s="148">
        <f t="shared" si="935"/>
        <v>446</v>
      </c>
      <c r="AO1257" s="65">
        <f>SUM(AO1252:AO1256)</f>
        <v>150</v>
      </c>
      <c r="AP1257" s="18">
        <f>SUM(AP1252:AP1256)</f>
        <v>115</v>
      </c>
      <c r="AQ1257" s="18">
        <f>SUM(AQ1252:AQ1256)</f>
        <v>116</v>
      </c>
      <c r="AR1257" s="18">
        <f>SUM(AR1252:AR1256)</f>
        <v>125</v>
      </c>
      <c r="AS1257" s="70">
        <f>SUM(AS1252:AS1256)</f>
        <v>134</v>
      </c>
      <c r="AT1257" s="49">
        <f t="shared" si="936"/>
        <v>640</v>
      </c>
      <c r="AU1257" s="74">
        <f>SUM(AU1252:AU1256)</f>
        <v>115</v>
      </c>
      <c r="AV1257" s="18">
        <f>SUM(AV1252:AV1256)</f>
        <v>66</v>
      </c>
      <c r="AW1257" s="18">
        <f>SUM(AW1252:AW1256)</f>
        <v>45</v>
      </c>
      <c r="AX1257" s="18">
        <f>SUM(AX1252:AX1256)</f>
        <v>38</v>
      </c>
      <c r="AY1257" s="70">
        <f>SUM(AY1252:AY1256)</f>
        <v>83</v>
      </c>
      <c r="AZ1257" s="49">
        <f t="shared" si="937"/>
        <v>347</v>
      </c>
      <c r="BA1257" s="33">
        <f t="shared" si="928"/>
        <v>1886</v>
      </c>
    </row>
    <row r="1258" spans="1:55" ht="14.25" x14ac:dyDescent="0.15">
      <c r="A1258" s="23" t="s">
        <v>48</v>
      </c>
      <c r="B1258" s="41"/>
      <c r="C1258" s="42"/>
      <c r="D1258" s="42">
        <v>1</v>
      </c>
      <c r="E1258" s="42"/>
      <c r="F1258" s="42"/>
      <c r="G1258" s="43">
        <f t="shared" ref="G1258:G1281" si="939">SUM(B1258:F1258)</f>
        <v>1</v>
      </c>
      <c r="H1258" s="41"/>
      <c r="I1258" s="42"/>
      <c r="J1258" s="42"/>
      <c r="K1258" s="42">
        <v>1</v>
      </c>
      <c r="L1258" s="42"/>
      <c r="M1258" s="43">
        <f t="shared" ref="M1258:M1281" si="940">SUM(H1258:L1258)</f>
        <v>1</v>
      </c>
      <c r="N1258" s="42"/>
      <c r="O1258" s="53"/>
      <c r="P1258" s="53"/>
      <c r="Q1258" s="53"/>
      <c r="R1258" s="72"/>
      <c r="S1258" s="24">
        <f t="shared" si="916"/>
        <v>0</v>
      </c>
      <c r="T1258" s="42"/>
      <c r="U1258" s="53"/>
      <c r="V1258" s="53"/>
      <c r="W1258" s="53"/>
      <c r="X1258" s="72"/>
      <c r="Y1258" s="24">
        <f t="shared" si="917"/>
        <v>0</v>
      </c>
      <c r="Z1258" s="24">
        <f t="shared" si="918"/>
        <v>2</v>
      </c>
      <c r="AA1258" s="83">
        <v>45098</v>
      </c>
      <c r="AB1258" s="23" t="s">
        <v>126</v>
      </c>
      <c r="AC1258" s="38"/>
      <c r="AD1258" s="39">
        <v>3</v>
      </c>
      <c r="AE1258" s="39">
        <v>3</v>
      </c>
      <c r="AF1258" s="39"/>
      <c r="AG1258" s="39"/>
      <c r="AH1258" s="37">
        <f t="shared" si="934"/>
        <v>6</v>
      </c>
      <c r="AI1258" s="38"/>
      <c r="AJ1258" s="39">
        <v>3</v>
      </c>
      <c r="AK1258" s="39"/>
      <c r="AL1258" s="39"/>
      <c r="AM1258" s="39"/>
      <c r="AN1258" s="37">
        <f t="shared" si="935"/>
        <v>3</v>
      </c>
      <c r="AO1258" s="39"/>
      <c r="AP1258" s="56"/>
      <c r="AQ1258" s="56"/>
      <c r="AR1258" s="56"/>
      <c r="AS1258" s="71"/>
      <c r="AT1258" s="16">
        <f>SUM(AO1258:AS1258)</f>
        <v>0</v>
      </c>
      <c r="AU1258" s="39"/>
      <c r="AV1258" s="56"/>
      <c r="AW1258" s="56"/>
      <c r="AX1258" s="56">
        <v>5</v>
      </c>
      <c r="AY1258" s="71"/>
      <c r="AZ1258" s="16">
        <f>SUM(AU1258:AY1258)</f>
        <v>5</v>
      </c>
      <c r="BA1258" s="16">
        <f>AH1258+AN1258+AT1258+AZ1258</f>
        <v>14</v>
      </c>
      <c r="BB1258" s="83">
        <v>45121</v>
      </c>
      <c r="BC1258" s="111"/>
    </row>
    <row r="1259" spans="1:55" ht="14.25" x14ac:dyDescent="0.15">
      <c r="A1259" s="23" t="s">
        <v>48</v>
      </c>
      <c r="B1259" s="41"/>
      <c r="C1259" s="42"/>
      <c r="D1259" s="42"/>
      <c r="E1259" s="42"/>
      <c r="F1259" s="42"/>
      <c r="G1259" s="43">
        <f t="shared" si="939"/>
        <v>0</v>
      </c>
      <c r="H1259" s="41"/>
      <c r="I1259" s="42"/>
      <c r="J1259" s="42"/>
      <c r="K1259" s="42"/>
      <c r="L1259" s="42">
        <v>1</v>
      </c>
      <c r="M1259" s="43">
        <f t="shared" si="940"/>
        <v>1</v>
      </c>
      <c r="N1259" s="42"/>
      <c r="O1259" s="53"/>
      <c r="P1259" s="53"/>
      <c r="Q1259" s="53"/>
      <c r="R1259" s="72"/>
      <c r="S1259" s="24">
        <f t="shared" si="916"/>
        <v>0</v>
      </c>
      <c r="T1259" s="42"/>
      <c r="U1259" s="53"/>
      <c r="V1259" s="53"/>
      <c r="W1259" s="53"/>
      <c r="X1259" s="72"/>
      <c r="Y1259" s="24">
        <f t="shared" si="917"/>
        <v>0</v>
      </c>
      <c r="Z1259" s="24">
        <f t="shared" si="918"/>
        <v>1</v>
      </c>
      <c r="AA1259" s="83">
        <v>45099</v>
      </c>
      <c r="AB1259" s="23"/>
      <c r="AC1259" s="38"/>
      <c r="AD1259" s="39"/>
      <c r="AE1259" s="39"/>
      <c r="AF1259" s="39"/>
      <c r="AG1259" s="39"/>
      <c r="AH1259" s="37">
        <f t="shared" ref="AH1259:AH1264" si="941">SUM(AC1259:AG1259)</f>
        <v>0</v>
      </c>
      <c r="AI1259" s="38"/>
      <c r="AJ1259" s="39"/>
      <c r="AK1259" s="39"/>
      <c r="AL1259" s="39"/>
      <c r="AM1259" s="39"/>
      <c r="AN1259" s="37">
        <f t="shared" ref="AN1259:AN1264" si="942">SUM(AI1259:AM1259)</f>
        <v>0</v>
      </c>
      <c r="AO1259" s="39"/>
      <c r="AP1259" s="56"/>
      <c r="AQ1259" s="56"/>
      <c r="AR1259" s="56"/>
      <c r="AS1259" s="71"/>
      <c r="AT1259" s="16">
        <f t="shared" ref="AT1259:AT1264" si="943">SUM(AO1259:AS1259)</f>
        <v>0</v>
      </c>
      <c r="AU1259" s="39"/>
      <c r="AV1259" s="56"/>
      <c r="AW1259" s="56"/>
      <c r="AX1259" s="56"/>
      <c r="AY1259" s="71"/>
      <c r="AZ1259" s="16">
        <f t="shared" ref="AZ1259:AZ1264" si="944">SUM(AU1259:AY1259)</f>
        <v>0</v>
      </c>
      <c r="BA1259" s="16">
        <f t="shared" ref="BA1259:BA1264" si="945">AH1259+AN1259+AT1259+AZ1259</f>
        <v>0</v>
      </c>
      <c r="BB1259" s="128"/>
    </row>
    <row r="1260" spans="1:55" ht="14.25" x14ac:dyDescent="0.15">
      <c r="A1260" s="23" t="s">
        <v>438</v>
      </c>
      <c r="B1260" s="41"/>
      <c r="C1260" s="42"/>
      <c r="D1260" s="42"/>
      <c r="E1260" s="42"/>
      <c r="F1260" s="42"/>
      <c r="G1260" s="43">
        <f t="shared" si="939"/>
        <v>0</v>
      </c>
      <c r="H1260" s="41"/>
      <c r="I1260" s="42"/>
      <c r="J1260" s="42"/>
      <c r="K1260" s="42"/>
      <c r="L1260" s="42"/>
      <c r="M1260" s="43">
        <f t="shared" si="940"/>
        <v>0</v>
      </c>
      <c r="N1260" s="42"/>
      <c r="O1260" s="53"/>
      <c r="P1260" s="53"/>
      <c r="Q1260" s="53"/>
      <c r="R1260" s="72">
        <v>1</v>
      </c>
      <c r="S1260" s="24">
        <f t="shared" si="916"/>
        <v>1</v>
      </c>
      <c r="T1260" s="42"/>
      <c r="U1260" s="53"/>
      <c r="V1260" s="53"/>
      <c r="W1260" s="53"/>
      <c r="X1260" s="72"/>
      <c r="Y1260" s="24">
        <f t="shared" si="917"/>
        <v>0</v>
      </c>
      <c r="Z1260" s="24">
        <f t="shared" si="918"/>
        <v>1</v>
      </c>
      <c r="AA1260" s="83">
        <v>45103</v>
      </c>
      <c r="AB1260" s="23"/>
      <c r="AC1260" s="38"/>
      <c r="AD1260" s="39"/>
      <c r="AE1260" s="39"/>
      <c r="AF1260" s="39"/>
      <c r="AG1260" s="39"/>
      <c r="AH1260" s="37">
        <f t="shared" si="941"/>
        <v>0</v>
      </c>
      <c r="AI1260" s="38"/>
      <c r="AJ1260" s="39"/>
      <c r="AK1260" s="39"/>
      <c r="AL1260" s="39"/>
      <c r="AM1260" s="39"/>
      <c r="AN1260" s="37">
        <f t="shared" si="942"/>
        <v>0</v>
      </c>
      <c r="AO1260" s="39"/>
      <c r="AP1260" s="56"/>
      <c r="AQ1260" s="56"/>
      <c r="AR1260" s="56"/>
      <c r="AS1260" s="71"/>
      <c r="AT1260" s="16">
        <f t="shared" si="943"/>
        <v>0</v>
      </c>
      <c r="AU1260" s="39"/>
      <c r="AV1260" s="56"/>
      <c r="AW1260" s="56"/>
      <c r="AX1260" s="56"/>
      <c r="AY1260" s="71"/>
      <c r="AZ1260" s="16">
        <f t="shared" si="944"/>
        <v>0</v>
      </c>
      <c r="BA1260" s="16">
        <f t="shared" si="945"/>
        <v>0</v>
      </c>
      <c r="BB1260" s="128"/>
    </row>
    <row r="1261" spans="1:55" ht="14.25" x14ac:dyDescent="0.15">
      <c r="A1261" s="23" t="s">
        <v>48</v>
      </c>
      <c r="B1261" s="41"/>
      <c r="C1261" s="42"/>
      <c r="D1261" s="42"/>
      <c r="E1261" s="42">
        <v>1</v>
      </c>
      <c r="F1261" s="42"/>
      <c r="G1261" s="43">
        <f t="shared" si="939"/>
        <v>1</v>
      </c>
      <c r="H1261" s="41"/>
      <c r="I1261" s="42"/>
      <c r="J1261" s="42"/>
      <c r="K1261" s="42"/>
      <c r="L1261" s="42"/>
      <c r="M1261" s="43">
        <f t="shared" si="940"/>
        <v>0</v>
      </c>
      <c r="N1261" s="42"/>
      <c r="O1261" s="53"/>
      <c r="P1261" s="53"/>
      <c r="Q1261" s="53"/>
      <c r="R1261" s="72"/>
      <c r="S1261" s="24">
        <f t="shared" si="916"/>
        <v>0</v>
      </c>
      <c r="T1261" s="42"/>
      <c r="U1261" s="53"/>
      <c r="V1261" s="53"/>
      <c r="W1261" s="53"/>
      <c r="X1261" s="72"/>
      <c r="Y1261" s="24">
        <f t="shared" si="917"/>
        <v>0</v>
      </c>
      <c r="Z1261" s="24">
        <f t="shared" si="918"/>
        <v>1</v>
      </c>
      <c r="AA1261" s="83">
        <v>45100</v>
      </c>
      <c r="AB1261" s="23"/>
      <c r="AC1261" s="38"/>
      <c r="AD1261" s="39"/>
      <c r="AE1261" s="39"/>
      <c r="AF1261" s="39"/>
      <c r="AG1261" s="39"/>
      <c r="AH1261" s="37">
        <f t="shared" si="941"/>
        <v>0</v>
      </c>
      <c r="AI1261" s="38"/>
      <c r="AJ1261" s="39"/>
      <c r="AK1261" s="39"/>
      <c r="AL1261" s="39"/>
      <c r="AM1261" s="39"/>
      <c r="AN1261" s="37">
        <f t="shared" si="942"/>
        <v>0</v>
      </c>
      <c r="AO1261" s="39"/>
      <c r="AP1261" s="56"/>
      <c r="AQ1261" s="56"/>
      <c r="AR1261" s="56"/>
      <c r="AS1261" s="71"/>
      <c r="AT1261" s="16">
        <f t="shared" si="943"/>
        <v>0</v>
      </c>
      <c r="AU1261" s="39"/>
      <c r="AV1261" s="56"/>
      <c r="AW1261" s="56"/>
      <c r="AX1261" s="56"/>
      <c r="AY1261" s="71"/>
      <c r="AZ1261" s="16">
        <f t="shared" si="944"/>
        <v>0</v>
      </c>
      <c r="BA1261" s="16">
        <f t="shared" si="945"/>
        <v>0</v>
      </c>
      <c r="BB1261" s="128"/>
    </row>
    <row r="1262" spans="1:55" ht="14.25" x14ac:dyDescent="0.15">
      <c r="A1262" s="23" t="s">
        <v>438</v>
      </c>
      <c r="B1262" s="41"/>
      <c r="C1262" s="42"/>
      <c r="D1262" s="42"/>
      <c r="E1262" s="42"/>
      <c r="F1262" s="42">
        <v>3</v>
      </c>
      <c r="G1262" s="43">
        <f t="shared" si="939"/>
        <v>3</v>
      </c>
      <c r="H1262" s="41"/>
      <c r="I1262" s="42"/>
      <c r="J1262" s="42"/>
      <c r="K1262" s="42"/>
      <c r="L1262" s="42"/>
      <c r="M1262" s="43">
        <f t="shared" si="940"/>
        <v>0</v>
      </c>
      <c r="N1262" s="42"/>
      <c r="O1262" s="53"/>
      <c r="P1262" s="53"/>
      <c r="Q1262" s="53"/>
      <c r="R1262" s="72"/>
      <c r="S1262" s="24">
        <f t="shared" si="916"/>
        <v>0</v>
      </c>
      <c r="T1262" s="42"/>
      <c r="U1262" s="53"/>
      <c r="V1262" s="53"/>
      <c r="W1262" s="53"/>
      <c r="X1262" s="72"/>
      <c r="Y1262" s="24">
        <f t="shared" si="917"/>
        <v>0</v>
      </c>
      <c r="Z1262" s="24">
        <f t="shared" si="918"/>
        <v>3</v>
      </c>
      <c r="AA1262" s="83">
        <v>45104</v>
      </c>
      <c r="AB1262" s="23"/>
      <c r="AC1262" s="38"/>
      <c r="AD1262" s="39"/>
      <c r="AE1262" s="39"/>
      <c r="AF1262" s="39"/>
      <c r="AG1262" s="39"/>
      <c r="AH1262" s="37">
        <f t="shared" si="941"/>
        <v>0</v>
      </c>
      <c r="AI1262" s="38"/>
      <c r="AJ1262" s="39"/>
      <c r="AK1262" s="39"/>
      <c r="AL1262" s="39"/>
      <c r="AM1262" s="39"/>
      <c r="AN1262" s="37">
        <f t="shared" si="942"/>
        <v>0</v>
      </c>
      <c r="AO1262" s="39"/>
      <c r="AP1262" s="56"/>
      <c r="AQ1262" s="56"/>
      <c r="AR1262" s="56"/>
      <c r="AS1262" s="71"/>
      <c r="AT1262" s="16">
        <f t="shared" si="943"/>
        <v>0</v>
      </c>
      <c r="AU1262" s="39"/>
      <c r="AV1262" s="56"/>
      <c r="AW1262" s="56"/>
      <c r="AX1262" s="56"/>
      <c r="AY1262" s="71"/>
      <c r="AZ1262" s="16">
        <f t="shared" si="944"/>
        <v>0</v>
      </c>
      <c r="BA1262" s="16">
        <f t="shared" si="945"/>
        <v>0</v>
      </c>
      <c r="BB1262" s="128"/>
    </row>
    <row r="1263" spans="1:55" ht="14.25" x14ac:dyDescent="0.15">
      <c r="A1263" s="23" t="s">
        <v>438</v>
      </c>
      <c r="B1263" s="41"/>
      <c r="C1263" s="42"/>
      <c r="D1263" s="42"/>
      <c r="E1263" s="42"/>
      <c r="F1263" s="42"/>
      <c r="G1263" s="43">
        <f t="shared" si="939"/>
        <v>0</v>
      </c>
      <c r="H1263" s="41"/>
      <c r="I1263" s="42"/>
      <c r="J1263" s="42"/>
      <c r="K1263" s="42"/>
      <c r="L1263" s="42"/>
      <c r="M1263" s="43">
        <f t="shared" si="940"/>
        <v>0</v>
      </c>
      <c r="N1263" s="42"/>
      <c r="O1263" s="53">
        <v>1</v>
      </c>
      <c r="P1263" s="53"/>
      <c r="Q1263" s="53"/>
      <c r="R1263" s="72"/>
      <c r="S1263" s="24">
        <f t="shared" si="916"/>
        <v>1</v>
      </c>
      <c r="T1263" s="42"/>
      <c r="U1263" s="53"/>
      <c r="V1263" s="53">
        <v>1</v>
      </c>
      <c r="W1263" s="53"/>
      <c r="X1263" s="72">
        <v>1</v>
      </c>
      <c r="Y1263" s="24">
        <f t="shared" si="917"/>
        <v>2</v>
      </c>
      <c r="Z1263" s="24">
        <f t="shared" si="918"/>
        <v>3</v>
      </c>
      <c r="AA1263" s="83">
        <v>45105</v>
      </c>
      <c r="AB1263" s="23"/>
      <c r="AC1263" s="38"/>
      <c r="AD1263" s="39"/>
      <c r="AE1263" s="39"/>
      <c r="AF1263" s="39"/>
      <c r="AG1263" s="39"/>
      <c r="AH1263" s="37">
        <f t="shared" si="941"/>
        <v>0</v>
      </c>
      <c r="AI1263" s="38"/>
      <c r="AJ1263" s="39"/>
      <c r="AK1263" s="39"/>
      <c r="AL1263" s="39"/>
      <c r="AM1263" s="39"/>
      <c r="AN1263" s="37">
        <f t="shared" si="942"/>
        <v>0</v>
      </c>
      <c r="AO1263" s="39"/>
      <c r="AP1263" s="56"/>
      <c r="AQ1263" s="56"/>
      <c r="AR1263" s="56"/>
      <c r="AS1263" s="71"/>
      <c r="AT1263" s="16">
        <f t="shared" si="943"/>
        <v>0</v>
      </c>
      <c r="AU1263" s="39"/>
      <c r="AV1263" s="56"/>
      <c r="AW1263" s="56"/>
      <c r="AX1263" s="56"/>
      <c r="AY1263" s="71"/>
      <c r="AZ1263" s="16">
        <f t="shared" si="944"/>
        <v>0</v>
      </c>
      <c r="BA1263" s="16">
        <f t="shared" si="945"/>
        <v>0</v>
      </c>
      <c r="BB1263" s="128"/>
    </row>
    <row r="1264" spans="1:55" ht="14.25" x14ac:dyDescent="0.15">
      <c r="A1264" s="23" t="s">
        <v>438</v>
      </c>
      <c r="B1264" s="41">
        <v>1</v>
      </c>
      <c r="C1264" s="42"/>
      <c r="D1264" s="42"/>
      <c r="E1264" s="42"/>
      <c r="F1264" s="42"/>
      <c r="G1264" s="43">
        <f t="shared" si="939"/>
        <v>1</v>
      </c>
      <c r="H1264" s="41"/>
      <c r="I1264" s="42"/>
      <c r="J1264" s="42"/>
      <c r="K1264" s="42"/>
      <c r="L1264" s="42"/>
      <c r="M1264" s="43">
        <f t="shared" si="940"/>
        <v>0</v>
      </c>
      <c r="N1264" s="42"/>
      <c r="O1264" s="53"/>
      <c r="P1264" s="53"/>
      <c r="Q1264" s="53"/>
      <c r="R1264" s="72"/>
      <c r="S1264" s="24">
        <f t="shared" si="916"/>
        <v>0</v>
      </c>
      <c r="T1264" s="42"/>
      <c r="U1264" s="53"/>
      <c r="V1264" s="53"/>
      <c r="W1264" s="53"/>
      <c r="X1264" s="72"/>
      <c r="Y1264" s="24">
        <f t="shared" si="917"/>
        <v>0</v>
      </c>
      <c r="Z1264" s="24">
        <f t="shared" si="918"/>
        <v>1</v>
      </c>
      <c r="AA1264" s="83">
        <v>45106</v>
      </c>
      <c r="AB1264" s="23"/>
      <c r="AC1264" s="38"/>
      <c r="AD1264" s="39"/>
      <c r="AE1264" s="39"/>
      <c r="AF1264" s="39"/>
      <c r="AG1264" s="39"/>
      <c r="AH1264" s="37">
        <f t="shared" si="941"/>
        <v>0</v>
      </c>
      <c r="AI1264" s="38"/>
      <c r="AJ1264" s="39"/>
      <c r="AK1264" s="39"/>
      <c r="AL1264" s="39"/>
      <c r="AM1264" s="39"/>
      <c r="AN1264" s="37">
        <f t="shared" si="942"/>
        <v>0</v>
      </c>
      <c r="AO1264" s="39"/>
      <c r="AP1264" s="56"/>
      <c r="AQ1264" s="56"/>
      <c r="AR1264" s="56"/>
      <c r="AS1264" s="71"/>
      <c r="AT1264" s="16">
        <f t="shared" si="943"/>
        <v>0</v>
      </c>
      <c r="AU1264" s="39"/>
      <c r="AV1264" s="56"/>
      <c r="AW1264" s="56"/>
      <c r="AX1264" s="56"/>
      <c r="AY1264" s="71"/>
      <c r="AZ1264" s="16">
        <f t="shared" si="944"/>
        <v>0</v>
      </c>
      <c r="BA1264" s="16">
        <f t="shared" si="945"/>
        <v>0</v>
      </c>
      <c r="BB1264" s="128"/>
    </row>
    <row r="1265" spans="1:54" ht="14.25" x14ac:dyDescent="0.15">
      <c r="A1265" s="23" t="s">
        <v>438</v>
      </c>
      <c r="B1265" s="41"/>
      <c r="C1265" s="42"/>
      <c r="D1265" s="42">
        <v>2</v>
      </c>
      <c r="E1265" s="42"/>
      <c r="F1265" s="42"/>
      <c r="G1265" s="43">
        <f t="shared" si="939"/>
        <v>2</v>
      </c>
      <c r="H1265" s="41"/>
      <c r="I1265" s="42"/>
      <c r="J1265" s="42"/>
      <c r="K1265" s="42"/>
      <c r="L1265" s="42"/>
      <c r="M1265" s="43">
        <f t="shared" si="940"/>
        <v>0</v>
      </c>
      <c r="N1265" s="42"/>
      <c r="O1265" s="53"/>
      <c r="P1265" s="53"/>
      <c r="Q1265" s="53"/>
      <c r="R1265" s="72">
        <v>1</v>
      </c>
      <c r="S1265" s="24">
        <f t="shared" si="916"/>
        <v>1</v>
      </c>
      <c r="T1265" s="42"/>
      <c r="U1265" s="53"/>
      <c r="V1265" s="53"/>
      <c r="W1265" s="53"/>
      <c r="X1265" s="72"/>
      <c r="Y1265" s="24">
        <f t="shared" si="917"/>
        <v>0</v>
      </c>
      <c r="Z1265" s="24">
        <f t="shared" si="918"/>
        <v>3</v>
      </c>
      <c r="AA1265" s="83">
        <v>45107</v>
      </c>
      <c r="AB1265" s="23"/>
      <c r="AC1265" s="38"/>
      <c r="AD1265" s="39"/>
      <c r="AE1265" s="39"/>
      <c r="AF1265" s="39"/>
      <c r="AG1265" s="39"/>
      <c r="AH1265" s="37">
        <f t="shared" si="934"/>
        <v>0</v>
      </c>
      <c r="AI1265" s="38"/>
      <c r="AJ1265" s="39"/>
      <c r="AK1265" s="39"/>
      <c r="AL1265" s="39"/>
      <c r="AM1265" s="39"/>
      <c r="AN1265" s="37">
        <f t="shared" si="935"/>
        <v>0</v>
      </c>
      <c r="AO1265" s="39"/>
      <c r="AP1265" s="56"/>
      <c r="AQ1265" s="56"/>
      <c r="AR1265" s="56"/>
      <c r="AS1265" s="71"/>
      <c r="AT1265" s="16">
        <f t="shared" si="936"/>
        <v>0</v>
      </c>
      <c r="AU1265" s="39"/>
      <c r="AV1265" s="56"/>
      <c r="AW1265" s="56"/>
      <c r="AX1265" s="56"/>
      <c r="AY1265" s="71"/>
      <c r="AZ1265" s="16">
        <f t="shared" si="937"/>
        <v>0</v>
      </c>
      <c r="BA1265" s="16">
        <f t="shared" si="928"/>
        <v>0</v>
      </c>
      <c r="BB1265" s="128"/>
    </row>
    <row r="1266" spans="1:54" ht="14.25" x14ac:dyDescent="0.15">
      <c r="A1266" s="23" t="s">
        <v>438</v>
      </c>
      <c r="B1266" s="41"/>
      <c r="C1266" s="42"/>
      <c r="D1266" s="42"/>
      <c r="E1266" s="42"/>
      <c r="F1266" s="42"/>
      <c r="G1266" s="43">
        <f t="shared" si="939"/>
        <v>0</v>
      </c>
      <c r="H1266" s="41"/>
      <c r="I1266" s="42"/>
      <c r="J1266" s="42"/>
      <c r="K1266" s="42"/>
      <c r="L1266" s="42"/>
      <c r="M1266" s="43">
        <f t="shared" si="940"/>
        <v>0</v>
      </c>
      <c r="N1266" s="42"/>
      <c r="O1266" s="53"/>
      <c r="P1266" s="53"/>
      <c r="Q1266" s="53"/>
      <c r="R1266" s="72">
        <v>2</v>
      </c>
      <c r="S1266" s="24">
        <f t="shared" si="916"/>
        <v>2</v>
      </c>
      <c r="T1266" s="42"/>
      <c r="U1266" s="53"/>
      <c r="V1266" s="53"/>
      <c r="W1266" s="53"/>
      <c r="X1266" s="72"/>
      <c r="Y1266" s="24">
        <f t="shared" si="917"/>
        <v>0</v>
      </c>
      <c r="Z1266" s="24">
        <f t="shared" si="918"/>
        <v>2</v>
      </c>
      <c r="AA1266" s="83">
        <v>45110</v>
      </c>
      <c r="AB1266" s="23"/>
      <c r="AC1266" s="38"/>
      <c r="AD1266" s="39"/>
      <c r="AE1266" s="39"/>
      <c r="AF1266" s="39"/>
      <c r="AG1266" s="39"/>
      <c r="AH1266" s="37">
        <f t="shared" si="934"/>
        <v>0</v>
      </c>
      <c r="AI1266" s="38"/>
      <c r="AJ1266" s="39"/>
      <c r="AK1266" s="39"/>
      <c r="AL1266" s="39"/>
      <c r="AM1266" s="39"/>
      <c r="AN1266" s="37">
        <f t="shared" si="935"/>
        <v>0</v>
      </c>
      <c r="AO1266" s="39"/>
      <c r="AP1266" s="56"/>
      <c r="AQ1266" s="56"/>
      <c r="AR1266" s="56"/>
      <c r="AS1266" s="71"/>
      <c r="AT1266" s="16">
        <f t="shared" si="936"/>
        <v>0</v>
      </c>
      <c r="AU1266" s="39"/>
      <c r="AV1266" s="56"/>
      <c r="AW1266" s="56"/>
      <c r="AX1266" s="56"/>
      <c r="AY1266" s="71"/>
      <c r="AZ1266" s="16">
        <f t="shared" si="937"/>
        <v>0</v>
      </c>
      <c r="BA1266" s="16">
        <f t="shared" si="928"/>
        <v>0</v>
      </c>
      <c r="BB1266" s="128"/>
    </row>
    <row r="1267" spans="1:54" ht="14.25" x14ac:dyDescent="0.15">
      <c r="A1267" s="23" t="s">
        <v>438</v>
      </c>
      <c r="B1267" s="41"/>
      <c r="C1267" s="42">
        <v>1</v>
      </c>
      <c r="D1267" s="42"/>
      <c r="E1267" s="42"/>
      <c r="F1267" s="42"/>
      <c r="G1267" s="43">
        <f t="shared" si="939"/>
        <v>1</v>
      </c>
      <c r="H1267" s="41"/>
      <c r="I1267" s="42"/>
      <c r="J1267" s="42"/>
      <c r="K1267" s="42"/>
      <c r="L1267" s="42"/>
      <c r="M1267" s="43">
        <f t="shared" si="940"/>
        <v>0</v>
      </c>
      <c r="N1267" s="42"/>
      <c r="O1267" s="53"/>
      <c r="P1267" s="53"/>
      <c r="Q1267" s="53"/>
      <c r="R1267" s="72"/>
      <c r="S1267" s="24">
        <f t="shared" si="916"/>
        <v>0</v>
      </c>
      <c r="T1267" s="42"/>
      <c r="U1267" s="53"/>
      <c r="V1267" s="53"/>
      <c r="W1267" s="53"/>
      <c r="X1267" s="72"/>
      <c r="Y1267" s="24">
        <f t="shared" si="917"/>
        <v>0</v>
      </c>
      <c r="Z1267" s="24">
        <f t="shared" si="918"/>
        <v>1</v>
      </c>
      <c r="AA1267" s="83">
        <v>45111</v>
      </c>
      <c r="AB1267" s="23"/>
      <c r="AC1267" s="38"/>
      <c r="AD1267" s="39"/>
      <c r="AE1267" s="39"/>
      <c r="AF1267" s="39"/>
      <c r="AG1267" s="39"/>
      <c r="AH1267" s="37">
        <f t="shared" si="934"/>
        <v>0</v>
      </c>
      <c r="AI1267" s="38"/>
      <c r="AJ1267" s="39"/>
      <c r="AK1267" s="39"/>
      <c r="AL1267" s="39"/>
      <c r="AM1267" s="39"/>
      <c r="AN1267" s="37">
        <f t="shared" si="935"/>
        <v>0</v>
      </c>
      <c r="AO1267" s="39"/>
      <c r="AP1267" s="56"/>
      <c r="AQ1267" s="56"/>
      <c r="AR1267" s="56"/>
      <c r="AS1267" s="71"/>
      <c r="AT1267" s="16">
        <f t="shared" si="936"/>
        <v>0</v>
      </c>
      <c r="AU1267" s="39"/>
      <c r="AV1267" s="56"/>
      <c r="AW1267" s="56"/>
      <c r="AX1267" s="56"/>
      <c r="AY1267" s="71"/>
      <c r="AZ1267" s="16">
        <f t="shared" si="937"/>
        <v>0</v>
      </c>
      <c r="BA1267" s="16">
        <f t="shared" si="928"/>
        <v>0</v>
      </c>
      <c r="BB1267" s="128"/>
    </row>
    <row r="1268" spans="1:54" ht="14.25" x14ac:dyDescent="0.15">
      <c r="A1268" s="23" t="s">
        <v>48</v>
      </c>
      <c r="B1268" s="41"/>
      <c r="C1268" s="42"/>
      <c r="D1268" s="42"/>
      <c r="E1268" s="42"/>
      <c r="F1268" s="42"/>
      <c r="G1268" s="43">
        <f t="shared" si="939"/>
        <v>0</v>
      </c>
      <c r="H1268" s="41"/>
      <c r="I1268" s="42"/>
      <c r="J1268" s="42"/>
      <c r="K1268" s="42"/>
      <c r="L1268" s="42"/>
      <c r="M1268" s="43">
        <f t="shared" si="940"/>
        <v>0</v>
      </c>
      <c r="N1268" s="42"/>
      <c r="O1268" s="53"/>
      <c r="P1268" s="53"/>
      <c r="Q1268" s="53"/>
      <c r="R1268" s="72"/>
      <c r="S1268" s="24">
        <f t="shared" si="916"/>
        <v>0</v>
      </c>
      <c r="T1268" s="42"/>
      <c r="U1268" s="53"/>
      <c r="V1268" s="53"/>
      <c r="W1268" s="53"/>
      <c r="X1268" s="72">
        <v>1</v>
      </c>
      <c r="Y1268" s="24">
        <f t="shared" si="917"/>
        <v>1</v>
      </c>
      <c r="Z1268" s="24">
        <f t="shared" si="918"/>
        <v>1</v>
      </c>
      <c r="AA1268" s="83">
        <v>45110</v>
      </c>
      <c r="AB1268" s="23"/>
      <c r="AC1268" s="38"/>
      <c r="AD1268" s="39"/>
      <c r="AE1268" s="39"/>
      <c r="AF1268" s="39"/>
      <c r="AG1268" s="39"/>
      <c r="AH1268" s="37">
        <f t="shared" si="934"/>
        <v>0</v>
      </c>
      <c r="AI1268" s="38"/>
      <c r="AJ1268" s="39"/>
      <c r="AK1268" s="39"/>
      <c r="AL1268" s="39"/>
      <c r="AM1268" s="39"/>
      <c r="AN1268" s="37">
        <f t="shared" si="935"/>
        <v>0</v>
      </c>
      <c r="AO1268" s="39"/>
      <c r="AP1268" s="56"/>
      <c r="AQ1268" s="56"/>
      <c r="AR1268" s="56"/>
      <c r="AS1268" s="71"/>
      <c r="AT1268" s="16">
        <f t="shared" si="936"/>
        <v>0</v>
      </c>
      <c r="AU1268" s="39"/>
      <c r="AV1268" s="56"/>
      <c r="AW1268" s="56"/>
      <c r="AX1268" s="56"/>
      <c r="AY1268" s="71"/>
      <c r="AZ1268" s="16">
        <f t="shared" si="937"/>
        <v>0</v>
      </c>
      <c r="BA1268" s="16">
        <f t="shared" si="928"/>
        <v>0</v>
      </c>
      <c r="BB1268" s="128"/>
    </row>
    <row r="1269" spans="1:54" ht="14.25" x14ac:dyDescent="0.15">
      <c r="A1269" s="23" t="s">
        <v>438</v>
      </c>
      <c r="B1269" s="41"/>
      <c r="C1269" s="42">
        <v>1</v>
      </c>
      <c r="D1269" s="42"/>
      <c r="E1269" s="42"/>
      <c r="F1269" s="42"/>
      <c r="G1269" s="43">
        <f t="shared" si="939"/>
        <v>1</v>
      </c>
      <c r="H1269" s="41"/>
      <c r="I1269" s="42"/>
      <c r="J1269" s="42"/>
      <c r="K1269" s="42"/>
      <c r="L1269" s="42"/>
      <c r="M1269" s="43">
        <f t="shared" si="940"/>
        <v>0</v>
      </c>
      <c r="N1269" s="42"/>
      <c r="O1269" s="53"/>
      <c r="P1269" s="53"/>
      <c r="Q1269" s="53"/>
      <c r="R1269" s="72"/>
      <c r="S1269" s="24">
        <f t="shared" si="916"/>
        <v>0</v>
      </c>
      <c r="T1269" s="42"/>
      <c r="U1269" s="53"/>
      <c r="V1269" s="53"/>
      <c r="W1269" s="53">
        <v>1</v>
      </c>
      <c r="X1269" s="72"/>
      <c r="Y1269" s="24">
        <f t="shared" si="917"/>
        <v>1</v>
      </c>
      <c r="Z1269" s="24">
        <f t="shared" si="918"/>
        <v>2</v>
      </c>
      <c r="AA1269" s="83">
        <v>45112</v>
      </c>
      <c r="AB1269" s="23"/>
      <c r="AC1269" s="38"/>
      <c r="AD1269" s="39"/>
      <c r="AE1269" s="39"/>
      <c r="AF1269" s="39"/>
      <c r="AG1269" s="39"/>
      <c r="AH1269" s="37">
        <f t="shared" si="934"/>
        <v>0</v>
      </c>
      <c r="AI1269" s="38"/>
      <c r="AJ1269" s="39"/>
      <c r="AK1269" s="39"/>
      <c r="AL1269" s="39"/>
      <c r="AM1269" s="39"/>
      <c r="AN1269" s="37">
        <f t="shared" si="935"/>
        <v>0</v>
      </c>
      <c r="AO1269" s="39"/>
      <c r="AP1269" s="56"/>
      <c r="AQ1269" s="56"/>
      <c r="AR1269" s="56"/>
      <c r="AS1269" s="71"/>
      <c r="AT1269" s="16">
        <f t="shared" si="936"/>
        <v>0</v>
      </c>
      <c r="AU1269" s="39"/>
      <c r="AV1269" s="56"/>
      <c r="AW1269" s="56"/>
      <c r="AX1269" s="56"/>
      <c r="AY1269" s="71"/>
      <c r="AZ1269" s="16">
        <f t="shared" si="937"/>
        <v>0</v>
      </c>
      <c r="BA1269" s="16">
        <f t="shared" si="928"/>
        <v>0</v>
      </c>
      <c r="BB1269" s="128"/>
    </row>
    <row r="1270" spans="1:54" ht="14.25" x14ac:dyDescent="0.15">
      <c r="A1270" s="23" t="s">
        <v>438</v>
      </c>
      <c r="B1270" s="41"/>
      <c r="C1270" s="42"/>
      <c r="D1270" s="42"/>
      <c r="E1270" s="42"/>
      <c r="F1270" s="42"/>
      <c r="G1270" s="43">
        <f t="shared" si="939"/>
        <v>0</v>
      </c>
      <c r="H1270" s="41"/>
      <c r="I1270" s="42"/>
      <c r="J1270" s="42"/>
      <c r="K1270" s="42"/>
      <c r="L1270" s="42"/>
      <c r="M1270" s="43">
        <f t="shared" si="940"/>
        <v>0</v>
      </c>
      <c r="N1270" s="42"/>
      <c r="O1270" s="53"/>
      <c r="P1270" s="53"/>
      <c r="Q1270" s="53">
        <v>1</v>
      </c>
      <c r="R1270" s="72"/>
      <c r="S1270" s="24">
        <f t="shared" si="916"/>
        <v>1</v>
      </c>
      <c r="T1270" s="42"/>
      <c r="U1270" s="53"/>
      <c r="V1270" s="53"/>
      <c r="W1270" s="53"/>
      <c r="X1270" s="72"/>
      <c r="Y1270" s="24">
        <f t="shared" si="917"/>
        <v>0</v>
      </c>
      <c r="Z1270" s="24">
        <f t="shared" si="918"/>
        <v>1</v>
      </c>
      <c r="AA1270" s="83">
        <v>45113</v>
      </c>
      <c r="AB1270" s="23"/>
      <c r="AC1270" s="38"/>
      <c r="AD1270" s="39"/>
      <c r="AE1270" s="39"/>
      <c r="AF1270" s="39"/>
      <c r="AG1270" s="39"/>
      <c r="AH1270" s="37">
        <f t="shared" si="934"/>
        <v>0</v>
      </c>
      <c r="AI1270" s="38"/>
      <c r="AJ1270" s="39"/>
      <c r="AK1270" s="39"/>
      <c r="AL1270" s="39"/>
      <c r="AM1270" s="39"/>
      <c r="AN1270" s="37">
        <f t="shared" si="935"/>
        <v>0</v>
      </c>
      <c r="AO1270" s="39"/>
      <c r="AP1270" s="56"/>
      <c r="AQ1270" s="56"/>
      <c r="AR1270" s="56"/>
      <c r="AS1270" s="71"/>
      <c r="AT1270" s="16">
        <f t="shared" si="936"/>
        <v>0</v>
      </c>
      <c r="AU1270" s="39"/>
      <c r="AV1270" s="56"/>
      <c r="AW1270" s="56"/>
      <c r="AX1270" s="56"/>
      <c r="AY1270" s="71"/>
      <c r="AZ1270" s="16">
        <f t="shared" si="937"/>
        <v>0</v>
      </c>
      <c r="BA1270" s="16">
        <f t="shared" si="928"/>
        <v>0</v>
      </c>
      <c r="BB1270" s="128"/>
    </row>
    <row r="1271" spans="1:54" ht="14.25" x14ac:dyDescent="0.15">
      <c r="A1271" s="23" t="s">
        <v>48</v>
      </c>
      <c r="B1271" s="41"/>
      <c r="C1271" s="42">
        <v>1</v>
      </c>
      <c r="D1271" s="42">
        <v>1</v>
      </c>
      <c r="E1271" s="42"/>
      <c r="F1271" s="42"/>
      <c r="G1271" s="43">
        <f t="shared" si="939"/>
        <v>2</v>
      </c>
      <c r="H1271" s="41"/>
      <c r="I1271" s="42">
        <v>1</v>
      </c>
      <c r="J1271" s="42"/>
      <c r="K1271" s="42"/>
      <c r="L1271" s="42"/>
      <c r="M1271" s="43">
        <f t="shared" si="940"/>
        <v>1</v>
      </c>
      <c r="N1271" s="42"/>
      <c r="O1271" s="53"/>
      <c r="P1271" s="53"/>
      <c r="Q1271" s="53"/>
      <c r="R1271" s="72"/>
      <c r="S1271" s="24">
        <f t="shared" si="916"/>
        <v>0</v>
      </c>
      <c r="T1271" s="42"/>
      <c r="U1271" s="53"/>
      <c r="V1271" s="53"/>
      <c r="W1271" s="53"/>
      <c r="X1271" s="72"/>
      <c r="Y1271" s="24">
        <f t="shared" si="917"/>
        <v>0</v>
      </c>
      <c r="Z1271" s="24">
        <f t="shared" si="918"/>
        <v>3</v>
      </c>
      <c r="AA1271" s="83">
        <v>45112</v>
      </c>
      <c r="AB1271" s="23"/>
      <c r="AC1271" s="38"/>
      <c r="AD1271" s="39"/>
      <c r="AE1271" s="39"/>
      <c r="AF1271" s="39"/>
      <c r="AG1271" s="39"/>
      <c r="AH1271" s="37">
        <f t="shared" si="934"/>
        <v>0</v>
      </c>
      <c r="AI1271" s="38"/>
      <c r="AJ1271" s="39"/>
      <c r="AK1271" s="39"/>
      <c r="AL1271" s="39"/>
      <c r="AM1271" s="39"/>
      <c r="AN1271" s="37">
        <f t="shared" si="935"/>
        <v>0</v>
      </c>
      <c r="AO1271" s="39"/>
      <c r="AP1271" s="56"/>
      <c r="AQ1271" s="56"/>
      <c r="AR1271" s="56"/>
      <c r="AS1271" s="71"/>
      <c r="AT1271" s="16">
        <f t="shared" si="936"/>
        <v>0</v>
      </c>
      <c r="AU1271" s="39"/>
      <c r="AV1271" s="56"/>
      <c r="AW1271" s="56"/>
      <c r="AX1271" s="56"/>
      <c r="AY1271" s="71"/>
      <c r="AZ1271" s="16">
        <f t="shared" si="937"/>
        <v>0</v>
      </c>
      <c r="BA1271" s="16">
        <f t="shared" si="928"/>
        <v>0</v>
      </c>
      <c r="BB1271" s="128"/>
    </row>
    <row r="1272" spans="1:54" ht="14.25" x14ac:dyDescent="0.15">
      <c r="A1272" s="23" t="s">
        <v>609</v>
      </c>
      <c r="B1272" s="41"/>
      <c r="C1272" s="42"/>
      <c r="D1272" s="42"/>
      <c r="E1272" s="42">
        <v>-1</v>
      </c>
      <c r="F1272" s="42"/>
      <c r="G1272" s="43">
        <f t="shared" si="939"/>
        <v>-1</v>
      </c>
      <c r="H1272" s="41"/>
      <c r="I1272" s="42"/>
      <c r="J1272" s="42"/>
      <c r="K1272" s="42"/>
      <c r="L1272" s="42"/>
      <c r="M1272" s="43">
        <f t="shared" si="940"/>
        <v>0</v>
      </c>
      <c r="N1272" s="42"/>
      <c r="O1272" s="53"/>
      <c r="P1272" s="53"/>
      <c r="Q1272" s="53">
        <v>-1</v>
      </c>
      <c r="R1272" s="72"/>
      <c r="S1272" s="24">
        <f t="shared" si="916"/>
        <v>-1</v>
      </c>
      <c r="T1272" s="42"/>
      <c r="U1272" s="53">
        <v>-1</v>
      </c>
      <c r="V1272" s="53"/>
      <c r="W1272" s="53"/>
      <c r="X1272" s="72"/>
      <c r="Y1272" s="24">
        <f t="shared" si="917"/>
        <v>-1</v>
      </c>
      <c r="Z1272" s="24">
        <f t="shared" si="918"/>
        <v>-3</v>
      </c>
      <c r="AA1272" s="83">
        <v>45112</v>
      </c>
      <c r="AB1272" s="23"/>
      <c r="AC1272" s="38"/>
      <c r="AD1272" s="39"/>
      <c r="AE1272" s="39"/>
      <c r="AF1272" s="39"/>
      <c r="AG1272" s="39"/>
      <c r="AH1272" s="37">
        <f t="shared" ref="AH1272:AH1279" si="946">SUM(AC1272:AG1272)</f>
        <v>0</v>
      </c>
      <c r="AI1272" s="38"/>
      <c r="AJ1272" s="39"/>
      <c r="AK1272" s="39"/>
      <c r="AL1272" s="39"/>
      <c r="AM1272" s="39"/>
      <c r="AN1272" s="37">
        <f t="shared" ref="AN1272:AN1279" si="947">SUM(AI1272:AM1272)</f>
        <v>0</v>
      </c>
      <c r="AO1272" s="39"/>
      <c r="AP1272" s="56"/>
      <c r="AQ1272" s="56"/>
      <c r="AR1272" s="56"/>
      <c r="AS1272" s="71"/>
      <c r="AT1272" s="16">
        <f t="shared" ref="AT1272:AT1279" si="948">SUM(AO1272:AS1272)</f>
        <v>0</v>
      </c>
      <c r="AU1272" s="39"/>
      <c r="AV1272" s="56"/>
      <c r="AW1272" s="56"/>
      <c r="AX1272" s="56"/>
      <c r="AY1272" s="71"/>
      <c r="AZ1272" s="16">
        <f t="shared" ref="AZ1272:AZ1279" si="949">SUM(AU1272:AY1272)</f>
        <v>0</v>
      </c>
      <c r="BA1272" s="16">
        <f t="shared" ref="BA1272:BA1279" si="950">AH1272+AN1272+AT1272+AZ1272</f>
        <v>0</v>
      </c>
      <c r="BB1272" s="128"/>
    </row>
    <row r="1273" spans="1:54" ht="14.25" x14ac:dyDescent="0.15">
      <c r="A1273" s="23" t="s">
        <v>438</v>
      </c>
      <c r="B1273" s="41"/>
      <c r="C1273" s="42"/>
      <c r="D1273" s="42"/>
      <c r="E1273" s="42"/>
      <c r="F1273" s="42"/>
      <c r="G1273" s="43">
        <f t="shared" si="939"/>
        <v>0</v>
      </c>
      <c r="H1273" s="41"/>
      <c r="I1273" s="42"/>
      <c r="J1273" s="42"/>
      <c r="K1273" s="42"/>
      <c r="L1273" s="42"/>
      <c r="M1273" s="43">
        <f t="shared" si="940"/>
        <v>0</v>
      </c>
      <c r="N1273" s="42"/>
      <c r="O1273" s="53">
        <v>1</v>
      </c>
      <c r="P1273" s="53"/>
      <c r="Q1273" s="53"/>
      <c r="R1273" s="72"/>
      <c r="S1273" s="24">
        <f t="shared" si="916"/>
        <v>1</v>
      </c>
      <c r="T1273" s="42"/>
      <c r="U1273" s="53"/>
      <c r="V1273" s="53"/>
      <c r="W1273" s="53"/>
      <c r="X1273" s="72"/>
      <c r="Y1273" s="24">
        <f t="shared" si="917"/>
        <v>0</v>
      </c>
      <c r="Z1273" s="24">
        <f t="shared" si="918"/>
        <v>1</v>
      </c>
      <c r="AA1273" s="83">
        <v>45114</v>
      </c>
      <c r="AB1273" s="23"/>
      <c r="AC1273" s="38"/>
      <c r="AD1273" s="39"/>
      <c r="AE1273" s="39"/>
      <c r="AF1273" s="39"/>
      <c r="AG1273" s="39"/>
      <c r="AH1273" s="37">
        <f t="shared" si="946"/>
        <v>0</v>
      </c>
      <c r="AI1273" s="38"/>
      <c r="AJ1273" s="39"/>
      <c r="AK1273" s="39"/>
      <c r="AL1273" s="39"/>
      <c r="AM1273" s="39"/>
      <c r="AN1273" s="37">
        <f t="shared" si="947"/>
        <v>0</v>
      </c>
      <c r="AO1273" s="39"/>
      <c r="AP1273" s="56"/>
      <c r="AQ1273" s="56"/>
      <c r="AR1273" s="56"/>
      <c r="AS1273" s="71"/>
      <c r="AT1273" s="16">
        <f t="shared" si="948"/>
        <v>0</v>
      </c>
      <c r="AU1273" s="39"/>
      <c r="AV1273" s="56"/>
      <c r="AW1273" s="56"/>
      <c r="AX1273" s="56"/>
      <c r="AY1273" s="71"/>
      <c r="AZ1273" s="16">
        <f t="shared" si="949"/>
        <v>0</v>
      </c>
      <c r="BA1273" s="16">
        <f t="shared" si="950"/>
        <v>0</v>
      </c>
      <c r="BB1273" s="128"/>
    </row>
    <row r="1274" spans="1:54" ht="14.25" x14ac:dyDescent="0.15">
      <c r="A1274" s="23" t="s">
        <v>438</v>
      </c>
      <c r="B1274" s="41"/>
      <c r="C1274" s="42"/>
      <c r="D1274" s="42"/>
      <c r="E1274" s="42"/>
      <c r="F1274" s="42"/>
      <c r="G1274" s="43">
        <f t="shared" si="939"/>
        <v>0</v>
      </c>
      <c r="H1274" s="41"/>
      <c r="I1274" s="42"/>
      <c r="J1274" s="42"/>
      <c r="K1274" s="42"/>
      <c r="L1274" s="42"/>
      <c r="M1274" s="43">
        <f t="shared" si="940"/>
        <v>0</v>
      </c>
      <c r="N1274" s="42"/>
      <c r="O1274" s="53"/>
      <c r="P1274" s="53"/>
      <c r="Q1274" s="53"/>
      <c r="R1274" s="72"/>
      <c r="S1274" s="24">
        <f t="shared" si="916"/>
        <v>0</v>
      </c>
      <c r="T1274" s="42"/>
      <c r="U1274" s="53">
        <v>1</v>
      </c>
      <c r="V1274" s="53"/>
      <c r="W1274" s="53">
        <v>1</v>
      </c>
      <c r="X1274" s="72"/>
      <c r="Y1274" s="24">
        <f t="shared" si="917"/>
        <v>2</v>
      </c>
      <c r="Z1274" s="24">
        <f t="shared" si="918"/>
        <v>2</v>
      </c>
      <c r="AA1274" s="83">
        <v>45118</v>
      </c>
      <c r="AB1274" s="23"/>
      <c r="AC1274" s="38"/>
      <c r="AD1274" s="39"/>
      <c r="AE1274" s="39"/>
      <c r="AF1274" s="39"/>
      <c r="AG1274" s="39"/>
      <c r="AH1274" s="37">
        <f t="shared" si="946"/>
        <v>0</v>
      </c>
      <c r="AI1274" s="38"/>
      <c r="AJ1274" s="39"/>
      <c r="AK1274" s="39"/>
      <c r="AL1274" s="39"/>
      <c r="AM1274" s="39"/>
      <c r="AN1274" s="37">
        <f t="shared" si="947"/>
        <v>0</v>
      </c>
      <c r="AO1274" s="39"/>
      <c r="AP1274" s="56"/>
      <c r="AQ1274" s="56"/>
      <c r="AR1274" s="56"/>
      <c r="AS1274" s="71"/>
      <c r="AT1274" s="16">
        <f t="shared" si="948"/>
        <v>0</v>
      </c>
      <c r="AU1274" s="39"/>
      <c r="AV1274" s="56"/>
      <c r="AW1274" s="56"/>
      <c r="AX1274" s="56"/>
      <c r="AY1274" s="71"/>
      <c r="AZ1274" s="16">
        <f t="shared" si="949"/>
        <v>0</v>
      </c>
      <c r="BA1274" s="16">
        <f t="shared" si="950"/>
        <v>0</v>
      </c>
      <c r="BB1274" s="128"/>
    </row>
    <row r="1275" spans="1:54" ht="14.25" x14ac:dyDescent="0.15">
      <c r="A1275" s="23" t="s">
        <v>48</v>
      </c>
      <c r="B1275" s="41"/>
      <c r="C1275" s="42"/>
      <c r="D1275" s="42"/>
      <c r="E1275" s="42"/>
      <c r="F1275" s="42">
        <v>1</v>
      </c>
      <c r="G1275" s="43">
        <f t="shared" si="939"/>
        <v>1</v>
      </c>
      <c r="H1275" s="41"/>
      <c r="I1275" s="42"/>
      <c r="J1275" s="42"/>
      <c r="K1275" s="42"/>
      <c r="L1275" s="42"/>
      <c r="M1275" s="43">
        <f t="shared" si="940"/>
        <v>0</v>
      </c>
      <c r="N1275" s="42"/>
      <c r="O1275" s="53"/>
      <c r="P1275" s="53"/>
      <c r="Q1275" s="53"/>
      <c r="R1275" s="72">
        <v>1</v>
      </c>
      <c r="S1275" s="24">
        <f t="shared" si="916"/>
        <v>1</v>
      </c>
      <c r="T1275" s="42"/>
      <c r="U1275" s="53"/>
      <c r="V1275" s="53"/>
      <c r="W1275" s="53"/>
      <c r="X1275" s="72"/>
      <c r="Y1275" s="24">
        <f t="shared" si="917"/>
        <v>0</v>
      </c>
      <c r="Z1275" s="24">
        <f t="shared" si="918"/>
        <v>2</v>
      </c>
      <c r="AA1275" s="83">
        <v>45117</v>
      </c>
      <c r="AB1275" s="23"/>
      <c r="AC1275" s="38"/>
      <c r="AD1275" s="39"/>
      <c r="AE1275" s="39"/>
      <c r="AF1275" s="39"/>
      <c r="AG1275" s="39"/>
      <c r="AH1275" s="37">
        <f t="shared" si="946"/>
        <v>0</v>
      </c>
      <c r="AI1275" s="38"/>
      <c r="AJ1275" s="39"/>
      <c r="AK1275" s="39"/>
      <c r="AL1275" s="39"/>
      <c r="AM1275" s="39"/>
      <c r="AN1275" s="37">
        <f t="shared" si="947"/>
        <v>0</v>
      </c>
      <c r="AO1275" s="39"/>
      <c r="AP1275" s="56"/>
      <c r="AQ1275" s="56"/>
      <c r="AR1275" s="56"/>
      <c r="AS1275" s="71"/>
      <c r="AT1275" s="16">
        <f t="shared" si="948"/>
        <v>0</v>
      </c>
      <c r="AU1275" s="39"/>
      <c r="AV1275" s="56"/>
      <c r="AW1275" s="56"/>
      <c r="AX1275" s="56"/>
      <c r="AY1275" s="71"/>
      <c r="AZ1275" s="16">
        <f t="shared" si="949"/>
        <v>0</v>
      </c>
      <c r="BA1275" s="16">
        <f t="shared" si="950"/>
        <v>0</v>
      </c>
      <c r="BB1275" s="128"/>
    </row>
    <row r="1276" spans="1:54" ht="14.25" x14ac:dyDescent="0.15">
      <c r="A1276" s="23" t="s">
        <v>438</v>
      </c>
      <c r="B1276" s="41"/>
      <c r="C1276" s="42">
        <v>1</v>
      </c>
      <c r="D1276" s="42"/>
      <c r="E1276" s="42"/>
      <c r="F1276" s="42"/>
      <c r="G1276" s="43">
        <f t="shared" si="939"/>
        <v>1</v>
      </c>
      <c r="H1276" s="41"/>
      <c r="I1276" s="42"/>
      <c r="J1276" s="42"/>
      <c r="K1276" s="42"/>
      <c r="L1276" s="42"/>
      <c r="M1276" s="43">
        <f t="shared" si="940"/>
        <v>0</v>
      </c>
      <c r="N1276" s="42"/>
      <c r="O1276" s="53"/>
      <c r="P1276" s="53"/>
      <c r="Q1276" s="53"/>
      <c r="R1276" s="72"/>
      <c r="S1276" s="24">
        <f t="shared" si="916"/>
        <v>0</v>
      </c>
      <c r="T1276" s="42"/>
      <c r="U1276" s="53"/>
      <c r="V1276" s="53"/>
      <c r="W1276" s="53"/>
      <c r="X1276" s="72"/>
      <c r="Y1276" s="24">
        <f t="shared" si="917"/>
        <v>0</v>
      </c>
      <c r="Z1276" s="24">
        <f t="shared" si="918"/>
        <v>1</v>
      </c>
      <c r="AA1276" s="83">
        <v>45119</v>
      </c>
      <c r="AB1276" s="23"/>
      <c r="AC1276" s="38"/>
      <c r="AD1276" s="39"/>
      <c r="AE1276" s="39"/>
      <c r="AF1276" s="39"/>
      <c r="AG1276" s="39"/>
      <c r="AH1276" s="37">
        <f t="shared" si="946"/>
        <v>0</v>
      </c>
      <c r="AI1276" s="38"/>
      <c r="AJ1276" s="39"/>
      <c r="AK1276" s="39"/>
      <c r="AL1276" s="39"/>
      <c r="AM1276" s="39"/>
      <c r="AN1276" s="37">
        <f t="shared" si="947"/>
        <v>0</v>
      </c>
      <c r="AO1276" s="39"/>
      <c r="AP1276" s="56"/>
      <c r="AQ1276" s="56"/>
      <c r="AR1276" s="56"/>
      <c r="AS1276" s="71"/>
      <c r="AT1276" s="16">
        <f t="shared" si="948"/>
        <v>0</v>
      </c>
      <c r="AU1276" s="39"/>
      <c r="AV1276" s="56"/>
      <c r="AW1276" s="56"/>
      <c r="AX1276" s="56"/>
      <c r="AY1276" s="71"/>
      <c r="AZ1276" s="16">
        <f t="shared" si="949"/>
        <v>0</v>
      </c>
      <c r="BA1276" s="16">
        <f t="shared" si="950"/>
        <v>0</v>
      </c>
      <c r="BB1276" s="128"/>
    </row>
    <row r="1277" spans="1:54" ht="14.25" x14ac:dyDescent="0.15">
      <c r="A1277" s="23" t="s">
        <v>612</v>
      </c>
      <c r="B1277" s="41"/>
      <c r="C1277" s="42"/>
      <c r="D1277" s="42"/>
      <c r="E1277" s="42"/>
      <c r="F1277" s="42"/>
      <c r="G1277" s="43">
        <f t="shared" si="939"/>
        <v>0</v>
      </c>
      <c r="H1277" s="41"/>
      <c r="I1277" s="42"/>
      <c r="J1277" s="42"/>
      <c r="K1277" s="42"/>
      <c r="L1277" s="42"/>
      <c r="M1277" s="43">
        <f t="shared" si="940"/>
        <v>0</v>
      </c>
      <c r="N1277" s="42">
        <v>1</v>
      </c>
      <c r="O1277" s="53"/>
      <c r="P1277" s="53"/>
      <c r="Q1277" s="53"/>
      <c r="R1277" s="72"/>
      <c r="S1277" s="24">
        <f t="shared" si="916"/>
        <v>1</v>
      </c>
      <c r="T1277" s="42"/>
      <c r="U1277" s="53"/>
      <c r="V1277" s="53"/>
      <c r="W1277" s="53"/>
      <c r="X1277" s="72"/>
      <c r="Y1277" s="24">
        <f t="shared" si="917"/>
        <v>0</v>
      </c>
      <c r="Z1277" s="24">
        <f t="shared" si="918"/>
        <v>1</v>
      </c>
      <c r="AA1277" s="83">
        <v>45119</v>
      </c>
      <c r="AB1277" s="23"/>
      <c r="AC1277" s="38"/>
      <c r="AD1277" s="39"/>
      <c r="AE1277" s="39"/>
      <c r="AF1277" s="39"/>
      <c r="AG1277" s="39"/>
      <c r="AH1277" s="37">
        <f t="shared" si="946"/>
        <v>0</v>
      </c>
      <c r="AI1277" s="38"/>
      <c r="AJ1277" s="39"/>
      <c r="AK1277" s="39"/>
      <c r="AL1277" s="39"/>
      <c r="AM1277" s="39"/>
      <c r="AN1277" s="37">
        <f t="shared" si="947"/>
        <v>0</v>
      </c>
      <c r="AO1277" s="39"/>
      <c r="AP1277" s="56"/>
      <c r="AQ1277" s="56"/>
      <c r="AR1277" s="56"/>
      <c r="AS1277" s="71"/>
      <c r="AT1277" s="16">
        <f t="shared" si="948"/>
        <v>0</v>
      </c>
      <c r="AU1277" s="39"/>
      <c r="AV1277" s="56"/>
      <c r="AW1277" s="56"/>
      <c r="AX1277" s="56"/>
      <c r="AY1277" s="71"/>
      <c r="AZ1277" s="16">
        <f t="shared" si="949"/>
        <v>0</v>
      </c>
      <c r="BA1277" s="16">
        <f t="shared" si="950"/>
        <v>0</v>
      </c>
      <c r="BB1277" s="128"/>
    </row>
    <row r="1278" spans="1:54" ht="14.25" x14ac:dyDescent="0.15">
      <c r="A1278" s="23" t="s">
        <v>48</v>
      </c>
      <c r="B1278" s="41"/>
      <c r="C1278" s="42"/>
      <c r="D1278" s="42"/>
      <c r="E1278" s="42"/>
      <c r="F1278" s="42"/>
      <c r="G1278" s="43">
        <f t="shared" si="939"/>
        <v>0</v>
      </c>
      <c r="H1278" s="41"/>
      <c r="I1278" s="42">
        <v>1</v>
      </c>
      <c r="J1278" s="42"/>
      <c r="K1278" s="42"/>
      <c r="L1278" s="42"/>
      <c r="M1278" s="43">
        <f t="shared" si="940"/>
        <v>1</v>
      </c>
      <c r="N1278" s="42"/>
      <c r="O1278" s="53"/>
      <c r="P1278" s="53"/>
      <c r="Q1278" s="53"/>
      <c r="R1278" s="72"/>
      <c r="S1278" s="24">
        <f t="shared" si="916"/>
        <v>0</v>
      </c>
      <c r="T1278" s="42"/>
      <c r="U1278" s="53"/>
      <c r="V1278" s="53"/>
      <c r="W1278" s="53"/>
      <c r="X1278" s="72"/>
      <c r="Y1278" s="24">
        <f t="shared" si="917"/>
        <v>0</v>
      </c>
      <c r="Z1278" s="24">
        <f t="shared" si="918"/>
        <v>1</v>
      </c>
      <c r="AA1278" s="83">
        <v>45118</v>
      </c>
      <c r="AB1278" s="23"/>
      <c r="AC1278" s="38"/>
      <c r="AD1278" s="39"/>
      <c r="AE1278" s="39"/>
      <c r="AF1278" s="39"/>
      <c r="AG1278" s="39"/>
      <c r="AH1278" s="37">
        <f t="shared" si="946"/>
        <v>0</v>
      </c>
      <c r="AI1278" s="38"/>
      <c r="AJ1278" s="39"/>
      <c r="AK1278" s="39"/>
      <c r="AL1278" s="39"/>
      <c r="AM1278" s="39"/>
      <c r="AN1278" s="37">
        <f t="shared" si="947"/>
        <v>0</v>
      </c>
      <c r="AO1278" s="39"/>
      <c r="AP1278" s="56"/>
      <c r="AQ1278" s="56"/>
      <c r="AR1278" s="56"/>
      <c r="AS1278" s="71"/>
      <c r="AT1278" s="16">
        <f t="shared" si="948"/>
        <v>0</v>
      </c>
      <c r="AU1278" s="39"/>
      <c r="AV1278" s="56"/>
      <c r="AW1278" s="56"/>
      <c r="AX1278" s="56"/>
      <c r="AY1278" s="71"/>
      <c r="AZ1278" s="16">
        <f t="shared" si="949"/>
        <v>0</v>
      </c>
      <c r="BA1278" s="16">
        <f t="shared" si="950"/>
        <v>0</v>
      </c>
      <c r="BB1278" s="128"/>
    </row>
    <row r="1279" spans="1:54" ht="14.25" x14ac:dyDescent="0.15">
      <c r="A1279" s="23" t="s">
        <v>438</v>
      </c>
      <c r="B1279" s="41"/>
      <c r="C1279" s="42">
        <v>1</v>
      </c>
      <c r="D1279" s="42"/>
      <c r="E1279" s="42">
        <v>1</v>
      </c>
      <c r="F1279" s="42"/>
      <c r="G1279" s="43">
        <f t="shared" si="939"/>
        <v>2</v>
      </c>
      <c r="H1279" s="41"/>
      <c r="I1279" s="42"/>
      <c r="J1279" s="42"/>
      <c r="K1279" s="42"/>
      <c r="L1279" s="42"/>
      <c r="M1279" s="43">
        <f t="shared" si="940"/>
        <v>0</v>
      </c>
      <c r="N1279" s="42"/>
      <c r="O1279" s="53"/>
      <c r="P1279" s="53"/>
      <c r="Q1279" s="53"/>
      <c r="R1279" s="72"/>
      <c r="S1279" s="24">
        <f t="shared" si="916"/>
        <v>0</v>
      </c>
      <c r="T1279" s="42"/>
      <c r="U1279" s="53"/>
      <c r="V1279" s="53"/>
      <c r="W1279" s="53">
        <v>2</v>
      </c>
      <c r="X1279" s="72"/>
      <c r="Y1279" s="24">
        <f t="shared" si="917"/>
        <v>2</v>
      </c>
      <c r="Z1279" s="24">
        <f t="shared" si="918"/>
        <v>4</v>
      </c>
      <c r="AA1279" s="83">
        <v>45120</v>
      </c>
      <c r="AB1279" s="23"/>
      <c r="AC1279" s="38"/>
      <c r="AD1279" s="39"/>
      <c r="AE1279" s="39"/>
      <c r="AF1279" s="39"/>
      <c r="AG1279" s="39"/>
      <c r="AH1279" s="37">
        <f t="shared" si="946"/>
        <v>0</v>
      </c>
      <c r="AI1279" s="38"/>
      <c r="AJ1279" s="39"/>
      <c r="AK1279" s="39"/>
      <c r="AL1279" s="39"/>
      <c r="AM1279" s="39"/>
      <c r="AN1279" s="37">
        <f t="shared" si="947"/>
        <v>0</v>
      </c>
      <c r="AO1279" s="39"/>
      <c r="AP1279" s="56"/>
      <c r="AQ1279" s="56"/>
      <c r="AR1279" s="56"/>
      <c r="AS1279" s="71"/>
      <c r="AT1279" s="16">
        <f t="shared" si="948"/>
        <v>0</v>
      </c>
      <c r="AU1279" s="39"/>
      <c r="AV1279" s="56"/>
      <c r="AW1279" s="56"/>
      <c r="AX1279" s="56"/>
      <c r="AY1279" s="71"/>
      <c r="AZ1279" s="16">
        <f t="shared" si="949"/>
        <v>0</v>
      </c>
      <c r="BA1279" s="16">
        <f t="shared" si="950"/>
        <v>0</v>
      </c>
      <c r="BB1279" s="128"/>
    </row>
    <row r="1280" spans="1:54" ht="14.25" x14ac:dyDescent="0.15">
      <c r="A1280" s="23" t="s">
        <v>48</v>
      </c>
      <c r="B1280" s="41"/>
      <c r="C1280" s="42"/>
      <c r="D1280" s="42"/>
      <c r="E1280" s="42"/>
      <c r="F1280" s="42"/>
      <c r="G1280" s="43">
        <f t="shared" si="939"/>
        <v>0</v>
      </c>
      <c r="H1280" s="41"/>
      <c r="I1280" s="42"/>
      <c r="J1280" s="42"/>
      <c r="K1280" s="42"/>
      <c r="L1280" s="42"/>
      <c r="M1280" s="43">
        <f t="shared" si="940"/>
        <v>0</v>
      </c>
      <c r="N1280" s="42"/>
      <c r="O1280" s="53"/>
      <c r="P1280" s="53"/>
      <c r="Q1280" s="53"/>
      <c r="R1280" s="72"/>
      <c r="S1280" s="24">
        <f t="shared" si="916"/>
        <v>0</v>
      </c>
      <c r="T1280" s="42"/>
      <c r="U1280" s="53"/>
      <c r="V1280" s="53"/>
      <c r="W1280" s="53">
        <v>1</v>
      </c>
      <c r="X1280" s="72"/>
      <c r="Y1280" s="24">
        <f t="shared" si="917"/>
        <v>1</v>
      </c>
      <c r="Z1280" s="24">
        <f t="shared" si="918"/>
        <v>1</v>
      </c>
      <c r="AA1280" s="83">
        <v>45119</v>
      </c>
      <c r="AB1280" s="23"/>
      <c r="AC1280" s="38"/>
      <c r="AD1280" s="39"/>
      <c r="AE1280" s="39"/>
      <c r="AF1280" s="39"/>
      <c r="AG1280" s="39"/>
      <c r="AH1280" s="37">
        <f t="shared" ref="AH1280:AH1283" si="951">SUM(AC1280:AG1280)</f>
        <v>0</v>
      </c>
      <c r="AI1280" s="38"/>
      <c r="AJ1280" s="39"/>
      <c r="AK1280" s="39"/>
      <c r="AL1280" s="39"/>
      <c r="AM1280" s="39"/>
      <c r="AN1280" s="37">
        <f t="shared" ref="AN1280:AN1283" si="952">SUM(AI1280:AM1280)</f>
        <v>0</v>
      </c>
      <c r="AO1280" s="39"/>
      <c r="AP1280" s="56"/>
      <c r="AQ1280" s="56"/>
      <c r="AR1280" s="56"/>
      <c r="AS1280" s="71"/>
      <c r="AT1280" s="16">
        <f t="shared" ref="AT1280:AT1283" si="953">SUM(AO1280:AS1280)</f>
        <v>0</v>
      </c>
      <c r="AU1280" s="39"/>
      <c r="AV1280" s="56"/>
      <c r="AW1280" s="56"/>
      <c r="AX1280" s="56"/>
      <c r="AY1280" s="71"/>
      <c r="AZ1280" s="16">
        <f t="shared" ref="AZ1280:AZ1283" si="954">SUM(AU1280:AY1280)</f>
        <v>0</v>
      </c>
      <c r="BA1280" s="16">
        <f t="shared" ref="BA1280:BA1283" si="955">AH1280+AN1280+AT1280+AZ1280</f>
        <v>0</v>
      </c>
      <c r="BB1280" s="128"/>
    </row>
    <row r="1281" spans="1:54" ht="14.25" x14ac:dyDescent="0.15">
      <c r="A1281" s="23" t="s">
        <v>438</v>
      </c>
      <c r="B1281" s="41"/>
      <c r="C1281" s="42"/>
      <c r="D1281" s="42"/>
      <c r="E1281" s="42"/>
      <c r="F1281" s="42"/>
      <c r="G1281" s="43">
        <f t="shared" si="939"/>
        <v>0</v>
      </c>
      <c r="H1281" s="41"/>
      <c r="I1281" s="42"/>
      <c r="J1281" s="42"/>
      <c r="K1281" s="42"/>
      <c r="L1281" s="42"/>
      <c r="M1281" s="43">
        <f t="shared" si="940"/>
        <v>0</v>
      </c>
      <c r="N1281" s="42"/>
      <c r="O1281" s="53"/>
      <c r="P1281" s="53"/>
      <c r="Q1281" s="53"/>
      <c r="R1281" s="72"/>
      <c r="S1281" s="24">
        <f t="shared" si="916"/>
        <v>0</v>
      </c>
      <c r="T1281" s="42"/>
      <c r="U1281" s="53"/>
      <c r="V1281" s="53"/>
      <c r="W1281" s="53">
        <v>1</v>
      </c>
      <c r="X1281" s="72">
        <v>1</v>
      </c>
      <c r="Y1281" s="24">
        <f t="shared" si="917"/>
        <v>2</v>
      </c>
      <c r="Z1281" s="24">
        <f t="shared" si="918"/>
        <v>2</v>
      </c>
      <c r="AA1281" s="83">
        <v>45121</v>
      </c>
      <c r="AB1281" s="23"/>
      <c r="AC1281" s="38"/>
      <c r="AD1281" s="39"/>
      <c r="AE1281" s="39"/>
      <c r="AF1281" s="39"/>
      <c r="AG1281" s="39"/>
      <c r="AH1281" s="37">
        <f t="shared" si="951"/>
        <v>0</v>
      </c>
      <c r="AI1281" s="38"/>
      <c r="AJ1281" s="39"/>
      <c r="AK1281" s="39"/>
      <c r="AL1281" s="39"/>
      <c r="AM1281" s="39"/>
      <c r="AN1281" s="37">
        <f t="shared" si="952"/>
        <v>0</v>
      </c>
      <c r="AO1281" s="39"/>
      <c r="AP1281" s="56"/>
      <c r="AQ1281" s="56"/>
      <c r="AR1281" s="56"/>
      <c r="AS1281" s="71"/>
      <c r="AT1281" s="16">
        <f t="shared" si="953"/>
        <v>0</v>
      </c>
      <c r="AU1281" s="39"/>
      <c r="AV1281" s="56"/>
      <c r="AW1281" s="56"/>
      <c r="AX1281" s="56"/>
      <c r="AY1281" s="71"/>
      <c r="AZ1281" s="16">
        <f t="shared" si="954"/>
        <v>0</v>
      </c>
      <c r="BA1281" s="16">
        <f t="shared" si="955"/>
        <v>0</v>
      </c>
      <c r="BB1281" s="128"/>
    </row>
    <row r="1282" spans="1:54" ht="14.25" x14ac:dyDescent="0.15">
      <c r="A1282" s="23" t="s">
        <v>613</v>
      </c>
      <c r="B1282" s="41"/>
      <c r="C1282" s="42">
        <v>-3</v>
      </c>
      <c r="D1282" s="42">
        <v>-3</v>
      </c>
      <c r="E1282" s="42"/>
      <c r="F1282" s="42"/>
      <c r="G1282" s="43">
        <f t="shared" si="938"/>
        <v>-6</v>
      </c>
      <c r="H1282" s="41"/>
      <c r="I1282" s="42">
        <v>-3</v>
      </c>
      <c r="J1282" s="42"/>
      <c r="K1282" s="42"/>
      <c r="L1282" s="42"/>
      <c r="M1282" s="43">
        <f t="shared" ref="M1282:M1283" si="956">SUM(H1282:L1282)</f>
        <v>-3</v>
      </c>
      <c r="N1282" s="42"/>
      <c r="O1282" s="53"/>
      <c r="P1282" s="53"/>
      <c r="Q1282" s="53"/>
      <c r="R1282" s="72"/>
      <c r="S1282" s="24">
        <f>SUM(N1282:R1282)</f>
        <v>0</v>
      </c>
      <c r="T1282" s="42"/>
      <c r="U1282" s="53"/>
      <c r="V1282" s="53"/>
      <c r="W1282" s="53">
        <v>-5</v>
      </c>
      <c r="X1282" s="72"/>
      <c r="Y1282" s="24">
        <f>SUM(T1282:X1282)</f>
        <v>-5</v>
      </c>
      <c r="Z1282" s="24">
        <f>G1282+M1282+S1282+Y1282</f>
        <v>-14</v>
      </c>
      <c r="AA1282" s="83">
        <v>45121</v>
      </c>
      <c r="AB1282" s="23"/>
      <c r="AC1282" s="38"/>
      <c r="AD1282" s="39"/>
      <c r="AE1282" s="39"/>
      <c r="AF1282" s="39"/>
      <c r="AG1282" s="39"/>
      <c r="AH1282" s="37">
        <f t="shared" si="951"/>
        <v>0</v>
      </c>
      <c r="AI1282" s="38"/>
      <c r="AJ1282" s="39"/>
      <c r="AK1282" s="39"/>
      <c r="AL1282" s="39"/>
      <c r="AM1282" s="39"/>
      <c r="AN1282" s="37">
        <f t="shared" si="952"/>
        <v>0</v>
      </c>
      <c r="AO1282" s="39"/>
      <c r="AP1282" s="56"/>
      <c r="AQ1282" s="56"/>
      <c r="AR1282" s="56"/>
      <c r="AS1282" s="71"/>
      <c r="AT1282" s="16">
        <f t="shared" si="953"/>
        <v>0</v>
      </c>
      <c r="AU1282" s="39"/>
      <c r="AV1282" s="56"/>
      <c r="AW1282" s="56"/>
      <c r="AX1282" s="56"/>
      <c r="AY1282" s="71"/>
      <c r="AZ1282" s="16">
        <f t="shared" si="954"/>
        <v>0</v>
      </c>
      <c r="BA1282" s="16">
        <f t="shared" si="955"/>
        <v>0</v>
      </c>
      <c r="BB1282" s="128"/>
    </row>
    <row r="1283" spans="1:54" ht="15" thickBot="1" x14ac:dyDescent="0.2">
      <c r="A1283" s="23" t="s">
        <v>48</v>
      </c>
      <c r="B1283" s="44"/>
      <c r="C1283" s="45">
        <v>1</v>
      </c>
      <c r="D1283" s="45"/>
      <c r="E1283" s="45"/>
      <c r="F1283" s="45"/>
      <c r="G1283" s="43">
        <f t="shared" si="938"/>
        <v>1</v>
      </c>
      <c r="H1283" s="44"/>
      <c r="I1283" s="45"/>
      <c r="J1283" s="45"/>
      <c r="K1283" s="45"/>
      <c r="L1283" s="45"/>
      <c r="M1283" s="112">
        <f t="shared" si="956"/>
        <v>0</v>
      </c>
      <c r="N1283" s="45"/>
      <c r="O1283" s="78"/>
      <c r="P1283" s="78"/>
      <c r="Q1283" s="78"/>
      <c r="R1283" s="79"/>
      <c r="S1283" s="113">
        <f>SUM(N1283:R1283)</f>
        <v>0</v>
      </c>
      <c r="T1283" s="45"/>
      <c r="U1283" s="78"/>
      <c r="V1283" s="78"/>
      <c r="W1283" s="78"/>
      <c r="X1283" s="79"/>
      <c r="Y1283" s="113">
        <f>SUM(T1283:X1283)</f>
        <v>0</v>
      </c>
      <c r="Z1283" s="82">
        <f>G1283+M1283+S1283+Y1283</f>
        <v>1</v>
      </c>
      <c r="AA1283" s="93">
        <v>45122</v>
      </c>
      <c r="AB1283" s="47" t="s">
        <v>607</v>
      </c>
      <c r="AC1283" s="14"/>
      <c r="AD1283" s="15"/>
      <c r="AE1283" s="15"/>
      <c r="AF1283" s="15"/>
      <c r="AG1283" s="15"/>
      <c r="AH1283" s="24">
        <f t="shared" si="951"/>
        <v>0</v>
      </c>
      <c r="AI1283" s="189"/>
      <c r="AJ1283" s="183"/>
      <c r="AK1283" s="183"/>
      <c r="AL1283" s="183"/>
      <c r="AM1283" s="183"/>
      <c r="AN1283" s="24">
        <f t="shared" si="952"/>
        <v>0</v>
      </c>
      <c r="AO1283" s="14"/>
      <c r="AP1283" s="15"/>
      <c r="AQ1283" s="15"/>
      <c r="AR1283" s="15"/>
      <c r="AS1283" s="15"/>
      <c r="AT1283" s="24">
        <f t="shared" si="953"/>
        <v>0</v>
      </c>
      <c r="AU1283" s="14"/>
      <c r="AV1283" s="15"/>
      <c r="AW1283" s="15"/>
      <c r="AX1283" s="15"/>
      <c r="AY1283" s="15"/>
      <c r="AZ1283" s="24">
        <f t="shared" si="954"/>
        <v>0</v>
      </c>
      <c r="BA1283" s="24">
        <f t="shared" si="955"/>
        <v>0</v>
      </c>
      <c r="BB1283" s="128" t="s">
        <v>608</v>
      </c>
    </row>
    <row r="1284" spans="1:54" ht="15" thickBot="1" x14ac:dyDescent="0.2">
      <c r="A1284" s="9" t="s">
        <v>13</v>
      </c>
      <c r="B1284" s="25">
        <f>SUM(B1258:B1283)</f>
        <v>1</v>
      </c>
      <c r="C1284" s="26">
        <f>SUM(C1258:C1283)</f>
        <v>3</v>
      </c>
      <c r="D1284" s="26">
        <f>SUM(D1258:D1283)</f>
        <v>1</v>
      </c>
      <c r="E1284" s="26">
        <f>SUM(E1258:E1283)</f>
        <v>1</v>
      </c>
      <c r="F1284" s="27">
        <f>SUM(F1258:F1283)</f>
        <v>4</v>
      </c>
      <c r="G1284" s="19">
        <f>SUM(B1284:F1284)</f>
        <v>10</v>
      </c>
      <c r="H1284" s="25">
        <f>SUM(H1258:H1283)</f>
        <v>0</v>
      </c>
      <c r="I1284" s="26">
        <f>SUM(I1258:I1283)</f>
        <v>-1</v>
      </c>
      <c r="J1284" s="26">
        <f>SUM(J1258:J1283)</f>
        <v>0</v>
      </c>
      <c r="K1284" s="26">
        <f>SUM(K1258:K1283)</f>
        <v>1</v>
      </c>
      <c r="L1284" s="27">
        <f>SUM(L1258:L1283)</f>
        <v>1</v>
      </c>
      <c r="M1284" s="25">
        <f>SUM(H1284:L1284)</f>
        <v>1</v>
      </c>
      <c r="N1284" s="65">
        <f>SUM(N1258:N1283)</f>
        <v>1</v>
      </c>
      <c r="O1284" s="18">
        <f>SUM(O1258:O1283)</f>
        <v>2</v>
      </c>
      <c r="P1284" s="18">
        <f>SUM(P1258:P1283)</f>
        <v>0</v>
      </c>
      <c r="Q1284" s="18">
        <f>SUM(Q1258:Q1283)</f>
        <v>0</v>
      </c>
      <c r="R1284" s="70">
        <f>SUM(R1258:R1283)</f>
        <v>5</v>
      </c>
      <c r="S1284" s="49">
        <f>SUM(N1284:R1284)</f>
        <v>8</v>
      </c>
      <c r="T1284" s="74">
        <f>SUM(T1258:T1283)</f>
        <v>0</v>
      </c>
      <c r="U1284" s="18">
        <f>SUM(U1258:U1283)</f>
        <v>0</v>
      </c>
      <c r="V1284" s="18">
        <f>SUM(V1258:V1283)</f>
        <v>1</v>
      </c>
      <c r="W1284" s="18">
        <f>SUM(W1258:W1283)</f>
        <v>1</v>
      </c>
      <c r="X1284" s="70">
        <f>SUM(X1258:X1283)</f>
        <v>3</v>
      </c>
      <c r="Y1284" s="49">
        <f>SUM(T1284:X1284)</f>
        <v>5</v>
      </c>
      <c r="Z1284" s="137">
        <f>G1284+M1284+S1284+Y1284</f>
        <v>24</v>
      </c>
      <c r="AB1284" s="9" t="s">
        <v>13</v>
      </c>
      <c r="AC1284" s="25">
        <f>SUM(AC1258:AC1283)</f>
        <v>0</v>
      </c>
      <c r="AD1284" s="26">
        <f>SUM(AD1258:AD1283)</f>
        <v>3</v>
      </c>
      <c r="AE1284" s="26">
        <f>SUM(AE1258:AE1283)</f>
        <v>3</v>
      </c>
      <c r="AF1284" s="26">
        <f>SUM(AF1258:AF1283)</f>
        <v>0</v>
      </c>
      <c r="AG1284" s="27">
        <f>SUM(AG1258:AG1283)</f>
        <v>0</v>
      </c>
      <c r="AH1284" s="19">
        <f t="shared" ref="AH1284" si="957">SUM(AC1284:AG1284)</f>
        <v>6</v>
      </c>
      <c r="AI1284" s="25">
        <f>SUM(AI1258:AI1283)</f>
        <v>0</v>
      </c>
      <c r="AJ1284" s="26">
        <f>SUM(AJ1258:AJ1283)</f>
        <v>3</v>
      </c>
      <c r="AK1284" s="26">
        <f>SUM(AK1258:AK1283)</f>
        <v>0</v>
      </c>
      <c r="AL1284" s="26">
        <f>SUM(AL1258:AL1283)</f>
        <v>0</v>
      </c>
      <c r="AM1284" s="27">
        <f>SUM(AM1258:AM1283)</f>
        <v>0</v>
      </c>
      <c r="AN1284" s="25">
        <f t="shared" ref="AN1284" si="958">SUM(AI1284:AM1284)</f>
        <v>3</v>
      </c>
      <c r="AO1284" s="65">
        <f>SUM(AO1258:AO1283)</f>
        <v>0</v>
      </c>
      <c r="AP1284" s="18">
        <f>SUM(AP1258:AP1283)</f>
        <v>0</v>
      </c>
      <c r="AQ1284" s="18">
        <f>SUM(AQ1258:AQ1283)</f>
        <v>0</v>
      </c>
      <c r="AR1284" s="18">
        <f>SUM(AR1258:AR1283)</f>
        <v>0</v>
      </c>
      <c r="AS1284" s="70">
        <f>SUM(AS1258:AS1283)</f>
        <v>0</v>
      </c>
      <c r="AT1284" s="49">
        <f t="shared" ref="AT1284" si="959">SUM(AO1284:AS1284)</f>
        <v>0</v>
      </c>
      <c r="AU1284" s="74">
        <f>SUM(AU1258:AU1283)</f>
        <v>0</v>
      </c>
      <c r="AV1284" s="18">
        <f>SUM(AV1258:AV1283)</f>
        <v>0</v>
      </c>
      <c r="AW1284" s="18">
        <f>SUM(AW1258:AW1283)</f>
        <v>0</v>
      </c>
      <c r="AX1284" s="18">
        <f>SUM(AX1258:AX1283)</f>
        <v>5</v>
      </c>
      <c r="AY1284" s="70">
        <f>SUM(AY1258:AY1283)</f>
        <v>0</v>
      </c>
      <c r="AZ1284" s="49">
        <f t="shared" ref="AZ1284" si="960">SUM(AU1284:AY1284)</f>
        <v>5</v>
      </c>
      <c r="BA1284" s="77">
        <f t="shared" si="928"/>
        <v>14</v>
      </c>
    </row>
    <row r="1285" spans="1:54" ht="15" thickBot="1" x14ac:dyDescent="0.2">
      <c r="A1285" s="32" t="s">
        <v>14</v>
      </c>
      <c r="B1285" s="29">
        <f t="shared" ref="B1285:Y1285" si="961">B1257-B1284</f>
        <v>4</v>
      </c>
      <c r="C1285" s="30">
        <f t="shared" si="961"/>
        <v>4</v>
      </c>
      <c r="D1285" s="30">
        <f t="shared" si="961"/>
        <v>6</v>
      </c>
      <c r="E1285" s="30">
        <f t="shared" si="961"/>
        <v>5</v>
      </c>
      <c r="F1285" s="31">
        <f t="shared" si="961"/>
        <v>5</v>
      </c>
      <c r="G1285" s="31">
        <f t="shared" si="961"/>
        <v>24</v>
      </c>
      <c r="H1285" s="29">
        <f t="shared" si="961"/>
        <v>6</v>
      </c>
      <c r="I1285" s="30">
        <f t="shared" si="961"/>
        <v>6</v>
      </c>
      <c r="J1285" s="30">
        <f t="shared" si="961"/>
        <v>4</v>
      </c>
      <c r="K1285" s="30">
        <f t="shared" si="961"/>
        <v>4</v>
      </c>
      <c r="L1285" s="31">
        <f t="shared" si="961"/>
        <v>4</v>
      </c>
      <c r="M1285" s="66">
        <f t="shared" si="961"/>
        <v>24</v>
      </c>
      <c r="N1285" s="29">
        <f t="shared" si="961"/>
        <v>4</v>
      </c>
      <c r="O1285" s="30">
        <f t="shared" si="961"/>
        <v>4</v>
      </c>
      <c r="P1285" s="30">
        <f t="shared" si="961"/>
        <v>5</v>
      </c>
      <c r="Q1285" s="30">
        <f t="shared" si="961"/>
        <v>6</v>
      </c>
      <c r="R1285" s="66">
        <f t="shared" si="961"/>
        <v>5</v>
      </c>
      <c r="S1285" s="33">
        <f t="shared" si="961"/>
        <v>24</v>
      </c>
      <c r="T1285" s="75">
        <f t="shared" si="961"/>
        <v>4</v>
      </c>
      <c r="U1285" s="30">
        <f t="shared" si="961"/>
        <v>4</v>
      </c>
      <c r="V1285" s="30">
        <f t="shared" si="961"/>
        <v>4</v>
      </c>
      <c r="W1285" s="30">
        <f t="shared" si="961"/>
        <v>6</v>
      </c>
      <c r="X1285" s="66">
        <f t="shared" si="961"/>
        <v>5</v>
      </c>
      <c r="Y1285" s="33">
        <f t="shared" si="961"/>
        <v>23</v>
      </c>
      <c r="Z1285" s="77">
        <f>G1285+M1285+S1285+Y1285</f>
        <v>95</v>
      </c>
      <c r="AB1285" s="32" t="s">
        <v>14</v>
      </c>
      <c r="AC1285" s="29">
        <f t="shared" ref="AC1285:AZ1285" si="962">AC1257-AC1284</f>
        <v>118</v>
      </c>
      <c r="AD1285" s="30">
        <f t="shared" si="962"/>
        <v>100</v>
      </c>
      <c r="AE1285" s="30">
        <f t="shared" si="962"/>
        <v>98</v>
      </c>
      <c r="AF1285" s="30">
        <f t="shared" si="962"/>
        <v>75</v>
      </c>
      <c r="AG1285" s="31">
        <f t="shared" si="962"/>
        <v>56</v>
      </c>
      <c r="AH1285" s="31">
        <f t="shared" si="962"/>
        <v>447</v>
      </c>
      <c r="AI1285" s="29">
        <f t="shared" si="962"/>
        <v>87</v>
      </c>
      <c r="AJ1285" s="30">
        <f t="shared" si="962"/>
        <v>89</v>
      </c>
      <c r="AK1285" s="30">
        <f t="shared" si="962"/>
        <v>96</v>
      </c>
      <c r="AL1285" s="30">
        <f t="shared" si="962"/>
        <v>80</v>
      </c>
      <c r="AM1285" s="31">
        <f t="shared" si="962"/>
        <v>91</v>
      </c>
      <c r="AN1285" s="66">
        <f t="shared" si="962"/>
        <v>443</v>
      </c>
      <c r="AO1285" s="29">
        <f t="shared" si="962"/>
        <v>150</v>
      </c>
      <c r="AP1285" s="30">
        <f t="shared" si="962"/>
        <v>115</v>
      </c>
      <c r="AQ1285" s="30">
        <f t="shared" si="962"/>
        <v>116</v>
      </c>
      <c r="AR1285" s="30">
        <f t="shared" si="962"/>
        <v>125</v>
      </c>
      <c r="AS1285" s="66">
        <f t="shared" si="962"/>
        <v>134</v>
      </c>
      <c r="AT1285" s="33">
        <f t="shared" si="962"/>
        <v>640</v>
      </c>
      <c r="AU1285" s="75">
        <f t="shared" si="962"/>
        <v>115</v>
      </c>
      <c r="AV1285" s="30">
        <f t="shared" si="962"/>
        <v>66</v>
      </c>
      <c r="AW1285" s="30">
        <f t="shared" si="962"/>
        <v>45</v>
      </c>
      <c r="AX1285" s="30">
        <f t="shared" si="962"/>
        <v>33</v>
      </c>
      <c r="AY1285" s="66">
        <f t="shared" si="962"/>
        <v>83</v>
      </c>
      <c r="AZ1285" s="33">
        <f t="shared" si="962"/>
        <v>342</v>
      </c>
      <c r="BA1285" s="77">
        <f t="shared" si="928"/>
        <v>1872</v>
      </c>
    </row>
    <row r="1288" spans="1:54" ht="19.5" thickBot="1" x14ac:dyDescent="0.25">
      <c r="A1288" s="1" t="s">
        <v>15</v>
      </c>
      <c r="AB1288" s="1" t="s">
        <v>16</v>
      </c>
    </row>
    <row r="1289" spans="1:54" ht="15" thickBot="1" x14ac:dyDescent="0.2">
      <c r="A1289" s="4"/>
      <c r="B1289" s="245" t="s">
        <v>17</v>
      </c>
      <c r="C1289" s="246"/>
      <c r="D1289" s="246"/>
      <c r="E1289" s="246"/>
      <c r="F1289" s="246"/>
      <c r="G1289" s="247"/>
      <c r="H1289" s="245" t="s">
        <v>18</v>
      </c>
      <c r="I1289" s="246"/>
      <c r="J1289" s="246"/>
      <c r="K1289" s="246"/>
      <c r="L1289" s="246"/>
      <c r="M1289" s="247"/>
      <c r="N1289" s="248" t="s">
        <v>27</v>
      </c>
      <c r="O1289" s="249"/>
      <c r="P1289" s="249"/>
      <c r="Q1289" s="249"/>
      <c r="R1289" s="249"/>
      <c r="S1289" s="250"/>
      <c r="T1289" s="248" t="s">
        <v>28</v>
      </c>
      <c r="U1289" s="249"/>
      <c r="V1289" s="249"/>
      <c r="W1289" s="249"/>
      <c r="X1289" s="249"/>
      <c r="Y1289" s="250"/>
      <c r="Z1289" s="251" t="s">
        <v>1</v>
      </c>
      <c r="AB1289" s="4"/>
      <c r="AC1289" s="253" t="s">
        <v>17</v>
      </c>
      <c r="AD1289" s="249"/>
      <c r="AE1289" s="249"/>
      <c r="AF1289" s="249"/>
      <c r="AG1289" s="249"/>
      <c r="AH1289" s="250"/>
      <c r="AI1289" s="248" t="s">
        <v>18</v>
      </c>
      <c r="AJ1289" s="249"/>
      <c r="AK1289" s="249"/>
      <c r="AL1289" s="249"/>
      <c r="AM1289" s="249"/>
      <c r="AN1289" s="250"/>
      <c r="AO1289" s="248" t="s">
        <v>27</v>
      </c>
      <c r="AP1289" s="249"/>
      <c r="AQ1289" s="249"/>
      <c r="AR1289" s="249"/>
      <c r="AS1289" s="249"/>
      <c r="AT1289" s="250"/>
      <c r="AU1289" s="248" t="s">
        <v>28</v>
      </c>
      <c r="AV1289" s="249"/>
      <c r="AW1289" s="249"/>
      <c r="AX1289" s="249"/>
      <c r="AY1289" s="249"/>
      <c r="AZ1289" s="250"/>
      <c r="BA1289" s="243" t="s">
        <v>1</v>
      </c>
    </row>
    <row r="1290" spans="1:54" ht="15" thickBot="1" x14ac:dyDescent="0.2">
      <c r="A1290" s="9" t="s">
        <v>2</v>
      </c>
      <c r="B1290" s="6" t="s">
        <v>3</v>
      </c>
      <c r="C1290" s="7" t="s">
        <v>4</v>
      </c>
      <c r="D1290" s="7" t="s">
        <v>5</v>
      </c>
      <c r="E1290" s="48" t="s">
        <v>20</v>
      </c>
      <c r="F1290" s="8" t="s">
        <v>21</v>
      </c>
      <c r="G1290" s="5" t="s">
        <v>6</v>
      </c>
      <c r="H1290" s="6" t="s">
        <v>3</v>
      </c>
      <c r="I1290" s="7" t="s">
        <v>4</v>
      </c>
      <c r="J1290" s="7" t="s">
        <v>5</v>
      </c>
      <c r="K1290" s="48" t="s">
        <v>20</v>
      </c>
      <c r="L1290" s="8" t="s">
        <v>21</v>
      </c>
      <c r="M1290" s="5" t="s">
        <v>6</v>
      </c>
      <c r="N1290" s="6" t="s">
        <v>3</v>
      </c>
      <c r="O1290" s="7" t="s">
        <v>4</v>
      </c>
      <c r="P1290" s="7" t="s">
        <v>5</v>
      </c>
      <c r="Q1290" s="48" t="s">
        <v>20</v>
      </c>
      <c r="R1290" s="8" t="s">
        <v>21</v>
      </c>
      <c r="S1290" s="5" t="s">
        <v>6</v>
      </c>
      <c r="T1290" s="7" t="s">
        <v>3</v>
      </c>
      <c r="U1290" s="7" t="s">
        <v>4</v>
      </c>
      <c r="V1290" s="7" t="s">
        <v>5</v>
      </c>
      <c r="W1290" s="48" t="s">
        <v>20</v>
      </c>
      <c r="X1290" s="109" t="s">
        <v>21</v>
      </c>
      <c r="Y1290" s="62" t="s">
        <v>6</v>
      </c>
      <c r="Z1290" s="252"/>
      <c r="AB1290" s="9" t="s">
        <v>2</v>
      </c>
      <c r="AC1290" s="6" t="s">
        <v>3</v>
      </c>
      <c r="AD1290" s="7" t="s">
        <v>4</v>
      </c>
      <c r="AE1290" s="7" t="s">
        <v>5</v>
      </c>
      <c r="AF1290" s="48" t="s">
        <v>20</v>
      </c>
      <c r="AG1290" s="8" t="s">
        <v>21</v>
      </c>
      <c r="AH1290" s="5" t="s">
        <v>6</v>
      </c>
      <c r="AI1290" s="6" t="s">
        <v>3</v>
      </c>
      <c r="AJ1290" s="7" t="s">
        <v>4</v>
      </c>
      <c r="AK1290" s="7" t="s">
        <v>5</v>
      </c>
      <c r="AL1290" s="48" t="s">
        <v>20</v>
      </c>
      <c r="AM1290" s="8" t="s">
        <v>21</v>
      </c>
      <c r="AN1290" s="5" t="s">
        <v>6</v>
      </c>
      <c r="AO1290" s="6" t="s">
        <v>3</v>
      </c>
      <c r="AP1290" s="7" t="s">
        <v>4</v>
      </c>
      <c r="AQ1290" s="7" t="s">
        <v>5</v>
      </c>
      <c r="AR1290" s="48" t="s">
        <v>20</v>
      </c>
      <c r="AS1290" s="8" t="s">
        <v>21</v>
      </c>
      <c r="AT1290" s="5" t="s">
        <v>6</v>
      </c>
      <c r="AU1290" s="7" t="s">
        <v>3</v>
      </c>
      <c r="AV1290" s="7" t="s">
        <v>4</v>
      </c>
      <c r="AW1290" s="7" t="s">
        <v>5</v>
      </c>
      <c r="AX1290" s="48" t="s">
        <v>20</v>
      </c>
      <c r="AY1290" s="109" t="s">
        <v>21</v>
      </c>
      <c r="AZ1290" s="62" t="s">
        <v>6</v>
      </c>
      <c r="BA1290" s="244"/>
    </row>
    <row r="1291" spans="1:54" ht="14.25" x14ac:dyDescent="0.15">
      <c r="A1291" s="103" t="s">
        <v>43</v>
      </c>
      <c r="B1291" s="104">
        <f>B1285</f>
        <v>4</v>
      </c>
      <c r="C1291" s="105">
        <f>C1285</f>
        <v>4</v>
      </c>
      <c r="D1291" s="105">
        <f>D1285</f>
        <v>6</v>
      </c>
      <c r="E1291" s="105">
        <f>E1285</f>
        <v>5</v>
      </c>
      <c r="F1291" s="105">
        <f>F1285</f>
        <v>5</v>
      </c>
      <c r="G1291" s="106">
        <f t="shared" ref="G1291" si="963">SUM(B1291:F1291)</f>
        <v>24</v>
      </c>
      <c r="H1291" s="104">
        <f>H1285</f>
        <v>6</v>
      </c>
      <c r="I1291" s="105">
        <f>I1285</f>
        <v>6</v>
      </c>
      <c r="J1291" s="105">
        <f>J1285</f>
        <v>4</v>
      </c>
      <c r="K1291" s="105">
        <f>K1285</f>
        <v>4</v>
      </c>
      <c r="L1291" s="105">
        <f>L1285</f>
        <v>4</v>
      </c>
      <c r="M1291" s="107">
        <f t="shared" ref="M1291" si="964">SUM(H1291:L1291)</f>
        <v>24</v>
      </c>
      <c r="N1291" s="104">
        <f>N1285</f>
        <v>4</v>
      </c>
      <c r="O1291" s="105">
        <f>O1285</f>
        <v>4</v>
      </c>
      <c r="P1291" s="105">
        <f>P1285</f>
        <v>5</v>
      </c>
      <c r="Q1291" s="105">
        <f>Q1285</f>
        <v>6</v>
      </c>
      <c r="R1291" s="105">
        <f>R1285</f>
        <v>5</v>
      </c>
      <c r="S1291" s="108">
        <f t="shared" ref="S1291" si="965">SUM(N1291:R1291)</f>
        <v>24</v>
      </c>
      <c r="T1291" s="104">
        <f>T1285</f>
        <v>4</v>
      </c>
      <c r="U1291" s="105">
        <f>U1285</f>
        <v>4</v>
      </c>
      <c r="V1291" s="105">
        <f>V1285</f>
        <v>4</v>
      </c>
      <c r="W1291" s="105">
        <f>W1285</f>
        <v>6</v>
      </c>
      <c r="X1291" s="105">
        <f>X1285</f>
        <v>5</v>
      </c>
      <c r="Y1291" s="106">
        <f t="shared" ref="Y1291" si="966">SUM(T1291:X1291)</f>
        <v>23</v>
      </c>
      <c r="Z1291" s="106">
        <f t="shared" ref="Z1291:Z1320" si="967">G1291+M1291+S1291+Y1291</f>
        <v>95</v>
      </c>
      <c r="AB1291" s="103" t="s">
        <v>43</v>
      </c>
      <c r="AC1291" s="104">
        <f>AC1285</f>
        <v>118</v>
      </c>
      <c r="AD1291" s="105">
        <f>AD1285</f>
        <v>100</v>
      </c>
      <c r="AE1291" s="105">
        <f>AE1285</f>
        <v>98</v>
      </c>
      <c r="AF1291" s="105">
        <f>AF1285</f>
        <v>75</v>
      </c>
      <c r="AG1291" s="105">
        <f>AG1285</f>
        <v>56</v>
      </c>
      <c r="AH1291" s="106">
        <f>SUM(AC1291:AG1291)</f>
        <v>447</v>
      </c>
      <c r="AI1291" s="104">
        <f>AI1285</f>
        <v>87</v>
      </c>
      <c r="AJ1291" s="105">
        <f>AJ1285</f>
        <v>89</v>
      </c>
      <c r="AK1291" s="105">
        <f>AK1285</f>
        <v>96</v>
      </c>
      <c r="AL1291" s="105">
        <f>AL1285</f>
        <v>80</v>
      </c>
      <c r="AM1291" s="105">
        <f>AM1285</f>
        <v>91</v>
      </c>
      <c r="AN1291" s="107">
        <f>SUM(AI1291:AM1291)</f>
        <v>443</v>
      </c>
      <c r="AO1291" s="104">
        <f>AO1285</f>
        <v>150</v>
      </c>
      <c r="AP1291" s="105">
        <f>AP1285</f>
        <v>115</v>
      </c>
      <c r="AQ1291" s="105">
        <f>AQ1285</f>
        <v>116</v>
      </c>
      <c r="AR1291" s="105">
        <f>AR1285</f>
        <v>125</v>
      </c>
      <c r="AS1291" s="105">
        <f>AS1285</f>
        <v>134</v>
      </c>
      <c r="AT1291" s="108">
        <f>SUM(AO1291:AS1291)</f>
        <v>640</v>
      </c>
      <c r="AU1291" s="104">
        <f>AU1285</f>
        <v>115</v>
      </c>
      <c r="AV1291" s="105">
        <f>AV1285</f>
        <v>66</v>
      </c>
      <c r="AW1291" s="105">
        <f>AW1285</f>
        <v>45</v>
      </c>
      <c r="AX1291" s="105">
        <f>AX1285</f>
        <v>33</v>
      </c>
      <c r="AY1291" s="105">
        <f>AY1285</f>
        <v>83</v>
      </c>
      <c r="AZ1291" s="106">
        <f>SUM(AU1291:AY1291)</f>
        <v>342</v>
      </c>
      <c r="BA1291" s="106">
        <f>AH1291+AN1291+AT1291+AZ1291</f>
        <v>1872</v>
      </c>
    </row>
    <row r="1292" spans="1:54" ht="14.25" x14ac:dyDescent="0.15">
      <c r="A1292" s="10" t="s">
        <v>181</v>
      </c>
      <c r="B1292" s="14"/>
      <c r="C1292" s="15"/>
      <c r="D1292" s="15"/>
      <c r="E1292" s="15">
        <v>2</v>
      </c>
      <c r="F1292" s="15"/>
      <c r="G1292" s="16">
        <f t="shared" ref="G1292:G1293" si="968">SUM(B1292:F1292)</f>
        <v>2</v>
      </c>
      <c r="H1292" s="14"/>
      <c r="I1292" s="15"/>
      <c r="J1292" s="15"/>
      <c r="K1292" s="15">
        <v>2</v>
      </c>
      <c r="L1292" s="15"/>
      <c r="M1292" s="57">
        <f t="shared" ref="M1292:M1293" si="969">SUM(H1292:L1292)</f>
        <v>2</v>
      </c>
      <c r="N1292" s="14">
        <v>2</v>
      </c>
      <c r="O1292" s="55"/>
      <c r="P1292" s="55"/>
      <c r="Q1292" s="55"/>
      <c r="R1292" s="67"/>
      <c r="S1292" s="24">
        <f t="shared" ref="S1292:S1293" si="970">SUM(N1292:R1292)</f>
        <v>2</v>
      </c>
      <c r="T1292" s="15"/>
      <c r="U1292" s="55"/>
      <c r="V1292" s="55"/>
      <c r="W1292" s="55"/>
      <c r="X1292" s="67"/>
      <c r="Y1292" s="24">
        <f t="shared" ref="Y1292:Y1293" si="971">SUM(T1292:X1292)</f>
        <v>0</v>
      </c>
      <c r="Z1292" s="24">
        <f t="shared" ref="Z1292:Z1293" si="972">G1292+M1292+S1292+Y1292</f>
        <v>6</v>
      </c>
      <c r="AA1292" s="83">
        <v>45131</v>
      </c>
      <c r="AB1292" s="10" t="s">
        <v>616</v>
      </c>
      <c r="AC1292" s="14">
        <v>-3</v>
      </c>
      <c r="AD1292" s="15"/>
      <c r="AE1292" s="15"/>
      <c r="AF1292" s="15"/>
      <c r="AG1292" s="15"/>
      <c r="AH1292" s="43">
        <f t="shared" ref="AH1292:AH1319" si="973">SUM(AC1292:AG1292)</f>
        <v>-3</v>
      </c>
      <c r="AI1292" s="14"/>
      <c r="AJ1292" s="15">
        <v>2</v>
      </c>
      <c r="AK1292" s="15"/>
      <c r="AL1292" s="15"/>
      <c r="AM1292" s="15"/>
      <c r="AN1292" s="43">
        <f t="shared" ref="AN1292:AN1319" si="974">SUM(AI1292:AM1292)</f>
        <v>2</v>
      </c>
      <c r="AO1292" s="14"/>
      <c r="AP1292" s="55"/>
      <c r="AQ1292" s="55">
        <v>1</v>
      </c>
      <c r="AR1292" s="55">
        <v>2</v>
      </c>
      <c r="AS1292" s="67"/>
      <c r="AT1292" s="24">
        <f t="shared" ref="AT1292:AT1319" si="975">SUM(AO1292:AS1292)</f>
        <v>3</v>
      </c>
      <c r="AU1292" s="15"/>
      <c r="AV1292" s="55"/>
      <c r="AW1292" s="55">
        <v>2</v>
      </c>
      <c r="AX1292" s="55"/>
      <c r="AY1292" s="67"/>
      <c r="AZ1292" s="24">
        <f t="shared" ref="AZ1292:AZ1319" si="976">SUM(AU1292:AY1292)</f>
        <v>2</v>
      </c>
      <c r="BA1292" s="24">
        <f t="shared" ref="BA1292:BA1324" si="977">AH1292+AN1292+AT1292+AZ1292</f>
        <v>4</v>
      </c>
      <c r="BB1292" s="83">
        <v>45136</v>
      </c>
    </row>
    <row r="1293" spans="1:54" ht="14.25" x14ac:dyDescent="0.15">
      <c r="A1293" s="10" t="s">
        <v>181</v>
      </c>
      <c r="B1293" s="14"/>
      <c r="C1293" s="15">
        <v>3</v>
      </c>
      <c r="D1293" s="15">
        <v>3</v>
      </c>
      <c r="E1293" s="15"/>
      <c r="F1293" s="15">
        <v>3</v>
      </c>
      <c r="G1293" s="16">
        <f t="shared" si="968"/>
        <v>9</v>
      </c>
      <c r="H1293" s="14"/>
      <c r="I1293" s="15"/>
      <c r="J1293" s="15">
        <v>3</v>
      </c>
      <c r="K1293" s="15"/>
      <c r="L1293" s="15"/>
      <c r="M1293" s="57">
        <f t="shared" si="969"/>
        <v>3</v>
      </c>
      <c r="N1293" s="14"/>
      <c r="O1293" s="55"/>
      <c r="P1293" s="55"/>
      <c r="Q1293" s="55"/>
      <c r="R1293" s="67"/>
      <c r="S1293" s="24">
        <f t="shared" si="970"/>
        <v>0</v>
      </c>
      <c r="T1293" s="15"/>
      <c r="U1293" s="55"/>
      <c r="V1293" s="55"/>
      <c r="W1293" s="55"/>
      <c r="X1293" s="67"/>
      <c r="Y1293" s="24">
        <f t="shared" si="971"/>
        <v>0</v>
      </c>
      <c r="Z1293" s="24">
        <f t="shared" si="972"/>
        <v>12</v>
      </c>
      <c r="AA1293" s="83">
        <v>45133</v>
      </c>
      <c r="AB1293" s="10" t="s">
        <v>181</v>
      </c>
      <c r="AC1293" s="14"/>
      <c r="AD1293" s="15"/>
      <c r="AE1293" s="15"/>
      <c r="AF1293" s="15"/>
      <c r="AG1293" s="15"/>
      <c r="AH1293" s="43">
        <f t="shared" si="973"/>
        <v>0</v>
      </c>
      <c r="AI1293" s="14"/>
      <c r="AJ1293" s="15"/>
      <c r="AK1293" s="15"/>
      <c r="AL1293" s="15"/>
      <c r="AM1293" s="15"/>
      <c r="AN1293" s="43">
        <f t="shared" si="974"/>
        <v>0</v>
      </c>
      <c r="AO1293" s="14"/>
      <c r="AP1293" s="55"/>
      <c r="AQ1293" s="55"/>
      <c r="AR1293" s="55"/>
      <c r="AS1293" s="67"/>
      <c r="AT1293" s="24">
        <f t="shared" si="975"/>
        <v>0</v>
      </c>
      <c r="AU1293" s="15"/>
      <c r="AV1293" s="55"/>
      <c r="AW1293" s="55"/>
      <c r="AX1293" s="55"/>
      <c r="AY1293" s="67"/>
      <c r="AZ1293" s="24">
        <f t="shared" si="976"/>
        <v>0</v>
      </c>
      <c r="BA1293" s="24">
        <f t="shared" si="977"/>
        <v>0</v>
      </c>
      <c r="BB1293" s="128"/>
    </row>
    <row r="1294" spans="1:54" ht="14.25" x14ac:dyDescent="0.15">
      <c r="A1294" s="10" t="s">
        <v>77</v>
      </c>
      <c r="B1294" s="14"/>
      <c r="C1294" s="15"/>
      <c r="D1294" s="15">
        <v>1</v>
      </c>
      <c r="E1294" s="15"/>
      <c r="F1294" s="15"/>
      <c r="G1294" s="16">
        <f t="shared" ref="G1294:G1322" si="978">SUM(B1294:F1294)</f>
        <v>1</v>
      </c>
      <c r="H1294" s="14"/>
      <c r="I1294" s="15"/>
      <c r="J1294" s="15"/>
      <c r="K1294" s="15"/>
      <c r="L1294" s="15"/>
      <c r="M1294" s="57">
        <f t="shared" ref="M1294:M1295" si="979">SUM(H1294:L1294)</f>
        <v>0</v>
      </c>
      <c r="N1294" s="14"/>
      <c r="O1294" s="55"/>
      <c r="P1294" s="55"/>
      <c r="Q1294" s="55"/>
      <c r="R1294" s="67"/>
      <c r="S1294" s="24">
        <f t="shared" ref="S1294:S1295" si="980">SUM(N1294:R1294)</f>
        <v>0</v>
      </c>
      <c r="T1294" s="15"/>
      <c r="U1294" s="55"/>
      <c r="V1294" s="55"/>
      <c r="W1294" s="55"/>
      <c r="X1294" s="67"/>
      <c r="Y1294" s="24">
        <f t="shared" ref="Y1294:Y1295" si="981">SUM(T1294:X1294)</f>
        <v>0</v>
      </c>
      <c r="Z1294" s="24">
        <f t="shared" si="967"/>
        <v>1</v>
      </c>
      <c r="AA1294" s="83">
        <v>45133</v>
      </c>
      <c r="AB1294" s="10" t="s">
        <v>181</v>
      </c>
      <c r="AC1294" s="14"/>
      <c r="AD1294" s="15"/>
      <c r="AE1294" s="15"/>
      <c r="AF1294" s="15"/>
      <c r="AG1294" s="15"/>
      <c r="AH1294" s="43">
        <f t="shared" si="973"/>
        <v>0</v>
      </c>
      <c r="AI1294" s="14"/>
      <c r="AJ1294" s="15"/>
      <c r="AK1294" s="15"/>
      <c r="AL1294" s="15"/>
      <c r="AM1294" s="15"/>
      <c r="AN1294" s="43">
        <f t="shared" si="974"/>
        <v>0</v>
      </c>
      <c r="AO1294" s="14"/>
      <c r="AP1294" s="55"/>
      <c r="AQ1294" s="55"/>
      <c r="AR1294" s="55"/>
      <c r="AS1294" s="67"/>
      <c r="AT1294" s="24">
        <f t="shared" si="975"/>
        <v>0</v>
      </c>
      <c r="AU1294" s="15"/>
      <c r="AV1294" s="55"/>
      <c r="AW1294" s="55"/>
      <c r="AX1294" s="55"/>
      <c r="AY1294" s="67"/>
      <c r="AZ1294" s="24">
        <f t="shared" si="976"/>
        <v>0</v>
      </c>
      <c r="BA1294" s="24">
        <f t="shared" si="977"/>
        <v>0</v>
      </c>
      <c r="BB1294" s="128"/>
    </row>
    <row r="1295" spans="1:54" ht="15" thickBot="1" x14ac:dyDescent="0.2">
      <c r="A1295" s="10" t="s">
        <v>181</v>
      </c>
      <c r="B1295" s="14"/>
      <c r="C1295" s="15"/>
      <c r="D1295" s="15"/>
      <c r="E1295" s="15"/>
      <c r="F1295" s="15"/>
      <c r="G1295" s="16">
        <f t="shared" si="978"/>
        <v>0</v>
      </c>
      <c r="H1295" s="14"/>
      <c r="I1295" s="15"/>
      <c r="J1295" s="15"/>
      <c r="K1295" s="15"/>
      <c r="L1295" s="15"/>
      <c r="M1295" s="57">
        <f t="shared" si="979"/>
        <v>0</v>
      </c>
      <c r="N1295" s="14"/>
      <c r="O1295" s="55"/>
      <c r="P1295" s="55"/>
      <c r="Q1295" s="55"/>
      <c r="R1295" s="67"/>
      <c r="S1295" s="24">
        <f t="shared" si="980"/>
        <v>0</v>
      </c>
      <c r="T1295" s="15"/>
      <c r="U1295" s="55">
        <v>3</v>
      </c>
      <c r="V1295" s="55">
        <v>3</v>
      </c>
      <c r="W1295" s="55"/>
      <c r="X1295" s="67"/>
      <c r="Y1295" s="24">
        <f t="shared" si="981"/>
        <v>6</v>
      </c>
      <c r="Z1295" s="24">
        <f t="shared" si="967"/>
        <v>6</v>
      </c>
      <c r="AA1295" s="83">
        <v>45135</v>
      </c>
      <c r="AB1295" s="10" t="s">
        <v>181</v>
      </c>
      <c r="AC1295" s="14"/>
      <c r="AD1295" s="15"/>
      <c r="AE1295" s="15"/>
      <c r="AF1295" s="15"/>
      <c r="AG1295" s="15"/>
      <c r="AH1295" s="43">
        <f t="shared" si="973"/>
        <v>0</v>
      </c>
      <c r="AI1295" s="14"/>
      <c r="AJ1295" s="15"/>
      <c r="AK1295" s="15"/>
      <c r="AL1295" s="15"/>
      <c r="AM1295" s="15"/>
      <c r="AN1295" s="43">
        <f t="shared" si="974"/>
        <v>0</v>
      </c>
      <c r="AO1295" s="14"/>
      <c r="AP1295" s="55"/>
      <c r="AQ1295" s="55"/>
      <c r="AR1295" s="55"/>
      <c r="AS1295" s="67"/>
      <c r="AT1295" s="24">
        <f t="shared" si="975"/>
        <v>0</v>
      </c>
      <c r="AU1295" s="15"/>
      <c r="AV1295" s="55"/>
      <c r="AW1295" s="55"/>
      <c r="AX1295" s="55"/>
      <c r="AY1295" s="67"/>
      <c r="AZ1295" s="24">
        <f t="shared" si="976"/>
        <v>0</v>
      </c>
      <c r="BA1295" s="24">
        <f t="shared" si="977"/>
        <v>0</v>
      </c>
      <c r="BB1295" s="128"/>
    </row>
    <row r="1296" spans="1:54" ht="15" thickBot="1" x14ac:dyDescent="0.2">
      <c r="A1296" s="4" t="s">
        <v>12</v>
      </c>
      <c r="B1296" s="17">
        <f>SUM(B1291:B1295)</f>
        <v>4</v>
      </c>
      <c r="C1296" s="18">
        <f>SUM(C1291:C1295)</f>
        <v>7</v>
      </c>
      <c r="D1296" s="18">
        <f>SUM(D1291:D1295)</f>
        <v>10</v>
      </c>
      <c r="E1296" s="18">
        <f>SUM(E1291:E1295)</f>
        <v>7</v>
      </c>
      <c r="F1296" s="18">
        <f>SUM(F1291:F1295)</f>
        <v>8</v>
      </c>
      <c r="G1296" s="148">
        <f t="shared" si="978"/>
        <v>36</v>
      </c>
      <c r="H1296" s="17">
        <f>SUM(H1291:H1295)</f>
        <v>6</v>
      </c>
      <c r="I1296" s="18">
        <f>SUM(I1291:I1295)</f>
        <v>6</v>
      </c>
      <c r="J1296" s="18">
        <f>SUM(J1291:J1295)</f>
        <v>7</v>
      </c>
      <c r="K1296" s="18">
        <f>SUM(K1291:K1295)</f>
        <v>6</v>
      </c>
      <c r="L1296" s="18">
        <f>SUM(L1291:L1295)</f>
        <v>4</v>
      </c>
      <c r="M1296" s="17">
        <f t="shared" ref="M1296" si="982">SUM(H1296:L1296)</f>
        <v>29</v>
      </c>
      <c r="N1296" s="65">
        <f>SUM(N1291:N1295)</f>
        <v>6</v>
      </c>
      <c r="O1296" s="18">
        <f>SUM(O1291:O1295)</f>
        <v>4</v>
      </c>
      <c r="P1296" s="18">
        <f>SUM(P1291:P1295)</f>
        <v>5</v>
      </c>
      <c r="Q1296" s="18">
        <f>SUM(Q1291:Q1295)</f>
        <v>6</v>
      </c>
      <c r="R1296" s="70">
        <f>SUM(R1291:R1295)</f>
        <v>5</v>
      </c>
      <c r="S1296" s="49">
        <f t="shared" ref="S1296:S1320" si="983">SUM(N1296:R1296)</f>
        <v>26</v>
      </c>
      <c r="T1296" s="74">
        <f>SUM(T1291:T1295)</f>
        <v>4</v>
      </c>
      <c r="U1296" s="18">
        <f>SUM(U1291:U1295)</f>
        <v>7</v>
      </c>
      <c r="V1296" s="18">
        <f>SUM(V1291:V1295)</f>
        <v>7</v>
      </c>
      <c r="W1296" s="18">
        <f>SUM(W1291:W1295)</f>
        <v>6</v>
      </c>
      <c r="X1296" s="70">
        <f>SUM(X1291:X1295)</f>
        <v>5</v>
      </c>
      <c r="Y1296" s="49">
        <f t="shared" ref="Y1296:Y1320" si="984">SUM(T1296:X1296)</f>
        <v>29</v>
      </c>
      <c r="Z1296" s="33">
        <f t="shared" si="967"/>
        <v>120</v>
      </c>
      <c r="AB1296" s="4" t="s">
        <v>12</v>
      </c>
      <c r="AC1296" s="17">
        <f>SUM(AC1291:AC1295)</f>
        <v>115</v>
      </c>
      <c r="AD1296" s="18">
        <f>SUM(AD1291:AD1295)</f>
        <v>100</v>
      </c>
      <c r="AE1296" s="18">
        <f>SUM(AE1291:AE1295)</f>
        <v>98</v>
      </c>
      <c r="AF1296" s="18">
        <f>SUM(AF1291:AF1295)</f>
        <v>75</v>
      </c>
      <c r="AG1296" s="18">
        <f>SUM(AG1291:AG1295)</f>
        <v>56</v>
      </c>
      <c r="AH1296" s="148">
        <f t="shared" si="973"/>
        <v>444</v>
      </c>
      <c r="AI1296" s="17">
        <f>SUM(AI1291:AI1295)</f>
        <v>87</v>
      </c>
      <c r="AJ1296" s="18">
        <f>SUM(AJ1291:AJ1295)</f>
        <v>91</v>
      </c>
      <c r="AK1296" s="18">
        <f>SUM(AK1291:AK1295)</f>
        <v>96</v>
      </c>
      <c r="AL1296" s="18">
        <f>SUM(AL1291:AL1295)</f>
        <v>80</v>
      </c>
      <c r="AM1296" s="18">
        <f>SUM(AM1291:AM1295)</f>
        <v>91</v>
      </c>
      <c r="AN1296" s="148">
        <f t="shared" si="974"/>
        <v>445</v>
      </c>
      <c r="AO1296" s="65">
        <f>SUM(AO1291:AO1295)</f>
        <v>150</v>
      </c>
      <c r="AP1296" s="18">
        <f>SUM(AP1291:AP1295)</f>
        <v>115</v>
      </c>
      <c r="AQ1296" s="18">
        <f>SUM(AQ1291:AQ1295)</f>
        <v>117</v>
      </c>
      <c r="AR1296" s="18">
        <f>SUM(AR1291:AR1295)</f>
        <v>127</v>
      </c>
      <c r="AS1296" s="70">
        <f>SUM(AS1291:AS1295)</f>
        <v>134</v>
      </c>
      <c r="AT1296" s="49">
        <f t="shared" si="975"/>
        <v>643</v>
      </c>
      <c r="AU1296" s="74">
        <f>SUM(AU1291:AU1295)</f>
        <v>115</v>
      </c>
      <c r="AV1296" s="18">
        <f>SUM(AV1291:AV1295)</f>
        <v>66</v>
      </c>
      <c r="AW1296" s="18">
        <f>SUM(AW1291:AW1295)</f>
        <v>47</v>
      </c>
      <c r="AX1296" s="18">
        <f>SUM(AX1291:AX1295)</f>
        <v>33</v>
      </c>
      <c r="AY1296" s="70">
        <f>SUM(AY1291:AY1295)</f>
        <v>83</v>
      </c>
      <c r="AZ1296" s="49">
        <f t="shared" si="976"/>
        <v>344</v>
      </c>
      <c r="BA1296" s="33">
        <f t="shared" si="977"/>
        <v>1876</v>
      </c>
    </row>
    <row r="1297" spans="1:54" ht="14.25" x14ac:dyDescent="0.15">
      <c r="A1297" s="23" t="s">
        <v>438</v>
      </c>
      <c r="B1297" s="41"/>
      <c r="C1297" s="42"/>
      <c r="D1297" s="42"/>
      <c r="E1297" s="42">
        <v>1</v>
      </c>
      <c r="F1297" s="42">
        <v>1</v>
      </c>
      <c r="G1297" s="43">
        <f t="shared" ref="G1297:G1320" si="985">SUM(B1297:F1297)</f>
        <v>2</v>
      </c>
      <c r="H1297" s="41"/>
      <c r="I1297" s="42"/>
      <c r="J1297" s="42"/>
      <c r="K1297" s="42"/>
      <c r="L1297" s="42"/>
      <c r="M1297" s="43">
        <f t="shared" ref="M1297:M1320" si="986">SUM(H1297:L1297)</f>
        <v>0</v>
      </c>
      <c r="N1297" s="42"/>
      <c r="O1297" s="53"/>
      <c r="P1297" s="53"/>
      <c r="Q1297" s="53"/>
      <c r="R1297" s="72"/>
      <c r="S1297" s="24">
        <f t="shared" si="983"/>
        <v>0</v>
      </c>
      <c r="T1297" s="42"/>
      <c r="U1297" s="53"/>
      <c r="V1297" s="53"/>
      <c r="W1297" s="53"/>
      <c r="X1297" s="72"/>
      <c r="Y1297" s="24">
        <f t="shared" si="984"/>
        <v>0</v>
      </c>
      <c r="Z1297" s="24">
        <f t="shared" si="967"/>
        <v>2</v>
      </c>
      <c r="AA1297" s="83">
        <v>45126</v>
      </c>
      <c r="AB1297" s="23" t="s">
        <v>126</v>
      </c>
      <c r="AC1297" s="38"/>
      <c r="AD1297" s="39"/>
      <c r="AE1297" s="39"/>
      <c r="AF1297" s="39">
        <v>2</v>
      </c>
      <c r="AG1297" s="39"/>
      <c r="AH1297" s="37">
        <f t="shared" ref="AH1297" si="987">SUM(AC1297:AG1297)</f>
        <v>2</v>
      </c>
      <c r="AI1297" s="38"/>
      <c r="AJ1297" s="39"/>
      <c r="AK1297" s="39"/>
      <c r="AL1297" s="39">
        <v>2</v>
      </c>
      <c r="AM1297" s="39"/>
      <c r="AN1297" s="37">
        <f t="shared" ref="AN1297" si="988">SUM(AI1297:AM1297)</f>
        <v>2</v>
      </c>
      <c r="AO1297" s="39">
        <v>2</v>
      </c>
      <c r="AP1297" s="56"/>
      <c r="AQ1297" s="56"/>
      <c r="AR1297" s="56"/>
      <c r="AS1297" s="71"/>
      <c r="AT1297" s="16">
        <f t="shared" ref="AT1297" si="989">SUM(AO1297:AS1297)</f>
        <v>2</v>
      </c>
      <c r="AU1297" s="39"/>
      <c r="AV1297" s="56"/>
      <c r="AW1297" s="56"/>
      <c r="AX1297" s="56"/>
      <c r="AY1297" s="71"/>
      <c r="AZ1297" s="16">
        <f t="shared" ref="AZ1297" si="990">SUM(AU1297:AY1297)</f>
        <v>0</v>
      </c>
      <c r="BA1297" s="16">
        <f t="shared" si="977"/>
        <v>6</v>
      </c>
      <c r="BB1297" s="83">
        <v>45131</v>
      </c>
    </row>
    <row r="1298" spans="1:54" ht="14.25" x14ac:dyDescent="0.15">
      <c r="A1298" s="23" t="s">
        <v>48</v>
      </c>
      <c r="B1298" s="41"/>
      <c r="C1298" s="42"/>
      <c r="D1298" s="42"/>
      <c r="E1298" s="42"/>
      <c r="F1298" s="42"/>
      <c r="G1298" s="43">
        <f t="shared" si="985"/>
        <v>0</v>
      </c>
      <c r="H1298" s="41"/>
      <c r="I1298" s="42">
        <v>1</v>
      </c>
      <c r="J1298" s="42"/>
      <c r="K1298" s="42">
        <v>1</v>
      </c>
      <c r="L1298" s="42"/>
      <c r="M1298" s="43">
        <f t="shared" si="986"/>
        <v>2</v>
      </c>
      <c r="N1298" s="42"/>
      <c r="O1298" s="53"/>
      <c r="P1298" s="53"/>
      <c r="Q1298" s="53"/>
      <c r="R1298" s="72"/>
      <c r="S1298" s="24">
        <f t="shared" si="983"/>
        <v>0</v>
      </c>
      <c r="T1298" s="42"/>
      <c r="U1298" s="53"/>
      <c r="V1298" s="53"/>
      <c r="W1298" s="53"/>
      <c r="X1298" s="72"/>
      <c r="Y1298" s="24">
        <f t="shared" si="984"/>
        <v>0</v>
      </c>
      <c r="Z1298" s="24">
        <f t="shared" si="967"/>
        <v>2</v>
      </c>
      <c r="AA1298" s="83">
        <v>45125</v>
      </c>
      <c r="AB1298" s="23" t="s">
        <v>126</v>
      </c>
      <c r="AC1298" s="38"/>
      <c r="AD1298" s="39">
        <v>3</v>
      </c>
      <c r="AE1298" s="39">
        <v>3</v>
      </c>
      <c r="AF1298" s="39"/>
      <c r="AG1298" s="39">
        <v>3</v>
      </c>
      <c r="AH1298" s="37">
        <f t="shared" ref="AH1298" si="991">SUM(AC1298:AG1298)</f>
        <v>9</v>
      </c>
      <c r="AI1298" s="38"/>
      <c r="AJ1298" s="39"/>
      <c r="AK1298" s="39">
        <v>3</v>
      </c>
      <c r="AL1298" s="39"/>
      <c r="AM1298" s="39"/>
      <c r="AN1298" s="37">
        <f t="shared" ref="AN1298" si="992">SUM(AI1298:AM1298)</f>
        <v>3</v>
      </c>
      <c r="AO1298" s="39"/>
      <c r="AP1298" s="56"/>
      <c r="AQ1298" s="56"/>
      <c r="AR1298" s="56"/>
      <c r="AS1298" s="71"/>
      <c r="AT1298" s="16">
        <f t="shared" ref="AT1298" si="993">SUM(AO1298:AS1298)</f>
        <v>0</v>
      </c>
      <c r="AU1298" s="39"/>
      <c r="AV1298" s="56"/>
      <c r="AW1298" s="56"/>
      <c r="AX1298" s="56"/>
      <c r="AY1298" s="71"/>
      <c r="AZ1298" s="16">
        <f t="shared" ref="AZ1298" si="994">SUM(AU1298:AY1298)</f>
        <v>0</v>
      </c>
      <c r="BA1298" s="16">
        <f t="shared" si="977"/>
        <v>12</v>
      </c>
      <c r="BB1298" s="83">
        <v>45133</v>
      </c>
    </row>
    <row r="1299" spans="1:54" ht="14.25" x14ac:dyDescent="0.15">
      <c r="A1299" s="23" t="s">
        <v>438</v>
      </c>
      <c r="B1299" s="41"/>
      <c r="C1299" s="42">
        <v>1</v>
      </c>
      <c r="D1299" s="42">
        <v>1</v>
      </c>
      <c r="E1299" s="42"/>
      <c r="F1299" s="42"/>
      <c r="G1299" s="43">
        <f t="shared" si="985"/>
        <v>2</v>
      </c>
      <c r="H1299" s="41"/>
      <c r="I1299" s="42"/>
      <c r="J1299" s="42"/>
      <c r="K1299" s="42"/>
      <c r="L1299" s="42"/>
      <c r="M1299" s="43">
        <f t="shared" si="986"/>
        <v>0</v>
      </c>
      <c r="N1299" s="42"/>
      <c r="O1299" s="53"/>
      <c r="P1299" s="53"/>
      <c r="Q1299" s="53"/>
      <c r="R1299" s="72"/>
      <c r="S1299" s="24">
        <f t="shared" si="983"/>
        <v>0</v>
      </c>
      <c r="T1299" s="42"/>
      <c r="U1299" s="53"/>
      <c r="V1299" s="53"/>
      <c r="W1299" s="53"/>
      <c r="X1299" s="72"/>
      <c r="Y1299" s="24">
        <f t="shared" si="984"/>
        <v>0</v>
      </c>
      <c r="Z1299" s="24">
        <f t="shared" si="967"/>
        <v>2</v>
      </c>
      <c r="AA1299" s="83">
        <v>45127</v>
      </c>
      <c r="AB1299" s="23" t="s">
        <v>126</v>
      </c>
      <c r="AC1299" s="38"/>
      <c r="AD1299" s="39"/>
      <c r="AE1299" s="39"/>
      <c r="AF1299" s="39"/>
      <c r="AG1299" s="39"/>
      <c r="AH1299" s="37">
        <f t="shared" si="973"/>
        <v>0</v>
      </c>
      <c r="AI1299" s="38"/>
      <c r="AJ1299" s="39"/>
      <c r="AK1299" s="39"/>
      <c r="AL1299" s="39"/>
      <c r="AM1299" s="39"/>
      <c r="AN1299" s="37">
        <f t="shared" si="974"/>
        <v>0</v>
      </c>
      <c r="AO1299" s="39"/>
      <c r="AP1299" s="56"/>
      <c r="AQ1299" s="56"/>
      <c r="AR1299" s="56"/>
      <c r="AS1299" s="71"/>
      <c r="AT1299" s="16">
        <f t="shared" si="975"/>
        <v>0</v>
      </c>
      <c r="AU1299" s="39"/>
      <c r="AV1299" s="56">
        <v>3</v>
      </c>
      <c r="AW1299" s="56">
        <v>3</v>
      </c>
      <c r="AX1299" s="56"/>
      <c r="AY1299" s="71"/>
      <c r="AZ1299" s="16">
        <f t="shared" si="976"/>
        <v>6</v>
      </c>
      <c r="BA1299" s="16">
        <f t="shared" si="977"/>
        <v>6</v>
      </c>
      <c r="BB1299" s="83">
        <v>45135</v>
      </c>
    </row>
    <row r="1300" spans="1:54" ht="14.25" x14ac:dyDescent="0.15">
      <c r="A1300" s="23" t="s">
        <v>136</v>
      </c>
      <c r="B1300" s="41"/>
      <c r="C1300" s="42">
        <v>-1</v>
      </c>
      <c r="D1300" s="42"/>
      <c r="E1300" s="42"/>
      <c r="F1300" s="42"/>
      <c r="G1300" s="43">
        <f t="shared" si="985"/>
        <v>-1</v>
      </c>
      <c r="H1300" s="41"/>
      <c r="I1300" s="42"/>
      <c r="J1300" s="42"/>
      <c r="K1300" s="42"/>
      <c r="L1300" s="42"/>
      <c r="M1300" s="43">
        <f t="shared" si="986"/>
        <v>0</v>
      </c>
      <c r="N1300" s="42"/>
      <c r="O1300" s="53"/>
      <c r="P1300" s="53"/>
      <c r="Q1300" s="53"/>
      <c r="R1300" s="72"/>
      <c r="S1300" s="24">
        <f t="shared" si="983"/>
        <v>0</v>
      </c>
      <c r="T1300" s="42"/>
      <c r="U1300" s="53"/>
      <c r="V1300" s="53"/>
      <c r="W1300" s="53"/>
      <c r="X1300" s="72"/>
      <c r="Y1300" s="24">
        <f t="shared" si="984"/>
        <v>0</v>
      </c>
      <c r="Z1300" s="24">
        <f t="shared" si="967"/>
        <v>-1</v>
      </c>
      <c r="AA1300" s="83">
        <v>45126</v>
      </c>
      <c r="AB1300" s="23" t="s">
        <v>126</v>
      </c>
      <c r="AC1300" s="38"/>
      <c r="AD1300" s="39">
        <v>3</v>
      </c>
      <c r="AE1300" s="39"/>
      <c r="AF1300" s="39">
        <v>3</v>
      </c>
      <c r="AG1300" s="39">
        <v>3</v>
      </c>
      <c r="AH1300" s="37">
        <f t="shared" si="973"/>
        <v>9</v>
      </c>
      <c r="AI1300" s="38"/>
      <c r="AJ1300" s="39"/>
      <c r="AK1300" s="39"/>
      <c r="AL1300" s="39"/>
      <c r="AM1300" s="39"/>
      <c r="AN1300" s="37">
        <f t="shared" si="974"/>
        <v>0</v>
      </c>
      <c r="AO1300" s="39"/>
      <c r="AP1300" s="56"/>
      <c r="AQ1300" s="56"/>
      <c r="AR1300" s="56"/>
      <c r="AS1300" s="71"/>
      <c r="AT1300" s="16">
        <f t="shared" si="975"/>
        <v>0</v>
      </c>
      <c r="AU1300" s="39"/>
      <c r="AV1300" s="56"/>
      <c r="AW1300" s="56"/>
      <c r="AX1300" s="56"/>
      <c r="AY1300" s="71"/>
      <c r="AZ1300" s="16">
        <f t="shared" si="976"/>
        <v>0</v>
      </c>
      <c r="BA1300" s="16">
        <f t="shared" si="977"/>
        <v>9</v>
      </c>
      <c r="BB1300" s="83">
        <v>45141</v>
      </c>
    </row>
    <row r="1301" spans="1:54" ht="14.25" x14ac:dyDescent="0.15">
      <c r="A1301" s="23" t="s">
        <v>48</v>
      </c>
      <c r="B1301" s="41"/>
      <c r="C1301" s="42"/>
      <c r="D1301" s="42"/>
      <c r="E1301" s="42">
        <v>1</v>
      </c>
      <c r="F1301" s="42"/>
      <c r="G1301" s="43">
        <f t="shared" si="985"/>
        <v>1</v>
      </c>
      <c r="H1301" s="41"/>
      <c r="I1301" s="42"/>
      <c r="J1301" s="42"/>
      <c r="K1301" s="42"/>
      <c r="L1301" s="42"/>
      <c r="M1301" s="43">
        <f t="shared" si="986"/>
        <v>0</v>
      </c>
      <c r="N1301" s="42"/>
      <c r="O1301" s="53"/>
      <c r="P1301" s="53"/>
      <c r="Q1301" s="53"/>
      <c r="R1301" s="72"/>
      <c r="S1301" s="24">
        <f t="shared" si="983"/>
        <v>0</v>
      </c>
      <c r="T1301" s="42"/>
      <c r="U1301" s="53"/>
      <c r="V1301" s="53"/>
      <c r="W1301" s="53"/>
      <c r="X1301" s="72"/>
      <c r="Y1301" s="24">
        <f t="shared" si="984"/>
        <v>0</v>
      </c>
      <c r="Z1301" s="24">
        <f t="shared" si="967"/>
        <v>1</v>
      </c>
      <c r="AA1301" s="83">
        <v>45127</v>
      </c>
      <c r="AB1301" s="23"/>
      <c r="AC1301" s="38"/>
      <c r="AD1301" s="39"/>
      <c r="AE1301" s="39"/>
      <c r="AF1301" s="39"/>
      <c r="AG1301" s="39"/>
      <c r="AH1301" s="37">
        <f t="shared" si="973"/>
        <v>0</v>
      </c>
      <c r="AI1301" s="38"/>
      <c r="AJ1301" s="39"/>
      <c r="AK1301" s="39"/>
      <c r="AL1301" s="39"/>
      <c r="AM1301" s="39"/>
      <c r="AN1301" s="37">
        <f t="shared" si="974"/>
        <v>0</v>
      </c>
      <c r="AO1301" s="39"/>
      <c r="AP1301" s="56"/>
      <c r="AQ1301" s="56"/>
      <c r="AR1301" s="56"/>
      <c r="AS1301" s="71"/>
      <c r="AT1301" s="16">
        <f t="shared" si="975"/>
        <v>0</v>
      </c>
      <c r="AU1301" s="39"/>
      <c r="AV1301" s="56"/>
      <c r="AW1301" s="56"/>
      <c r="AX1301" s="56"/>
      <c r="AY1301" s="71"/>
      <c r="AZ1301" s="16">
        <f t="shared" si="976"/>
        <v>0</v>
      </c>
      <c r="BA1301" s="16">
        <f t="shared" si="977"/>
        <v>0</v>
      </c>
      <c r="BB1301" s="128"/>
    </row>
    <row r="1302" spans="1:54" ht="14.25" x14ac:dyDescent="0.15">
      <c r="A1302" s="23" t="s">
        <v>438</v>
      </c>
      <c r="B1302" s="41"/>
      <c r="C1302" s="42"/>
      <c r="D1302" s="42"/>
      <c r="E1302" s="42"/>
      <c r="F1302" s="42"/>
      <c r="G1302" s="43">
        <f t="shared" si="985"/>
        <v>0</v>
      </c>
      <c r="H1302" s="41"/>
      <c r="I1302" s="42"/>
      <c r="J1302" s="42"/>
      <c r="K1302" s="42"/>
      <c r="L1302" s="42"/>
      <c r="M1302" s="43">
        <f t="shared" si="986"/>
        <v>0</v>
      </c>
      <c r="N1302" s="42">
        <v>1</v>
      </c>
      <c r="O1302" s="53"/>
      <c r="P1302" s="53"/>
      <c r="Q1302" s="53"/>
      <c r="R1302" s="72"/>
      <c r="S1302" s="24">
        <f t="shared" si="983"/>
        <v>1</v>
      </c>
      <c r="T1302" s="42"/>
      <c r="U1302" s="53"/>
      <c r="V1302" s="53"/>
      <c r="W1302" s="53"/>
      <c r="X1302" s="72"/>
      <c r="Y1302" s="24">
        <f t="shared" si="984"/>
        <v>0</v>
      </c>
      <c r="Z1302" s="24">
        <f t="shared" si="967"/>
        <v>1</v>
      </c>
      <c r="AA1302" s="83">
        <v>45131</v>
      </c>
      <c r="AB1302" s="23"/>
      <c r="AC1302" s="38"/>
      <c r="AD1302" s="39"/>
      <c r="AE1302" s="39"/>
      <c r="AF1302" s="39"/>
      <c r="AG1302" s="39"/>
      <c r="AH1302" s="37">
        <f t="shared" si="973"/>
        <v>0</v>
      </c>
      <c r="AI1302" s="38"/>
      <c r="AJ1302" s="39"/>
      <c r="AK1302" s="39"/>
      <c r="AL1302" s="39"/>
      <c r="AM1302" s="39"/>
      <c r="AN1302" s="37">
        <f t="shared" si="974"/>
        <v>0</v>
      </c>
      <c r="AO1302" s="39"/>
      <c r="AP1302" s="56"/>
      <c r="AQ1302" s="56"/>
      <c r="AR1302" s="56"/>
      <c r="AS1302" s="71"/>
      <c r="AT1302" s="16">
        <f t="shared" si="975"/>
        <v>0</v>
      </c>
      <c r="AU1302" s="39"/>
      <c r="AV1302" s="56"/>
      <c r="AW1302" s="56"/>
      <c r="AX1302" s="56"/>
      <c r="AY1302" s="71"/>
      <c r="AZ1302" s="16">
        <f t="shared" si="976"/>
        <v>0</v>
      </c>
      <c r="BA1302" s="16">
        <f t="shared" si="977"/>
        <v>0</v>
      </c>
      <c r="BB1302" s="128"/>
    </row>
    <row r="1303" spans="1:54" ht="14.25" x14ac:dyDescent="0.15">
      <c r="A1303" s="23" t="s">
        <v>48</v>
      </c>
      <c r="B1303" s="41"/>
      <c r="C1303" s="42"/>
      <c r="D1303" s="42">
        <v>1</v>
      </c>
      <c r="E1303" s="42"/>
      <c r="F1303" s="42"/>
      <c r="G1303" s="43">
        <f t="shared" si="985"/>
        <v>1</v>
      </c>
      <c r="H1303" s="41"/>
      <c r="I1303" s="42"/>
      <c r="J1303" s="42"/>
      <c r="K1303" s="42"/>
      <c r="L1303" s="42"/>
      <c r="M1303" s="43">
        <f t="shared" si="986"/>
        <v>0</v>
      </c>
      <c r="N1303" s="42"/>
      <c r="O1303" s="53"/>
      <c r="P1303" s="53"/>
      <c r="Q1303" s="53"/>
      <c r="R1303" s="72"/>
      <c r="S1303" s="24">
        <f t="shared" si="983"/>
        <v>0</v>
      </c>
      <c r="T1303" s="42"/>
      <c r="U1303" s="53"/>
      <c r="V1303" s="53"/>
      <c r="W1303" s="53"/>
      <c r="X1303" s="72"/>
      <c r="Y1303" s="24">
        <f t="shared" si="984"/>
        <v>0</v>
      </c>
      <c r="Z1303" s="24">
        <f t="shared" si="967"/>
        <v>1</v>
      </c>
      <c r="AA1303" s="83">
        <v>45128</v>
      </c>
      <c r="AB1303" s="23"/>
      <c r="AC1303" s="38"/>
      <c r="AD1303" s="39"/>
      <c r="AE1303" s="39"/>
      <c r="AF1303" s="39"/>
      <c r="AG1303" s="39"/>
      <c r="AH1303" s="37">
        <f t="shared" si="973"/>
        <v>0</v>
      </c>
      <c r="AI1303" s="38"/>
      <c r="AJ1303" s="39"/>
      <c r="AK1303" s="39"/>
      <c r="AL1303" s="39"/>
      <c r="AM1303" s="39"/>
      <c r="AN1303" s="37">
        <f t="shared" si="974"/>
        <v>0</v>
      </c>
      <c r="AO1303" s="39"/>
      <c r="AP1303" s="56"/>
      <c r="AQ1303" s="56"/>
      <c r="AR1303" s="56"/>
      <c r="AS1303" s="71"/>
      <c r="AT1303" s="16">
        <f t="shared" si="975"/>
        <v>0</v>
      </c>
      <c r="AU1303" s="39"/>
      <c r="AV1303" s="56"/>
      <c r="AW1303" s="56"/>
      <c r="AX1303" s="56"/>
      <c r="AY1303" s="71"/>
      <c r="AZ1303" s="16">
        <f t="shared" si="976"/>
        <v>0</v>
      </c>
      <c r="BA1303" s="16">
        <f t="shared" si="977"/>
        <v>0</v>
      </c>
      <c r="BB1303" s="128"/>
    </row>
    <row r="1304" spans="1:54" ht="14.25" x14ac:dyDescent="0.15">
      <c r="A1304" s="23" t="s">
        <v>438</v>
      </c>
      <c r="B1304" s="41"/>
      <c r="C1304" s="42"/>
      <c r="D1304" s="42"/>
      <c r="E1304" s="42"/>
      <c r="F1304" s="42"/>
      <c r="G1304" s="43">
        <f t="shared" si="985"/>
        <v>0</v>
      </c>
      <c r="H1304" s="41"/>
      <c r="I1304" s="42"/>
      <c r="J1304" s="42"/>
      <c r="K1304" s="42"/>
      <c r="L1304" s="42"/>
      <c r="M1304" s="43">
        <f t="shared" si="986"/>
        <v>0</v>
      </c>
      <c r="N1304" s="42"/>
      <c r="O1304" s="53"/>
      <c r="P1304" s="53"/>
      <c r="Q1304" s="53"/>
      <c r="R1304" s="72"/>
      <c r="S1304" s="24">
        <f t="shared" si="983"/>
        <v>0</v>
      </c>
      <c r="T1304" s="42"/>
      <c r="U1304" s="53"/>
      <c r="V1304" s="53">
        <v>1</v>
      </c>
      <c r="W1304" s="53"/>
      <c r="X1304" s="72"/>
      <c r="Y1304" s="24">
        <f t="shared" si="984"/>
        <v>1</v>
      </c>
      <c r="Z1304" s="24">
        <f t="shared" si="967"/>
        <v>1</v>
      </c>
      <c r="AA1304" s="83">
        <v>45132</v>
      </c>
      <c r="AB1304" s="23"/>
      <c r="AC1304" s="38"/>
      <c r="AD1304" s="39"/>
      <c r="AE1304" s="39"/>
      <c r="AF1304" s="39"/>
      <c r="AG1304" s="39"/>
      <c r="AH1304" s="37">
        <f t="shared" si="973"/>
        <v>0</v>
      </c>
      <c r="AI1304" s="38"/>
      <c r="AJ1304" s="39"/>
      <c r="AK1304" s="39"/>
      <c r="AL1304" s="39"/>
      <c r="AM1304" s="39"/>
      <c r="AN1304" s="37">
        <f t="shared" si="974"/>
        <v>0</v>
      </c>
      <c r="AO1304" s="39"/>
      <c r="AP1304" s="56"/>
      <c r="AQ1304" s="56"/>
      <c r="AR1304" s="56"/>
      <c r="AS1304" s="71"/>
      <c r="AT1304" s="16">
        <f t="shared" si="975"/>
        <v>0</v>
      </c>
      <c r="AU1304" s="39"/>
      <c r="AV1304" s="56"/>
      <c r="AW1304" s="56"/>
      <c r="AX1304" s="56"/>
      <c r="AY1304" s="71"/>
      <c r="AZ1304" s="16">
        <f t="shared" si="976"/>
        <v>0</v>
      </c>
      <c r="BA1304" s="16">
        <f t="shared" si="977"/>
        <v>0</v>
      </c>
      <c r="BB1304" s="128"/>
    </row>
    <row r="1305" spans="1:54" ht="14.25" x14ac:dyDescent="0.15">
      <c r="A1305" s="23" t="s">
        <v>48</v>
      </c>
      <c r="B1305" s="41"/>
      <c r="C1305" s="42"/>
      <c r="D1305" s="42">
        <v>1</v>
      </c>
      <c r="E1305" s="42"/>
      <c r="F1305" s="42"/>
      <c r="G1305" s="43">
        <f t="shared" si="985"/>
        <v>1</v>
      </c>
      <c r="H1305" s="41"/>
      <c r="I1305" s="42"/>
      <c r="J1305" s="42">
        <v>1</v>
      </c>
      <c r="K1305" s="42"/>
      <c r="L1305" s="42"/>
      <c r="M1305" s="43">
        <f t="shared" si="986"/>
        <v>1</v>
      </c>
      <c r="N1305" s="42"/>
      <c r="O1305" s="53"/>
      <c r="P1305" s="53"/>
      <c r="Q1305" s="53"/>
      <c r="R1305" s="72"/>
      <c r="S1305" s="24">
        <f t="shared" si="983"/>
        <v>0</v>
      </c>
      <c r="T1305" s="42"/>
      <c r="U1305" s="53"/>
      <c r="V1305" s="53"/>
      <c r="W1305" s="53"/>
      <c r="X1305" s="72"/>
      <c r="Y1305" s="24">
        <f t="shared" si="984"/>
        <v>0</v>
      </c>
      <c r="Z1305" s="24">
        <f t="shared" si="967"/>
        <v>2</v>
      </c>
      <c r="AA1305" s="83">
        <v>45131</v>
      </c>
      <c r="AB1305" s="23"/>
      <c r="AC1305" s="38"/>
      <c r="AD1305" s="39"/>
      <c r="AE1305" s="39"/>
      <c r="AF1305" s="39"/>
      <c r="AG1305" s="39"/>
      <c r="AH1305" s="37">
        <f t="shared" si="973"/>
        <v>0</v>
      </c>
      <c r="AI1305" s="38"/>
      <c r="AJ1305" s="39"/>
      <c r="AK1305" s="39"/>
      <c r="AL1305" s="39"/>
      <c r="AM1305" s="39"/>
      <c r="AN1305" s="37">
        <f t="shared" si="974"/>
        <v>0</v>
      </c>
      <c r="AO1305" s="39"/>
      <c r="AP1305" s="56"/>
      <c r="AQ1305" s="56"/>
      <c r="AR1305" s="56"/>
      <c r="AS1305" s="71"/>
      <c r="AT1305" s="16">
        <f t="shared" si="975"/>
        <v>0</v>
      </c>
      <c r="AU1305" s="39"/>
      <c r="AV1305" s="56"/>
      <c r="AW1305" s="56"/>
      <c r="AX1305" s="56"/>
      <c r="AY1305" s="71"/>
      <c r="AZ1305" s="16">
        <f t="shared" si="976"/>
        <v>0</v>
      </c>
      <c r="BA1305" s="16">
        <f t="shared" si="977"/>
        <v>0</v>
      </c>
      <c r="BB1305" s="128"/>
    </row>
    <row r="1306" spans="1:54" ht="14.25" x14ac:dyDescent="0.15">
      <c r="A1306" s="23" t="s">
        <v>438</v>
      </c>
      <c r="B1306" s="41"/>
      <c r="C1306" s="42">
        <v>1</v>
      </c>
      <c r="D1306" s="42"/>
      <c r="E1306" s="42"/>
      <c r="F1306" s="42">
        <v>2</v>
      </c>
      <c r="G1306" s="43">
        <f t="shared" si="985"/>
        <v>3</v>
      </c>
      <c r="H1306" s="41"/>
      <c r="I1306" s="42"/>
      <c r="J1306" s="42"/>
      <c r="K1306" s="42"/>
      <c r="L1306" s="42"/>
      <c r="M1306" s="43">
        <f t="shared" si="986"/>
        <v>0</v>
      </c>
      <c r="N1306" s="42"/>
      <c r="O1306" s="53"/>
      <c r="P1306" s="53"/>
      <c r="Q1306" s="53"/>
      <c r="R1306" s="72"/>
      <c r="S1306" s="24">
        <f t="shared" si="983"/>
        <v>0</v>
      </c>
      <c r="T1306" s="42"/>
      <c r="U1306" s="53">
        <v>1</v>
      </c>
      <c r="V1306" s="53"/>
      <c r="W1306" s="53"/>
      <c r="X1306" s="72"/>
      <c r="Y1306" s="24">
        <f t="shared" si="984"/>
        <v>1</v>
      </c>
      <c r="Z1306" s="24">
        <f t="shared" si="967"/>
        <v>4</v>
      </c>
      <c r="AA1306" s="83">
        <v>45133</v>
      </c>
      <c r="AB1306" s="23"/>
      <c r="AC1306" s="38"/>
      <c r="AD1306" s="39"/>
      <c r="AE1306" s="39"/>
      <c r="AF1306" s="39"/>
      <c r="AG1306" s="39"/>
      <c r="AH1306" s="37">
        <f t="shared" si="973"/>
        <v>0</v>
      </c>
      <c r="AI1306" s="38"/>
      <c r="AJ1306" s="39"/>
      <c r="AK1306" s="39"/>
      <c r="AL1306" s="39"/>
      <c r="AM1306" s="39"/>
      <c r="AN1306" s="37">
        <f t="shared" si="974"/>
        <v>0</v>
      </c>
      <c r="AO1306" s="39"/>
      <c r="AP1306" s="56"/>
      <c r="AQ1306" s="56"/>
      <c r="AR1306" s="56"/>
      <c r="AS1306" s="71"/>
      <c r="AT1306" s="16">
        <f t="shared" si="975"/>
        <v>0</v>
      </c>
      <c r="AU1306" s="39"/>
      <c r="AV1306" s="56"/>
      <c r="AW1306" s="56"/>
      <c r="AX1306" s="56"/>
      <c r="AY1306" s="71"/>
      <c r="AZ1306" s="16">
        <f t="shared" si="976"/>
        <v>0</v>
      </c>
      <c r="BA1306" s="16">
        <f t="shared" si="977"/>
        <v>0</v>
      </c>
      <c r="BB1306" s="128"/>
    </row>
    <row r="1307" spans="1:54" ht="14.25" x14ac:dyDescent="0.15">
      <c r="A1307" s="23" t="s">
        <v>48</v>
      </c>
      <c r="B1307" s="41"/>
      <c r="C1307" s="42">
        <v>1</v>
      </c>
      <c r="D1307" s="42"/>
      <c r="E1307" s="42"/>
      <c r="F1307" s="42"/>
      <c r="G1307" s="43">
        <f t="shared" si="985"/>
        <v>1</v>
      </c>
      <c r="H1307" s="41"/>
      <c r="I1307" s="42"/>
      <c r="J1307" s="42"/>
      <c r="K1307" s="42"/>
      <c r="L1307" s="42"/>
      <c r="M1307" s="43">
        <f t="shared" si="986"/>
        <v>0</v>
      </c>
      <c r="N1307" s="42"/>
      <c r="O1307" s="53"/>
      <c r="P1307" s="53"/>
      <c r="Q1307" s="53"/>
      <c r="R1307" s="72"/>
      <c r="S1307" s="24">
        <f t="shared" si="983"/>
        <v>0</v>
      </c>
      <c r="T1307" s="42"/>
      <c r="U1307" s="53"/>
      <c r="V1307" s="53"/>
      <c r="W1307" s="53"/>
      <c r="X1307" s="72"/>
      <c r="Y1307" s="24">
        <f t="shared" si="984"/>
        <v>0</v>
      </c>
      <c r="Z1307" s="24">
        <f t="shared" si="967"/>
        <v>1</v>
      </c>
      <c r="AA1307" s="83">
        <v>45132</v>
      </c>
      <c r="AB1307" s="23"/>
      <c r="AC1307" s="38"/>
      <c r="AD1307" s="39"/>
      <c r="AE1307" s="39"/>
      <c r="AF1307" s="39"/>
      <c r="AG1307" s="39"/>
      <c r="AH1307" s="37">
        <f t="shared" si="973"/>
        <v>0</v>
      </c>
      <c r="AI1307" s="38"/>
      <c r="AJ1307" s="39"/>
      <c r="AK1307" s="39"/>
      <c r="AL1307" s="39"/>
      <c r="AM1307" s="39"/>
      <c r="AN1307" s="37">
        <f t="shared" si="974"/>
        <v>0</v>
      </c>
      <c r="AO1307" s="39"/>
      <c r="AP1307" s="56"/>
      <c r="AQ1307" s="56"/>
      <c r="AR1307" s="56"/>
      <c r="AS1307" s="71"/>
      <c r="AT1307" s="16">
        <f t="shared" si="975"/>
        <v>0</v>
      </c>
      <c r="AU1307" s="39"/>
      <c r="AV1307" s="56"/>
      <c r="AW1307" s="56"/>
      <c r="AX1307" s="56"/>
      <c r="AY1307" s="71"/>
      <c r="AZ1307" s="16">
        <f t="shared" si="976"/>
        <v>0</v>
      </c>
      <c r="BA1307" s="16">
        <f t="shared" si="977"/>
        <v>0</v>
      </c>
      <c r="BB1307" s="128"/>
    </row>
    <row r="1308" spans="1:54" ht="14.25" x14ac:dyDescent="0.15">
      <c r="A1308" s="23" t="s">
        <v>438</v>
      </c>
      <c r="B1308" s="41"/>
      <c r="C1308" s="42"/>
      <c r="D1308" s="42"/>
      <c r="E1308" s="42"/>
      <c r="F1308" s="42"/>
      <c r="G1308" s="43">
        <f t="shared" si="985"/>
        <v>0</v>
      </c>
      <c r="H1308" s="41"/>
      <c r="I1308" s="42"/>
      <c r="J1308" s="42"/>
      <c r="K1308" s="42"/>
      <c r="L1308" s="42"/>
      <c r="M1308" s="43">
        <f t="shared" si="986"/>
        <v>0</v>
      </c>
      <c r="N1308" s="42"/>
      <c r="O1308" s="53"/>
      <c r="P1308" s="53"/>
      <c r="Q1308" s="53"/>
      <c r="R1308" s="72"/>
      <c r="S1308" s="24">
        <f t="shared" si="983"/>
        <v>0</v>
      </c>
      <c r="T1308" s="42"/>
      <c r="U1308" s="53">
        <v>1</v>
      </c>
      <c r="V1308" s="53"/>
      <c r="W1308" s="53"/>
      <c r="X1308" s="72"/>
      <c r="Y1308" s="24">
        <f t="shared" si="984"/>
        <v>1</v>
      </c>
      <c r="Z1308" s="24">
        <f t="shared" si="967"/>
        <v>1</v>
      </c>
      <c r="AA1308" s="83">
        <v>45134</v>
      </c>
      <c r="AB1308" s="23"/>
      <c r="AC1308" s="38"/>
      <c r="AD1308" s="39"/>
      <c r="AE1308" s="39"/>
      <c r="AF1308" s="39"/>
      <c r="AG1308" s="39"/>
      <c r="AH1308" s="37">
        <f t="shared" si="973"/>
        <v>0</v>
      </c>
      <c r="AI1308" s="38"/>
      <c r="AJ1308" s="39"/>
      <c r="AK1308" s="39"/>
      <c r="AL1308" s="39"/>
      <c r="AM1308" s="39"/>
      <c r="AN1308" s="37">
        <f t="shared" si="974"/>
        <v>0</v>
      </c>
      <c r="AO1308" s="39"/>
      <c r="AP1308" s="56"/>
      <c r="AQ1308" s="56"/>
      <c r="AR1308" s="56"/>
      <c r="AS1308" s="71"/>
      <c r="AT1308" s="16">
        <f t="shared" si="975"/>
        <v>0</v>
      </c>
      <c r="AU1308" s="39"/>
      <c r="AV1308" s="56"/>
      <c r="AW1308" s="56"/>
      <c r="AX1308" s="56"/>
      <c r="AY1308" s="71"/>
      <c r="AZ1308" s="16">
        <f t="shared" si="976"/>
        <v>0</v>
      </c>
      <c r="BA1308" s="16">
        <f t="shared" si="977"/>
        <v>0</v>
      </c>
      <c r="BB1308" s="128"/>
    </row>
    <row r="1309" spans="1:54" ht="14.25" x14ac:dyDescent="0.15">
      <c r="A1309" s="23" t="s">
        <v>438</v>
      </c>
      <c r="B1309" s="41"/>
      <c r="C1309" s="42"/>
      <c r="D1309" s="42"/>
      <c r="E1309" s="42"/>
      <c r="F1309" s="42">
        <v>1</v>
      </c>
      <c r="G1309" s="43">
        <f t="shared" si="985"/>
        <v>1</v>
      </c>
      <c r="H1309" s="41"/>
      <c r="I1309" s="42"/>
      <c r="J1309" s="42"/>
      <c r="K1309" s="42"/>
      <c r="L1309" s="42"/>
      <c r="M1309" s="43">
        <f t="shared" si="986"/>
        <v>0</v>
      </c>
      <c r="N1309" s="42"/>
      <c r="O1309" s="53"/>
      <c r="P1309" s="53"/>
      <c r="Q1309" s="53"/>
      <c r="R1309" s="72"/>
      <c r="S1309" s="24">
        <f t="shared" si="983"/>
        <v>0</v>
      </c>
      <c r="T1309" s="42"/>
      <c r="U1309" s="53"/>
      <c r="V1309" s="53"/>
      <c r="W1309" s="53"/>
      <c r="X1309" s="72"/>
      <c r="Y1309" s="24">
        <f t="shared" si="984"/>
        <v>0</v>
      </c>
      <c r="Z1309" s="24">
        <f t="shared" si="967"/>
        <v>1</v>
      </c>
      <c r="AA1309" s="83">
        <v>45135</v>
      </c>
      <c r="AB1309" s="23"/>
      <c r="AC1309" s="38"/>
      <c r="AD1309" s="39"/>
      <c r="AE1309" s="39"/>
      <c r="AF1309" s="39"/>
      <c r="AG1309" s="39"/>
      <c r="AH1309" s="37">
        <f t="shared" si="973"/>
        <v>0</v>
      </c>
      <c r="AI1309" s="38"/>
      <c r="AJ1309" s="39"/>
      <c r="AK1309" s="39"/>
      <c r="AL1309" s="39"/>
      <c r="AM1309" s="39"/>
      <c r="AN1309" s="37">
        <f t="shared" si="974"/>
        <v>0</v>
      </c>
      <c r="AO1309" s="39"/>
      <c r="AP1309" s="56"/>
      <c r="AQ1309" s="56"/>
      <c r="AR1309" s="56"/>
      <c r="AS1309" s="71"/>
      <c r="AT1309" s="16">
        <f t="shared" si="975"/>
        <v>0</v>
      </c>
      <c r="AU1309" s="39"/>
      <c r="AV1309" s="56"/>
      <c r="AW1309" s="56"/>
      <c r="AX1309" s="56"/>
      <c r="AY1309" s="71"/>
      <c r="AZ1309" s="16">
        <f t="shared" si="976"/>
        <v>0</v>
      </c>
      <c r="BA1309" s="16">
        <f t="shared" si="977"/>
        <v>0</v>
      </c>
      <c r="BB1309" s="128"/>
    </row>
    <row r="1310" spans="1:54" ht="14.25" x14ac:dyDescent="0.15">
      <c r="A1310" s="23" t="s">
        <v>438</v>
      </c>
      <c r="B1310" s="41"/>
      <c r="C1310" s="42"/>
      <c r="D1310" s="42">
        <v>1</v>
      </c>
      <c r="E1310" s="42">
        <v>1</v>
      </c>
      <c r="F1310" s="42"/>
      <c r="G1310" s="43">
        <f t="shared" si="985"/>
        <v>2</v>
      </c>
      <c r="H1310" s="41"/>
      <c r="I1310" s="42"/>
      <c r="J1310" s="42"/>
      <c r="K1310" s="42"/>
      <c r="L1310" s="42"/>
      <c r="M1310" s="43">
        <f t="shared" si="986"/>
        <v>0</v>
      </c>
      <c r="N1310" s="42"/>
      <c r="O1310" s="53"/>
      <c r="P1310" s="53"/>
      <c r="Q1310" s="53"/>
      <c r="R1310" s="72"/>
      <c r="S1310" s="24">
        <f t="shared" si="983"/>
        <v>0</v>
      </c>
      <c r="T1310" s="42"/>
      <c r="U1310" s="53"/>
      <c r="V1310" s="53"/>
      <c r="W1310" s="53"/>
      <c r="X1310" s="72"/>
      <c r="Y1310" s="24">
        <f t="shared" si="984"/>
        <v>0</v>
      </c>
      <c r="Z1310" s="24">
        <f t="shared" si="967"/>
        <v>2</v>
      </c>
      <c r="AA1310" s="83">
        <v>45138</v>
      </c>
      <c r="AB1310" s="23"/>
      <c r="AC1310" s="38"/>
      <c r="AD1310" s="39"/>
      <c r="AE1310" s="39"/>
      <c r="AF1310" s="39"/>
      <c r="AG1310" s="39"/>
      <c r="AH1310" s="37">
        <f t="shared" si="973"/>
        <v>0</v>
      </c>
      <c r="AI1310" s="38"/>
      <c r="AJ1310" s="39"/>
      <c r="AK1310" s="39"/>
      <c r="AL1310" s="39"/>
      <c r="AM1310" s="39"/>
      <c r="AN1310" s="37">
        <f t="shared" si="974"/>
        <v>0</v>
      </c>
      <c r="AO1310" s="39"/>
      <c r="AP1310" s="56"/>
      <c r="AQ1310" s="56"/>
      <c r="AR1310" s="56"/>
      <c r="AS1310" s="71"/>
      <c r="AT1310" s="16">
        <f t="shared" si="975"/>
        <v>0</v>
      </c>
      <c r="AU1310" s="39"/>
      <c r="AV1310" s="56"/>
      <c r="AW1310" s="56"/>
      <c r="AX1310" s="56"/>
      <c r="AY1310" s="71"/>
      <c r="AZ1310" s="16">
        <f t="shared" si="976"/>
        <v>0</v>
      </c>
      <c r="BA1310" s="16">
        <f t="shared" si="977"/>
        <v>0</v>
      </c>
      <c r="BB1310" s="128"/>
    </row>
    <row r="1311" spans="1:54" ht="14.25" x14ac:dyDescent="0.15">
      <c r="A1311" s="23" t="s">
        <v>48</v>
      </c>
      <c r="B1311" s="41"/>
      <c r="C1311" s="42"/>
      <c r="D1311" s="42"/>
      <c r="E1311" s="42"/>
      <c r="F1311" s="42"/>
      <c r="G1311" s="43">
        <f t="shared" si="985"/>
        <v>0</v>
      </c>
      <c r="H1311" s="41">
        <v>1</v>
      </c>
      <c r="I1311" s="42"/>
      <c r="J1311" s="42"/>
      <c r="K1311" s="42"/>
      <c r="L1311" s="42"/>
      <c r="M1311" s="43">
        <f t="shared" si="986"/>
        <v>1</v>
      </c>
      <c r="N1311" s="42"/>
      <c r="O1311" s="53"/>
      <c r="P1311" s="53"/>
      <c r="Q1311" s="53">
        <v>1</v>
      </c>
      <c r="R1311" s="72"/>
      <c r="S1311" s="24">
        <f t="shared" si="983"/>
        <v>1</v>
      </c>
      <c r="T1311" s="42"/>
      <c r="U1311" s="53"/>
      <c r="V1311" s="53"/>
      <c r="W1311" s="53"/>
      <c r="X1311" s="72"/>
      <c r="Y1311" s="24">
        <f t="shared" si="984"/>
        <v>0</v>
      </c>
      <c r="Z1311" s="24">
        <f t="shared" si="967"/>
        <v>2</v>
      </c>
      <c r="AA1311" s="83">
        <v>45136</v>
      </c>
      <c r="AB1311" s="23"/>
      <c r="AC1311" s="38"/>
      <c r="AD1311" s="39"/>
      <c r="AE1311" s="39"/>
      <c r="AF1311" s="39"/>
      <c r="AG1311" s="39"/>
      <c r="AH1311" s="37">
        <f t="shared" si="973"/>
        <v>0</v>
      </c>
      <c r="AI1311" s="38"/>
      <c r="AJ1311" s="39"/>
      <c r="AK1311" s="39"/>
      <c r="AL1311" s="39"/>
      <c r="AM1311" s="39"/>
      <c r="AN1311" s="37">
        <f t="shared" si="974"/>
        <v>0</v>
      </c>
      <c r="AO1311" s="39"/>
      <c r="AP1311" s="56"/>
      <c r="AQ1311" s="56"/>
      <c r="AR1311" s="56"/>
      <c r="AS1311" s="71"/>
      <c r="AT1311" s="16">
        <f t="shared" si="975"/>
        <v>0</v>
      </c>
      <c r="AU1311" s="39"/>
      <c r="AV1311" s="56"/>
      <c r="AW1311" s="56"/>
      <c r="AX1311" s="56"/>
      <c r="AY1311" s="71"/>
      <c r="AZ1311" s="16">
        <f t="shared" si="976"/>
        <v>0</v>
      </c>
      <c r="BA1311" s="16">
        <f t="shared" si="977"/>
        <v>0</v>
      </c>
      <c r="BB1311" s="128"/>
    </row>
    <row r="1312" spans="1:54" ht="14.25" x14ac:dyDescent="0.15">
      <c r="A1312" s="23" t="s">
        <v>438</v>
      </c>
      <c r="B1312" s="41"/>
      <c r="C1312" s="42">
        <v>1</v>
      </c>
      <c r="D1312" s="42"/>
      <c r="E1312" s="42"/>
      <c r="F1312" s="42"/>
      <c r="G1312" s="43">
        <f t="shared" si="985"/>
        <v>1</v>
      </c>
      <c r="H1312" s="41"/>
      <c r="I1312" s="42"/>
      <c r="J1312" s="42"/>
      <c r="K1312" s="42"/>
      <c r="L1312" s="42"/>
      <c r="M1312" s="43">
        <f t="shared" si="986"/>
        <v>0</v>
      </c>
      <c r="N1312" s="42"/>
      <c r="O1312" s="53">
        <v>1</v>
      </c>
      <c r="P1312" s="53"/>
      <c r="Q1312" s="53"/>
      <c r="R1312" s="72"/>
      <c r="S1312" s="24">
        <f t="shared" si="983"/>
        <v>1</v>
      </c>
      <c r="T1312" s="42"/>
      <c r="U1312" s="53"/>
      <c r="V1312" s="53"/>
      <c r="W1312" s="53"/>
      <c r="X1312" s="72"/>
      <c r="Y1312" s="24">
        <f t="shared" si="984"/>
        <v>0</v>
      </c>
      <c r="Z1312" s="24">
        <f t="shared" si="967"/>
        <v>2</v>
      </c>
      <c r="AA1312" s="83">
        <v>45139</v>
      </c>
      <c r="AB1312" s="23"/>
      <c r="AC1312" s="38"/>
      <c r="AD1312" s="39"/>
      <c r="AE1312" s="39"/>
      <c r="AF1312" s="39"/>
      <c r="AG1312" s="39"/>
      <c r="AH1312" s="37">
        <f t="shared" si="973"/>
        <v>0</v>
      </c>
      <c r="AI1312" s="38"/>
      <c r="AJ1312" s="39"/>
      <c r="AK1312" s="39"/>
      <c r="AL1312" s="39"/>
      <c r="AM1312" s="39"/>
      <c r="AN1312" s="37">
        <f t="shared" si="974"/>
        <v>0</v>
      </c>
      <c r="AO1312" s="39"/>
      <c r="AP1312" s="56"/>
      <c r="AQ1312" s="56"/>
      <c r="AR1312" s="56"/>
      <c r="AS1312" s="71"/>
      <c r="AT1312" s="16">
        <f t="shared" si="975"/>
        <v>0</v>
      </c>
      <c r="AU1312" s="39"/>
      <c r="AV1312" s="56"/>
      <c r="AW1312" s="56"/>
      <c r="AX1312" s="56"/>
      <c r="AY1312" s="71"/>
      <c r="AZ1312" s="16">
        <f t="shared" si="976"/>
        <v>0</v>
      </c>
      <c r="BA1312" s="16">
        <f t="shared" si="977"/>
        <v>0</v>
      </c>
      <c r="BB1312" s="128"/>
    </row>
    <row r="1313" spans="1:54" ht="14.25" x14ac:dyDescent="0.15">
      <c r="A1313" s="23" t="s">
        <v>48</v>
      </c>
      <c r="B1313" s="41"/>
      <c r="C1313" s="42"/>
      <c r="D1313" s="42"/>
      <c r="E1313" s="42">
        <v>1</v>
      </c>
      <c r="F1313" s="42"/>
      <c r="G1313" s="43">
        <f t="shared" si="985"/>
        <v>1</v>
      </c>
      <c r="H1313" s="41"/>
      <c r="I1313" s="42"/>
      <c r="J1313" s="42"/>
      <c r="K1313" s="42"/>
      <c r="L1313" s="42"/>
      <c r="M1313" s="43">
        <f t="shared" si="986"/>
        <v>0</v>
      </c>
      <c r="N1313" s="42"/>
      <c r="O1313" s="53"/>
      <c r="P1313" s="53"/>
      <c r="Q1313" s="53"/>
      <c r="R1313" s="72"/>
      <c r="S1313" s="24">
        <f t="shared" si="983"/>
        <v>0</v>
      </c>
      <c r="T1313" s="42"/>
      <c r="U1313" s="53"/>
      <c r="V1313" s="53">
        <v>1</v>
      </c>
      <c r="W1313" s="53"/>
      <c r="X1313" s="72"/>
      <c r="Y1313" s="24">
        <f t="shared" si="984"/>
        <v>1</v>
      </c>
      <c r="Z1313" s="24">
        <f t="shared" si="967"/>
        <v>2</v>
      </c>
      <c r="AA1313" s="83">
        <v>45138</v>
      </c>
      <c r="AB1313" s="23"/>
      <c r="AC1313" s="38"/>
      <c r="AD1313" s="39"/>
      <c r="AE1313" s="39"/>
      <c r="AF1313" s="39"/>
      <c r="AG1313" s="39"/>
      <c r="AH1313" s="37">
        <f t="shared" si="973"/>
        <v>0</v>
      </c>
      <c r="AI1313" s="38"/>
      <c r="AJ1313" s="39"/>
      <c r="AK1313" s="39"/>
      <c r="AL1313" s="39"/>
      <c r="AM1313" s="39"/>
      <c r="AN1313" s="37">
        <f t="shared" si="974"/>
        <v>0</v>
      </c>
      <c r="AO1313" s="39"/>
      <c r="AP1313" s="56"/>
      <c r="AQ1313" s="56"/>
      <c r="AR1313" s="56"/>
      <c r="AS1313" s="71"/>
      <c r="AT1313" s="16">
        <f t="shared" si="975"/>
        <v>0</v>
      </c>
      <c r="AU1313" s="39"/>
      <c r="AV1313" s="56"/>
      <c r="AW1313" s="56"/>
      <c r="AX1313" s="56"/>
      <c r="AY1313" s="71"/>
      <c r="AZ1313" s="16">
        <f t="shared" si="976"/>
        <v>0</v>
      </c>
      <c r="BA1313" s="16">
        <f t="shared" si="977"/>
        <v>0</v>
      </c>
      <c r="BB1313" s="128"/>
    </row>
    <row r="1314" spans="1:54" ht="14.25" x14ac:dyDescent="0.15">
      <c r="A1314" s="23" t="s">
        <v>438</v>
      </c>
      <c r="B1314" s="41"/>
      <c r="C1314" s="42"/>
      <c r="D1314" s="42"/>
      <c r="E1314" s="42">
        <v>1</v>
      </c>
      <c r="F1314" s="42">
        <v>1</v>
      </c>
      <c r="G1314" s="43">
        <f t="shared" si="985"/>
        <v>2</v>
      </c>
      <c r="H1314" s="41"/>
      <c r="I1314" s="42"/>
      <c r="J1314" s="42"/>
      <c r="K1314" s="42"/>
      <c r="L1314" s="42"/>
      <c r="M1314" s="43">
        <f t="shared" si="986"/>
        <v>0</v>
      </c>
      <c r="N1314" s="42"/>
      <c r="O1314" s="53"/>
      <c r="P1314" s="53"/>
      <c r="Q1314" s="53"/>
      <c r="R1314" s="72"/>
      <c r="S1314" s="24">
        <f t="shared" si="983"/>
        <v>0</v>
      </c>
      <c r="T1314" s="42"/>
      <c r="U1314" s="53">
        <v>1</v>
      </c>
      <c r="V1314" s="53"/>
      <c r="W1314" s="53"/>
      <c r="X1314" s="72"/>
      <c r="Y1314" s="24">
        <f t="shared" si="984"/>
        <v>1</v>
      </c>
      <c r="Z1314" s="24">
        <f t="shared" si="967"/>
        <v>3</v>
      </c>
      <c r="AA1314" s="83">
        <v>45140</v>
      </c>
      <c r="AB1314" s="23"/>
      <c r="AC1314" s="38"/>
      <c r="AD1314" s="39"/>
      <c r="AE1314" s="39"/>
      <c r="AF1314" s="39"/>
      <c r="AG1314" s="39"/>
      <c r="AH1314" s="37">
        <f t="shared" si="973"/>
        <v>0</v>
      </c>
      <c r="AI1314" s="38"/>
      <c r="AJ1314" s="39"/>
      <c r="AK1314" s="39"/>
      <c r="AL1314" s="39"/>
      <c r="AM1314" s="39"/>
      <c r="AN1314" s="37">
        <f t="shared" si="974"/>
        <v>0</v>
      </c>
      <c r="AO1314" s="39"/>
      <c r="AP1314" s="56"/>
      <c r="AQ1314" s="56"/>
      <c r="AR1314" s="56"/>
      <c r="AS1314" s="71"/>
      <c r="AT1314" s="16">
        <f t="shared" si="975"/>
        <v>0</v>
      </c>
      <c r="AU1314" s="39"/>
      <c r="AV1314" s="56"/>
      <c r="AW1314" s="56"/>
      <c r="AX1314" s="56"/>
      <c r="AY1314" s="71"/>
      <c r="AZ1314" s="16">
        <f t="shared" si="976"/>
        <v>0</v>
      </c>
      <c r="BA1314" s="16">
        <f t="shared" si="977"/>
        <v>0</v>
      </c>
      <c r="BB1314" s="128"/>
    </row>
    <row r="1315" spans="1:54" ht="14.25" x14ac:dyDescent="0.15">
      <c r="A1315" s="23" t="s">
        <v>48</v>
      </c>
      <c r="B1315" s="41"/>
      <c r="C1315" s="42"/>
      <c r="D1315" s="42"/>
      <c r="E1315" s="42"/>
      <c r="F1315" s="42">
        <v>1</v>
      </c>
      <c r="G1315" s="43">
        <f t="shared" si="985"/>
        <v>1</v>
      </c>
      <c r="H1315" s="41"/>
      <c r="I1315" s="42"/>
      <c r="J1315" s="42"/>
      <c r="K1315" s="42"/>
      <c r="L1315" s="42"/>
      <c r="M1315" s="43">
        <f t="shared" si="986"/>
        <v>0</v>
      </c>
      <c r="N1315" s="42"/>
      <c r="O1315" s="53"/>
      <c r="P1315" s="53"/>
      <c r="Q1315" s="53"/>
      <c r="R1315" s="72"/>
      <c r="S1315" s="24">
        <f t="shared" si="983"/>
        <v>0</v>
      </c>
      <c r="T1315" s="42"/>
      <c r="U1315" s="53">
        <v>1</v>
      </c>
      <c r="V1315" s="53"/>
      <c r="W1315" s="53"/>
      <c r="X1315" s="72"/>
      <c r="Y1315" s="24">
        <f t="shared" si="984"/>
        <v>1</v>
      </c>
      <c r="Z1315" s="24">
        <f t="shared" si="967"/>
        <v>2</v>
      </c>
      <c r="AA1315" s="83">
        <v>45139</v>
      </c>
      <c r="AB1315" s="23"/>
      <c r="AC1315" s="38"/>
      <c r="AD1315" s="39"/>
      <c r="AE1315" s="39"/>
      <c r="AF1315" s="39"/>
      <c r="AG1315" s="39"/>
      <c r="AH1315" s="37">
        <f t="shared" si="973"/>
        <v>0</v>
      </c>
      <c r="AI1315" s="38"/>
      <c r="AJ1315" s="39"/>
      <c r="AK1315" s="39"/>
      <c r="AL1315" s="39"/>
      <c r="AM1315" s="39"/>
      <c r="AN1315" s="37">
        <f t="shared" si="974"/>
        <v>0</v>
      </c>
      <c r="AO1315" s="39"/>
      <c r="AP1315" s="56"/>
      <c r="AQ1315" s="56"/>
      <c r="AR1315" s="56"/>
      <c r="AS1315" s="71"/>
      <c r="AT1315" s="16">
        <f t="shared" si="975"/>
        <v>0</v>
      </c>
      <c r="AU1315" s="39"/>
      <c r="AV1315" s="56"/>
      <c r="AW1315" s="56"/>
      <c r="AX1315" s="56"/>
      <c r="AY1315" s="71"/>
      <c r="AZ1315" s="16">
        <f t="shared" si="976"/>
        <v>0</v>
      </c>
      <c r="BA1315" s="16">
        <f t="shared" si="977"/>
        <v>0</v>
      </c>
      <c r="BB1315" s="128"/>
    </row>
    <row r="1316" spans="1:54" ht="14.25" x14ac:dyDescent="0.15">
      <c r="A1316" s="23" t="s">
        <v>438</v>
      </c>
      <c r="B1316" s="41"/>
      <c r="C1316" s="42">
        <v>1</v>
      </c>
      <c r="D1316" s="42"/>
      <c r="E1316" s="42"/>
      <c r="F1316" s="42"/>
      <c r="G1316" s="43">
        <f t="shared" si="985"/>
        <v>1</v>
      </c>
      <c r="H1316" s="41"/>
      <c r="I1316" s="42"/>
      <c r="J1316" s="42"/>
      <c r="K1316" s="42"/>
      <c r="L1316" s="42"/>
      <c r="M1316" s="43">
        <f t="shared" si="986"/>
        <v>0</v>
      </c>
      <c r="N1316" s="42"/>
      <c r="O1316" s="53"/>
      <c r="P1316" s="53"/>
      <c r="Q1316" s="53"/>
      <c r="R1316" s="72"/>
      <c r="S1316" s="24">
        <f t="shared" si="983"/>
        <v>0</v>
      </c>
      <c r="T1316" s="42"/>
      <c r="U1316" s="53"/>
      <c r="V1316" s="53"/>
      <c r="W1316" s="53"/>
      <c r="X1316" s="72"/>
      <c r="Y1316" s="24">
        <f t="shared" si="984"/>
        <v>0</v>
      </c>
      <c r="Z1316" s="24">
        <f t="shared" si="967"/>
        <v>1</v>
      </c>
      <c r="AA1316" s="83">
        <v>45141</v>
      </c>
      <c r="AB1316" s="23"/>
      <c r="AC1316" s="38"/>
      <c r="AD1316" s="39"/>
      <c r="AE1316" s="39"/>
      <c r="AF1316" s="39"/>
      <c r="AG1316" s="39"/>
      <c r="AH1316" s="37">
        <f t="shared" si="973"/>
        <v>0</v>
      </c>
      <c r="AI1316" s="38"/>
      <c r="AJ1316" s="39"/>
      <c r="AK1316" s="39"/>
      <c r="AL1316" s="39"/>
      <c r="AM1316" s="39"/>
      <c r="AN1316" s="37">
        <f t="shared" si="974"/>
        <v>0</v>
      </c>
      <c r="AO1316" s="39"/>
      <c r="AP1316" s="56"/>
      <c r="AQ1316" s="56"/>
      <c r="AR1316" s="56"/>
      <c r="AS1316" s="71"/>
      <c r="AT1316" s="16">
        <f t="shared" si="975"/>
        <v>0</v>
      </c>
      <c r="AU1316" s="39"/>
      <c r="AV1316" s="56"/>
      <c r="AW1316" s="56"/>
      <c r="AX1316" s="56"/>
      <c r="AY1316" s="71"/>
      <c r="AZ1316" s="16">
        <f t="shared" si="976"/>
        <v>0</v>
      </c>
      <c r="BA1316" s="16">
        <f t="shared" si="977"/>
        <v>0</v>
      </c>
      <c r="BB1316" s="128"/>
    </row>
    <row r="1317" spans="1:54" ht="14.25" x14ac:dyDescent="0.15">
      <c r="A1317" s="23" t="s">
        <v>48</v>
      </c>
      <c r="B1317" s="41"/>
      <c r="C1317" s="42">
        <v>1</v>
      </c>
      <c r="D1317" s="42"/>
      <c r="E1317" s="42"/>
      <c r="F1317" s="42"/>
      <c r="G1317" s="43">
        <f t="shared" si="985"/>
        <v>1</v>
      </c>
      <c r="H1317" s="41"/>
      <c r="I1317" s="42"/>
      <c r="J1317" s="42"/>
      <c r="K1317" s="42"/>
      <c r="L1317" s="42"/>
      <c r="M1317" s="43">
        <f t="shared" si="986"/>
        <v>0</v>
      </c>
      <c r="N1317" s="42"/>
      <c r="O1317" s="53"/>
      <c r="P1317" s="53"/>
      <c r="Q1317" s="53"/>
      <c r="R1317" s="72"/>
      <c r="S1317" s="24">
        <f t="shared" si="983"/>
        <v>0</v>
      </c>
      <c r="T1317" s="42"/>
      <c r="U1317" s="53"/>
      <c r="V1317" s="53"/>
      <c r="W1317" s="53"/>
      <c r="X1317" s="72"/>
      <c r="Y1317" s="24">
        <f t="shared" si="984"/>
        <v>0</v>
      </c>
      <c r="Z1317" s="24">
        <f t="shared" si="967"/>
        <v>1</v>
      </c>
      <c r="AA1317" s="83">
        <v>45140</v>
      </c>
      <c r="AB1317" s="23"/>
      <c r="AC1317" s="38"/>
      <c r="AD1317" s="39"/>
      <c r="AE1317" s="39"/>
      <c r="AF1317" s="39"/>
      <c r="AG1317" s="39"/>
      <c r="AH1317" s="37">
        <f t="shared" si="973"/>
        <v>0</v>
      </c>
      <c r="AI1317" s="38"/>
      <c r="AJ1317" s="39"/>
      <c r="AK1317" s="39"/>
      <c r="AL1317" s="39"/>
      <c r="AM1317" s="39"/>
      <c r="AN1317" s="37">
        <f t="shared" si="974"/>
        <v>0</v>
      </c>
      <c r="AO1317" s="39"/>
      <c r="AP1317" s="56"/>
      <c r="AQ1317" s="56"/>
      <c r="AR1317" s="56"/>
      <c r="AS1317" s="71"/>
      <c r="AT1317" s="16">
        <f t="shared" si="975"/>
        <v>0</v>
      </c>
      <c r="AU1317" s="39"/>
      <c r="AV1317" s="56"/>
      <c r="AW1317" s="56"/>
      <c r="AX1317" s="56"/>
      <c r="AY1317" s="71"/>
      <c r="AZ1317" s="16">
        <f t="shared" si="976"/>
        <v>0</v>
      </c>
      <c r="BA1317" s="16">
        <f t="shared" si="977"/>
        <v>0</v>
      </c>
      <c r="BB1317" s="128"/>
    </row>
    <row r="1318" spans="1:54" ht="14.25" x14ac:dyDescent="0.15">
      <c r="A1318" s="23" t="s">
        <v>617</v>
      </c>
      <c r="B1318" s="41"/>
      <c r="C1318" s="42">
        <v>-3</v>
      </c>
      <c r="D1318" s="42"/>
      <c r="E1318" s="42">
        <v>-3</v>
      </c>
      <c r="F1318" s="42">
        <v>-3</v>
      </c>
      <c r="G1318" s="43">
        <f t="shared" si="985"/>
        <v>-9</v>
      </c>
      <c r="H1318" s="41"/>
      <c r="I1318" s="42"/>
      <c r="J1318" s="42"/>
      <c r="K1318" s="42"/>
      <c r="L1318" s="42"/>
      <c r="M1318" s="43">
        <f t="shared" si="986"/>
        <v>0</v>
      </c>
      <c r="N1318" s="42"/>
      <c r="O1318" s="53"/>
      <c r="P1318" s="53"/>
      <c r="Q1318" s="53"/>
      <c r="R1318" s="72"/>
      <c r="S1318" s="24">
        <f t="shared" si="983"/>
        <v>0</v>
      </c>
      <c r="T1318" s="42"/>
      <c r="U1318" s="53"/>
      <c r="V1318" s="53"/>
      <c r="W1318" s="53"/>
      <c r="X1318" s="72"/>
      <c r="Y1318" s="24">
        <f t="shared" si="984"/>
        <v>0</v>
      </c>
      <c r="Z1318" s="24">
        <f t="shared" si="967"/>
        <v>-9</v>
      </c>
      <c r="AA1318" s="83">
        <v>45141</v>
      </c>
      <c r="AB1318" s="23"/>
      <c r="AC1318" s="38"/>
      <c r="AD1318" s="39"/>
      <c r="AE1318" s="39"/>
      <c r="AF1318" s="39"/>
      <c r="AG1318" s="39"/>
      <c r="AH1318" s="37">
        <f t="shared" si="973"/>
        <v>0</v>
      </c>
      <c r="AI1318" s="38"/>
      <c r="AJ1318" s="39"/>
      <c r="AK1318" s="39"/>
      <c r="AL1318" s="39"/>
      <c r="AM1318" s="39"/>
      <c r="AN1318" s="37">
        <f t="shared" si="974"/>
        <v>0</v>
      </c>
      <c r="AO1318" s="39"/>
      <c r="AP1318" s="56"/>
      <c r="AQ1318" s="56"/>
      <c r="AR1318" s="56"/>
      <c r="AS1318" s="71"/>
      <c r="AT1318" s="16">
        <f t="shared" si="975"/>
        <v>0</v>
      </c>
      <c r="AU1318" s="39"/>
      <c r="AV1318" s="56"/>
      <c r="AW1318" s="56"/>
      <c r="AX1318" s="56"/>
      <c r="AY1318" s="71"/>
      <c r="AZ1318" s="16">
        <f t="shared" si="976"/>
        <v>0</v>
      </c>
      <c r="BA1318" s="16">
        <f t="shared" si="977"/>
        <v>0</v>
      </c>
      <c r="BB1318" s="128"/>
    </row>
    <row r="1319" spans="1:54" ht="14.25" x14ac:dyDescent="0.15">
      <c r="A1319" s="23" t="s">
        <v>438</v>
      </c>
      <c r="B1319" s="41"/>
      <c r="C1319" s="42"/>
      <c r="D1319" s="42"/>
      <c r="E1319" s="42"/>
      <c r="F1319" s="42"/>
      <c r="G1319" s="43">
        <f t="shared" si="985"/>
        <v>0</v>
      </c>
      <c r="H1319" s="41"/>
      <c r="I1319" s="42"/>
      <c r="J1319" s="42"/>
      <c r="K1319" s="42"/>
      <c r="L1319" s="42"/>
      <c r="M1319" s="43">
        <f t="shared" si="986"/>
        <v>0</v>
      </c>
      <c r="N1319" s="42"/>
      <c r="O1319" s="53"/>
      <c r="P1319" s="53"/>
      <c r="Q1319" s="53"/>
      <c r="R1319" s="72">
        <v>1</v>
      </c>
      <c r="S1319" s="24">
        <f t="shared" si="983"/>
        <v>1</v>
      </c>
      <c r="T1319" s="42"/>
      <c r="U1319" s="53"/>
      <c r="V1319" s="53"/>
      <c r="W1319" s="53"/>
      <c r="X1319" s="72"/>
      <c r="Y1319" s="24">
        <f t="shared" si="984"/>
        <v>0</v>
      </c>
      <c r="Z1319" s="24">
        <f t="shared" si="967"/>
        <v>1</v>
      </c>
      <c r="AA1319" s="83">
        <v>45142</v>
      </c>
      <c r="AB1319" s="23"/>
      <c r="AC1319" s="38"/>
      <c r="AD1319" s="39"/>
      <c r="AE1319" s="39"/>
      <c r="AF1319" s="39"/>
      <c r="AG1319" s="39"/>
      <c r="AH1319" s="37">
        <f t="shared" si="973"/>
        <v>0</v>
      </c>
      <c r="AI1319" s="38"/>
      <c r="AJ1319" s="39"/>
      <c r="AK1319" s="39"/>
      <c r="AL1319" s="39"/>
      <c r="AM1319" s="39"/>
      <c r="AN1319" s="37">
        <f t="shared" si="974"/>
        <v>0</v>
      </c>
      <c r="AO1319" s="39"/>
      <c r="AP1319" s="56"/>
      <c r="AQ1319" s="56"/>
      <c r="AR1319" s="56"/>
      <c r="AS1319" s="71"/>
      <c r="AT1319" s="16">
        <f t="shared" si="975"/>
        <v>0</v>
      </c>
      <c r="AU1319" s="39"/>
      <c r="AV1319" s="56"/>
      <c r="AW1319" s="56"/>
      <c r="AX1319" s="56"/>
      <c r="AY1319" s="71"/>
      <c r="AZ1319" s="16">
        <f t="shared" si="976"/>
        <v>0</v>
      </c>
      <c r="BA1319" s="16">
        <f t="shared" si="977"/>
        <v>0</v>
      </c>
      <c r="BB1319" s="128"/>
    </row>
    <row r="1320" spans="1:54" ht="14.25" x14ac:dyDescent="0.15">
      <c r="A1320" s="23" t="s">
        <v>48</v>
      </c>
      <c r="B1320" s="41"/>
      <c r="C1320" s="42">
        <v>1</v>
      </c>
      <c r="D1320" s="42"/>
      <c r="E1320" s="42"/>
      <c r="F1320" s="42"/>
      <c r="G1320" s="43">
        <f t="shared" si="985"/>
        <v>1</v>
      </c>
      <c r="H1320" s="41"/>
      <c r="I1320" s="42"/>
      <c r="J1320" s="42"/>
      <c r="K1320" s="42"/>
      <c r="L1320" s="42"/>
      <c r="M1320" s="43">
        <f t="shared" si="986"/>
        <v>0</v>
      </c>
      <c r="N1320" s="42"/>
      <c r="O1320" s="53"/>
      <c r="P1320" s="53"/>
      <c r="Q1320" s="53"/>
      <c r="R1320" s="72"/>
      <c r="S1320" s="24">
        <f t="shared" si="983"/>
        <v>0</v>
      </c>
      <c r="T1320" s="42"/>
      <c r="U1320" s="53"/>
      <c r="V1320" s="53"/>
      <c r="W1320" s="53"/>
      <c r="X1320" s="72"/>
      <c r="Y1320" s="24">
        <f t="shared" si="984"/>
        <v>0</v>
      </c>
      <c r="Z1320" s="24">
        <f t="shared" si="967"/>
        <v>1</v>
      </c>
      <c r="AA1320" s="83">
        <v>45142</v>
      </c>
      <c r="AB1320" s="23"/>
      <c r="AC1320" s="38"/>
      <c r="AD1320" s="39"/>
      <c r="AE1320" s="39"/>
      <c r="AF1320" s="39"/>
      <c r="AG1320" s="39"/>
      <c r="AH1320" s="37">
        <f t="shared" ref="AH1320:AH1322" si="995">SUM(AC1320:AG1320)</f>
        <v>0</v>
      </c>
      <c r="AI1320" s="38"/>
      <c r="AJ1320" s="39"/>
      <c r="AK1320" s="39"/>
      <c r="AL1320" s="39"/>
      <c r="AM1320" s="39"/>
      <c r="AN1320" s="37">
        <f t="shared" ref="AN1320:AN1322" si="996">SUM(AI1320:AM1320)</f>
        <v>0</v>
      </c>
      <c r="AO1320" s="39"/>
      <c r="AP1320" s="56"/>
      <c r="AQ1320" s="56"/>
      <c r="AR1320" s="56"/>
      <c r="AS1320" s="71"/>
      <c r="AT1320" s="16">
        <f t="shared" ref="AT1320:AT1322" si="997">SUM(AO1320:AS1320)</f>
        <v>0</v>
      </c>
      <c r="AU1320" s="39"/>
      <c r="AV1320" s="56"/>
      <c r="AW1320" s="56"/>
      <c r="AX1320" s="56"/>
      <c r="AY1320" s="71"/>
      <c r="AZ1320" s="16">
        <f t="shared" ref="AZ1320:AZ1322" si="998">SUM(AU1320:AY1320)</f>
        <v>0</v>
      </c>
      <c r="BA1320" s="16">
        <f t="shared" ref="BA1320:BA1322" si="999">AH1320+AN1320+AT1320+AZ1320</f>
        <v>0</v>
      </c>
      <c r="BB1320" s="128"/>
    </row>
    <row r="1321" spans="1:54" ht="14.25" x14ac:dyDescent="0.15">
      <c r="A1321" s="23" t="s">
        <v>48</v>
      </c>
      <c r="B1321" s="41"/>
      <c r="C1321" s="42"/>
      <c r="D1321" s="42"/>
      <c r="E1321" s="42"/>
      <c r="F1321" s="42"/>
      <c r="G1321" s="43">
        <f t="shared" si="978"/>
        <v>0</v>
      </c>
      <c r="H1321" s="41"/>
      <c r="I1321" s="42"/>
      <c r="J1321" s="42"/>
      <c r="K1321" s="42"/>
      <c r="L1321" s="42"/>
      <c r="M1321" s="43">
        <f t="shared" ref="M1321:M1322" si="1000">SUM(H1321:L1321)</f>
        <v>0</v>
      </c>
      <c r="N1321" s="42"/>
      <c r="O1321" s="53"/>
      <c r="P1321" s="53"/>
      <c r="Q1321" s="53"/>
      <c r="R1321" s="72"/>
      <c r="S1321" s="24">
        <f>SUM(N1321:R1321)</f>
        <v>0</v>
      </c>
      <c r="T1321" s="42"/>
      <c r="U1321" s="53">
        <v>1</v>
      </c>
      <c r="V1321" s="53"/>
      <c r="W1321" s="53"/>
      <c r="X1321" s="72"/>
      <c r="Y1321" s="24">
        <f>SUM(T1321:X1321)</f>
        <v>1</v>
      </c>
      <c r="Z1321" s="24">
        <f>G1321+M1321+S1321+Y1321</f>
        <v>1</v>
      </c>
      <c r="AA1321" s="83">
        <v>45143</v>
      </c>
      <c r="AB1321" s="23"/>
      <c r="AC1321" s="38"/>
      <c r="AD1321" s="39"/>
      <c r="AE1321" s="39"/>
      <c r="AF1321" s="39"/>
      <c r="AG1321" s="39"/>
      <c r="AH1321" s="37">
        <f t="shared" si="995"/>
        <v>0</v>
      </c>
      <c r="AI1321" s="38"/>
      <c r="AJ1321" s="39"/>
      <c r="AK1321" s="39"/>
      <c r="AL1321" s="39"/>
      <c r="AM1321" s="39"/>
      <c r="AN1321" s="37">
        <f t="shared" si="996"/>
        <v>0</v>
      </c>
      <c r="AO1321" s="39"/>
      <c r="AP1321" s="56"/>
      <c r="AQ1321" s="56"/>
      <c r="AR1321" s="56"/>
      <c r="AS1321" s="71"/>
      <c r="AT1321" s="16">
        <f t="shared" si="997"/>
        <v>0</v>
      </c>
      <c r="AU1321" s="39"/>
      <c r="AV1321" s="56"/>
      <c r="AW1321" s="56"/>
      <c r="AX1321" s="56"/>
      <c r="AY1321" s="71"/>
      <c r="AZ1321" s="16">
        <f t="shared" si="998"/>
        <v>0</v>
      </c>
      <c r="BA1321" s="16">
        <f t="shared" si="999"/>
        <v>0</v>
      </c>
      <c r="BB1321" s="128"/>
    </row>
    <row r="1322" spans="1:54" ht="15" thickBot="1" x14ac:dyDescent="0.2">
      <c r="A1322" s="23" t="s">
        <v>438</v>
      </c>
      <c r="B1322" s="44"/>
      <c r="C1322" s="45"/>
      <c r="D1322" s="45"/>
      <c r="E1322" s="45">
        <v>1</v>
      </c>
      <c r="F1322" s="45">
        <v>1</v>
      </c>
      <c r="G1322" s="43">
        <f t="shared" si="978"/>
        <v>2</v>
      </c>
      <c r="H1322" s="44"/>
      <c r="I1322" s="45"/>
      <c r="J1322" s="45"/>
      <c r="K1322" s="45"/>
      <c r="L1322" s="45"/>
      <c r="M1322" s="112">
        <f t="shared" si="1000"/>
        <v>0</v>
      </c>
      <c r="N1322" s="45"/>
      <c r="O1322" s="78"/>
      <c r="P1322" s="78"/>
      <c r="Q1322" s="78"/>
      <c r="R1322" s="79"/>
      <c r="S1322" s="113">
        <f>SUM(N1322:R1322)</f>
        <v>0</v>
      </c>
      <c r="T1322" s="45">
        <v>1</v>
      </c>
      <c r="U1322" s="78"/>
      <c r="V1322" s="78">
        <v>1</v>
      </c>
      <c r="W1322" s="78">
        <v>1</v>
      </c>
      <c r="X1322" s="79"/>
      <c r="Y1322" s="113">
        <f>SUM(T1322:X1322)</f>
        <v>3</v>
      </c>
      <c r="Z1322" s="82">
        <f>G1322+M1322+S1322+Y1322</f>
        <v>5</v>
      </c>
      <c r="AA1322" s="83">
        <v>45146</v>
      </c>
      <c r="AB1322" s="23"/>
      <c r="AC1322" s="38"/>
      <c r="AD1322" s="39"/>
      <c r="AE1322" s="39"/>
      <c r="AF1322" s="39"/>
      <c r="AG1322" s="39"/>
      <c r="AH1322" s="37">
        <f t="shared" si="995"/>
        <v>0</v>
      </c>
      <c r="AI1322" s="38"/>
      <c r="AJ1322" s="39"/>
      <c r="AK1322" s="39"/>
      <c r="AL1322" s="39"/>
      <c r="AM1322" s="39"/>
      <c r="AN1322" s="37">
        <f t="shared" si="996"/>
        <v>0</v>
      </c>
      <c r="AO1322" s="39"/>
      <c r="AP1322" s="56"/>
      <c r="AQ1322" s="56"/>
      <c r="AR1322" s="56"/>
      <c r="AS1322" s="71"/>
      <c r="AT1322" s="16">
        <f t="shared" si="997"/>
        <v>0</v>
      </c>
      <c r="AU1322" s="39"/>
      <c r="AV1322" s="56"/>
      <c r="AW1322" s="56"/>
      <c r="AX1322" s="56"/>
      <c r="AY1322" s="71"/>
      <c r="AZ1322" s="16">
        <f t="shared" si="998"/>
        <v>0</v>
      </c>
      <c r="BA1322" s="16">
        <f t="shared" si="999"/>
        <v>0</v>
      </c>
      <c r="BB1322" s="128"/>
    </row>
    <row r="1323" spans="1:54" ht="15" thickBot="1" x14ac:dyDescent="0.2">
      <c r="A1323" s="9" t="s">
        <v>13</v>
      </c>
      <c r="B1323" s="25">
        <f>SUM(B1297:B1322)</f>
        <v>0</v>
      </c>
      <c r="C1323" s="26">
        <f>SUM(C1297:C1322)</f>
        <v>3</v>
      </c>
      <c r="D1323" s="26">
        <f>SUM(D1297:D1322)</f>
        <v>4</v>
      </c>
      <c r="E1323" s="26">
        <f>SUM(E1297:E1322)</f>
        <v>3</v>
      </c>
      <c r="F1323" s="27">
        <f>SUM(F1297:F1322)</f>
        <v>4</v>
      </c>
      <c r="G1323" s="19">
        <f>SUM(B1323:F1323)</f>
        <v>14</v>
      </c>
      <c r="H1323" s="25">
        <f>SUM(H1297:H1322)</f>
        <v>1</v>
      </c>
      <c r="I1323" s="26">
        <f>SUM(I1297:I1322)</f>
        <v>1</v>
      </c>
      <c r="J1323" s="26">
        <f>SUM(J1297:J1322)</f>
        <v>1</v>
      </c>
      <c r="K1323" s="26">
        <f>SUM(K1297:K1322)</f>
        <v>1</v>
      </c>
      <c r="L1323" s="27">
        <f>SUM(L1297:L1322)</f>
        <v>0</v>
      </c>
      <c r="M1323" s="25">
        <f>SUM(H1323:L1323)</f>
        <v>4</v>
      </c>
      <c r="N1323" s="65">
        <f>SUM(N1297:N1322)</f>
        <v>1</v>
      </c>
      <c r="O1323" s="18">
        <f>SUM(O1297:O1322)</f>
        <v>1</v>
      </c>
      <c r="P1323" s="18">
        <f>SUM(P1297:P1322)</f>
        <v>0</v>
      </c>
      <c r="Q1323" s="18">
        <f>SUM(Q1297:Q1322)</f>
        <v>1</v>
      </c>
      <c r="R1323" s="70">
        <f>SUM(R1297:R1322)</f>
        <v>1</v>
      </c>
      <c r="S1323" s="49">
        <f>SUM(N1323:R1323)</f>
        <v>4</v>
      </c>
      <c r="T1323" s="74">
        <f>SUM(T1297:T1322)</f>
        <v>1</v>
      </c>
      <c r="U1323" s="18">
        <f>SUM(U1297:U1322)</f>
        <v>5</v>
      </c>
      <c r="V1323" s="18">
        <f>SUM(V1297:V1322)</f>
        <v>3</v>
      </c>
      <c r="W1323" s="18">
        <f>SUM(W1297:W1322)</f>
        <v>1</v>
      </c>
      <c r="X1323" s="70">
        <f>SUM(X1297:X1322)</f>
        <v>0</v>
      </c>
      <c r="Y1323" s="49">
        <f>SUM(T1323:X1323)</f>
        <v>10</v>
      </c>
      <c r="Z1323" s="137">
        <f>G1323+M1323+S1323+Y1323</f>
        <v>32</v>
      </c>
      <c r="AB1323" s="9" t="s">
        <v>13</v>
      </c>
      <c r="AC1323" s="25">
        <f>SUM(AC1297:AC1322)</f>
        <v>0</v>
      </c>
      <c r="AD1323" s="26">
        <f>SUM(AD1297:AD1322)</f>
        <v>6</v>
      </c>
      <c r="AE1323" s="26">
        <f>SUM(AE1297:AE1322)</f>
        <v>3</v>
      </c>
      <c r="AF1323" s="26">
        <f>SUM(AF1297:AF1322)</f>
        <v>5</v>
      </c>
      <c r="AG1323" s="27">
        <f>SUM(AG1297:AG1322)</f>
        <v>6</v>
      </c>
      <c r="AH1323" s="19">
        <f t="shared" ref="AH1323" si="1001">SUM(AC1323:AG1323)</f>
        <v>20</v>
      </c>
      <c r="AI1323" s="25">
        <f>SUM(AI1297:AI1322)</f>
        <v>0</v>
      </c>
      <c r="AJ1323" s="26">
        <f>SUM(AJ1297:AJ1322)</f>
        <v>0</v>
      </c>
      <c r="AK1323" s="26">
        <f>SUM(AK1297:AK1322)</f>
        <v>3</v>
      </c>
      <c r="AL1323" s="26">
        <f>SUM(AL1297:AL1322)</f>
        <v>2</v>
      </c>
      <c r="AM1323" s="27">
        <f>SUM(AM1297:AM1322)</f>
        <v>0</v>
      </c>
      <c r="AN1323" s="25">
        <f t="shared" ref="AN1323" si="1002">SUM(AI1323:AM1323)</f>
        <v>5</v>
      </c>
      <c r="AO1323" s="65">
        <f>SUM(AO1297:AO1322)</f>
        <v>2</v>
      </c>
      <c r="AP1323" s="18">
        <f>SUM(AP1297:AP1322)</f>
        <v>0</v>
      </c>
      <c r="AQ1323" s="18">
        <f>SUM(AQ1297:AQ1322)</f>
        <v>0</v>
      </c>
      <c r="AR1323" s="18">
        <f>SUM(AR1297:AR1322)</f>
        <v>0</v>
      </c>
      <c r="AS1323" s="70">
        <f>SUM(AS1297:AS1322)</f>
        <v>0</v>
      </c>
      <c r="AT1323" s="49">
        <f t="shared" ref="AT1323" si="1003">SUM(AO1323:AS1323)</f>
        <v>2</v>
      </c>
      <c r="AU1323" s="74">
        <f>SUM(AU1297:AU1322)</f>
        <v>0</v>
      </c>
      <c r="AV1323" s="18">
        <f>SUM(AV1297:AV1322)</f>
        <v>3</v>
      </c>
      <c r="AW1323" s="18">
        <f>SUM(AW1297:AW1322)</f>
        <v>3</v>
      </c>
      <c r="AX1323" s="18">
        <f>SUM(AX1297:AX1322)</f>
        <v>0</v>
      </c>
      <c r="AY1323" s="70">
        <f>SUM(AY1297:AY1322)</f>
        <v>0</v>
      </c>
      <c r="AZ1323" s="49">
        <f t="shared" ref="AZ1323" si="1004">SUM(AU1323:AY1323)</f>
        <v>6</v>
      </c>
      <c r="BA1323" s="77">
        <f t="shared" si="977"/>
        <v>33</v>
      </c>
    </row>
    <row r="1324" spans="1:54" ht="15" thickBot="1" x14ac:dyDescent="0.2">
      <c r="A1324" s="32" t="s">
        <v>14</v>
      </c>
      <c r="B1324" s="29">
        <f t="shared" ref="B1324:Y1324" si="1005">B1296-B1323</f>
        <v>4</v>
      </c>
      <c r="C1324" s="30">
        <f t="shared" si="1005"/>
        <v>4</v>
      </c>
      <c r="D1324" s="30">
        <f t="shared" si="1005"/>
        <v>6</v>
      </c>
      <c r="E1324" s="30">
        <f t="shared" si="1005"/>
        <v>4</v>
      </c>
      <c r="F1324" s="31">
        <f t="shared" si="1005"/>
        <v>4</v>
      </c>
      <c r="G1324" s="31">
        <f t="shared" si="1005"/>
        <v>22</v>
      </c>
      <c r="H1324" s="29">
        <f t="shared" si="1005"/>
        <v>5</v>
      </c>
      <c r="I1324" s="30">
        <f t="shared" si="1005"/>
        <v>5</v>
      </c>
      <c r="J1324" s="30">
        <f t="shared" si="1005"/>
        <v>6</v>
      </c>
      <c r="K1324" s="30">
        <f t="shared" si="1005"/>
        <v>5</v>
      </c>
      <c r="L1324" s="31">
        <f t="shared" si="1005"/>
        <v>4</v>
      </c>
      <c r="M1324" s="66">
        <f t="shared" si="1005"/>
        <v>25</v>
      </c>
      <c r="N1324" s="29">
        <f t="shared" si="1005"/>
        <v>5</v>
      </c>
      <c r="O1324" s="30">
        <f t="shared" si="1005"/>
        <v>3</v>
      </c>
      <c r="P1324" s="30">
        <f t="shared" si="1005"/>
        <v>5</v>
      </c>
      <c r="Q1324" s="30">
        <f t="shared" si="1005"/>
        <v>5</v>
      </c>
      <c r="R1324" s="66">
        <f t="shared" si="1005"/>
        <v>4</v>
      </c>
      <c r="S1324" s="33">
        <f t="shared" si="1005"/>
        <v>22</v>
      </c>
      <c r="T1324" s="75">
        <f t="shared" si="1005"/>
        <v>3</v>
      </c>
      <c r="U1324" s="30">
        <f t="shared" si="1005"/>
        <v>2</v>
      </c>
      <c r="V1324" s="30">
        <f t="shared" si="1005"/>
        <v>4</v>
      </c>
      <c r="W1324" s="30">
        <f t="shared" si="1005"/>
        <v>5</v>
      </c>
      <c r="X1324" s="66">
        <f t="shared" si="1005"/>
        <v>5</v>
      </c>
      <c r="Y1324" s="33">
        <f t="shared" si="1005"/>
        <v>19</v>
      </c>
      <c r="Z1324" s="77">
        <f>G1324+M1324+S1324+Y1324</f>
        <v>88</v>
      </c>
      <c r="AB1324" s="32" t="s">
        <v>14</v>
      </c>
      <c r="AC1324" s="29">
        <f t="shared" ref="AC1324:AZ1324" si="1006">AC1296-AC1323</f>
        <v>115</v>
      </c>
      <c r="AD1324" s="30">
        <f t="shared" si="1006"/>
        <v>94</v>
      </c>
      <c r="AE1324" s="30">
        <f t="shared" si="1006"/>
        <v>95</v>
      </c>
      <c r="AF1324" s="30">
        <f t="shared" si="1006"/>
        <v>70</v>
      </c>
      <c r="AG1324" s="31">
        <f t="shared" si="1006"/>
        <v>50</v>
      </c>
      <c r="AH1324" s="31">
        <f t="shared" si="1006"/>
        <v>424</v>
      </c>
      <c r="AI1324" s="29">
        <f t="shared" si="1006"/>
        <v>87</v>
      </c>
      <c r="AJ1324" s="30">
        <f t="shared" si="1006"/>
        <v>91</v>
      </c>
      <c r="AK1324" s="30">
        <f t="shared" si="1006"/>
        <v>93</v>
      </c>
      <c r="AL1324" s="30">
        <f t="shared" si="1006"/>
        <v>78</v>
      </c>
      <c r="AM1324" s="31">
        <f t="shared" si="1006"/>
        <v>91</v>
      </c>
      <c r="AN1324" s="66">
        <f t="shared" si="1006"/>
        <v>440</v>
      </c>
      <c r="AO1324" s="29">
        <f t="shared" si="1006"/>
        <v>148</v>
      </c>
      <c r="AP1324" s="30">
        <f t="shared" si="1006"/>
        <v>115</v>
      </c>
      <c r="AQ1324" s="30">
        <f t="shared" si="1006"/>
        <v>117</v>
      </c>
      <c r="AR1324" s="30">
        <f t="shared" si="1006"/>
        <v>127</v>
      </c>
      <c r="AS1324" s="66">
        <f t="shared" si="1006"/>
        <v>134</v>
      </c>
      <c r="AT1324" s="33">
        <f t="shared" si="1006"/>
        <v>641</v>
      </c>
      <c r="AU1324" s="75">
        <f t="shared" si="1006"/>
        <v>115</v>
      </c>
      <c r="AV1324" s="30">
        <f t="shared" si="1006"/>
        <v>63</v>
      </c>
      <c r="AW1324" s="30">
        <f t="shared" si="1006"/>
        <v>44</v>
      </c>
      <c r="AX1324" s="30">
        <f t="shared" si="1006"/>
        <v>33</v>
      </c>
      <c r="AY1324" s="66">
        <f t="shared" si="1006"/>
        <v>83</v>
      </c>
      <c r="AZ1324" s="33">
        <f t="shared" si="1006"/>
        <v>338</v>
      </c>
      <c r="BA1324" s="77">
        <f t="shared" si="977"/>
        <v>1843</v>
      </c>
    </row>
    <row r="1327" spans="1:54" ht="19.5" thickBot="1" x14ac:dyDescent="0.25">
      <c r="A1327" s="1" t="s">
        <v>15</v>
      </c>
      <c r="AB1327" s="1" t="s">
        <v>16</v>
      </c>
    </row>
    <row r="1328" spans="1:54" ht="15" thickBot="1" x14ac:dyDescent="0.2">
      <c r="A1328" s="4"/>
      <c r="B1328" s="245" t="s">
        <v>17</v>
      </c>
      <c r="C1328" s="246"/>
      <c r="D1328" s="246"/>
      <c r="E1328" s="246"/>
      <c r="F1328" s="246"/>
      <c r="G1328" s="247"/>
      <c r="H1328" s="245" t="s">
        <v>18</v>
      </c>
      <c r="I1328" s="246"/>
      <c r="J1328" s="246"/>
      <c r="K1328" s="246"/>
      <c r="L1328" s="246"/>
      <c r="M1328" s="247"/>
      <c r="N1328" s="248" t="s">
        <v>27</v>
      </c>
      <c r="O1328" s="249"/>
      <c r="P1328" s="249"/>
      <c r="Q1328" s="249"/>
      <c r="R1328" s="249"/>
      <c r="S1328" s="250"/>
      <c r="T1328" s="248" t="s">
        <v>28</v>
      </c>
      <c r="U1328" s="249"/>
      <c r="V1328" s="249"/>
      <c r="W1328" s="249"/>
      <c r="X1328" s="249"/>
      <c r="Y1328" s="250"/>
      <c r="Z1328" s="251" t="s">
        <v>1</v>
      </c>
      <c r="AB1328" s="4"/>
      <c r="AC1328" s="253" t="s">
        <v>17</v>
      </c>
      <c r="AD1328" s="249"/>
      <c r="AE1328" s="249"/>
      <c r="AF1328" s="249"/>
      <c r="AG1328" s="249"/>
      <c r="AH1328" s="250"/>
      <c r="AI1328" s="248" t="s">
        <v>18</v>
      </c>
      <c r="AJ1328" s="249"/>
      <c r="AK1328" s="249"/>
      <c r="AL1328" s="249"/>
      <c r="AM1328" s="249"/>
      <c r="AN1328" s="250"/>
      <c r="AO1328" s="248" t="s">
        <v>27</v>
      </c>
      <c r="AP1328" s="249"/>
      <c r="AQ1328" s="249"/>
      <c r="AR1328" s="249"/>
      <c r="AS1328" s="249"/>
      <c r="AT1328" s="250"/>
      <c r="AU1328" s="248" t="s">
        <v>28</v>
      </c>
      <c r="AV1328" s="249"/>
      <c r="AW1328" s="249"/>
      <c r="AX1328" s="249"/>
      <c r="AY1328" s="249"/>
      <c r="AZ1328" s="250"/>
      <c r="BA1328" s="243" t="s">
        <v>1</v>
      </c>
    </row>
    <row r="1329" spans="1:54" ht="15" thickBot="1" x14ac:dyDescent="0.2">
      <c r="A1329" s="9" t="s">
        <v>2</v>
      </c>
      <c r="B1329" s="6" t="s">
        <v>3</v>
      </c>
      <c r="C1329" s="7" t="s">
        <v>4</v>
      </c>
      <c r="D1329" s="7" t="s">
        <v>5</v>
      </c>
      <c r="E1329" s="48" t="s">
        <v>20</v>
      </c>
      <c r="F1329" s="8" t="s">
        <v>21</v>
      </c>
      <c r="G1329" s="5" t="s">
        <v>6</v>
      </c>
      <c r="H1329" s="6" t="s">
        <v>3</v>
      </c>
      <c r="I1329" s="7" t="s">
        <v>4</v>
      </c>
      <c r="J1329" s="7" t="s">
        <v>5</v>
      </c>
      <c r="K1329" s="48" t="s">
        <v>20</v>
      </c>
      <c r="L1329" s="8" t="s">
        <v>21</v>
      </c>
      <c r="M1329" s="5" t="s">
        <v>6</v>
      </c>
      <c r="N1329" s="6" t="s">
        <v>3</v>
      </c>
      <c r="O1329" s="7" t="s">
        <v>4</v>
      </c>
      <c r="P1329" s="7" t="s">
        <v>5</v>
      </c>
      <c r="Q1329" s="48" t="s">
        <v>20</v>
      </c>
      <c r="R1329" s="8" t="s">
        <v>21</v>
      </c>
      <c r="S1329" s="5" t="s">
        <v>6</v>
      </c>
      <c r="T1329" s="7" t="s">
        <v>3</v>
      </c>
      <c r="U1329" s="7" t="s">
        <v>4</v>
      </c>
      <c r="V1329" s="7" t="s">
        <v>5</v>
      </c>
      <c r="W1329" s="48" t="s">
        <v>20</v>
      </c>
      <c r="X1329" s="109" t="s">
        <v>21</v>
      </c>
      <c r="Y1329" s="62" t="s">
        <v>6</v>
      </c>
      <c r="Z1329" s="252"/>
      <c r="AB1329" s="9" t="s">
        <v>2</v>
      </c>
      <c r="AC1329" s="6" t="s">
        <v>3</v>
      </c>
      <c r="AD1329" s="7" t="s">
        <v>4</v>
      </c>
      <c r="AE1329" s="7" t="s">
        <v>5</v>
      </c>
      <c r="AF1329" s="48" t="s">
        <v>20</v>
      </c>
      <c r="AG1329" s="8" t="s">
        <v>21</v>
      </c>
      <c r="AH1329" s="5" t="s">
        <v>6</v>
      </c>
      <c r="AI1329" s="6" t="s">
        <v>3</v>
      </c>
      <c r="AJ1329" s="7" t="s">
        <v>4</v>
      </c>
      <c r="AK1329" s="7" t="s">
        <v>5</v>
      </c>
      <c r="AL1329" s="48" t="s">
        <v>20</v>
      </c>
      <c r="AM1329" s="8" t="s">
        <v>21</v>
      </c>
      <c r="AN1329" s="5" t="s">
        <v>6</v>
      </c>
      <c r="AO1329" s="6" t="s">
        <v>3</v>
      </c>
      <c r="AP1329" s="7" t="s">
        <v>4</v>
      </c>
      <c r="AQ1329" s="7" t="s">
        <v>5</v>
      </c>
      <c r="AR1329" s="48" t="s">
        <v>20</v>
      </c>
      <c r="AS1329" s="8" t="s">
        <v>21</v>
      </c>
      <c r="AT1329" s="5" t="s">
        <v>6</v>
      </c>
      <c r="AU1329" s="7" t="s">
        <v>3</v>
      </c>
      <c r="AV1329" s="7" t="s">
        <v>4</v>
      </c>
      <c r="AW1329" s="7" t="s">
        <v>5</v>
      </c>
      <c r="AX1329" s="48" t="s">
        <v>20</v>
      </c>
      <c r="AY1329" s="109" t="s">
        <v>21</v>
      </c>
      <c r="AZ1329" s="62" t="s">
        <v>6</v>
      </c>
      <c r="BA1329" s="244"/>
    </row>
    <row r="1330" spans="1:54" ht="14.25" x14ac:dyDescent="0.15">
      <c r="A1330" s="103" t="s">
        <v>43</v>
      </c>
      <c r="B1330" s="104">
        <f>B1324</f>
        <v>4</v>
      </c>
      <c r="C1330" s="105">
        <f>C1324</f>
        <v>4</v>
      </c>
      <c r="D1330" s="105">
        <f>D1324</f>
        <v>6</v>
      </c>
      <c r="E1330" s="105">
        <f>E1324</f>
        <v>4</v>
      </c>
      <c r="F1330" s="105">
        <f>F1324</f>
        <v>4</v>
      </c>
      <c r="G1330" s="106">
        <f t="shared" ref="G1330" si="1007">SUM(B1330:F1330)</f>
        <v>22</v>
      </c>
      <c r="H1330" s="104">
        <f>H1324</f>
        <v>5</v>
      </c>
      <c r="I1330" s="105">
        <f>I1324</f>
        <v>5</v>
      </c>
      <c r="J1330" s="105">
        <f>J1324</f>
        <v>6</v>
      </c>
      <c r="K1330" s="105">
        <f>K1324</f>
        <v>5</v>
      </c>
      <c r="L1330" s="105">
        <f>L1324</f>
        <v>4</v>
      </c>
      <c r="M1330" s="107">
        <f t="shared" ref="M1330:M1332" si="1008">SUM(H1330:L1330)</f>
        <v>25</v>
      </c>
      <c r="N1330" s="104">
        <f>N1324</f>
        <v>5</v>
      </c>
      <c r="O1330" s="105">
        <f>O1324</f>
        <v>3</v>
      </c>
      <c r="P1330" s="105">
        <f>P1324</f>
        <v>5</v>
      </c>
      <c r="Q1330" s="105">
        <f>Q1324</f>
        <v>5</v>
      </c>
      <c r="R1330" s="105">
        <f>R1324</f>
        <v>4</v>
      </c>
      <c r="S1330" s="108">
        <f t="shared" ref="S1330:S1332" si="1009">SUM(N1330:R1330)</f>
        <v>22</v>
      </c>
      <c r="T1330" s="104">
        <f>T1324</f>
        <v>3</v>
      </c>
      <c r="U1330" s="105">
        <f>U1324</f>
        <v>2</v>
      </c>
      <c r="V1330" s="105">
        <f>V1324</f>
        <v>4</v>
      </c>
      <c r="W1330" s="105">
        <f>W1324</f>
        <v>5</v>
      </c>
      <c r="X1330" s="105">
        <f>X1324</f>
        <v>5</v>
      </c>
      <c r="Y1330" s="106">
        <f t="shared" ref="Y1330:Y1332" si="1010">SUM(T1330:X1330)</f>
        <v>19</v>
      </c>
      <c r="Z1330" s="106">
        <f t="shared" ref="Z1330:Z1359" si="1011">G1330+M1330+S1330+Y1330</f>
        <v>88</v>
      </c>
      <c r="AB1330" s="103" t="s">
        <v>43</v>
      </c>
      <c r="AC1330" s="104">
        <f>AC1324</f>
        <v>115</v>
      </c>
      <c r="AD1330" s="105">
        <f>AD1324</f>
        <v>94</v>
      </c>
      <c r="AE1330" s="105">
        <f>AE1324</f>
        <v>95</v>
      </c>
      <c r="AF1330" s="105">
        <f>AF1324</f>
        <v>70</v>
      </c>
      <c r="AG1330" s="105">
        <f>AG1324</f>
        <v>50</v>
      </c>
      <c r="AH1330" s="106">
        <f>SUM(AC1330:AG1330)</f>
        <v>424</v>
      </c>
      <c r="AI1330" s="104">
        <f>AI1324</f>
        <v>87</v>
      </c>
      <c r="AJ1330" s="105">
        <f>AJ1324</f>
        <v>91</v>
      </c>
      <c r="AK1330" s="105">
        <f>AK1324</f>
        <v>93</v>
      </c>
      <c r="AL1330" s="105">
        <f>AL1324</f>
        <v>78</v>
      </c>
      <c r="AM1330" s="105">
        <f>AM1324</f>
        <v>91</v>
      </c>
      <c r="AN1330" s="107">
        <f>SUM(AI1330:AM1330)</f>
        <v>440</v>
      </c>
      <c r="AO1330" s="104">
        <f>AO1324</f>
        <v>148</v>
      </c>
      <c r="AP1330" s="105">
        <f>AP1324</f>
        <v>115</v>
      </c>
      <c r="AQ1330" s="105">
        <f>AQ1324</f>
        <v>117</v>
      </c>
      <c r="AR1330" s="105">
        <f>AR1324</f>
        <v>127</v>
      </c>
      <c r="AS1330" s="105">
        <f>AS1324</f>
        <v>134</v>
      </c>
      <c r="AT1330" s="108">
        <f>SUM(AO1330:AS1330)</f>
        <v>641</v>
      </c>
      <c r="AU1330" s="104">
        <f>AU1324</f>
        <v>115</v>
      </c>
      <c r="AV1330" s="105">
        <f>AV1324</f>
        <v>63</v>
      </c>
      <c r="AW1330" s="105">
        <f>AW1324</f>
        <v>44</v>
      </c>
      <c r="AX1330" s="105">
        <f>AX1324</f>
        <v>33</v>
      </c>
      <c r="AY1330" s="105">
        <f>AY1324</f>
        <v>83</v>
      </c>
      <c r="AZ1330" s="106">
        <f>SUM(AU1330:AY1330)</f>
        <v>338</v>
      </c>
      <c r="BA1330" s="106">
        <f>AH1330+AN1330+AT1330+AZ1330</f>
        <v>1843</v>
      </c>
    </row>
    <row r="1331" spans="1:54" ht="14.25" x14ac:dyDescent="0.15">
      <c r="A1331" s="10" t="s">
        <v>181</v>
      </c>
      <c r="B1331" s="14"/>
      <c r="C1331" s="15"/>
      <c r="D1331" s="15"/>
      <c r="E1331" s="15">
        <v>2</v>
      </c>
      <c r="F1331" s="15"/>
      <c r="G1331" s="16">
        <f t="shared" ref="G1331:G1332" si="1012">SUM(B1331:F1331)</f>
        <v>2</v>
      </c>
      <c r="H1331" s="14"/>
      <c r="I1331" s="15"/>
      <c r="J1331" s="15"/>
      <c r="K1331" s="15"/>
      <c r="L1331" s="15"/>
      <c r="M1331" s="57">
        <f t="shared" si="1008"/>
        <v>0</v>
      </c>
      <c r="N1331" s="14"/>
      <c r="O1331" s="55">
        <v>2</v>
      </c>
      <c r="P1331" s="55"/>
      <c r="Q1331" s="55"/>
      <c r="R1331" s="67"/>
      <c r="S1331" s="24">
        <f t="shared" si="1009"/>
        <v>2</v>
      </c>
      <c r="T1331" s="15">
        <v>2</v>
      </c>
      <c r="U1331" s="55">
        <v>2</v>
      </c>
      <c r="V1331" s="55"/>
      <c r="W1331" s="55"/>
      <c r="X1331" s="67"/>
      <c r="Y1331" s="24">
        <f t="shared" si="1010"/>
        <v>4</v>
      </c>
      <c r="Z1331" s="24">
        <f t="shared" si="1011"/>
        <v>8</v>
      </c>
      <c r="AA1331" s="83">
        <v>45146</v>
      </c>
      <c r="AB1331" s="10" t="s">
        <v>181</v>
      </c>
      <c r="AC1331" s="14"/>
      <c r="AD1331" s="15"/>
      <c r="AE1331" s="15"/>
      <c r="AF1331" s="15"/>
      <c r="AG1331" s="15"/>
      <c r="AH1331" s="43">
        <f t="shared" ref="AH1331" si="1013">SUM(AC1331:AG1331)</f>
        <v>0</v>
      </c>
      <c r="AI1331" s="14"/>
      <c r="AJ1331" s="15"/>
      <c r="AK1331" s="15"/>
      <c r="AL1331" s="15"/>
      <c r="AM1331" s="15"/>
      <c r="AN1331" s="43">
        <f t="shared" ref="AN1331" si="1014">SUM(AI1331:AM1331)</f>
        <v>0</v>
      </c>
      <c r="AO1331" s="14"/>
      <c r="AP1331" s="55"/>
      <c r="AQ1331" s="55"/>
      <c r="AR1331" s="55"/>
      <c r="AS1331" s="67"/>
      <c r="AT1331" s="24">
        <f t="shared" ref="AT1331" si="1015">SUM(AO1331:AS1331)</f>
        <v>0</v>
      </c>
      <c r="AU1331" s="15"/>
      <c r="AV1331" s="55"/>
      <c r="AW1331" s="55"/>
      <c r="AX1331" s="55"/>
      <c r="AY1331" s="67"/>
      <c r="AZ1331" s="24">
        <f t="shared" ref="AZ1331" si="1016">SUM(AU1331:AY1331)</f>
        <v>0</v>
      </c>
      <c r="BA1331" s="24">
        <f t="shared" ref="BA1331" si="1017">AH1331+AN1331+AT1331+AZ1331</f>
        <v>0</v>
      </c>
      <c r="BB1331" s="128"/>
    </row>
    <row r="1332" spans="1:54" ht="14.25" x14ac:dyDescent="0.15">
      <c r="A1332" s="10" t="s">
        <v>77</v>
      </c>
      <c r="B1332" s="14"/>
      <c r="C1332" s="15">
        <v>1</v>
      </c>
      <c r="D1332" s="15"/>
      <c r="E1332" s="15"/>
      <c r="F1332" s="15"/>
      <c r="G1332" s="16">
        <f t="shared" si="1012"/>
        <v>1</v>
      </c>
      <c r="H1332" s="14"/>
      <c r="I1332" s="15"/>
      <c r="J1332" s="15"/>
      <c r="K1332" s="15"/>
      <c r="L1332" s="15"/>
      <c r="M1332" s="57">
        <f t="shared" si="1008"/>
        <v>0</v>
      </c>
      <c r="N1332" s="14"/>
      <c r="O1332" s="55"/>
      <c r="P1332" s="55"/>
      <c r="Q1332" s="55"/>
      <c r="R1332" s="67"/>
      <c r="S1332" s="24">
        <f t="shared" si="1009"/>
        <v>0</v>
      </c>
      <c r="T1332" s="15"/>
      <c r="U1332" s="55">
        <v>1</v>
      </c>
      <c r="V1332" s="55"/>
      <c r="W1332" s="55"/>
      <c r="X1332" s="67"/>
      <c r="Y1332" s="24">
        <f t="shared" si="1010"/>
        <v>1</v>
      </c>
      <c r="Z1332" s="24">
        <f t="shared" si="1011"/>
        <v>2</v>
      </c>
      <c r="AA1332" s="83">
        <v>45148</v>
      </c>
      <c r="AB1332" s="10" t="s">
        <v>181</v>
      </c>
      <c r="AC1332" s="14"/>
      <c r="AD1332" s="15"/>
      <c r="AE1332" s="15"/>
      <c r="AF1332" s="15"/>
      <c r="AG1332" s="15"/>
      <c r="AH1332" s="43">
        <f t="shared" ref="AH1332:AH1359" si="1018">SUM(AC1332:AG1332)</f>
        <v>0</v>
      </c>
      <c r="AI1332" s="14"/>
      <c r="AJ1332" s="15"/>
      <c r="AK1332" s="15"/>
      <c r="AL1332" s="15"/>
      <c r="AM1332" s="15"/>
      <c r="AN1332" s="43">
        <f t="shared" ref="AN1332:AN1359" si="1019">SUM(AI1332:AM1332)</f>
        <v>0</v>
      </c>
      <c r="AO1332" s="14"/>
      <c r="AP1332" s="55"/>
      <c r="AQ1332" s="55"/>
      <c r="AR1332" s="55"/>
      <c r="AS1332" s="67"/>
      <c r="AT1332" s="24">
        <f t="shared" ref="AT1332:AT1359" si="1020">SUM(AO1332:AS1332)</f>
        <v>0</v>
      </c>
      <c r="AU1332" s="15"/>
      <c r="AV1332" s="55"/>
      <c r="AW1332" s="55"/>
      <c r="AX1332" s="55"/>
      <c r="AY1332" s="67"/>
      <c r="AZ1332" s="24">
        <f t="shared" ref="AZ1332:AZ1359" si="1021">SUM(AU1332:AY1332)</f>
        <v>0</v>
      </c>
      <c r="BA1332" s="24">
        <f t="shared" ref="BA1332:BA1363" si="1022">AH1332+AN1332+AT1332+AZ1332</f>
        <v>0</v>
      </c>
      <c r="BB1332" s="128"/>
    </row>
    <row r="1333" spans="1:54" ht="14.25" x14ac:dyDescent="0.15">
      <c r="A1333" s="10" t="s">
        <v>181</v>
      </c>
      <c r="B1333" s="14"/>
      <c r="C1333" s="15"/>
      <c r="D1333" s="15"/>
      <c r="E1333" s="15"/>
      <c r="F1333" s="15">
        <v>3</v>
      </c>
      <c r="G1333" s="16">
        <f t="shared" ref="G1333:G1361" si="1023">SUM(B1333:F1333)</f>
        <v>3</v>
      </c>
      <c r="H1333" s="14"/>
      <c r="I1333" s="15"/>
      <c r="J1333" s="15"/>
      <c r="K1333" s="15"/>
      <c r="L1333" s="15"/>
      <c r="M1333" s="57">
        <f t="shared" ref="M1333:M1361" si="1024">SUM(H1333:L1333)</f>
        <v>0</v>
      </c>
      <c r="N1333" s="14"/>
      <c r="O1333" s="55"/>
      <c r="P1333" s="55"/>
      <c r="Q1333" s="55"/>
      <c r="R1333" s="67"/>
      <c r="S1333" s="24">
        <f t="shared" ref="S1333:S1359" si="1025">SUM(N1333:R1333)</f>
        <v>0</v>
      </c>
      <c r="T1333" s="15"/>
      <c r="U1333" s="55"/>
      <c r="V1333" s="55"/>
      <c r="W1333" s="55"/>
      <c r="X1333" s="67"/>
      <c r="Y1333" s="24">
        <f t="shared" ref="Y1333:Y1359" si="1026">SUM(T1333:X1333)</f>
        <v>0</v>
      </c>
      <c r="Z1333" s="24">
        <f t="shared" si="1011"/>
        <v>3</v>
      </c>
      <c r="AA1333" s="83">
        <v>45155</v>
      </c>
      <c r="AB1333" s="10" t="s">
        <v>181</v>
      </c>
      <c r="AC1333" s="14"/>
      <c r="AD1333" s="15"/>
      <c r="AE1333" s="15"/>
      <c r="AF1333" s="15"/>
      <c r="AG1333" s="15"/>
      <c r="AH1333" s="43">
        <f t="shared" si="1018"/>
        <v>0</v>
      </c>
      <c r="AI1333" s="14"/>
      <c r="AJ1333" s="15"/>
      <c r="AK1333" s="15"/>
      <c r="AL1333" s="15"/>
      <c r="AM1333" s="15"/>
      <c r="AN1333" s="43">
        <f t="shared" si="1019"/>
        <v>0</v>
      </c>
      <c r="AO1333" s="14"/>
      <c r="AP1333" s="55"/>
      <c r="AQ1333" s="55"/>
      <c r="AR1333" s="55"/>
      <c r="AS1333" s="67"/>
      <c r="AT1333" s="24">
        <f t="shared" si="1020"/>
        <v>0</v>
      </c>
      <c r="AU1333" s="15"/>
      <c r="AV1333" s="55"/>
      <c r="AW1333" s="55"/>
      <c r="AX1333" s="55"/>
      <c r="AY1333" s="67"/>
      <c r="AZ1333" s="24">
        <f t="shared" si="1021"/>
        <v>0</v>
      </c>
      <c r="BA1333" s="24">
        <f t="shared" si="1022"/>
        <v>0</v>
      </c>
      <c r="BB1333" s="128"/>
    </row>
    <row r="1334" spans="1:54" ht="15" thickBot="1" x14ac:dyDescent="0.2">
      <c r="A1334" s="10" t="s">
        <v>181</v>
      </c>
      <c r="B1334" s="14">
        <v>2</v>
      </c>
      <c r="C1334" s="15"/>
      <c r="D1334" s="15"/>
      <c r="E1334" s="15">
        <v>2</v>
      </c>
      <c r="F1334" s="15"/>
      <c r="G1334" s="16">
        <f t="shared" si="1023"/>
        <v>4</v>
      </c>
      <c r="H1334" s="14"/>
      <c r="I1334" s="15"/>
      <c r="J1334" s="15"/>
      <c r="K1334" s="15">
        <v>2</v>
      </c>
      <c r="L1334" s="15"/>
      <c r="M1334" s="57">
        <f t="shared" si="1024"/>
        <v>2</v>
      </c>
      <c r="N1334" s="14">
        <v>2</v>
      </c>
      <c r="O1334" s="55"/>
      <c r="P1334" s="55"/>
      <c r="Q1334" s="55"/>
      <c r="R1334" s="67">
        <v>2</v>
      </c>
      <c r="S1334" s="24">
        <f t="shared" si="1025"/>
        <v>4</v>
      </c>
      <c r="T1334" s="15">
        <v>2</v>
      </c>
      <c r="U1334" s="55"/>
      <c r="V1334" s="55"/>
      <c r="W1334" s="55"/>
      <c r="X1334" s="67">
        <v>2</v>
      </c>
      <c r="Y1334" s="24">
        <f t="shared" si="1026"/>
        <v>4</v>
      </c>
      <c r="Z1334" s="24">
        <f t="shared" si="1011"/>
        <v>14</v>
      </c>
      <c r="AA1334" s="83">
        <v>45163</v>
      </c>
      <c r="AB1334" s="10" t="s">
        <v>181</v>
      </c>
      <c r="AC1334" s="14"/>
      <c r="AD1334" s="15"/>
      <c r="AE1334" s="15"/>
      <c r="AF1334" s="15"/>
      <c r="AG1334" s="15"/>
      <c r="AH1334" s="43">
        <f t="shared" si="1018"/>
        <v>0</v>
      </c>
      <c r="AI1334" s="14"/>
      <c r="AJ1334" s="15"/>
      <c r="AK1334" s="15"/>
      <c r="AL1334" s="15"/>
      <c r="AM1334" s="15"/>
      <c r="AN1334" s="43">
        <f t="shared" si="1019"/>
        <v>0</v>
      </c>
      <c r="AO1334" s="14"/>
      <c r="AP1334" s="55"/>
      <c r="AQ1334" s="55"/>
      <c r="AR1334" s="55"/>
      <c r="AS1334" s="67"/>
      <c r="AT1334" s="24">
        <f t="shared" si="1020"/>
        <v>0</v>
      </c>
      <c r="AU1334" s="15"/>
      <c r="AV1334" s="55"/>
      <c r="AW1334" s="55"/>
      <c r="AX1334" s="55"/>
      <c r="AY1334" s="67"/>
      <c r="AZ1334" s="24">
        <f t="shared" si="1021"/>
        <v>0</v>
      </c>
      <c r="BA1334" s="24">
        <f t="shared" si="1022"/>
        <v>0</v>
      </c>
      <c r="BB1334" s="128"/>
    </row>
    <row r="1335" spans="1:54" ht="15" thickBot="1" x14ac:dyDescent="0.2">
      <c r="A1335" s="4" t="s">
        <v>12</v>
      </c>
      <c r="B1335" s="17">
        <f>SUM(B1330:B1334)</f>
        <v>6</v>
      </c>
      <c r="C1335" s="18">
        <f>SUM(C1330:C1334)</f>
        <v>5</v>
      </c>
      <c r="D1335" s="18">
        <f>SUM(D1330:D1334)</f>
        <v>6</v>
      </c>
      <c r="E1335" s="18">
        <f>SUM(E1330:E1334)</f>
        <v>8</v>
      </c>
      <c r="F1335" s="18">
        <f>SUM(F1330:F1334)</f>
        <v>7</v>
      </c>
      <c r="G1335" s="148">
        <f t="shared" si="1023"/>
        <v>32</v>
      </c>
      <c r="H1335" s="17">
        <f>SUM(H1330:H1334)</f>
        <v>5</v>
      </c>
      <c r="I1335" s="18">
        <f>SUM(I1330:I1334)</f>
        <v>5</v>
      </c>
      <c r="J1335" s="18">
        <f>SUM(J1330:J1334)</f>
        <v>6</v>
      </c>
      <c r="K1335" s="18">
        <f>SUM(K1330:K1334)</f>
        <v>7</v>
      </c>
      <c r="L1335" s="18">
        <f>SUM(L1330:L1334)</f>
        <v>4</v>
      </c>
      <c r="M1335" s="17">
        <f t="shared" si="1024"/>
        <v>27</v>
      </c>
      <c r="N1335" s="65">
        <f>SUM(N1330:N1334)</f>
        <v>7</v>
      </c>
      <c r="O1335" s="18">
        <f>SUM(O1330:O1334)</f>
        <v>5</v>
      </c>
      <c r="P1335" s="18">
        <f>SUM(P1330:P1334)</f>
        <v>5</v>
      </c>
      <c r="Q1335" s="18">
        <f>SUM(Q1330:Q1334)</f>
        <v>5</v>
      </c>
      <c r="R1335" s="70">
        <f>SUM(R1330:R1334)</f>
        <v>6</v>
      </c>
      <c r="S1335" s="49">
        <f t="shared" si="1025"/>
        <v>28</v>
      </c>
      <c r="T1335" s="74">
        <f>SUM(T1330:T1334)</f>
        <v>7</v>
      </c>
      <c r="U1335" s="18">
        <f>SUM(U1330:U1334)</f>
        <v>5</v>
      </c>
      <c r="V1335" s="18">
        <f>SUM(V1330:V1334)</f>
        <v>4</v>
      </c>
      <c r="W1335" s="18">
        <f>SUM(W1330:W1334)</f>
        <v>5</v>
      </c>
      <c r="X1335" s="70">
        <f>SUM(X1330:X1334)</f>
        <v>7</v>
      </c>
      <c r="Y1335" s="49">
        <f t="shared" si="1026"/>
        <v>28</v>
      </c>
      <c r="Z1335" s="33">
        <f t="shared" si="1011"/>
        <v>115</v>
      </c>
      <c r="AB1335" s="4" t="s">
        <v>12</v>
      </c>
      <c r="AC1335" s="17">
        <f>SUM(AC1330:AC1334)</f>
        <v>115</v>
      </c>
      <c r="AD1335" s="18">
        <f>SUM(AD1330:AD1334)</f>
        <v>94</v>
      </c>
      <c r="AE1335" s="18">
        <f>SUM(AE1330:AE1334)</f>
        <v>95</v>
      </c>
      <c r="AF1335" s="18">
        <f>SUM(AF1330:AF1334)</f>
        <v>70</v>
      </c>
      <c r="AG1335" s="18">
        <f>SUM(AG1330:AG1334)</f>
        <v>50</v>
      </c>
      <c r="AH1335" s="148">
        <f t="shared" si="1018"/>
        <v>424</v>
      </c>
      <c r="AI1335" s="17">
        <f>SUM(AI1330:AI1334)</f>
        <v>87</v>
      </c>
      <c r="AJ1335" s="18">
        <f>SUM(AJ1330:AJ1334)</f>
        <v>91</v>
      </c>
      <c r="AK1335" s="18">
        <f>SUM(AK1330:AK1334)</f>
        <v>93</v>
      </c>
      <c r="AL1335" s="18">
        <f>SUM(AL1330:AL1334)</f>
        <v>78</v>
      </c>
      <c r="AM1335" s="18">
        <f>SUM(AM1330:AM1334)</f>
        <v>91</v>
      </c>
      <c r="AN1335" s="148">
        <f t="shared" si="1019"/>
        <v>440</v>
      </c>
      <c r="AO1335" s="65">
        <f>SUM(AO1330:AO1334)</f>
        <v>148</v>
      </c>
      <c r="AP1335" s="18">
        <f>SUM(AP1330:AP1334)</f>
        <v>115</v>
      </c>
      <c r="AQ1335" s="18">
        <f>SUM(AQ1330:AQ1334)</f>
        <v>117</v>
      </c>
      <c r="AR1335" s="18">
        <f>SUM(AR1330:AR1334)</f>
        <v>127</v>
      </c>
      <c r="AS1335" s="70">
        <f>SUM(AS1330:AS1334)</f>
        <v>134</v>
      </c>
      <c r="AT1335" s="49">
        <f t="shared" si="1020"/>
        <v>641</v>
      </c>
      <c r="AU1335" s="74">
        <f>SUM(AU1330:AU1334)</f>
        <v>115</v>
      </c>
      <c r="AV1335" s="18">
        <f>SUM(AV1330:AV1334)</f>
        <v>63</v>
      </c>
      <c r="AW1335" s="18">
        <f>SUM(AW1330:AW1334)</f>
        <v>44</v>
      </c>
      <c r="AX1335" s="18">
        <f>SUM(AX1330:AX1334)</f>
        <v>33</v>
      </c>
      <c r="AY1335" s="70">
        <f>SUM(AY1330:AY1334)</f>
        <v>83</v>
      </c>
      <c r="AZ1335" s="49">
        <f t="shared" si="1021"/>
        <v>338</v>
      </c>
      <c r="BA1335" s="33">
        <f t="shared" si="1022"/>
        <v>1843</v>
      </c>
    </row>
    <row r="1336" spans="1:54" ht="14.25" x14ac:dyDescent="0.15">
      <c r="A1336" s="23" t="s">
        <v>48</v>
      </c>
      <c r="B1336" s="41"/>
      <c r="C1336" s="42"/>
      <c r="D1336" s="42"/>
      <c r="E1336" s="42">
        <v>1</v>
      </c>
      <c r="F1336" s="42"/>
      <c r="G1336" s="43">
        <f t="shared" ref="G1336:G1359" si="1027">SUM(B1336:F1336)</f>
        <v>1</v>
      </c>
      <c r="H1336" s="41"/>
      <c r="I1336" s="42"/>
      <c r="J1336" s="42"/>
      <c r="K1336" s="42"/>
      <c r="L1336" s="42"/>
      <c r="M1336" s="43">
        <f t="shared" ref="M1336:M1359" si="1028">SUM(H1336:L1336)</f>
        <v>0</v>
      </c>
      <c r="N1336" s="42"/>
      <c r="O1336" s="53"/>
      <c r="P1336" s="53"/>
      <c r="Q1336" s="53"/>
      <c r="R1336" s="72"/>
      <c r="S1336" s="24">
        <f t="shared" si="1025"/>
        <v>0</v>
      </c>
      <c r="T1336" s="42"/>
      <c r="U1336" s="53"/>
      <c r="V1336" s="53"/>
      <c r="W1336" s="53"/>
      <c r="X1336" s="72"/>
      <c r="Y1336" s="24">
        <f t="shared" si="1026"/>
        <v>0</v>
      </c>
      <c r="Z1336" s="24">
        <f t="shared" si="1011"/>
        <v>1</v>
      </c>
      <c r="AA1336" s="83">
        <v>45145</v>
      </c>
      <c r="AB1336" s="23" t="s">
        <v>126</v>
      </c>
      <c r="AC1336" s="38"/>
      <c r="AD1336" s="39"/>
      <c r="AE1336" s="39"/>
      <c r="AF1336" s="39">
        <v>2</v>
      </c>
      <c r="AG1336" s="39"/>
      <c r="AH1336" s="37">
        <f t="shared" ref="AH1336" si="1029">SUM(AC1336:AG1336)</f>
        <v>2</v>
      </c>
      <c r="AI1336" s="38"/>
      <c r="AJ1336" s="39"/>
      <c r="AK1336" s="39"/>
      <c r="AL1336" s="39"/>
      <c r="AM1336" s="39"/>
      <c r="AN1336" s="37">
        <f t="shared" ref="AN1336" si="1030">SUM(AI1336:AM1336)</f>
        <v>0</v>
      </c>
      <c r="AO1336" s="39"/>
      <c r="AP1336" s="56">
        <v>2</v>
      </c>
      <c r="AQ1336" s="56"/>
      <c r="AR1336" s="56"/>
      <c r="AS1336" s="71"/>
      <c r="AT1336" s="16">
        <f t="shared" ref="AT1336" si="1031">SUM(AO1336:AS1336)</f>
        <v>2</v>
      </c>
      <c r="AU1336" s="39">
        <v>2</v>
      </c>
      <c r="AV1336" s="56">
        <v>2</v>
      </c>
      <c r="AW1336" s="56"/>
      <c r="AX1336" s="56"/>
      <c r="AY1336" s="71"/>
      <c r="AZ1336" s="16">
        <f t="shared" ref="AZ1336" si="1032">SUM(AU1336:AY1336)</f>
        <v>4</v>
      </c>
      <c r="BA1336" s="16">
        <f t="shared" si="1022"/>
        <v>8</v>
      </c>
      <c r="BB1336" s="83">
        <v>45146</v>
      </c>
    </row>
    <row r="1337" spans="1:54" ht="14.25" x14ac:dyDescent="0.15">
      <c r="A1337" s="23" t="s">
        <v>438</v>
      </c>
      <c r="B1337" s="41"/>
      <c r="C1337" s="42"/>
      <c r="D1337" s="42"/>
      <c r="E1337" s="42"/>
      <c r="F1337" s="42"/>
      <c r="G1337" s="43">
        <f t="shared" si="1027"/>
        <v>0</v>
      </c>
      <c r="H1337" s="41"/>
      <c r="I1337" s="42"/>
      <c r="J1337" s="42"/>
      <c r="K1337" s="42"/>
      <c r="L1337" s="42"/>
      <c r="M1337" s="43">
        <f t="shared" si="1028"/>
        <v>0</v>
      </c>
      <c r="N1337" s="42"/>
      <c r="O1337" s="53"/>
      <c r="P1337" s="53">
        <v>1</v>
      </c>
      <c r="Q1337" s="53"/>
      <c r="R1337" s="72"/>
      <c r="S1337" s="24">
        <f t="shared" si="1025"/>
        <v>1</v>
      </c>
      <c r="T1337" s="42"/>
      <c r="U1337" s="53"/>
      <c r="V1337" s="53"/>
      <c r="W1337" s="53"/>
      <c r="X1337" s="72">
        <v>1</v>
      </c>
      <c r="Y1337" s="24">
        <f t="shared" si="1026"/>
        <v>1</v>
      </c>
      <c r="Z1337" s="24">
        <f t="shared" si="1011"/>
        <v>2</v>
      </c>
      <c r="AA1337" s="83">
        <v>45147</v>
      </c>
      <c r="AB1337" s="23" t="s">
        <v>126</v>
      </c>
      <c r="AC1337" s="38"/>
      <c r="AD1337" s="39"/>
      <c r="AE1337" s="39"/>
      <c r="AF1337" s="39"/>
      <c r="AG1337" s="39">
        <v>3</v>
      </c>
      <c r="AH1337" s="37">
        <f t="shared" ref="AH1337:AH1340" si="1033">SUM(AC1337:AG1337)</f>
        <v>3</v>
      </c>
      <c r="AI1337" s="38"/>
      <c r="AJ1337" s="39"/>
      <c r="AK1337" s="39"/>
      <c r="AL1337" s="39"/>
      <c r="AM1337" s="39"/>
      <c r="AN1337" s="37">
        <f t="shared" ref="AN1337:AN1340" si="1034">SUM(AI1337:AM1337)</f>
        <v>0</v>
      </c>
      <c r="AO1337" s="39"/>
      <c r="AP1337" s="56"/>
      <c r="AQ1337" s="56"/>
      <c r="AR1337" s="56"/>
      <c r="AS1337" s="71"/>
      <c r="AT1337" s="16">
        <f t="shared" ref="AT1337:AT1340" si="1035">SUM(AO1337:AS1337)</f>
        <v>0</v>
      </c>
      <c r="AU1337" s="39"/>
      <c r="AV1337" s="56"/>
      <c r="AW1337" s="56"/>
      <c r="AX1337" s="56"/>
      <c r="AY1337" s="71"/>
      <c r="AZ1337" s="16">
        <f t="shared" ref="AZ1337:AZ1340" si="1036">SUM(AU1337:AY1337)</f>
        <v>0</v>
      </c>
      <c r="BA1337" s="16">
        <f t="shared" ref="BA1337:BA1340" si="1037">AH1337+AN1337+AT1337+AZ1337</f>
        <v>3</v>
      </c>
      <c r="BB1337" s="83">
        <v>45155</v>
      </c>
    </row>
    <row r="1338" spans="1:54" ht="14.25" x14ac:dyDescent="0.15">
      <c r="A1338" s="23" t="s">
        <v>438</v>
      </c>
      <c r="B1338" s="41"/>
      <c r="C1338" s="42"/>
      <c r="D1338" s="42"/>
      <c r="E1338" s="42"/>
      <c r="F1338" s="42"/>
      <c r="G1338" s="43">
        <f t="shared" si="1027"/>
        <v>0</v>
      </c>
      <c r="H1338" s="41"/>
      <c r="I1338" s="42"/>
      <c r="J1338" s="42"/>
      <c r="K1338" s="42"/>
      <c r="L1338" s="42"/>
      <c r="M1338" s="43">
        <f t="shared" si="1028"/>
        <v>0</v>
      </c>
      <c r="N1338" s="42"/>
      <c r="O1338" s="53"/>
      <c r="P1338" s="53"/>
      <c r="Q1338" s="53"/>
      <c r="R1338" s="72"/>
      <c r="S1338" s="24">
        <f t="shared" si="1025"/>
        <v>0</v>
      </c>
      <c r="T1338" s="42">
        <v>1</v>
      </c>
      <c r="U1338" s="53"/>
      <c r="V1338" s="53"/>
      <c r="W1338" s="53"/>
      <c r="X1338" s="72"/>
      <c r="Y1338" s="24">
        <f t="shared" si="1026"/>
        <v>1</v>
      </c>
      <c r="Z1338" s="24">
        <f t="shared" si="1011"/>
        <v>1</v>
      </c>
      <c r="AA1338" s="83">
        <v>45148</v>
      </c>
      <c r="AB1338" s="23" t="s">
        <v>126</v>
      </c>
      <c r="AC1338" s="38">
        <v>2</v>
      </c>
      <c r="AD1338" s="39"/>
      <c r="AE1338" s="39"/>
      <c r="AF1338" s="39">
        <v>2</v>
      </c>
      <c r="AG1338" s="39"/>
      <c r="AH1338" s="37">
        <f t="shared" si="1033"/>
        <v>4</v>
      </c>
      <c r="AI1338" s="38"/>
      <c r="AJ1338" s="39"/>
      <c r="AK1338" s="39"/>
      <c r="AL1338" s="39">
        <v>2</v>
      </c>
      <c r="AM1338" s="39"/>
      <c r="AN1338" s="37">
        <f t="shared" si="1034"/>
        <v>2</v>
      </c>
      <c r="AO1338" s="39">
        <v>2</v>
      </c>
      <c r="AP1338" s="56"/>
      <c r="AQ1338" s="56"/>
      <c r="AR1338" s="56"/>
      <c r="AS1338" s="71">
        <v>2</v>
      </c>
      <c r="AT1338" s="16">
        <f t="shared" si="1035"/>
        <v>4</v>
      </c>
      <c r="AU1338" s="39">
        <v>2</v>
      </c>
      <c r="AV1338" s="56"/>
      <c r="AW1338" s="56"/>
      <c r="AX1338" s="56"/>
      <c r="AY1338" s="71">
        <v>2</v>
      </c>
      <c r="AZ1338" s="16">
        <f t="shared" si="1036"/>
        <v>4</v>
      </c>
      <c r="BA1338" s="16">
        <f t="shared" si="1037"/>
        <v>14</v>
      </c>
      <c r="BB1338" s="83">
        <v>45163</v>
      </c>
    </row>
    <row r="1339" spans="1:54" ht="14.25" x14ac:dyDescent="0.15">
      <c r="A1339" s="23" t="s">
        <v>438</v>
      </c>
      <c r="B1339" s="41"/>
      <c r="C1339" s="42"/>
      <c r="D1339" s="42"/>
      <c r="E1339" s="42"/>
      <c r="F1339" s="42">
        <v>1</v>
      </c>
      <c r="G1339" s="43">
        <f t="shared" si="1027"/>
        <v>1</v>
      </c>
      <c r="H1339" s="41"/>
      <c r="I1339" s="42"/>
      <c r="J1339" s="42"/>
      <c r="K1339" s="42"/>
      <c r="L1339" s="42"/>
      <c r="M1339" s="43">
        <f t="shared" si="1028"/>
        <v>0</v>
      </c>
      <c r="N1339" s="42"/>
      <c r="O1339" s="53"/>
      <c r="P1339" s="53"/>
      <c r="Q1339" s="53"/>
      <c r="R1339" s="72"/>
      <c r="S1339" s="24">
        <f t="shared" si="1025"/>
        <v>0</v>
      </c>
      <c r="T1339" s="42"/>
      <c r="U1339" s="53">
        <v>1</v>
      </c>
      <c r="V1339" s="53"/>
      <c r="W1339" s="53"/>
      <c r="X1339" s="72"/>
      <c r="Y1339" s="24">
        <f t="shared" si="1026"/>
        <v>1</v>
      </c>
      <c r="Z1339" s="24">
        <f t="shared" si="1011"/>
        <v>2</v>
      </c>
      <c r="AA1339" s="83">
        <v>45154</v>
      </c>
      <c r="AB1339" s="23" t="s">
        <v>126</v>
      </c>
      <c r="AC1339" s="38">
        <v>3</v>
      </c>
      <c r="AD1339" s="39">
        <v>3</v>
      </c>
      <c r="AE1339" s="39"/>
      <c r="AF1339" s="39"/>
      <c r="AG1339" s="39">
        <v>3</v>
      </c>
      <c r="AH1339" s="37">
        <f t="shared" si="1033"/>
        <v>9</v>
      </c>
      <c r="AI1339" s="38"/>
      <c r="AJ1339" s="39"/>
      <c r="AK1339" s="39"/>
      <c r="AL1339" s="39"/>
      <c r="AM1339" s="39"/>
      <c r="AN1339" s="37">
        <f t="shared" si="1034"/>
        <v>0</v>
      </c>
      <c r="AO1339" s="39"/>
      <c r="AP1339" s="56"/>
      <c r="AQ1339" s="56"/>
      <c r="AR1339" s="56"/>
      <c r="AS1339" s="71"/>
      <c r="AT1339" s="16">
        <f t="shared" si="1035"/>
        <v>0</v>
      </c>
      <c r="AU1339" s="39"/>
      <c r="AV1339" s="56"/>
      <c r="AW1339" s="56"/>
      <c r="AX1339" s="56">
        <v>3</v>
      </c>
      <c r="AY1339" s="71"/>
      <c r="AZ1339" s="16">
        <f t="shared" si="1036"/>
        <v>3</v>
      </c>
      <c r="BA1339" s="16">
        <f t="shared" si="1037"/>
        <v>12</v>
      </c>
      <c r="BB1339" s="83">
        <v>45167</v>
      </c>
    </row>
    <row r="1340" spans="1:54" ht="14.25" x14ac:dyDescent="0.15">
      <c r="A1340" s="23" t="s">
        <v>48</v>
      </c>
      <c r="B1340" s="41"/>
      <c r="C1340" s="42"/>
      <c r="D1340" s="42"/>
      <c r="E1340" s="42">
        <v>1</v>
      </c>
      <c r="F1340" s="42">
        <v>1</v>
      </c>
      <c r="G1340" s="43">
        <f t="shared" si="1027"/>
        <v>2</v>
      </c>
      <c r="H1340" s="41"/>
      <c r="I1340" s="42">
        <v>1</v>
      </c>
      <c r="J1340" s="42"/>
      <c r="K1340" s="42">
        <v>1</v>
      </c>
      <c r="L1340" s="42"/>
      <c r="M1340" s="43">
        <f t="shared" si="1028"/>
        <v>2</v>
      </c>
      <c r="N1340" s="42"/>
      <c r="O1340" s="53"/>
      <c r="P1340" s="53"/>
      <c r="Q1340" s="53"/>
      <c r="R1340" s="72"/>
      <c r="S1340" s="24">
        <f t="shared" si="1025"/>
        <v>0</v>
      </c>
      <c r="T1340" s="42"/>
      <c r="U1340" s="53"/>
      <c r="V1340" s="53"/>
      <c r="W1340" s="53"/>
      <c r="X1340" s="72"/>
      <c r="Y1340" s="24">
        <f t="shared" si="1026"/>
        <v>0</v>
      </c>
      <c r="Z1340" s="24">
        <f t="shared" si="1011"/>
        <v>4</v>
      </c>
      <c r="AA1340" s="83">
        <v>45154</v>
      </c>
      <c r="AB1340" s="23"/>
      <c r="AC1340" s="38"/>
      <c r="AD1340" s="39"/>
      <c r="AE1340" s="39"/>
      <c r="AF1340" s="39"/>
      <c r="AG1340" s="39"/>
      <c r="AH1340" s="37">
        <f t="shared" si="1033"/>
        <v>0</v>
      </c>
      <c r="AI1340" s="38"/>
      <c r="AJ1340" s="39"/>
      <c r="AK1340" s="39"/>
      <c r="AL1340" s="39"/>
      <c r="AM1340" s="39"/>
      <c r="AN1340" s="37">
        <f t="shared" si="1034"/>
        <v>0</v>
      </c>
      <c r="AO1340" s="39"/>
      <c r="AP1340" s="56"/>
      <c r="AQ1340" s="56"/>
      <c r="AR1340" s="56"/>
      <c r="AS1340" s="71"/>
      <c r="AT1340" s="16">
        <f t="shared" si="1035"/>
        <v>0</v>
      </c>
      <c r="AU1340" s="39"/>
      <c r="AV1340" s="56"/>
      <c r="AW1340" s="56"/>
      <c r="AX1340" s="56"/>
      <c r="AY1340" s="71"/>
      <c r="AZ1340" s="16">
        <f t="shared" si="1036"/>
        <v>0</v>
      </c>
      <c r="BA1340" s="16">
        <f t="shared" si="1037"/>
        <v>0</v>
      </c>
      <c r="BB1340" s="128"/>
    </row>
    <row r="1341" spans="1:54" ht="14.25" x14ac:dyDescent="0.15">
      <c r="A1341" s="23" t="s">
        <v>438</v>
      </c>
      <c r="B1341" s="41"/>
      <c r="C1341" s="42">
        <v>1</v>
      </c>
      <c r="D1341" s="42"/>
      <c r="E1341" s="42"/>
      <c r="F1341" s="42"/>
      <c r="G1341" s="43">
        <f t="shared" si="1027"/>
        <v>1</v>
      </c>
      <c r="H1341" s="41"/>
      <c r="I1341" s="42"/>
      <c r="J1341" s="42"/>
      <c r="K1341" s="42"/>
      <c r="L1341" s="42"/>
      <c r="M1341" s="43">
        <f t="shared" si="1028"/>
        <v>0</v>
      </c>
      <c r="N1341" s="42"/>
      <c r="O1341" s="53">
        <v>1</v>
      </c>
      <c r="P1341" s="53"/>
      <c r="Q1341" s="53"/>
      <c r="R1341" s="72"/>
      <c r="S1341" s="24">
        <f t="shared" si="1025"/>
        <v>1</v>
      </c>
      <c r="T1341" s="42"/>
      <c r="U1341" s="53"/>
      <c r="V1341" s="53"/>
      <c r="W1341" s="53"/>
      <c r="X1341" s="72">
        <v>2</v>
      </c>
      <c r="Y1341" s="24">
        <f t="shared" si="1026"/>
        <v>2</v>
      </c>
      <c r="Z1341" s="24">
        <f t="shared" si="1011"/>
        <v>4</v>
      </c>
      <c r="AA1341" s="83">
        <v>45156</v>
      </c>
      <c r="AB1341" s="23"/>
      <c r="AC1341" s="38"/>
      <c r="AD1341" s="39"/>
      <c r="AE1341" s="39"/>
      <c r="AF1341" s="39"/>
      <c r="AG1341" s="39"/>
      <c r="AH1341" s="37">
        <f t="shared" si="1018"/>
        <v>0</v>
      </c>
      <c r="AI1341" s="38"/>
      <c r="AJ1341" s="39"/>
      <c r="AK1341" s="39"/>
      <c r="AL1341" s="39"/>
      <c r="AM1341" s="39"/>
      <c r="AN1341" s="37">
        <f t="shared" si="1019"/>
        <v>0</v>
      </c>
      <c r="AO1341" s="39"/>
      <c r="AP1341" s="56"/>
      <c r="AQ1341" s="56"/>
      <c r="AR1341" s="56"/>
      <c r="AS1341" s="71"/>
      <c r="AT1341" s="16">
        <f t="shared" si="1020"/>
        <v>0</v>
      </c>
      <c r="AU1341" s="39"/>
      <c r="AV1341" s="56"/>
      <c r="AW1341" s="56"/>
      <c r="AX1341" s="56"/>
      <c r="AY1341" s="71"/>
      <c r="AZ1341" s="16">
        <f t="shared" si="1021"/>
        <v>0</v>
      </c>
      <c r="BA1341" s="16">
        <f t="shared" si="1022"/>
        <v>0</v>
      </c>
      <c r="BB1341" s="128"/>
    </row>
    <row r="1342" spans="1:54" ht="14.25" x14ac:dyDescent="0.15">
      <c r="A1342" s="23" t="s">
        <v>48</v>
      </c>
      <c r="B1342" s="41"/>
      <c r="C1342" s="42"/>
      <c r="D1342" s="42"/>
      <c r="E1342" s="42"/>
      <c r="F1342" s="42"/>
      <c r="G1342" s="43">
        <f t="shared" si="1027"/>
        <v>0</v>
      </c>
      <c r="H1342" s="41"/>
      <c r="I1342" s="42"/>
      <c r="J1342" s="42"/>
      <c r="K1342" s="42"/>
      <c r="L1342" s="42"/>
      <c r="M1342" s="43">
        <f t="shared" si="1028"/>
        <v>0</v>
      </c>
      <c r="N1342" s="42"/>
      <c r="O1342" s="53"/>
      <c r="P1342" s="53"/>
      <c r="Q1342" s="53"/>
      <c r="R1342" s="72"/>
      <c r="S1342" s="24">
        <f t="shared" si="1025"/>
        <v>0</v>
      </c>
      <c r="T1342" s="42"/>
      <c r="U1342" s="53"/>
      <c r="V1342" s="53"/>
      <c r="W1342" s="53">
        <v>1</v>
      </c>
      <c r="X1342" s="72"/>
      <c r="Y1342" s="24">
        <f t="shared" si="1026"/>
        <v>1</v>
      </c>
      <c r="Z1342" s="24">
        <f t="shared" si="1011"/>
        <v>1</v>
      </c>
      <c r="AA1342" s="83">
        <v>45155</v>
      </c>
      <c r="AB1342" s="23"/>
      <c r="AC1342" s="38"/>
      <c r="AD1342" s="39"/>
      <c r="AE1342" s="39"/>
      <c r="AF1342" s="39"/>
      <c r="AG1342" s="39"/>
      <c r="AH1342" s="37">
        <f t="shared" si="1018"/>
        <v>0</v>
      </c>
      <c r="AI1342" s="38"/>
      <c r="AJ1342" s="39"/>
      <c r="AK1342" s="39"/>
      <c r="AL1342" s="39"/>
      <c r="AM1342" s="39"/>
      <c r="AN1342" s="37">
        <f t="shared" si="1019"/>
        <v>0</v>
      </c>
      <c r="AO1342" s="39"/>
      <c r="AP1342" s="56"/>
      <c r="AQ1342" s="56"/>
      <c r="AR1342" s="56"/>
      <c r="AS1342" s="71"/>
      <c r="AT1342" s="16">
        <f t="shared" si="1020"/>
        <v>0</v>
      </c>
      <c r="AU1342" s="39"/>
      <c r="AV1342" s="56"/>
      <c r="AW1342" s="56"/>
      <c r="AX1342" s="56"/>
      <c r="AY1342" s="71"/>
      <c r="AZ1342" s="16">
        <f t="shared" si="1021"/>
        <v>0</v>
      </c>
      <c r="BA1342" s="16">
        <f t="shared" si="1022"/>
        <v>0</v>
      </c>
      <c r="BB1342" s="128"/>
    </row>
    <row r="1343" spans="1:54" ht="14.25" x14ac:dyDescent="0.15">
      <c r="A1343" s="23" t="s">
        <v>438</v>
      </c>
      <c r="B1343" s="41"/>
      <c r="C1343" s="42"/>
      <c r="D1343" s="42"/>
      <c r="E1343" s="42"/>
      <c r="F1343" s="42"/>
      <c r="G1343" s="43">
        <f t="shared" si="1027"/>
        <v>0</v>
      </c>
      <c r="H1343" s="41"/>
      <c r="I1343" s="42"/>
      <c r="J1343" s="42"/>
      <c r="K1343" s="42"/>
      <c r="L1343" s="42"/>
      <c r="M1343" s="43">
        <f t="shared" si="1028"/>
        <v>0</v>
      </c>
      <c r="N1343" s="42">
        <v>1</v>
      </c>
      <c r="O1343" s="53"/>
      <c r="P1343" s="53"/>
      <c r="Q1343" s="53"/>
      <c r="R1343" s="72"/>
      <c r="S1343" s="24">
        <f t="shared" si="1025"/>
        <v>1</v>
      </c>
      <c r="T1343" s="42"/>
      <c r="U1343" s="53"/>
      <c r="V1343" s="53"/>
      <c r="W1343" s="53"/>
      <c r="X1343" s="72"/>
      <c r="Y1343" s="24">
        <f t="shared" si="1026"/>
        <v>0</v>
      </c>
      <c r="Z1343" s="24">
        <f t="shared" si="1011"/>
        <v>1</v>
      </c>
      <c r="AA1343" s="83">
        <v>45159</v>
      </c>
      <c r="AB1343" s="23"/>
      <c r="AC1343" s="38"/>
      <c r="AD1343" s="39"/>
      <c r="AE1343" s="39"/>
      <c r="AF1343" s="39"/>
      <c r="AG1343" s="39"/>
      <c r="AH1343" s="37">
        <f t="shared" si="1018"/>
        <v>0</v>
      </c>
      <c r="AI1343" s="38"/>
      <c r="AJ1343" s="39"/>
      <c r="AK1343" s="39"/>
      <c r="AL1343" s="39"/>
      <c r="AM1343" s="39"/>
      <c r="AN1343" s="37">
        <f t="shared" si="1019"/>
        <v>0</v>
      </c>
      <c r="AO1343" s="39"/>
      <c r="AP1343" s="56"/>
      <c r="AQ1343" s="56"/>
      <c r="AR1343" s="56"/>
      <c r="AS1343" s="71"/>
      <c r="AT1343" s="16">
        <f t="shared" si="1020"/>
        <v>0</v>
      </c>
      <c r="AU1343" s="39"/>
      <c r="AV1343" s="56"/>
      <c r="AW1343" s="56"/>
      <c r="AX1343" s="56"/>
      <c r="AY1343" s="71"/>
      <c r="AZ1343" s="16">
        <f t="shared" si="1021"/>
        <v>0</v>
      </c>
      <c r="BA1343" s="16">
        <f t="shared" si="1022"/>
        <v>0</v>
      </c>
      <c r="BB1343" s="128"/>
    </row>
    <row r="1344" spans="1:54" ht="14.25" x14ac:dyDescent="0.15">
      <c r="A1344" s="23" t="s">
        <v>48</v>
      </c>
      <c r="B1344" s="41"/>
      <c r="C1344" s="42"/>
      <c r="D1344" s="42"/>
      <c r="E1344" s="42"/>
      <c r="F1344" s="42"/>
      <c r="G1344" s="43">
        <f t="shared" si="1027"/>
        <v>0</v>
      </c>
      <c r="H1344" s="41"/>
      <c r="I1344" s="42"/>
      <c r="J1344" s="42"/>
      <c r="K1344" s="42">
        <v>1</v>
      </c>
      <c r="L1344" s="42"/>
      <c r="M1344" s="43">
        <f t="shared" si="1028"/>
        <v>1</v>
      </c>
      <c r="N1344" s="42"/>
      <c r="O1344" s="53"/>
      <c r="P1344" s="53"/>
      <c r="Q1344" s="53"/>
      <c r="R1344" s="72"/>
      <c r="S1344" s="24">
        <f t="shared" si="1025"/>
        <v>0</v>
      </c>
      <c r="T1344" s="42"/>
      <c r="U1344" s="53"/>
      <c r="V1344" s="53"/>
      <c r="W1344" s="53"/>
      <c r="X1344" s="72"/>
      <c r="Y1344" s="24">
        <f t="shared" si="1026"/>
        <v>0</v>
      </c>
      <c r="Z1344" s="24">
        <f t="shared" si="1011"/>
        <v>1</v>
      </c>
      <c r="AA1344" s="83">
        <v>45156</v>
      </c>
      <c r="AB1344" s="23"/>
      <c r="AC1344" s="38"/>
      <c r="AD1344" s="39"/>
      <c r="AE1344" s="39"/>
      <c r="AF1344" s="39"/>
      <c r="AG1344" s="39"/>
      <c r="AH1344" s="37">
        <f t="shared" si="1018"/>
        <v>0</v>
      </c>
      <c r="AI1344" s="38"/>
      <c r="AJ1344" s="39"/>
      <c r="AK1344" s="39"/>
      <c r="AL1344" s="39"/>
      <c r="AM1344" s="39"/>
      <c r="AN1344" s="37">
        <f t="shared" si="1019"/>
        <v>0</v>
      </c>
      <c r="AO1344" s="39"/>
      <c r="AP1344" s="56"/>
      <c r="AQ1344" s="56"/>
      <c r="AR1344" s="56"/>
      <c r="AS1344" s="71"/>
      <c r="AT1344" s="16">
        <f t="shared" si="1020"/>
        <v>0</v>
      </c>
      <c r="AU1344" s="39"/>
      <c r="AV1344" s="56"/>
      <c r="AW1344" s="56"/>
      <c r="AX1344" s="56"/>
      <c r="AY1344" s="71"/>
      <c r="AZ1344" s="16">
        <f t="shared" si="1021"/>
        <v>0</v>
      </c>
      <c r="BA1344" s="16">
        <f t="shared" si="1022"/>
        <v>0</v>
      </c>
      <c r="BB1344" s="128"/>
    </row>
    <row r="1345" spans="1:55" ht="14.25" x14ac:dyDescent="0.15">
      <c r="A1345" s="23" t="s">
        <v>438</v>
      </c>
      <c r="B1345" s="41">
        <v>1</v>
      </c>
      <c r="C1345" s="42"/>
      <c r="D1345" s="42">
        <v>1</v>
      </c>
      <c r="E1345" s="42"/>
      <c r="F1345" s="42"/>
      <c r="G1345" s="43">
        <f t="shared" si="1027"/>
        <v>2</v>
      </c>
      <c r="H1345" s="41"/>
      <c r="I1345" s="42"/>
      <c r="J1345" s="42"/>
      <c r="K1345" s="42"/>
      <c r="L1345" s="42"/>
      <c r="M1345" s="43">
        <f t="shared" si="1028"/>
        <v>0</v>
      </c>
      <c r="N1345" s="42"/>
      <c r="O1345" s="53"/>
      <c r="P1345" s="53"/>
      <c r="Q1345" s="53"/>
      <c r="R1345" s="72"/>
      <c r="S1345" s="24">
        <f t="shared" si="1025"/>
        <v>0</v>
      </c>
      <c r="T1345" s="42">
        <v>1</v>
      </c>
      <c r="U1345" s="53"/>
      <c r="V1345" s="53"/>
      <c r="W1345" s="53"/>
      <c r="X1345" s="72"/>
      <c r="Y1345" s="24">
        <f t="shared" si="1026"/>
        <v>1</v>
      </c>
      <c r="Z1345" s="24">
        <f t="shared" si="1011"/>
        <v>3</v>
      </c>
      <c r="AA1345" s="83">
        <v>45160</v>
      </c>
      <c r="AB1345" s="23"/>
      <c r="AC1345" s="38"/>
      <c r="AD1345" s="39"/>
      <c r="AE1345" s="39"/>
      <c r="AF1345" s="39"/>
      <c r="AG1345" s="39"/>
      <c r="AH1345" s="37">
        <f t="shared" si="1018"/>
        <v>0</v>
      </c>
      <c r="AI1345" s="38"/>
      <c r="AJ1345" s="39"/>
      <c r="AK1345" s="39"/>
      <c r="AL1345" s="39"/>
      <c r="AM1345" s="39"/>
      <c r="AN1345" s="37">
        <f t="shared" si="1019"/>
        <v>0</v>
      </c>
      <c r="AO1345" s="39"/>
      <c r="AP1345" s="56"/>
      <c r="AQ1345" s="56"/>
      <c r="AR1345" s="56"/>
      <c r="AS1345" s="71"/>
      <c r="AT1345" s="16">
        <f t="shared" si="1020"/>
        <v>0</v>
      </c>
      <c r="AU1345" s="39"/>
      <c r="AV1345" s="56"/>
      <c r="AW1345" s="56"/>
      <c r="AX1345" s="56"/>
      <c r="AY1345" s="71"/>
      <c r="AZ1345" s="16">
        <f t="shared" si="1021"/>
        <v>0</v>
      </c>
      <c r="BA1345" s="16">
        <f t="shared" si="1022"/>
        <v>0</v>
      </c>
      <c r="BB1345" s="128"/>
    </row>
    <row r="1346" spans="1:55" ht="14.25" x14ac:dyDescent="0.15">
      <c r="A1346" s="23" t="s">
        <v>48</v>
      </c>
      <c r="B1346" s="41"/>
      <c r="C1346" s="42"/>
      <c r="D1346" s="42"/>
      <c r="E1346" s="42"/>
      <c r="F1346" s="42"/>
      <c r="G1346" s="43">
        <f t="shared" si="1027"/>
        <v>0</v>
      </c>
      <c r="H1346" s="41"/>
      <c r="I1346" s="42"/>
      <c r="J1346" s="42"/>
      <c r="K1346" s="42"/>
      <c r="L1346" s="42"/>
      <c r="M1346" s="43">
        <f t="shared" si="1028"/>
        <v>0</v>
      </c>
      <c r="N1346" s="42"/>
      <c r="O1346" s="53"/>
      <c r="P1346" s="53"/>
      <c r="Q1346" s="53">
        <v>1</v>
      </c>
      <c r="R1346" s="72"/>
      <c r="S1346" s="24">
        <f t="shared" si="1025"/>
        <v>1</v>
      </c>
      <c r="T1346" s="42"/>
      <c r="U1346" s="53"/>
      <c r="V1346" s="53"/>
      <c r="W1346" s="53"/>
      <c r="X1346" s="72"/>
      <c r="Y1346" s="24">
        <f t="shared" si="1026"/>
        <v>0</v>
      </c>
      <c r="Z1346" s="24">
        <f t="shared" si="1011"/>
        <v>1</v>
      </c>
      <c r="AA1346" s="83">
        <v>45159</v>
      </c>
      <c r="AB1346" s="23"/>
      <c r="AC1346" s="38"/>
      <c r="AD1346" s="39"/>
      <c r="AE1346" s="39"/>
      <c r="AF1346" s="39"/>
      <c r="AG1346" s="39"/>
      <c r="AH1346" s="37">
        <f t="shared" si="1018"/>
        <v>0</v>
      </c>
      <c r="AI1346" s="38"/>
      <c r="AJ1346" s="39"/>
      <c r="AK1346" s="39"/>
      <c r="AL1346" s="39"/>
      <c r="AM1346" s="39"/>
      <c r="AN1346" s="37">
        <f t="shared" si="1019"/>
        <v>0</v>
      </c>
      <c r="AO1346" s="39"/>
      <c r="AP1346" s="56"/>
      <c r="AQ1346" s="56"/>
      <c r="AR1346" s="56"/>
      <c r="AS1346" s="71"/>
      <c r="AT1346" s="16">
        <f t="shared" si="1020"/>
        <v>0</v>
      </c>
      <c r="AU1346" s="39"/>
      <c r="AV1346" s="56"/>
      <c r="AW1346" s="56"/>
      <c r="AX1346" s="56"/>
      <c r="AY1346" s="71"/>
      <c r="AZ1346" s="16">
        <f t="shared" si="1021"/>
        <v>0</v>
      </c>
      <c r="BA1346" s="16">
        <f t="shared" si="1022"/>
        <v>0</v>
      </c>
      <c r="BB1346" s="128"/>
    </row>
    <row r="1347" spans="1:55" ht="14.25" x14ac:dyDescent="0.15">
      <c r="A1347" s="23" t="s">
        <v>438</v>
      </c>
      <c r="B1347" s="41"/>
      <c r="C1347" s="42"/>
      <c r="D1347" s="42"/>
      <c r="E1347" s="42"/>
      <c r="F1347" s="42"/>
      <c r="G1347" s="43">
        <f t="shared" si="1027"/>
        <v>0</v>
      </c>
      <c r="H1347" s="41"/>
      <c r="I1347" s="42"/>
      <c r="J1347" s="42"/>
      <c r="K1347" s="42"/>
      <c r="L1347" s="42"/>
      <c r="M1347" s="43">
        <f t="shared" si="1028"/>
        <v>0</v>
      </c>
      <c r="N1347" s="42">
        <v>1</v>
      </c>
      <c r="O1347" s="53"/>
      <c r="P1347" s="53"/>
      <c r="Q1347" s="53"/>
      <c r="R1347" s="72"/>
      <c r="S1347" s="24">
        <f t="shared" si="1025"/>
        <v>1</v>
      </c>
      <c r="T1347" s="42"/>
      <c r="U1347" s="53"/>
      <c r="V1347" s="53"/>
      <c r="W1347" s="53"/>
      <c r="X1347" s="72"/>
      <c r="Y1347" s="24">
        <f t="shared" si="1026"/>
        <v>0</v>
      </c>
      <c r="Z1347" s="24">
        <f t="shared" si="1011"/>
        <v>1</v>
      </c>
      <c r="AA1347" s="83">
        <v>45161</v>
      </c>
      <c r="AB1347" s="23"/>
      <c r="AC1347" s="38"/>
      <c r="AD1347" s="39"/>
      <c r="AE1347" s="39"/>
      <c r="AF1347" s="39"/>
      <c r="AG1347" s="39"/>
      <c r="AH1347" s="37">
        <f t="shared" si="1018"/>
        <v>0</v>
      </c>
      <c r="AI1347" s="38"/>
      <c r="AJ1347" s="39"/>
      <c r="AK1347" s="39"/>
      <c r="AL1347" s="39"/>
      <c r="AM1347" s="39"/>
      <c r="AN1347" s="37">
        <f t="shared" si="1019"/>
        <v>0</v>
      </c>
      <c r="AO1347" s="39"/>
      <c r="AP1347" s="56"/>
      <c r="AQ1347" s="56"/>
      <c r="AR1347" s="56"/>
      <c r="AS1347" s="71"/>
      <c r="AT1347" s="16">
        <f t="shared" si="1020"/>
        <v>0</v>
      </c>
      <c r="AU1347" s="39"/>
      <c r="AV1347" s="56"/>
      <c r="AW1347" s="56"/>
      <c r="AX1347" s="56"/>
      <c r="AY1347" s="71"/>
      <c r="AZ1347" s="16">
        <f t="shared" si="1021"/>
        <v>0</v>
      </c>
      <c r="BA1347" s="16">
        <f t="shared" si="1022"/>
        <v>0</v>
      </c>
      <c r="BB1347" s="128"/>
    </row>
    <row r="1348" spans="1:55" ht="14.25" x14ac:dyDescent="0.15">
      <c r="A1348" s="23" t="s">
        <v>48</v>
      </c>
      <c r="B1348" s="41"/>
      <c r="C1348" s="42"/>
      <c r="D1348" s="42"/>
      <c r="E1348" s="42"/>
      <c r="F1348" s="42"/>
      <c r="G1348" s="43">
        <f t="shared" si="1027"/>
        <v>0</v>
      </c>
      <c r="H1348" s="41"/>
      <c r="I1348" s="42"/>
      <c r="J1348" s="42"/>
      <c r="K1348" s="42"/>
      <c r="L1348" s="42"/>
      <c r="M1348" s="43">
        <f t="shared" si="1028"/>
        <v>0</v>
      </c>
      <c r="N1348" s="42"/>
      <c r="O1348" s="53"/>
      <c r="P1348" s="53"/>
      <c r="Q1348" s="53"/>
      <c r="R1348" s="72">
        <v>1</v>
      </c>
      <c r="S1348" s="24">
        <f t="shared" si="1025"/>
        <v>1</v>
      </c>
      <c r="T1348" s="42"/>
      <c r="U1348" s="53"/>
      <c r="V1348" s="53"/>
      <c r="W1348" s="53"/>
      <c r="X1348" s="72"/>
      <c r="Y1348" s="24">
        <f t="shared" si="1026"/>
        <v>0</v>
      </c>
      <c r="Z1348" s="24">
        <f t="shared" si="1011"/>
        <v>1</v>
      </c>
      <c r="AA1348" s="83">
        <v>45161</v>
      </c>
      <c r="AB1348" s="23"/>
      <c r="AC1348" s="38"/>
      <c r="AD1348" s="39"/>
      <c r="AE1348" s="39"/>
      <c r="AF1348" s="39"/>
      <c r="AG1348" s="39"/>
      <c r="AH1348" s="37">
        <f t="shared" si="1018"/>
        <v>0</v>
      </c>
      <c r="AI1348" s="38"/>
      <c r="AJ1348" s="39"/>
      <c r="AK1348" s="39"/>
      <c r="AL1348" s="39"/>
      <c r="AM1348" s="39"/>
      <c r="AN1348" s="37">
        <f t="shared" si="1019"/>
        <v>0</v>
      </c>
      <c r="AO1348" s="39"/>
      <c r="AP1348" s="56"/>
      <c r="AQ1348" s="56"/>
      <c r="AR1348" s="56"/>
      <c r="AS1348" s="71"/>
      <c r="AT1348" s="16">
        <f t="shared" si="1020"/>
        <v>0</v>
      </c>
      <c r="AU1348" s="39"/>
      <c r="AV1348" s="56"/>
      <c r="AW1348" s="56"/>
      <c r="AX1348" s="56"/>
      <c r="AY1348" s="71"/>
      <c r="AZ1348" s="16">
        <f t="shared" si="1021"/>
        <v>0</v>
      </c>
      <c r="BA1348" s="16">
        <f t="shared" si="1022"/>
        <v>0</v>
      </c>
      <c r="BB1348" s="128"/>
    </row>
    <row r="1349" spans="1:55" ht="14.25" x14ac:dyDescent="0.15">
      <c r="A1349" s="23" t="s">
        <v>438</v>
      </c>
      <c r="B1349" s="41">
        <v>1</v>
      </c>
      <c r="C1349" s="42"/>
      <c r="D1349" s="42"/>
      <c r="E1349" s="42"/>
      <c r="F1349" s="42"/>
      <c r="G1349" s="43">
        <f t="shared" si="1027"/>
        <v>1</v>
      </c>
      <c r="H1349" s="41"/>
      <c r="I1349" s="42"/>
      <c r="J1349" s="42"/>
      <c r="K1349" s="42"/>
      <c r="L1349" s="42"/>
      <c r="M1349" s="43">
        <f t="shared" si="1028"/>
        <v>0</v>
      </c>
      <c r="N1349" s="42"/>
      <c r="O1349" s="53"/>
      <c r="P1349" s="53"/>
      <c r="Q1349" s="53"/>
      <c r="R1349" s="72">
        <v>1</v>
      </c>
      <c r="S1349" s="24">
        <f t="shared" si="1025"/>
        <v>1</v>
      </c>
      <c r="T1349" s="42"/>
      <c r="U1349" s="53"/>
      <c r="V1349" s="53"/>
      <c r="W1349" s="53"/>
      <c r="X1349" s="72"/>
      <c r="Y1349" s="24">
        <f t="shared" si="1026"/>
        <v>0</v>
      </c>
      <c r="Z1349" s="24">
        <f t="shared" si="1011"/>
        <v>2</v>
      </c>
      <c r="AA1349" s="83">
        <v>45163</v>
      </c>
      <c r="AB1349" s="23"/>
      <c r="AC1349" s="38"/>
      <c r="AD1349" s="39"/>
      <c r="AE1349" s="39"/>
      <c r="AF1349" s="39"/>
      <c r="AG1349" s="39"/>
      <c r="AH1349" s="37">
        <f t="shared" si="1018"/>
        <v>0</v>
      </c>
      <c r="AI1349" s="38"/>
      <c r="AJ1349" s="39"/>
      <c r="AK1349" s="39"/>
      <c r="AL1349" s="39"/>
      <c r="AM1349" s="39"/>
      <c r="AN1349" s="37">
        <f t="shared" si="1019"/>
        <v>0</v>
      </c>
      <c r="AO1349" s="39"/>
      <c r="AP1349" s="56"/>
      <c r="AQ1349" s="56"/>
      <c r="AR1349" s="56"/>
      <c r="AS1349" s="71"/>
      <c r="AT1349" s="16">
        <f t="shared" si="1020"/>
        <v>0</v>
      </c>
      <c r="AU1349" s="39"/>
      <c r="AV1349" s="56"/>
      <c r="AW1349" s="56"/>
      <c r="AX1349" s="56"/>
      <c r="AY1349" s="71"/>
      <c r="AZ1349" s="16">
        <f t="shared" si="1021"/>
        <v>0</v>
      </c>
      <c r="BA1349" s="16">
        <f t="shared" si="1022"/>
        <v>0</v>
      </c>
      <c r="BB1349" s="128"/>
    </row>
    <row r="1350" spans="1:55" ht="14.25" x14ac:dyDescent="0.15">
      <c r="A1350" s="23" t="s">
        <v>48</v>
      </c>
      <c r="B1350" s="41"/>
      <c r="C1350" s="42"/>
      <c r="D1350" s="42"/>
      <c r="E1350" s="42">
        <v>1</v>
      </c>
      <c r="F1350" s="42"/>
      <c r="G1350" s="43">
        <f t="shared" si="1027"/>
        <v>1</v>
      </c>
      <c r="H1350" s="41"/>
      <c r="I1350" s="42"/>
      <c r="J1350" s="42"/>
      <c r="K1350" s="42"/>
      <c r="L1350" s="42"/>
      <c r="M1350" s="43">
        <f t="shared" si="1028"/>
        <v>0</v>
      </c>
      <c r="N1350" s="42"/>
      <c r="O1350" s="53"/>
      <c r="P1350" s="53"/>
      <c r="Q1350" s="53"/>
      <c r="R1350" s="72"/>
      <c r="S1350" s="24">
        <f t="shared" si="1025"/>
        <v>0</v>
      </c>
      <c r="T1350" s="42"/>
      <c r="U1350" s="53"/>
      <c r="V1350" s="53"/>
      <c r="W1350" s="53"/>
      <c r="X1350" s="72"/>
      <c r="Y1350" s="24">
        <f t="shared" si="1026"/>
        <v>0</v>
      </c>
      <c r="Z1350" s="24">
        <f t="shared" si="1011"/>
        <v>1</v>
      </c>
      <c r="AA1350" s="83">
        <v>45162</v>
      </c>
      <c r="AB1350" s="23"/>
      <c r="AC1350" s="38"/>
      <c r="AD1350" s="39"/>
      <c r="AE1350" s="39"/>
      <c r="AF1350" s="39"/>
      <c r="AG1350" s="39"/>
      <c r="AH1350" s="37">
        <f t="shared" si="1018"/>
        <v>0</v>
      </c>
      <c r="AI1350" s="38"/>
      <c r="AJ1350" s="39"/>
      <c r="AK1350" s="39"/>
      <c r="AL1350" s="39"/>
      <c r="AM1350" s="39"/>
      <c r="AN1350" s="37">
        <f t="shared" si="1019"/>
        <v>0</v>
      </c>
      <c r="AO1350" s="39"/>
      <c r="AP1350" s="56"/>
      <c r="AQ1350" s="56"/>
      <c r="AR1350" s="56"/>
      <c r="AS1350" s="71"/>
      <c r="AT1350" s="16">
        <f t="shared" si="1020"/>
        <v>0</v>
      </c>
      <c r="AU1350" s="39"/>
      <c r="AV1350" s="56"/>
      <c r="AW1350" s="56"/>
      <c r="AX1350" s="56"/>
      <c r="AY1350" s="71"/>
      <c r="AZ1350" s="16">
        <f t="shared" si="1021"/>
        <v>0</v>
      </c>
      <c r="BA1350" s="16">
        <f t="shared" si="1022"/>
        <v>0</v>
      </c>
      <c r="BB1350" s="128"/>
    </row>
    <row r="1351" spans="1:55" ht="14.25" x14ac:dyDescent="0.15">
      <c r="A1351" s="23" t="s">
        <v>438</v>
      </c>
      <c r="B1351" s="41"/>
      <c r="C1351" s="42"/>
      <c r="D1351" s="42"/>
      <c r="E1351" s="42"/>
      <c r="F1351" s="42">
        <v>1</v>
      </c>
      <c r="G1351" s="43">
        <f t="shared" si="1027"/>
        <v>1</v>
      </c>
      <c r="H1351" s="41"/>
      <c r="I1351" s="42"/>
      <c r="J1351" s="42"/>
      <c r="K1351" s="42"/>
      <c r="L1351" s="42"/>
      <c r="M1351" s="43">
        <f t="shared" si="1028"/>
        <v>0</v>
      </c>
      <c r="N1351" s="42"/>
      <c r="O1351" s="53"/>
      <c r="P1351" s="53"/>
      <c r="Q1351" s="53"/>
      <c r="R1351" s="72"/>
      <c r="S1351" s="24">
        <f t="shared" si="1025"/>
        <v>0</v>
      </c>
      <c r="T1351" s="42"/>
      <c r="U1351" s="53"/>
      <c r="V1351" s="53"/>
      <c r="W1351" s="53"/>
      <c r="X1351" s="72"/>
      <c r="Y1351" s="24">
        <f t="shared" si="1026"/>
        <v>0</v>
      </c>
      <c r="Z1351" s="24">
        <f t="shared" si="1011"/>
        <v>1</v>
      </c>
      <c r="AA1351" s="83">
        <v>45166</v>
      </c>
      <c r="AB1351" s="23"/>
      <c r="AC1351" s="38"/>
      <c r="AD1351" s="39"/>
      <c r="AE1351" s="39"/>
      <c r="AF1351" s="39"/>
      <c r="AG1351" s="39"/>
      <c r="AH1351" s="37">
        <f t="shared" si="1018"/>
        <v>0</v>
      </c>
      <c r="AI1351" s="38"/>
      <c r="AJ1351" s="39"/>
      <c r="AK1351" s="39"/>
      <c r="AL1351" s="39"/>
      <c r="AM1351" s="39"/>
      <c r="AN1351" s="37">
        <f t="shared" si="1019"/>
        <v>0</v>
      </c>
      <c r="AO1351" s="39"/>
      <c r="AP1351" s="56"/>
      <c r="AQ1351" s="56"/>
      <c r="AR1351" s="56"/>
      <c r="AS1351" s="71"/>
      <c r="AT1351" s="16">
        <f t="shared" si="1020"/>
        <v>0</v>
      </c>
      <c r="AU1351" s="39"/>
      <c r="AV1351" s="56"/>
      <c r="AW1351" s="56"/>
      <c r="AX1351" s="56"/>
      <c r="AY1351" s="71"/>
      <c r="AZ1351" s="16">
        <f t="shared" si="1021"/>
        <v>0</v>
      </c>
      <c r="BA1351" s="16">
        <f t="shared" si="1022"/>
        <v>0</v>
      </c>
      <c r="BB1351" s="128"/>
    </row>
    <row r="1352" spans="1:55" ht="14.25" x14ac:dyDescent="0.15">
      <c r="A1352" s="23" t="s">
        <v>619</v>
      </c>
      <c r="B1352" s="41">
        <v>1</v>
      </c>
      <c r="C1352" s="42"/>
      <c r="D1352" s="42"/>
      <c r="E1352" s="42"/>
      <c r="F1352" s="42"/>
      <c r="G1352" s="43">
        <f t="shared" si="1027"/>
        <v>1</v>
      </c>
      <c r="H1352" s="41">
        <v>-2</v>
      </c>
      <c r="I1352" s="42">
        <v>1</v>
      </c>
      <c r="J1352" s="42">
        <v>1</v>
      </c>
      <c r="K1352" s="42">
        <v>-1</v>
      </c>
      <c r="L1352" s="42">
        <v>-1</v>
      </c>
      <c r="M1352" s="43">
        <f t="shared" si="1028"/>
        <v>-2</v>
      </c>
      <c r="N1352" s="42"/>
      <c r="O1352" s="53"/>
      <c r="P1352" s="53"/>
      <c r="Q1352" s="53"/>
      <c r="R1352" s="72"/>
      <c r="S1352" s="24">
        <f t="shared" si="1025"/>
        <v>0</v>
      </c>
      <c r="T1352" s="42">
        <v>-1</v>
      </c>
      <c r="U1352" s="53"/>
      <c r="V1352" s="53"/>
      <c r="W1352" s="53">
        <v>1</v>
      </c>
      <c r="X1352" s="72">
        <v>1</v>
      </c>
      <c r="Y1352" s="24">
        <f t="shared" si="1026"/>
        <v>1</v>
      </c>
      <c r="Z1352" s="24">
        <f t="shared" si="1011"/>
        <v>0</v>
      </c>
      <c r="AA1352" s="83">
        <v>45163</v>
      </c>
      <c r="AB1352" s="23"/>
      <c r="AC1352" s="38"/>
      <c r="AD1352" s="39"/>
      <c r="AE1352" s="39"/>
      <c r="AF1352" s="39"/>
      <c r="AG1352" s="39"/>
      <c r="AH1352" s="37">
        <f t="shared" si="1018"/>
        <v>0</v>
      </c>
      <c r="AI1352" s="38"/>
      <c r="AJ1352" s="39"/>
      <c r="AK1352" s="39"/>
      <c r="AL1352" s="39"/>
      <c r="AM1352" s="39"/>
      <c r="AN1352" s="37">
        <f t="shared" si="1019"/>
        <v>0</v>
      </c>
      <c r="AO1352" s="39"/>
      <c r="AP1352" s="56"/>
      <c r="AQ1352" s="56"/>
      <c r="AR1352" s="56"/>
      <c r="AS1352" s="71"/>
      <c r="AT1352" s="16">
        <f t="shared" si="1020"/>
        <v>0</v>
      </c>
      <c r="AU1352" s="39"/>
      <c r="AV1352" s="56"/>
      <c r="AW1352" s="56"/>
      <c r="AX1352" s="56"/>
      <c r="AY1352" s="71"/>
      <c r="AZ1352" s="16">
        <f t="shared" si="1021"/>
        <v>0</v>
      </c>
      <c r="BA1352" s="16">
        <f t="shared" si="1022"/>
        <v>0</v>
      </c>
      <c r="BB1352" s="128"/>
    </row>
    <row r="1353" spans="1:55" ht="14.25" x14ac:dyDescent="0.15">
      <c r="A1353" s="23" t="s">
        <v>438</v>
      </c>
      <c r="B1353" s="41"/>
      <c r="C1353" s="42">
        <v>1</v>
      </c>
      <c r="D1353" s="42"/>
      <c r="E1353" s="42"/>
      <c r="F1353" s="42">
        <v>1</v>
      </c>
      <c r="G1353" s="43">
        <f t="shared" si="1027"/>
        <v>2</v>
      </c>
      <c r="H1353" s="41"/>
      <c r="I1353" s="42"/>
      <c r="J1353" s="42"/>
      <c r="K1353" s="42"/>
      <c r="L1353" s="42"/>
      <c r="M1353" s="43">
        <f t="shared" si="1028"/>
        <v>0</v>
      </c>
      <c r="N1353" s="42"/>
      <c r="O1353" s="53"/>
      <c r="P1353" s="53"/>
      <c r="Q1353" s="53"/>
      <c r="R1353" s="72"/>
      <c r="S1353" s="24">
        <f t="shared" si="1025"/>
        <v>0</v>
      </c>
      <c r="T1353" s="42"/>
      <c r="U1353" s="53"/>
      <c r="V1353" s="53"/>
      <c r="W1353" s="53"/>
      <c r="X1353" s="72"/>
      <c r="Y1353" s="24">
        <f t="shared" si="1026"/>
        <v>0</v>
      </c>
      <c r="Z1353" s="24">
        <f t="shared" si="1011"/>
        <v>2</v>
      </c>
      <c r="AA1353" s="83">
        <v>45167</v>
      </c>
      <c r="AB1353" s="23"/>
      <c r="AC1353" s="38"/>
      <c r="AD1353" s="39"/>
      <c r="AE1353" s="39"/>
      <c r="AF1353" s="39"/>
      <c r="AG1353" s="39"/>
      <c r="AH1353" s="37">
        <f t="shared" si="1018"/>
        <v>0</v>
      </c>
      <c r="AI1353" s="38"/>
      <c r="AJ1353" s="39"/>
      <c r="AK1353" s="39"/>
      <c r="AL1353" s="39"/>
      <c r="AM1353" s="39"/>
      <c r="AN1353" s="37">
        <f t="shared" si="1019"/>
        <v>0</v>
      </c>
      <c r="AO1353" s="39"/>
      <c r="AP1353" s="56"/>
      <c r="AQ1353" s="56"/>
      <c r="AR1353" s="56"/>
      <c r="AS1353" s="71"/>
      <c r="AT1353" s="16">
        <f t="shared" si="1020"/>
        <v>0</v>
      </c>
      <c r="AU1353" s="39"/>
      <c r="AV1353" s="56"/>
      <c r="AW1353" s="56"/>
      <c r="AX1353" s="56"/>
      <c r="AY1353" s="71"/>
      <c r="AZ1353" s="16">
        <f t="shared" si="1021"/>
        <v>0</v>
      </c>
      <c r="BA1353" s="16">
        <f t="shared" si="1022"/>
        <v>0</v>
      </c>
      <c r="BB1353" s="128"/>
    </row>
    <row r="1354" spans="1:55" ht="14.25" x14ac:dyDescent="0.15">
      <c r="A1354" s="23" t="s">
        <v>620</v>
      </c>
      <c r="B1354" s="41"/>
      <c r="C1354" s="42">
        <v>1</v>
      </c>
      <c r="D1354" s="42"/>
      <c r="E1354" s="42"/>
      <c r="F1354" s="42"/>
      <c r="G1354" s="43">
        <f t="shared" si="1027"/>
        <v>1</v>
      </c>
      <c r="H1354" s="41"/>
      <c r="I1354" s="42"/>
      <c r="J1354" s="42"/>
      <c r="K1354" s="42"/>
      <c r="L1354" s="42"/>
      <c r="M1354" s="43">
        <f t="shared" si="1028"/>
        <v>0</v>
      </c>
      <c r="N1354" s="42"/>
      <c r="O1354" s="53"/>
      <c r="P1354" s="53"/>
      <c r="Q1354" s="53"/>
      <c r="R1354" s="72"/>
      <c r="S1354" s="24">
        <f t="shared" si="1025"/>
        <v>0</v>
      </c>
      <c r="T1354" s="42"/>
      <c r="U1354" s="53"/>
      <c r="V1354" s="53"/>
      <c r="W1354" s="53"/>
      <c r="X1354" s="72"/>
      <c r="Y1354" s="24">
        <f t="shared" si="1026"/>
        <v>0</v>
      </c>
      <c r="Z1354" s="24">
        <f t="shared" si="1011"/>
        <v>1</v>
      </c>
      <c r="AA1354" s="83">
        <v>45167</v>
      </c>
      <c r="AB1354" s="23"/>
      <c r="AC1354" s="38"/>
      <c r="AD1354" s="39"/>
      <c r="AE1354" s="39"/>
      <c r="AF1354" s="39"/>
      <c r="AG1354" s="39"/>
      <c r="AH1354" s="37">
        <f t="shared" si="1018"/>
        <v>0</v>
      </c>
      <c r="AI1354" s="38"/>
      <c r="AJ1354" s="39"/>
      <c r="AK1354" s="39"/>
      <c r="AL1354" s="39"/>
      <c r="AM1354" s="39"/>
      <c r="AN1354" s="37">
        <f t="shared" si="1019"/>
        <v>0</v>
      </c>
      <c r="AO1354" s="39"/>
      <c r="AP1354" s="56"/>
      <c r="AQ1354" s="56"/>
      <c r="AR1354" s="56"/>
      <c r="AS1354" s="71"/>
      <c r="AT1354" s="16">
        <f t="shared" si="1020"/>
        <v>0</v>
      </c>
      <c r="AU1354" s="39"/>
      <c r="AV1354" s="56"/>
      <c r="AW1354" s="56"/>
      <c r="AX1354" s="56"/>
      <c r="AY1354" s="71"/>
      <c r="AZ1354" s="16">
        <f t="shared" si="1021"/>
        <v>0</v>
      </c>
      <c r="BA1354" s="16">
        <f t="shared" si="1022"/>
        <v>0</v>
      </c>
      <c r="BB1354" s="128"/>
    </row>
    <row r="1355" spans="1:55" ht="14.25" x14ac:dyDescent="0.15">
      <c r="A1355" s="23" t="s">
        <v>48</v>
      </c>
      <c r="B1355" s="41">
        <v>1</v>
      </c>
      <c r="C1355" s="42">
        <v>1</v>
      </c>
      <c r="D1355" s="42"/>
      <c r="E1355" s="42"/>
      <c r="F1355" s="42"/>
      <c r="G1355" s="43">
        <f t="shared" si="1027"/>
        <v>2</v>
      </c>
      <c r="H1355" s="41">
        <v>1</v>
      </c>
      <c r="I1355" s="42"/>
      <c r="J1355" s="42"/>
      <c r="K1355" s="42"/>
      <c r="L1355" s="42"/>
      <c r="M1355" s="43">
        <f t="shared" si="1028"/>
        <v>1</v>
      </c>
      <c r="N1355" s="42"/>
      <c r="O1355" s="53"/>
      <c r="P1355" s="53">
        <v>1</v>
      </c>
      <c r="Q1355" s="53"/>
      <c r="R1355" s="72"/>
      <c r="S1355" s="24">
        <f t="shared" si="1025"/>
        <v>1</v>
      </c>
      <c r="T1355" s="42"/>
      <c r="U1355" s="53"/>
      <c r="V1355" s="53"/>
      <c r="W1355" s="53"/>
      <c r="X1355" s="72"/>
      <c r="Y1355" s="24">
        <f t="shared" si="1026"/>
        <v>0</v>
      </c>
      <c r="Z1355" s="24">
        <f t="shared" si="1011"/>
        <v>4</v>
      </c>
      <c r="AA1355" s="83">
        <v>45166</v>
      </c>
      <c r="AB1355" s="23"/>
      <c r="AC1355" s="38"/>
      <c r="AD1355" s="39"/>
      <c r="AE1355" s="39"/>
      <c r="AF1355" s="39"/>
      <c r="AG1355" s="39"/>
      <c r="AH1355" s="37">
        <f t="shared" si="1018"/>
        <v>0</v>
      </c>
      <c r="AI1355" s="38"/>
      <c r="AJ1355" s="39"/>
      <c r="AK1355" s="39"/>
      <c r="AL1355" s="39"/>
      <c r="AM1355" s="39"/>
      <c r="AN1355" s="37">
        <f t="shared" si="1019"/>
        <v>0</v>
      </c>
      <c r="AO1355" s="39"/>
      <c r="AP1355" s="56"/>
      <c r="AQ1355" s="56"/>
      <c r="AR1355" s="56"/>
      <c r="AS1355" s="71"/>
      <c r="AT1355" s="16">
        <f t="shared" si="1020"/>
        <v>0</v>
      </c>
      <c r="AU1355" s="39"/>
      <c r="AV1355" s="56"/>
      <c r="AW1355" s="56"/>
      <c r="AX1355" s="56"/>
      <c r="AY1355" s="71"/>
      <c r="AZ1355" s="16">
        <f t="shared" si="1021"/>
        <v>0</v>
      </c>
      <c r="BA1355" s="16">
        <f t="shared" si="1022"/>
        <v>0</v>
      </c>
      <c r="BB1355" s="128"/>
    </row>
    <row r="1356" spans="1:55" ht="14.25" x14ac:dyDescent="0.15">
      <c r="A1356" s="23" t="s">
        <v>621</v>
      </c>
      <c r="B1356" s="41">
        <v>-3</v>
      </c>
      <c r="C1356" s="42">
        <v>-3</v>
      </c>
      <c r="D1356" s="42"/>
      <c r="E1356" s="42"/>
      <c r="F1356" s="42">
        <v>-3</v>
      </c>
      <c r="G1356" s="43">
        <f t="shared" si="1027"/>
        <v>-9</v>
      </c>
      <c r="H1356" s="41"/>
      <c r="I1356" s="42"/>
      <c r="J1356" s="42"/>
      <c r="K1356" s="42"/>
      <c r="L1356" s="42"/>
      <c r="M1356" s="43">
        <f t="shared" si="1028"/>
        <v>0</v>
      </c>
      <c r="N1356" s="42"/>
      <c r="O1356" s="53"/>
      <c r="P1356" s="53"/>
      <c r="Q1356" s="53"/>
      <c r="R1356" s="72"/>
      <c r="S1356" s="24">
        <f t="shared" si="1025"/>
        <v>0</v>
      </c>
      <c r="T1356" s="42"/>
      <c r="U1356" s="53"/>
      <c r="V1356" s="53"/>
      <c r="W1356" s="53">
        <v>-3</v>
      </c>
      <c r="X1356" s="72"/>
      <c r="Y1356" s="24">
        <f t="shared" si="1026"/>
        <v>-3</v>
      </c>
      <c r="Z1356" s="24">
        <f t="shared" si="1011"/>
        <v>-12</v>
      </c>
      <c r="AA1356" s="83">
        <v>45167</v>
      </c>
      <c r="AB1356" s="23"/>
      <c r="AC1356" s="38"/>
      <c r="AD1356" s="39"/>
      <c r="AE1356" s="39"/>
      <c r="AF1356" s="39"/>
      <c r="AG1356" s="39"/>
      <c r="AH1356" s="37">
        <f t="shared" si="1018"/>
        <v>0</v>
      </c>
      <c r="AI1356" s="38"/>
      <c r="AJ1356" s="39"/>
      <c r="AK1356" s="39"/>
      <c r="AL1356" s="39"/>
      <c r="AM1356" s="39"/>
      <c r="AN1356" s="37">
        <f t="shared" si="1019"/>
        <v>0</v>
      </c>
      <c r="AO1356" s="39"/>
      <c r="AP1356" s="56"/>
      <c r="AQ1356" s="56"/>
      <c r="AR1356" s="56"/>
      <c r="AS1356" s="71"/>
      <c r="AT1356" s="16">
        <f t="shared" si="1020"/>
        <v>0</v>
      </c>
      <c r="AU1356" s="39"/>
      <c r="AV1356" s="56"/>
      <c r="AW1356" s="56"/>
      <c r="AX1356" s="56"/>
      <c r="AY1356" s="71"/>
      <c r="AZ1356" s="16">
        <f t="shared" si="1021"/>
        <v>0</v>
      </c>
      <c r="BA1356" s="16">
        <f t="shared" si="1022"/>
        <v>0</v>
      </c>
      <c r="BB1356" s="128"/>
    </row>
    <row r="1357" spans="1:55" ht="14.25" x14ac:dyDescent="0.15">
      <c r="A1357" s="23" t="s">
        <v>438</v>
      </c>
      <c r="B1357" s="41"/>
      <c r="C1357" s="42"/>
      <c r="D1357" s="42"/>
      <c r="E1357" s="42"/>
      <c r="F1357" s="42"/>
      <c r="G1357" s="43">
        <f t="shared" si="1027"/>
        <v>0</v>
      </c>
      <c r="H1357" s="41"/>
      <c r="I1357" s="42"/>
      <c r="J1357" s="42"/>
      <c r="K1357" s="42"/>
      <c r="L1357" s="42"/>
      <c r="M1357" s="43">
        <f t="shared" si="1028"/>
        <v>0</v>
      </c>
      <c r="N1357" s="42"/>
      <c r="O1357" s="53"/>
      <c r="P1357" s="53"/>
      <c r="Q1357" s="53"/>
      <c r="R1357" s="72">
        <v>1</v>
      </c>
      <c r="S1357" s="24">
        <f t="shared" si="1025"/>
        <v>1</v>
      </c>
      <c r="T1357" s="42"/>
      <c r="U1357" s="53"/>
      <c r="V1357" s="53"/>
      <c r="W1357" s="53"/>
      <c r="X1357" s="72"/>
      <c r="Y1357" s="24">
        <f t="shared" si="1026"/>
        <v>0</v>
      </c>
      <c r="Z1357" s="24">
        <f t="shared" si="1011"/>
        <v>1</v>
      </c>
      <c r="AA1357" s="83">
        <v>45168</v>
      </c>
      <c r="AB1357" s="23"/>
      <c r="AC1357" s="38"/>
      <c r="AD1357" s="39"/>
      <c r="AE1357" s="39"/>
      <c r="AF1357" s="39"/>
      <c r="AG1357" s="39"/>
      <c r="AH1357" s="37">
        <f t="shared" si="1018"/>
        <v>0</v>
      </c>
      <c r="AI1357" s="38"/>
      <c r="AJ1357" s="39"/>
      <c r="AK1357" s="39"/>
      <c r="AL1357" s="39"/>
      <c r="AM1357" s="39"/>
      <c r="AN1357" s="37">
        <f t="shared" si="1019"/>
        <v>0</v>
      </c>
      <c r="AO1357" s="39"/>
      <c r="AP1357" s="56"/>
      <c r="AQ1357" s="56"/>
      <c r="AR1357" s="56"/>
      <c r="AS1357" s="71"/>
      <c r="AT1357" s="16">
        <f t="shared" si="1020"/>
        <v>0</v>
      </c>
      <c r="AU1357" s="39"/>
      <c r="AV1357" s="56"/>
      <c r="AW1357" s="56"/>
      <c r="AX1357" s="56"/>
      <c r="AY1357" s="71"/>
      <c r="AZ1357" s="16">
        <f t="shared" si="1021"/>
        <v>0</v>
      </c>
      <c r="BA1357" s="16">
        <f t="shared" si="1022"/>
        <v>0</v>
      </c>
      <c r="BB1357" s="128"/>
    </row>
    <row r="1358" spans="1:55" ht="14.25" x14ac:dyDescent="0.15">
      <c r="A1358" s="23" t="s">
        <v>48</v>
      </c>
      <c r="B1358" s="41"/>
      <c r="C1358" s="42"/>
      <c r="D1358" s="42"/>
      <c r="E1358" s="42">
        <v>1</v>
      </c>
      <c r="F1358" s="42"/>
      <c r="G1358" s="43">
        <f t="shared" si="1027"/>
        <v>1</v>
      </c>
      <c r="H1358" s="41"/>
      <c r="I1358" s="42"/>
      <c r="J1358" s="42"/>
      <c r="K1358" s="42"/>
      <c r="L1358" s="42"/>
      <c r="M1358" s="43">
        <f t="shared" si="1028"/>
        <v>0</v>
      </c>
      <c r="N1358" s="42"/>
      <c r="O1358" s="53"/>
      <c r="P1358" s="53"/>
      <c r="Q1358" s="53"/>
      <c r="R1358" s="72"/>
      <c r="S1358" s="24">
        <f t="shared" si="1025"/>
        <v>0</v>
      </c>
      <c r="T1358" s="42"/>
      <c r="U1358" s="53"/>
      <c r="V1358" s="53">
        <v>1</v>
      </c>
      <c r="W1358" s="53"/>
      <c r="X1358" s="72"/>
      <c r="Y1358" s="24">
        <f t="shared" si="1026"/>
        <v>1</v>
      </c>
      <c r="Z1358" s="24">
        <f t="shared" si="1011"/>
        <v>2</v>
      </c>
      <c r="AA1358" s="83">
        <v>45167</v>
      </c>
      <c r="AB1358" s="47" t="s">
        <v>610</v>
      </c>
      <c r="AC1358" s="14"/>
      <c r="AD1358" s="15"/>
      <c r="AE1358" s="15"/>
      <c r="AF1358" s="15"/>
      <c r="AG1358" s="15"/>
      <c r="AH1358" s="24">
        <f t="shared" ref="AH1358" si="1038">SUM(AC1358:AG1358)</f>
        <v>0</v>
      </c>
      <c r="AI1358" s="189"/>
      <c r="AJ1358" s="183"/>
      <c r="AK1358" s="183"/>
      <c r="AL1358" s="183"/>
      <c r="AM1358" s="183"/>
      <c r="AN1358" s="24">
        <f t="shared" ref="AN1358" si="1039">SUM(AI1358:AM1358)</f>
        <v>0</v>
      </c>
      <c r="AO1358" s="14"/>
      <c r="AP1358" s="15"/>
      <c r="AQ1358" s="15"/>
      <c r="AR1358" s="15"/>
      <c r="AS1358" s="15"/>
      <c r="AT1358" s="24">
        <f t="shared" ref="AT1358" si="1040">SUM(AO1358:AS1358)</f>
        <v>0</v>
      </c>
      <c r="AU1358" s="14"/>
      <c r="AV1358" s="15"/>
      <c r="AW1358" s="15"/>
      <c r="AX1358" s="15"/>
      <c r="AY1358" s="15"/>
      <c r="AZ1358" s="24">
        <f t="shared" ref="AZ1358" si="1041">SUM(AU1358:AY1358)</f>
        <v>0</v>
      </c>
      <c r="BA1358" s="24">
        <f t="shared" ref="BA1358" si="1042">AH1358+AN1358+AT1358+AZ1358</f>
        <v>0</v>
      </c>
      <c r="BB1358" s="128" t="s">
        <v>611</v>
      </c>
    </row>
    <row r="1359" spans="1:55" ht="14.25" x14ac:dyDescent="0.15">
      <c r="A1359" s="23" t="s">
        <v>438</v>
      </c>
      <c r="B1359" s="41"/>
      <c r="C1359" s="42">
        <v>1</v>
      </c>
      <c r="D1359" s="42"/>
      <c r="E1359" s="42"/>
      <c r="F1359" s="42"/>
      <c r="G1359" s="43">
        <f t="shared" si="1027"/>
        <v>1</v>
      </c>
      <c r="H1359" s="41"/>
      <c r="I1359" s="42"/>
      <c r="J1359" s="42"/>
      <c r="K1359" s="42"/>
      <c r="L1359" s="42"/>
      <c r="M1359" s="43">
        <f t="shared" si="1028"/>
        <v>0</v>
      </c>
      <c r="N1359" s="42"/>
      <c r="O1359" s="53"/>
      <c r="P1359" s="53"/>
      <c r="Q1359" s="53"/>
      <c r="R1359" s="72"/>
      <c r="S1359" s="24">
        <f t="shared" si="1025"/>
        <v>0</v>
      </c>
      <c r="T1359" s="42"/>
      <c r="U1359" s="53"/>
      <c r="V1359" s="53"/>
      <c r="W1359" s="53"/>
      <c r="X1359" s="72"/>
      <c r="Y1359" s="24">
        <f t="shared" si="1026"/>
        <v>0</v>
      </c>
      <c r="Z1359" s="24">
        <f t="shared" si="1011"/>
        <v>1</v>
      </c>
      <c r="AA1359" s="83">
        <v>45169</v>
      </c>
      <c r="AB1359" s="47" t="s">
        <v>540</v>
      </c>
      <c r="AC1359" s="14"/>
      <c r="AD1359" s="15"/>
      <c r="AE1359" s="15"/>
      <c r="AF1359" s="15"/>
      <c r="AG1359" s="15"/>
      <c r="AH1359" s="24">
        <f t="shared" si="1018"/>
        <v>0</v>
      </c>
      <c r="AI1359" s="189"/>
      <c r="AJ1359" s="183"/>
      <c r="AK1359" s="183"/>
      <c r="AL1359" s="183"/>
      <c r="AM1359" s="183"/>
      <c r="AN1359" s="24">
        <f t="shared" si="1019"/>
        <v>0</v>
      </c>
      <c r="AO1359" s="14"/>
      <c r="AP1359" s="15"/>
      <c r="AQ1359" s="15"/>
      <c r="AR1359" s="15"/>
      <c r="AS1359" s="15"/>
      <c r="AT1359" s="24">
        <f t="shared" si="1020"/>
        <v>0</v>
      </c>
      <c r="AU1359" s="14"/>
      <c r="AV1359" s="15"/>
      <c r="AW1359" s="15"/>
      <c r="AX1359" s="15"/>
      <c r="AY1359" s="15"/>
      <c r="AZ1359" s="24">
        <f t="shared" si="1021"/>
        <v>0</v>
      </c>
      <c r="BA1359" s="24">
        <f t="shared" si="1022"/>
        <v>0</v>
      </c>
      <c r="BB1359" s="128" t="s">
        <v>537</v>
      </c>
      <c r="BC1359" s="111"/>
    </row>
    <row r="1360" spans="1:55" ht="14.25" x14ac:dyDescent="0.15">
      <c r="A1360" s="23" t="s">
        <v>48</v>
      </c>
      <c r="B1360" s="41"/>
      <c r="C1360" s="42"/>
      <c r="D1360" s="42">
        <v>1</v>
      </c>
      <c r="E1360" s="42"/>
      <c r="F1360" s="42">
        <v>1</v>
      </c>
      <c r="G1360" s="43">
        <f t="shared" si="1023"/>
        <v>2</v>
      </c>
      <c r="H1360" s="41"/>
      <c r="I1360" s="42"/>
      <c r="J1360" s="42"/>
      <c r="K1360" s="42"/>
      <c r="L1360" s="42"/>
      <c r="M1360" s="43">
        <f t="shared" si="1024"/>
        <v>0</v>
      </c>
      <c r="N1360" s="42"/>
      <c r="O1360" s="53"/>
      <c r="P1360" s="53">
        <v>1</v>
      </c>
      <c r="Q1360" s="53"/>
      <c r="R1360" s="72"/>
      <c r="S1360" s="24">
        <f>SUM(N1360:R1360)</f>
        <v>1</v>
      </c>
      <c r="T1360" s="42"/>
      <c r="U1360" s="53"/>
      <c r="V1360" s="53"/>
      <c r="W1360" s="53"/>
      <c r="X1360" s="72"/>
      <c r="Y1360" s="24">
        <f>SUM(T1360:X1360)</f>
        <v>0</v>
      </c>
      <c r="Z1360" s="24">
        <f>G1360+M1360+S1360+Y1360</f>
        <v>3</v>
      </c>
      <c r="AA1360" s="83">
        <v>45168</v>
      </c>
      <c r="AB1360" s="47" t="s">
        <v>614</v>
      </c>
      <c r="AC1360" s="14"/>
      <c r="AD1360" s="15"/>
      <c r="AE1360" s="15"/>
      <c r="AF1360" s="15"/>
      <c r="AG1360" s="15"/>
      <c r="AH1360" s="24">
        <f t="shared" ref="AH1360" si="1043">SUM(AC1360:AG1360)</f>
        <v>0</v>
      </c>
      <c r="AI1360" s="189"/>
      <c r="AJ1360" s="183"/>
      <c r="AK1360" s="183"/>
      <c r="AL1360" s="183"/>
      <c r="AM1360" s="183"/>
      <c r="AN1360" s="24">
        <f t="shared" ref="AN1360" si="1044">SUM(AI1360:AM1360)</f>
        <v>0</v>
      </c>
      <c r="AO1360" s="14"/>
      <c r="AP1360" s="15"/>
      <c r="AQ1360" s="15"/>
      <c r="AR1360" s="15"/>
      <c r="AS1360" s="15"/>
      <c r="AT1360" s="24">
        <f t="shared" ref="AT1360" si="1045">SUM(AO1360:AS1360)</f>
        <v>0</v>
      </c>
      <c r="AU1360" s="14"/>
      <c r="AV1360" s="15"/>
      <c r="AW1360" s="15"/>
      <c r="AX1360" s="15"/>
      <c r="AY1360" s="15"/>
      <c r="AZ1360" s="24">
        <f t="shared" ref="AZ1360" si="1046">SUM(AU1360:AY1360)</f>
        <v>0</v>
      </c>
      <c r="BA1360" s="24">
        <f t="shared" ref="BA1360" si="1047">AH1360+AN1360+AT1360+AZ1360</f>
        <v>0</v>
      </c>
      <c r="BB1360" s="128" t="s">
        <v>615</v>
      </c>
      <c r="BC1360" s="111"/>
    </row>
    <row r="1361" spans="1:55" ht="14.25" thickBot="1" x14ac:dyDescent="0.2">
      <c r="A1361" s="182" t="s">
        <v>622</v>
      </c>
      <c r="B1361" s="44"/>
      <c r="C1361" s="45"/>
      <c r="D1361" s="45"/>
      <c r="E1361" s="45"/>
      <c r="F1361" s="45"/>
      <c r="G1361" s="43">
        <f t="shared" si="1023"/>
        <v>0</v>
      </c>
      <c r="H1361" s="44"/>
      <c r="I1361" s="45"/>
      <c r="J1361" s="45"/>
      <c r="K1361" s="45"/>
      <c r="L1361" s="45"/>
      <c r="M1361" s="112">
        <f t="shared" si="1024"/>
        <v>0</v>
      </c>
      <c r="N1361" s="45"/>
      <c r="O1361" s="78"/>
      <c r="P1361" s="78">
        <v>-1</v>
      </c>
      <c r="Q1361" s="78"/>
      <c r="R1361" s="79"/>
      <c r="S1361" s="113">
        <f>SUM(N1361:R1361)</f>
        <v>-1</v>
      </c>
      <c r="T1361" s="45"/>
      <c r="U1361" s="78">
        <v>-1</v>
      </c>
      <c r="V1361" s="78"/>
      <c r="W1361" s="78"/>
      <c r="X1361" s="79"/>
      <c r="Y1361" s="113">
        <f>SUM(T1361:X1361)</f>
        <v>-1</v>
      </c>
      <c r="Z1361" s="82">
        <f>G1361+M1361+S1361+Y1361</f>
        <v>-2</v>
      </c>
      <c r="AA1361" s="93">
        <v>45169</v>
      </c>
      <c r="AB1361" s="47" t="s">
        <v>618</v>
      </c>
      <c r="AC1361" s="14"/>
      <c r="AD1361" s="15"/>
      <c r="AE1361" s="15"/>
      <c r="AF1361" s="15"/>
      <c r="AG1361" s="15"/>
      <c r="AH1361" s="24">
        <f t="shared" ref="AH1361" si="1048">SUM(AC1361:AG1361)</f>
        <v>0</v>
      </c>
      <c r="AI1361" s="14"/>
      <c r="AJ1361" s="15"/>
      <c r="AK1361" s="15"/>
      <c r="AL1361" s="15"/>
      <c r="AM1361" s="15"/>
      <c r="AN1361" s="24">
        <f t="shared" ref="AN1361:AN1362" si="1049">SUM(AI1361:AM1361)</f>
        <v>0</v>
      </c>
      <c r="AO1361" s="14"/>
      <c r="AP1361" s="15"/>
      <c r="AQ1361" s="15"/>
      <c r="AR1361" s="15"/>
      <c r="AS1361" s="15"/>
      <c r="AT1361" s="24">
        <f t="shared" ref="AT1361:AT1362" si="1050">SUM(AO1361:AS1361)</f>
        <v>0</v>
      </c>
      <c r="AU1361" s="14"/>
      <c r="AV1361" s="15"/>
      <c r="AW1361" s="15"/>
      <c r="AX1361" s="15"/>
      <c r="AY1361" s="15"/>
      <c r="AZ1361" s="24">
        <f t="shared" ref="AZ1361:AZ1362" si="1051">SUM(AU1361:AY1361)</f>
        <v>0</v>
      </c>
      <c r="BA1361" s="24">
        <f t="shared" si="1022"/>
        <v>0</v>
      </c>
      <c r="BB1361" s="128" t="s">
        <v>615</v>
      </c>
      <c r="BC1361" s="111"/>
    </row>
    <row r="1362" spans="1:55" ht="15" thickBot="1" x14ac:dyDescent="0.2">
      <c r="A1362" s="9" t="s">
        <v>13</v>
      </c>
      <c r="B1362" s="25">
        <f>SUM(B1336:B1361)</f>
        <v>1</v>
      </c>
      <c r="C1362" s="26">
        <f>SUM(C1336:C1361)</f>
        <v>2</v>
      </c>
      <c r="D1362" s="26">
        <f>SUM(D1336:D1361)</f>
        <v>2</v>
      </c>
      <c r="E1362" s="26">
        <f>SUM(E1336:E1361)</f>
        <v>4</v>
      </c>
      <c r="F1362" s="27">
        <f>SUM(F1336:F1361)</f>
        <v>2</v>
      </c>
      <c r="G1362" s="19">
        <f>SUM(B1362:F1362)</f>
        <v>11</v>
      </c>
      <c r="H1362" s="25">
        <f>SUM(H1336:H1361)</f>
        <v>-1</v>
      </c>
      <c r="I1362" s="26">
        <f>SUM(I1336:I1361)</f>
        <v>2</v>
      </c>
      <c r="J1362" s="26">
        <f>SUM(J1336:J1361)</f>
        <v>1</v>
      </c>
      <c r="K1362" s="26">
        <f>SUM(K1336:K1361)</f>
        <v>1</v>
      </c>
      <c r="L1362" s="27">
        <f>SUM(L1336:L1361)</f>
        <v>-1</v>
      </c>
      <c r="M1362" s="25">
        <f>SUM(H1362:L1362)</f>
        <v>2</v>
      </c>
      <c r="N1362" s="65">
        <f>SUM(N1336:N1361)</f>
        <v>2</v>
      </c>
      <c r="O1362" s="18">
        <f>SUM(O1336:O1361)</f>
        <v>1</v>
      </c>
      <c r="P1362" s="18">
        <f>SUM(P1336:P1361)</f>
        <v>2</v>
      </c>
      <c r="Q1362" s="18">
        <f>SUM(Q1336:Q1361)</f>
        <v>1</v>
      </c>
      <c r="R1362" s="70">
        <f>SUM(R1336:R1361)</f>
        <v>3</v>
      </c>
      <c r="S1362" s="49">
        <f>SUM(N1362:R1362)</f>
        <v>9</v>
      </c>
      <c r="T1362" s="74">
        <f>SUM(T1336:T1361)</f>
        <v>1</v>
      </c>
      <c r="U1362" s="18">
        <f>SUM(U1336:U1361)</f>
        <v>0</v>
      </c>
      <c r="V1362" s="18">
        <f>SUM(V1336:V1361)</f>
        <v>1</v>
      </c>
      <c r="W1362" s="18">
        <f>SUM(W1336:W1361)</f>
        <v>-1</v>
      </c>
      <c r="X1362" s="70">
        <f>SUM(X1336:X1361)</f>
        <v>4</v>
      </c>
      <c r="Y1362" s="49">
        <f>SUM(T1362:X1362)</f>
        <v>5</v>
      </c>
      <c r="Z1362" s="137">
        <f>G1362+M1362+S1362+Y1362</f>
        <v>27</v>
      </c>
      <c r="AB1362" s="9" t="s">
        <v>13</v>
      </c>
      <c r="AC1362" s="25">
        <f>SUM(AC1336:AC1361)</f>
        <v>5</v>
      </c>
      <c r="AD1362" s="26">
        <f>SUM(AD1336:AD1361)</f>
        <v>3</v>
      </c>
      <c r="AE1362" s="26">
        <f>SUM(AE1336:AE1361)</f>
        <v>0</v>
      </c>
      <c r="AF1362" s="26">
        <f>SUM(AF1336:AF1361)</f>
        <v>4</v>
      </c>
      <c r="AG1362" s="27">
        <f>SUM(AG1336:AG1361)</f>
        <v>6</v>
      </c>
      <c r="AH1362" s="19">
        <f t="shared" ref="AH1362" si="1052">SUM(AC1362:AG1362)</f>
        <v>18</v>
      </c>
      <c r="AI1362" s="25">
        <f>SUM(AI1336:AI1361)</f>
        <v>0</v>
      </c>
      <c r="AJ1362" s="26">
        <f>SUM(AJ1336:AJ1361)</f>
        <v>0</v>
      </c>
      <c r="AK1362" s="26">
        <f>SUM(AK1336:AK1361)</f>
        <v>0</v>
      </c>
      <c r="AL1362" s="26">
        <f>SUM(AL1336:AL1361)</f>
        <v>2</v>
      </c>
      <c r="AM1362" s="27">
        <f>SUM(AM1336:AM1361)</f>
        <v>0</v>
      </c>
      <c r="AN1362" s="25">
        <f t="shared" si="1049"/>
        <v>2</v>
      </c>
      <c r="AO1362" s="65">
        <f>SUM(AO1336:AO1361)</f>
        <v>2</v>
      </c>
      <c r="AP1362" s="18">
        <f>SUM(AP1336:AP1361)</f>
        <v>2</v>
      </c>
      <c r="AQ1362" s="18">
        <f>SUM(AQ1336:AQ1361)</f>
        <v>0</v>
      </c>
      <c r="AR1362" s="18">
        <f>SUM(AR1336:AR1361)</f>
        <v>0</v>
      </c>
      <c r="AS1362" s="70">
        <f>SUM(AS1336:AS1361)</f>
        <v>2</v>
      </c>
      <c r="AT1362" s="49">
        <f t="shared" si="1050"/>
        <v>6</v>
      </c>
      <c r="AU1362" s="74">
        <f>SUM(AU1336:AU1361)</f>
        <v>4</v>
      </c>
      <c r="AV1362" s="18">
        <f>SUM(AV1336:AV1361)</f>
        <v>2</v>
      </c>
      <c r="AW1362" s="18">
        <f>SUM(AW1336:AW1361)</f>
        <v>0</v>
      </c>
      <c r="AX1362" s="18">
        <f>SUM(AX1336:AX1361)</f>
        <v>3</v>
      </c>
      <c r="AY1362" s="70">
        <f>SUM(AY1336:AY1361)</f>
        <v>2</v>
      </c>
      <c r="AZ1362" s="49">
        <f t="shared" si="1051"/>
        <v>11</v>
      </c>
      <c r="BA1362" s="77">
        <f t="shared" si="1022"/>
        <v>37</v>
      </c>
    </row>
    <row r="1363" spans="1:55" ht="15" thickBot="1" x14ac:dyDescent="0.2">
      <c r="A1363" s="32" t="s">
        <v>14</v>
      </c>
      <c r="B1363" s="29">
        <f t="shared" ref="B1363:Y1363" si="1053">B1335-B1362</f>
        <v>5</v>
      </c>
      <c r="C1363" s="30">
        <f t="shared" si="1053"/>
        <v>3</v>
      </c>
      <c r="D1363" s="30">
        <f t="shared" si="1053"/>
        <v>4</v>
      </c>
      <c r="E1363" s="30">
        <f t="shared" si="1053"/>
        <v>4</v>
      </c>
      <c r="F1363" s="31">
        <f t="shared" si="1053"/>
        <v>5</v>
      </c>
      <c r="G1363" s="31">
        <f t="shared" si="1053"/>
        <v>21</v>
      </c>
      <c r="H1363" s="29">
        <f t="shared" si="1053"/>
        <v>6</v>
      </c>
      <c r="I1363" s="30">
        <f t="shared" si="1053"/>
        <v>3</v>
      </c>
      <c r="J1363" s="30">
        <f t="shared" si="1053"/>
        <v>5</v>
      </c>
      <c r="K1363" s="30">
        <f t="shared" si="1053"/>
        <v>6</v>
      </c>
      <c r="L1363" s="31">
        <f t="shared" si="1053"/>
        <v>5</v>
      </c>
      <c r="M1363" s="66">
        <f t="shared" si="1053"/>
        <v>25</v>
      </c>
      <c r="N1363" s="29">
        <f t="shared" si="1053"/>
        <v>5</v>
      </c>
      <c r="O1363" s="30">
        <f t="shared" si="1053"/>
        <v>4</v>
      </c>
      <c r="P1363" s="30">
        <f t="shared" si="1053"/>
        <v>3</v>
      </c>
      <c r="Q1363" s="30">
        <f t="shared" si="1053"/>
        <v>4</v>
      </c>
      <c r="R1363" s="66">
        <f t="shared" si="1053"/>
        <v>3</v>
      </c>
      <c r="S1363" s="33">
        <f t="shared" si="1053"/>
        <v>19</v>
      </c>
      <c r="T1363" s="75">
        <f t="shared" si="1053"/>
        <v>6</v>
      </c>
      <c r="U1363" s="30">
        <f t="shared" si="1053"/>
        <v>5</v>
      </c>
      <c r="V1363" s="30">
        <f t="shared" si="1053"/>
        <v>3</v>
      </c>
      <c r="W1363" s="30">
        <f t="shared" si="1053"/>
        <v>6</v>
      </c>
      <c r="X1363" s="66">
        <f t="shared" si="1053"/>
        <v>3</v>
      </c>
      <c r="Y1363" s="33">
        <f t="shared" si="1053"/>
        <v>23</v>
      </c>
      <c r="Z1363" s="77">
        <f>G1363+M1363+S1363+Y1363</f>
        <v>88</v>
      </c>
      <c r="AB1363" s="32" t="s">
        <v>14</v>
      </c>
      <c r="AC1363" s="29">
        <f t="shared" ref="AC1363:AZ1363" si="1054">AC1335-AC1362</f>
        <v>110</v>
      </c>
      <c r="AD1363" s="30">
        <f t="shared" si="1054"/>
        <v>91</v>
      </c>
      <c r="AE1363" s="30">
        <f t="shared" si="1054"/>
        <v>95</v>
      </c>
      <c r="AF1363" s="30">
        <f t="shared" si="1054"/>
        <v>66</v>
      </c>
      <c r="AG1363" s="31">
        <f t="shared" si="1054"/>
        <v>44</v>
      </c>
      <c r="AH1363" s="31">
        <f t="shared" si="1054"/>
        <v>406</v>
      </c>
      <c r="AI1363" s="29">
        <f t="shared" si="1054"/>
        <v>87</v>
      </c>
      <c r="AJ1363" s="30">
        <f t="shared" si="1054"/>
        <v>91</v>
      </c>
      <c r="AK1363" s="30">
        <f t="shared" si="1054"/>
        <v>93</v>
      </c>
      <c r="AL1363" s="30">
        <f t="shared" si="1054"/>
        <v>76</v>
      </c>
      <c r="AM1363" s="31">
        <f t="shared" si="1054"/>
        <v>91</v>
      </c>
      <c r="AN1363" s="66">
        <f t="shared" si="1054"/>
        <v>438</v>
      </c>
      <c r="AO1363" s="29">
        <f t="shared" si="1054"/>
        <v>146</v>
      </c>
      <c r="AP1363" s="30">
        <f t="shared" si="1054"/>
        <v>113</v>
      </c>
      <c r="AQ1363" s="30">
        <f t="shared" si="1054"/>
        <v>117</v>
      </c>
      <c r="AR1363" s="30">
        <f t="shared" si="1054"/>
        <v>127</v>
      </c>
      <c r="AS1363" s="66">
        <f t="shared" si="1054"/>
        <v>132</v>
      </c>
      <c r="AT1363" s="33">
        <f t="shared" si="1054"/>
        <v>635</v>
      </c>
      <c r="AU1363" s="75">
        <f t="shared" si="1054"/>
        <v>111</v>
      </c>
      <c r="AV1363" s="30">
        <f t="shared" si="1054"/>
        <v>61</v>
      </c>
      <c r="AW1363" s="30">
        <f t="shared" si="1054"/>
        <v>44</v>
      </c>
      <c r="AX1363" s="30">
        <f t="shared" si="1054"/>
        <v>30</v>
      </c>
      <c r="AY1363" s="66">
        <f t="shared" si="1054"/>
        <v>81</v>
      </c>
      <c r="AZ1363" s="33">
        <f t="shared" si="1054"/>
        <v>327</v>
      </c>
      <c r="BA1363" s="77">
        <f t="shared" si="1022"/>
        <v>1806</v>
      </c>
    </row>
    <row r="1366" spans="1:55" ht="19.5" thickBot="1" x14ac:dyDescent="0.25">
      <c r="A1366" s="1" t="s">
        <v>15</v>
      </c>
      <c r="AB1366" s="1" t="s">
        <v>16</v>
      </c>
    </row>
    <row r="1367" spans="1:55" ht="15" thickBot="1" x14ac:dyDescent="0.2">
      <c r="A1367" s="4"/>
      <c r="B1367" s="245" t="s">
        <v>17</v>
      </c>
      <c r="C1367" s="246"/>
      <c r="D1367" s="246"/>
      <c r="E1367" s="246"/>
      <c r="F1367" s="246"/>
      <c r="G1367" s="247"/>
      <c r="H1367" s="245" t="s">
        <v>18</v>
      </c>
      <c r="I1367" s="246"/>
      <c r="J1367" s="246"/>
      <c r="K1367" s="246"/>
      <c r="L1367" s="246"/>
      <c r="M1367" s="247"/>
      <c r="N1367" s="248" t="s">
        <v>27</v>
      </c>
      <c r="O1367" s="249"/>
      <c r="P1367" s="249"/>
      <c r="Q1367" s="249"/>
      <c r="R1367" s="249"/>
      <c r="S1367" s="250"/>
      <c r="T1367" s="248" t="s">
        <v>28</v>
      </c>
      <c r="U1367" s="249"/>
      <c r="V1367" s="249"/>
      <c r="W1367" s="249"/>
      <c r="X1367" s="249"/>
      <c r="Y1367" s="250"/>
      <c r="Z1367" s="251" t="s">
        <v>1</v>
      </c>
      <c r="AB1367" s="4"/>
      <c r="AC1367" s="253" t="s">
        <v>17</v>
      </c>
      <c r="AD1367" s="249"/>
      <c r="AE1367" s="249"/>
      <c r="AF1367" s="249"/>
      <c r="AG1367" s="249"/>
      <c r="AH1367" s="250"/>
      <c r="AI1367" s="248" t="s">
        <v>18</v>
      </c>
      <c r="AJ1367" s="249"/>
      <c r="AK1367" s="249"/>
      <c r="AL1367" s="249"/>
      <c r="AM1367" s="249"/>
      <c r="AN1367" s="250"/>
      <c r="AO1367" s="248" t="s">
        <v>27</v>
      </c>
      <c r="AP1367" s="249"/>
      <c r="AQ1367" s="249"/>
      <c r="AR1367" s="249"/>
      <c r="AS1367" s="249"/>
      <c r="AT1367" s="250"/>
      <c r="AU1367" s="248" t="s">
        <v>28</v>
      </c>
      <c r="AV1367" s="249"/>
      <c r="AW1367" s="249"/>
      <c r="AX1367" s="249"/>
      <c r="AY1367" s="249"/>
      <c r="AZ1367" s="250"/>
      <c r="BA1367" s="243" t="s">
        <v>1</v>
      </c>
    </row>
    <row r="1368" spans="1:55" ht="15" thickBot="1" x14ac:dyDescent="0.2">
      <c r="A1368" s="9" t="s">
        <v>2</v>
      </c>
      <c r="B1368" s="6" t="s">
        <v>3</v>
      </c>
      <c r="C1368" s="7" t="s">
        <v>4</v>
      </c>
      <c r="D1368" s="7" t="s">
        <v>5</v>
      </c>
      <c r="E1368" s="48" t="s">
        <v>20</v>
      </c>
      <c r="F1368" s="8" t="s">
        <v>21</v>
      </c>
      <c r="G1368" s="5" t="s">
        <v>6</v>
      </c>
      <c r="H1368" s="6" t="s">
        <v>3</v>
      </c>
      <c r="I1368" s="7" t="s">
        <v>4</v>
      </c>
      <c r="J1368" s="7" t="s">
        <v>5</v>
      </c>
      <c r="K1368" s="48" t="s">
        <v>20</v>
      </c>
      <c r="L1368" s="8" t="s">
        <v>21</v>
      </c>
      <c r="M1368" s="5" t="s">
        <v>6</v>
      </c>
      <c r="N1368" s="6" t="s">
        <v>3</v>
      </c>
      <c r="O1368" s="7" t="s">
        <v>4</v>
      </c>
      <c r="P1368" s="7" t="s">
        <v>5</v>
      </c>
      <c r="Q1368" s="48" t="s">
        <v>20</v>
      </c>
      <c r="R1368" s="8" t="s">
        <v>21</v>
      </c>
      <c r="S1368" s="5" t="s">
        <v>6</v>
      </c>
      <c r="T1368" s="7" t="s">
        <v>3</v>
      </c>
      <c r="U1368" s="7" t="s">
        <v>4</v>
      </c>
      <c r="V1368" s="7" t="s">
        <v>5</v>
      </c>
      <c r="W1368" s="48" t="s">
        <v>20</v>
      </c>
      <c r="X1368" s="109" t="s">
        <v>21</v>
      </c>
      <c r="Y1368" s="62" t="s">
        <v>6</v>
      </c>
      <c r="Z1368" s="252"/>
      <c r="AB1368" s="9" t="s">
        <v>2</v>
      </c>
      <c r="AC1368" s="6" t="s">
        <v>3</v>
      </c>
      <c r="AD1368" s="7" t="s">
        <v>4</v>
      </c>
      <c r="AE1368" s="7" t="s">
        <v>5</v>
      </c>
      <c r="AF1368" s="48" t="s">
        <v>20</v>
      </c>
      <c r="AG1368" s="8" t="s">
        <v>21</v>
      </c>
      <c r="AH1368" s="5" t="s">
        <v>6</v>
      </c>
      <c r="AI1368" s="6" t="s">
        <v>3</v>
      </c>
      <c r="AJ1368" s="7" t="s">
        <v>4</v>
      </c>
      <c r="AK1368" s="7" t="s">
        <v>5</v>
      </c>
      <c r="AL1368" s="48" t="s">
        <v>20</v>
      </c>
      <c r="AM1368" s="8" t="s">
        <v>21</v>
      </c>
      <c r="AN1368" s="5" t="s">
        <v>6</v>
      </c>
      <c r="AO1368" s="6" t="s">
        <v>3</v>
      </c>
      <c r="AP1368" s="7" t="s">
        <v>4</v>
      </c>
      <c r="AQ1368" s="7" t="s">
        <v>5</v>
      </c>
      <c r="AR1368" s="48" t="s">
        <v>20</v>
      </c>
      <c r="AS1368" s="8" t="s">
        <v>21</v>
      </c>
      <c r="AT1368" s="5" t="s">
        <v>6</v>
      </c>
      <c r="AU1368" s="7" t="s">
        <v>3</v>
      </c>
      <c r="AV1368" s="7" t="s">
        <v>4</v>
      </c>
      <c r="AW1368" s="7" t="s">
        <v>5</v>
      </c>
      <c r="AX1368" s="48" t="s">
        <v>20</v>
      </c>
      <c r="AY1368" s="109" t="s">
        <v>21</v>
      </c>
      <c r="AZ1368" s="62" t="s">
        <v>6</v>
      </c>
      <c r="BA1368" s="244"/>
    </row>
    <row r="1369" spans="1:55" ht="14.25" x14ac:dyDescent="0.15">
      <c r="A1369" s="103" t="s">
        <v>43</v>
      </c>
      <c r="B1369" s="104">
        <f>B1363</f>
        <v>5</v>
      </c>
      <c r="C1369" s="105">
        <f>C1363</f>
        <v>3</v>
      </c>
      <c r="D1369" s="105">
        <f>D1363</f>
        <v>4</v>
      </c>
      <c r="E1369" s="105">
        <f>E1363</f>
        <v>4</v>
      </c>
      <c r="F1369" s="105">
        <f>F1363</f>
        <v>5</v>
      </c>
      <c r="G1369" s="106">
        <f t="shared" ref="G1369" si="1055">SUM(B1369:F1369)</f>
        <v>21</v>
      </c>
      <c r="H1369" s="104">
        <f>H1363</f>
        <v>6</v>
      </c>
      <c r="I1369" s="105">
        <f>I1363</f>
        <v>3</v>
      </c>
      <c r="J1369" s="105">
        <f>J1363</f>
        <v>5</v>
      </c>
      <c r="K1369" s="105">
        <f>K1363</f>
        <v>6</v>
      </c>
      <c r="L1369" s="105">
        <f>L1363</f>
        <v>5</v>
      </c>
      <c r="M1369" s="107">
        <f t="shared" ref="M1369" si="1056">SUM(H1369:L1369)</f>
        <v>25</v>
      </c>
      <c r="N1369" s="104">
        <f>N1363</f>
        <v>5</v>
      </c>
      <c r="O1369" s="105">
        <f>O1363</f>
        <v>4</v>
      </c>
      <c r="P1369" s="105">
        <f>P1363</f>
        <v>3</v>
      </c>
      <c r="Q1369" s="105">
        <f>Q1363</f>
        <v>4</v>
      </c>
      <c r="R1369" s="105">
        <f>R1363</f>
        <v>3</v>
      </c>
      <c r="S1369" s="108">
        <f t="shared" ref="S1369" si="1057">SUM(N1369:R1369)</f>
        <v>19</v>
      </c>
      <c r="T1369" s="104">
        <f>T1363</f>
        <v>6</v>
      </c>
      <c r="U1369" s="105">
        <f>U1363</f>
        <v>5</v>
      </c>
      <c r="V1369" s="105">
        <f>V1363</f>
        <v>3</v>
      </c>
      <c r="W1369" s="105">
        <f>W1363</f>
        <v>6</v>
      </c>
      <c r="X1369" s="105">
        <f>X1363</f>
        <v>3</v>
      </c>
      <c r="Y1369" s="106">
        <f t="shared" ref="Y1369" si="1058">SUM(T1369:X1369)</f>
        <v>23</v>
      </c>
      <c r="Z1369" s="106">
        <f t="shared" ref="Z1369:Z1398" si="1059">G1369+M1369+S1369+Y1369</f>
        <v>88</v>
      </c>
      <c r="AB1369" s="103" t="s">
        <v>43</v>
      </c>
      <c r="AC1369" s="104">
        <f>AC1363</f>
        <v>110</v>
      </c>
      <c r="AD1369" s="105">
        <f>AD1363</f>
        <v>91</v>
      </c>
      <c r="AE1369" s="105">
        <f>AE1363</f>
        <v>95</v>
      </c>
      <c r="AF1369" s="105">
        <f>AF1363</f>
        <v>66</v>
      </c>
      <c r="AG1369" s="105">
        <f>AG1363</f>
        <v>44</v>
      </c>
      <c r="AH1369" s="106">
        <f>SUM(AC1369:AG1369)</f>
        <v>406</v>
      </c>
      <c r="AI1369" s="104">
        <f>AI1363</f>
        <v>87</v>
      </c>
      <c r="AJ1369" s="105">
        <f>AJ1363</f>
        <v>91</v>
      </c>
      <c r="AK1369" s="105">
        <f>AK1363</f>
        <v>93</v>
      </c>
      <c r="AL1369" s="105">
        <f>AL1363</f>
        <v>76</v>
      </c>
      <c r="AM1369" s="105">
        <f>AM1363</f>
        <v>91</v>
      </c>
      <c r="AN1369" s="107">
        <f>SUM(AI1369:AM1369)</f>
        <v>438</v>
      </c>
      <c r="AO1369" s="104">
        <f>AO1363</f>
        <v>146</v>
      </c>
      <c r="AP1369" s="105">
        <f>AP1363</f>
        <v>113</v>
      </c>
      <c r="AQ1369" s="105">
        <f>AQ1363</f>
        <v>117</v>
      </c>
      <c r="AR1369" s="105">
        <f>AR1363</f>
        <v>127</v>
      </c>
      <c r="AS1369" s="105">
        <f>AS1363</f>
        <v>132</v>
      </c>
      <c r="AT1369" s="108">
        <f>SUM(AO1369:AS1369)</f>
        <v>635</v>
      </c>
      <c r="AU1369" s="104">
        <f>AU1363</f>
        <v>111</v>
      </c>
      <c r="AV1369" s="105">
        <f>AV1363</f>
        <v>61</v>
      </c>
      <c r="AW1369" s="105">
        <f>AW1363</f>
        <v>44</v>
      </c>
      <c r="AX1369" s="105">
        <f>AX1363</f>
        <v>30</v>
      </c>
      <c r="AY1369" s="105">
        <f>AY1363</f>
        <v>81</v>
      </c>
      <c r="AZ1369" s="106">
        <f>SUM(AU1369:AY1369)</f>
        <v>327</v>
      </c>
      <c r="BA1369" s="106">
        <f>AH1369+AN1369+AT1369+AZ1369</f>
        <v>1806</v>
      </c>
    </row>
    <row r="1370" spans="1:55" ht="14.25" x14ac:dyDescent="0.15">
      <c r="A1370" s="10" t="s">
        <v>181</v>
      </c>
      <c r="B1370" s="14"/>
      <c r="C1370" s="15">
        <v>2</v>
      </c>
      <c r="D1370" s="15"/>
      <c r="E1370" s="15">
        <v>2</v>
      </c>
      <c r="F1370" s="15"/>
      <c r="G1370" s="16">
        <f t="shared" ref="G1370:G1371" si="1060">SUM(B1370:F1370)</f>
        <v>4</v>
      </c>
      <c r="H1370" s="14"/>
      <c r="I1370" s="15">
        <v>2</v>
      </c>
      <c r="J1370" s="15"/>
      <c r="K1370" s="15"/>
      <c r="L1370" s="15"/>
      <c r="M1370" s="57">
        <f t="shared" ref="M1370:M1371" si="1061">SUM(H1370:L1370)</f>
        <v>2</v>
      </c>
      <c r="N1370" s="14"/>
      <c r="O1370" s="55"/>
      <c r="P1370" s="55">
        <v>2</v>
      </c>
      <c r="Q1370" s="55"/>
      <c r="R1370" s="67">
        <v>2</v>
      </c>
      <c r="S1370" s="24">
        <f t="shared" ref="S1370:S1371" si="1062">SUM(N1370:R1370)</f>
        <v>4</v>
      </c>
      <c r="T1370" s="15"/>
      <c r="U1370" s="55"/>
      <c r="V1370" s="55">
        <v>2</v>
      </c>
      <c r="W1370" s="55"/>
      <c r="X1370" s="67">
        <v>2</v>
      </c>
      <c r="Y1370" s="24">
        <f t="shared" ref="Y1370:Y1371" si="1063">SUM(T1370:X1370)</f>
        <v>4</v>
      </c>
      <c r="Z1370" s="24">
        <f t="shared" ref="Z1370:Z1371" si="1064">G1370+M1370+S1370+Y1370</f>
        <v>14</v>
      </c>
      <c r="AA1370" s="83">
        <v>45171</v>
      </c>
      <c r="AB1370" s="10" t="s">
        <v>181</v>
      </c>
      <c r="AC1370" s="14"/>
      <c r="AD1370" s="15"/>
      <c r="AE1370" s="15"/>
      <c r="AF1370" s="15"/>
      <c r="AG1370" s="15"/>
      <c r="AH1370" s="43">
        <f t="shared" ref="AH1370" si="1065">SUM(AC1370:AG1370)</f>
        <v>0</v>
      </c>
      <c r="AI1370" s="14"/>
      <c r="AJ1370" s="15"/>
      <c r="AK1370" s="15"/>
      <c r="AL1370" s="15"/>
      <c r="AM1370" s="15"/>
      <c r="AN1370" s="43">
        <f t="shared" ref="AN1370" si="1066">SUM(AI1370:AM1370)</f>
        <v>0</v>
      </c>
      <c r="AO1370" s="14"/>
      <c r="AP1370" s="55"/>
      <c r="AQ1370" s="55"/>
      <c r="AR1370" s="55"/>
      <c r="AS1370" s="67"/>
      <c r="AT1370" s="24">
        <f t="shared" ref="AT1370" si="1067">SUM(AO1370:AS1370)</f>
        <v>0</v>
      </c>
      <c r="AU1370" s="15"/>
      <c r="AV1370" s="55"/>
      <c r="AW1370" s="55"/>
      <c r="AX1370" s="55"/>
      <c r="AY1370" s="67"/>
      <c r="AZ1370" s="24">
        <f t="shared" ref="AZ1370" si="1068">SUM(AU1370:AY1370)</f>
        <v>0</v>
      </c>
      <c r="BA1370" s="24">
        <f t="shared" ref="BA1370:BA1402" si="1069">AH1370+AN1370+AT1370+AZ1370</f>
        <v>0</v>
      </c>
      <c r="BB1370" s="128"/>
    </row>
    <row r="1371" spans="1:55" ht="14.25" x14ac:dyDescent="0.15">
      <c r="A1371" s="10" t="s">
        <v>181</v>
      </c>
      <c r="B1371" s="14"/>
      <c r="C1371" s="15">
        <v>3</v>
      </c>
      <c r="D1371" s="15"/>
      <c r="E1371" s="15"/>
      <c r="F1371" s="15">
        <v>5</v>
      </c>
      <c r="G1371" s="16">
        <f t="shared" si="1060"/>
        <v>8</v>
      </c>
      <c r="H1371" s="14"/>
      <c r="I1371" s="15"/>
      <c r="J1371" s="15"/>
      <c r="K1371" s="15"/>
      <c r="L1371" s="15"/>
      <c r="M1371" s="57">
        <f t="shared" si="1061"/>
        <v>0</v>
      </c>
      <c r="N1371" s="14"/>
      <c r="O1371" s="55"/>
      <c r="P1371" s="55"/>
      <c r="Q1371" s="55"/>
      <c r="R1371" s="67"/>
      <c r="S1371" s="24">
        <f t="shared" si="1062"/>
        <v>0</v>
      </c>
      <c r="T1371" s="15"/>
      <c r="U1371" s="55"/>
      <c r="V1371" s="55"/>
      <c r="W1371" s="55"/>
      <c r="X1371" s="67"/>
      <c r="Y1371" s="24">
        <f t="shared" si="1063"/>
        <v>0</v>
      </c>
      <c r="Z1371" s="24">
        <f t="shared" si="1064"/>
        <v>8</v>
      </c>
      <c r="AA1371" s="83">
        <v>45175</v>
      </c>
      <c r="AB1371" s="10" t="s">
        <v>181</v>
      </c>
      <c r="AC1371" s="14"/>
      <c r="AD1371" s="15"/>
      <c r="AE1371" s="15"/>
      <c r="AF1371" s="15"/>
      <c r="AG1371" s="15"/>
      <c r="AH1371" s="43">
        <f t="shared" ref="AH1371:AH1388" si="1070">SUM(AC1371:AG1371)</f>
        <v>0</v>
      </c>
      <c r="AI1371" s="14"/>
      <c r="AJ1371" s="15"/>
      <c r="AK1371" s="15"/>
      <c r="AL1371" s="15"/>
      <c r="AM1371" s="15"/>
      <c r="AN1371" s="43">
        <f t="shared" ref="AN1371:AN1388" si="1071">SUM(AI1371:AM1371)</f>
        <v>0</v>
      </c>
      <c r="AO1371" s="14"/>
      <c r="AP1371" s="55"/>
      <c r="AQ1371" s="55"/>
      <c r="AR1371" s="55"/>
      <c r="AS1371" s="67"/>
      <c r="AT1371" s="24">
        <f t="shared" ref="AT1371:AT1388" si="1072">SUM(AO1371:AS1371)</f>
        <v>0</v>
      </c>
      <c r="AU1371" s="15"/>
      <c r="AV1371" s="55"/>
      <c r="AW1371" s="55"/>
      <c r="AX1371" s="55"/>
      <c r="AY1371" s="67"/>
      <c r="AZ1371" s="24">
        <f t="shared" ref="AZ1371:AZ1388" si="1073">SUM(AU1371:AY1371)</f>
        <v>0</v>
      </c>
      <c r="BA1371" s="24">
        <f t="shared" si="1069"/>
        <v>0</v>
      </c>
      <c r="BB1371" s="128"/>
    </row>
    <row r="1372" spans="1:55" ht="14.25" x14ac:dyDescent="0.15">
      <c r="A1372" s="10" t="s">
        <v>181</v>
      </c>
      <c r="B1372" s="14">
        <v>3</v>
      </c>
      <c r="C1372" s="15">
        <v>3</v>
      </c>
      <c r="D1372" s="15">
        <v>5</v>
      </c>
      <c r="E1372" s="15"/>
      <c r="F1372" s="15">
        <v>5</v>
      </c>
      <c r="G1372" s="16">
        <f t="shared" ref="G1372:G1400" si="1074">SUM(B1372:F1372)</f>
        <v>16</v>
      </c>
      <c r="H1372" s="14"/>
      <c r="I1372" s="15">
        <v>3</v>
      </c>
      <c r="J1372" s="15">
        <v>3</v>
      </c>
      <c r="K1372" s="15"/>
      <c r="L1372" s="15">
        <v>3</v>
      </c>
      <c r="M1372" s="57">
        <f t="shared" ref="M1372:M1400" si="1075">SUM(H1372:L1372)</f>
        <v>9</v>
      </c>
      <c r="N1372" s="14"/>
      <c r="O1372" s="55">
        <v>3</v>
      </c>
      <c r="P1372" s="55"/>
      <c r="Q1372" s="55">
        <v>3</v>
      </c>
      <c r="R1372" s="67"/>
      <c r="S1372" s="24">
        <f t="shared" ref="S1372:S1398" si="1076">SUM(N1372:R1372)</f>
        <v>6</v>
      </c>
      <c r="T1372" s="15"/>
      <c r="U1372" s="55">
        <v>3</v>
      </c>
      <c r="V1372" s="55"/>
      <c r="W1372" s="55"/>
      <c r="X1372" s="67"/>
      <c r="Y1372" s="24">
        <f t="shared" ref="Y1372:Y1398" si="1077">SUM(T1372:X1372)</f>
        <v>3</v>
      </c>
      <c r="Z1372" s="24">
        <f t="shared" si="1059"/>
        <v>34</v>
      </c>
      <c r="AA1372" s="83">
        <v>45176</v>
      </c>
      <c r="AB1372" s="10" t="s">
        <v>181</v>
      </c>
      <c r="AC1372" s="14"/>
      <c r="AD1372" s="15"/>
      <c r="AE1372" s="15"/>
      <c r="AF1372" s="15"/>
      <c r="AG1372" s="15"/>
      <c r="AH1372" s="43">
        <f t="shared" si="1070"/>
        <v>0</v>
      </c>
      <c r="AI1372" s="14"/>
      <c r="AJ1372" s="15"/>
      <c r="AK1372" s="15"/>
      <c r="AL1372" s="15"/>
      <c r="AM1372" s="15"/>
      <c r="AN1372" s="43">
        <f t="shared" si="1071"/>
        <v>0</v>
      </c>
      <c r="AO1372" s="14"/>
      <c r="AP1372" s="55"/>
      <c r="AQ1372" s="55"/>
      <c r="AR1372" s="55"/>
      <c r="AS1372" s="67"/>
      <c r="AT1372" s="24">
        <f t="shared" si="1072"/>
        <v>0</v>
      </c>
      <c r="AU1372" s="15"/>
      <c r="AV1372" s="55"/>
      <c r="AW1372" s="55"/>
      <c r="AX1372" s="55"/>
      <c r="AY1372" s="67"/>
      <c r="AZ1372" s="24">
        <f t="shared" si="1073"/>
        <v>0</v>
      </c>
      <c r="BA1372" s="24">
        <f t="shared" si="1069"/>
        <v>0</v>
      </c>
      <c r="BB1372" s="128"/>
    </row>
    <row r="1373" spans="1:55" ht="15" thickBot="1" x14ac:dyDescent="0.2">
      <c r="A1373" s="10" t="s">
        <v>181</v>
      </c>
      <c r="B1373" s="14">
        <v>3</v>
      </c>
      <c r="C1373" s="15">
        <v>3</v>
      </c>
      <c r="D1373" s="15">
        <v>3</v>
      </c>
      <c r="E1373" s="15">
        <v>3</v>
      </c>
      <c r="F1373" s="15"/>
      <c r="G1373" s="16">
        <f t="shared" si="1074"/>
        <v>12</v>
      </c>
      <c r="H1373" s="14"/>
      <c r="I1373" s="15"/>
      <c r="J1373" s="15"/>
      <c r="K1373" s="15"/>
      <c r="L1373" s="15"/>
      <c r="M1373" s="57">
        <f t="shared" si="1075"/>
        <v>0</v>
      </c>
      <c r="N1373" s="14"/>
      <c r="O1373" s="55"/>
      <c r="P1373" s="55"/>
      <c r="Q1373" s="55"/>
      <c r="R1373" s="67"/>
      <c r="S1373" s="24">
        <f t="shared" si="1076"/>
        <v>0</v>
      </c>
      <c r="T1373" s="15"/>
      <c r="U1373" s="55"/>
      <c r="V1373" s="55"/>
      <c r="W1373" s="55"/>
      <c r="X1373" s="67"/>
      <c r="Y1373" s="24">
        <f t="shared" si="1077"/>
        <v>0</v>
      </c>
      <c r="Z1373" s="24">
        <f t="shared" si="1059"/>
        <v>12</v>
      </c>
      <c r="AA1373" s="83">
        <v>45182</v>
      </c>
      <c r="AB1373" s="10" t="s">
        <v>616</v>
      </c>
      <c r="AC1373" s="14"/>
      <c r="AD1373" s="15"/>
      <c r="AE1373" s="15"/>
      <c r="AF1373" s="15"/>
      <c r="AG1373" s="15">
        <v>4</v>
      </c>
      <c r="AH1373" s="43">
        <f t="shared" si="1070"/>
        <v>4</v>
      </c>
      <c r="AI1373" s="14"/>
      <c r="AJ1373" s="15"/>
      <c r="AK1373" s="15"/>
      <c r="AL1373" s="15"/>
      <c r="AM1373" s="15"/>
      <c r="AN1373" s="43">
        <f t="shared" si="1071"/>
        <v>0</v>
      </c>
      <c r="AO1373" s="14"/>
      <c r="AP1373" s="55"/>
      <c r="AQ1373" s="55"/>
      <c r="AR1373" s="55"/>
      <c r="AS1373" s="67"/>
      <c r="AT1373" s="24">
        <f t="shared" si="1072"/>
        <v>0</v>
      </c>
      <c r="AU1373" s="15"/>
      <c r="AV1373" s="55"/>
      <c r="AW1373" s="55"/>
      <c r="AX1373" s="55"/>
      <c r="AY1373" s="67"/>
      <c r="AZ1373" s="24">
        <f t="shared" si="1073"/>
        <v>0</v>
      </c>
      <c r="BA1373" s="24">
        <f t="shared" si="1069"/>
        <v>4</v>
      </c>
      <c r="BB1373" s="128"/>
    </row>
    <row r="1374" spans="1:55" ht="15" thickBot="1" x14ac:dyDescent="0.2">
      <c r="A1374" s="4" t="s">
        <v>12</v>
      </c>
      <c r="B1374" s="17">
        <f>SUM(B1369:B1373)</f>
        <v>11</v>
      </c>
      <c r="C1374" s="18">
        <f>SUM(C1369:C1373)</f>
        <v>14</v>
      </c>
      <c r="D1374" s="18">
        <f>SUM(D1369:D1373)</f>
        <v>12</v>
      </c>
      <c r="E1374" s="18">
        <f>SUM(E1369:E1373)</f>
        <v>9</v>
      </c>
      <c r="F1374" s="18">
        <f>SUM(F1369:F1373)</f>
        <v>15</v>
      </c>
      <c r="G1374" s="148">
        <f t="shared" si="1074"/>
        <v>61</v>
      </c>
      <c r="H1374" s="17">
        <f>SUM(H1369:H1373)</f>
        <v>6</v>
      </c>
      <c r="I1374" s="18">
        <f>SUM(I1369:I1373)</f>
        <v>8</v>
      </c>
      <c r="J1374" s="18">
        <f>SUM(J1369:J1373)</f>
        <v>8</v>
      </c>
      <c r="K1374" s="18">
        <f>SUM(K1369:K1373)</f>
        <v>6</v>
      </c>
      <c r="L1374" s="18">
        <f>SUM(L1369:L1373)</f>
        <v>8</v>
      </c>
      <c r="M1374" s="17">
        <f t="shared" si="1075"/>
        <v>36</v>
      </c>
      <c r="N1374" s="65">
        <f>SUM(N1369:N1373)</f>
        <v>5</v>
      </c>
      <c r="O1374" s="18">
        <f>SUM(O1369:O1373)</f>
        <v>7</v>
      </c>
      <c r="P1374" s="18">
        <f>SUM(P1369:P1373)</f>
        <v>5</v>
      </c>
      <c r="Q1374" s="18">
        <f>SUM(Q1369:Q1373)</f>
        <v>7</v>
      </c>
      <c r="R1374" s="70">
        <f>SUM(R1369:R1373)</f>
        <v>5</v>
      </c>
      <c r="S1374" s="49">
        <f t="shared" si="1076"/>
        <v>29</v>
      </c>
      <c r="T1374" s="74">
        <f>SUM(T1369:T1373)</f>
        <v>6</v>
      </c>
      <c r="U1374" s="18">
        <f>SUM(U1369:U1373)</f>
        <v>8</v>
      </c>
      <c r="V1374" s="18">
        <f>SUM(V1369:V1373)</f>
        <v>5</v>
      </c>
      <c r="W1374" s="18">
        <f>SUM(W1369:W1373)</f>
        <v>6</v>
      </c>
      <c r="X1374" s="70">
        <f>SUM(X1369:X1373)</f>
        <v>5</v>
      </c>
      <c r="Y1374" s="49">
        <f t="shared" si="1077"/>
        <v>30</v>
      </c>
      <c r="Z1374" s="33">
        <f t="shared" si="1059"/>
        <v>156</v>
      </c>
      <c r="AB1374" s="4" t="s">
        <v>12</v>
      </c>
      <c r="AC1374" s="17">
        <f>SUM(AC1369:AC1373)</f>
        <v>110</v>
      </c>
      <c r="AD1374" s="18">
        <f>SUM(AD1369:AD1373)</f>
        <v>91</v>
      </c>
      <c r="AE1374" s="18">
        <f>SUM(AE1369:AE1373)</f>
        <v>95</v>
      </c>
      <c r="AF1374" s="18">
        <f>SUM(AF1369:AF1373)</f>
        <v>66</v>
      </c>
      <c r="AG1374" s="18">
        <f>SUM(AG1369:AG1373)</f>
        <v>48</v>
      </c>
      <c r="AH1374" s="148">
        <f t="shared" si="1070"/>
        <v>410</v>
      </c>
      <c r="AI1374" s="17">
        <f>SUM(AI1369:AI1373)</f>
        <v>87</v>
      </c>
      <c r="AJ1374" s="18">
        <f>SUM(AJ1369:AJ1373)</f>
        <v>91</v>
      </c>
      <c r="AK1374" s="18">
        <f>SUM(AK1369:AK1373)</f>
        <v>93</v>
      </c>
      <c r="AL1374" s="18">
        <f>SUM(AL1369:AL1373)</f>
        <v>76</v>
      </c>
      <c r="AM1374" s="18">
        <f>SUM(AM1369:AM1373)</f>
        <v>91</v>
      </c>
      <c r="AN1374" s="148">
        <f t="shared" si="1071"/>
        <v>438</v>
      </c>
      <c r="AO1374" s="65">
        <f>SUM(AO1369:AO1373)</f>
        <v>146</v>
      </c>
      <c r="AP1374" s="18">
        <f>SUM(AP1369:AP1373)</f>
        <v>113</v>
      </c>
      <c r="AQ1374" s="18">
        <f>SUM(AQ1369:AQ1373)</f>
        <v>117</v>
      </c>
      <c r="AR1374" s="18">
        <f>SUM(AR1369:AR1373)</f>
        <v>127</v>
      </c>
      <c r="AS1374" s="70">
        <f>SUM(AS1369:AS1373)</f>
        <v>132</v>
      </c>
      <c r="AT1374" s="49">
        <f t="shared" si="1072"/>
        <v>635</v>
      </c>
      <c r="AU1374" s="74">
        <f>SUM(AU1369:AU1373)</f>
        <v>111</v>
      </c>
      <c r="AV1374" s="18">
        <f>SUM(AV1369:AV1373)</f>
        <v>61</v>
      </c>
      <c r="AW1374" s="18">
        <f>SUM(AW1369:AW1373)</f>
        <v>44</v>
      </c>
      <c r="AX1374" s="18">
        <f>SUM(AX1369:AX1373)</f>
        <v>30</v>
      </c>
      <c r="AY1374" s="70">
        <f>SUM(AY1369:AY1373)</f>
        <v>81</v>
      </c>
      <c r="AZ1374" s="49">
        <f t="shared" si="1073"/>
        <v>327</v>
      </c>
      <c r="BA1374" s="33">
        <f t="shared" si="1069"/>
        <v>1810</v>
      </c>
    </row>
    <row r="1375" spans="1:55" ht="14.25" x14ac:dyDescent="0.15">
      <c r="A1375" s="202" t="s">
        <v>438</v>
      </c>
      <c r="B1375" s="41"/>
      <c r="C1375" s="42"/>
      <c r="D1375" s="42"/>
      <c r="E1375" s="42">
        <v>1</v>
      </c>
      <c r="F1375" s="42">
        <v>1</v>
      </c>
      <c r="G1375" s="43">
        <f t="shared" ref="G1375:G1398" si="1078">SUM(B1375:F1375)</f>
        <v>2</v>
      </c>
      <c r="H1375" s="41"/>
      <c r="I1375" s="42"/>
      <c r="J1375" s="42"/>
      <c r="K1375" s="42"/>
      <c r="L1375" s="42"/>
      <c r="M1375" s="43">
        <f t="shared" ref="M1375:M1398" si="1079">SUM(H1375:L1375)</f>
        <v>0</v>
      </c>
      <c r="N1375" s="42"/>
      <c r="O1375" s="53"/>
      <c r="P1375" s="53"/>
      <c r="Q1375" s="53"/>
      <c r="R1375" s="72"/>
      <c r="S1375" s="24">
        <f t="shared" si="1076"/>
        <v>0</v>
      </c>
      <c r="T1375" s="42"/>
      <c r="U1375" s="53"/>
      <c r="V1375" s="53"/>
      <c r="W1375" s="53"/>
      <c r="X1375" s="72"/>
      <c r="Y1375" s="24">
        <f t="shared" si="1077"/>
        <v>0</v>
      </c>
      <c r="Z1375" s="24">
        <f t="shared" si="1059"/>
        <v>2</v>
      </c>
      <c r="AA1375" s="83">
        <v>45170</v>
      </c>
      <c r="AB1375" s="23" t="s">
        <v>126</v>
      </c>
      <c r="AC1375" s="38"/>
      <c r="AD1375" s="39">
        <v>2</v>
      </c>
      <c r="AE1375" s="39"/>
      <c r="AF1375" s="39">
        <v>2</v>
      </c>
      <c r="AG1375" s="39"/>
      <c r="AH1375" s="37">
        <f t="shared" ref="AH1375" si="1080">SUM(AC1375:AG1375)</f>
        <v>4</v>
      </c>
      <c r="AI1375" s="38"/>
      <c r="AJ1375" s="39">
        <v>2</v>
      </c>
      <c r="AK1375" s="39"/>
      <c r="AL1375" s="39"/>
      <c r="AM1375" s="39"/>
      <c r="AN1375" s="37">
        <f t="shared" ref="AN1375" si="1081">SUM(AI1375:AM1375)</f>
        <v>2</v>
      </c>
      <c r="AO1375" s="39"/>
      <c r="AP1375" s="56"/>
      <c r="AQ1375" s="56">
        <v>2</v>
      </c>
      <c r="AR1375" s="56"/>
      <c r="AS1375" s="71">
        <v>2</v>
      </c>
      <c r="AT1375" s="16">
        <f t="shared" ref="AT1375" si="1082">SUM(AO1375:AS1375)</f>
        <v>4</v>
      </c>
      <c r="AU1375" s="39"/>
      <c r="AV1375" s="56"/>
      <c r="AW1375" s="56">
        <v>2</v>
      </c>
      <c r="AX1375" s="56"/>
      <c r="AY1375" s="71">
        <v>2</v>
      </c>
      <c r="AZ1375" s="16">
        <f t="shared" ref="AZ1375" si="1083">SUM(AU1375:AY1375)</f>
        <v>4</v>
      </c>
      <c r="BA1375" s="16">
        <f t="shared" si="1069"/>
        <v>14</v>
      </c>
      <c r="BB1375" s="83">
        <v>45171</v>
      </c>
    </row>
    <row r="1376" spans="1:55" ht="14.25" x14ac:dyDescent="0.15">
      <c r="A1376" s="23" t="s">
        <v>48</v>
      </c>
      <c r="B1376" s="41"/>
      <c r="C1376" s="42"/>
      <c r="D1376" s="42"/>
      <c r="E1376" s="42"/>
      <c r="F1376" s="42"/>
      <c r="G1376" s="43">
        <f t="shared" si="1078"/>
        <v>0</v>
      </c>
      <c r="H1376" s="41"/>
      <c r="I1376" s="42">
        <v>1</v>
      </c>
      <c r="J1376" s="42"/>
      <c r="K1376" s="42"/>
      <c r="L1376" s="42"/>
      <c r="M1376" s="43">
        <f t="shared" si="1079"/>
        <v>1</v>
      </c>
      <c r="N1376" s="42"/>
      <c r="O1376" s="53"/>
      <c r="P1376" s="53"/>
      <c r="Q1376" s="53"/>
      <c r="R1376" s="72"/>
      <c r="S1376" s="24">
        <f t="shared" si="1076"/>
        <v>0</v>
      </c>
      <c r="T1376" s="42"/>
      <c r="U1376" s="53"/>
      <c r="V1376" s="53"/>
      <c r="W1376" s="53"/>
      <c r="X1376" s="72"/>
      <c r="Y1376" s="24">
        <f t="shared" si="1077"/>
        <v>0</v>
      </c>
      <c r="Z1376" s="24">
        <f t="shared" si="1059"/>
        <v>1</v>
      </c>
      <c r="AA1376" s="83">
        <v>45169</v>
      </c>
      <c r="AB1376" s="23" t="s">
        <v>126</v>
      </c>
      <c r="AC1376" s="38"/>
      <c r="AD1376" s="39">
        <v>3</v>
      </c>
      <c r="AE1376" s="39"/>
      <c r="AF1376" s="39"/>
      <c r="AG1376" s="39">
        <v>5</v>
      </c>
      <c r="AH1376" s="37">
        <f t="shared" ref="AH1376:AH1381" si="1084">SUM(AC1376:AG1376)</f>
        <v>8</v>
      </c>
      <c r="AI1376" s="38"/>
      <c r="AJ1376" s="39"/>
      <c r="AK1376" s="39"/>
      <c r="AL1376" s="39"/>
      <c r="AM1376" s="39"/>
      <c r="AN1376" s="37">
        <f t="shared" ref="AN1376:AN1381" si="1085">SUM(AI1376:AM1376)</f>
        <v>0</v>
      </c>
      <c r="AO1376" s="39"/>
      <c r="AP1376" s="56"/>
      <c r="AQ1376" s="56"/>
      <c r="AR1376" s="56"/>
      <c r="AS1376" s="71"/>
      <c r="AT1376" s="16">
        <f t="shared" ref="AT1376:AT1381" si="1086">SUM(AO1376:AS1376)</f>
        <v>0</v>
      </c>
      <c r="AU1376" s="39"/>
      <c r="AV1376" s="56"/>
      <c r="AW1376" s="56"/>
      <c r="AX1376" s="56"/>
      <c r="AY1376" s="71"/>
      <c r="AZ1376" s="16">
        <f t="shared" ref="AZ1376:AZ1381" si="1087">SUM(AU1376:AY1376)</f>
        <v>0</v>
      </c>
      <c r="BA1376" s="16">
        <f t="shared" ref="BA1376:BA1381" si="1088">AH1376+AN1376+AT1376+AZ1376</f>
        <v>8</v>
      </c>
      <c r="BB1376" s="83">
        <v>45175</v>
      </c>
    </row>
    <row r="1377" spans="1:54" ht="14.25" x14ac:dyDescent="0.15">
      <c r="A1377" s="23" t="s">
        <v>438</v>
      </c>
      <c r="B1377" s="41"/>
      <c r="C1377" s="42">
        <v>1</v>
      </c>
      <c r="D1377" s="42"/>
      <c r="E1377" s="42"/>
      <c r="F1377" s="42"/>
      <c r="G1377" s="43">
        <f t="shared" si="1078"/>
        <v>1</v>
      </c>
      <c r="H1377" s="41"/>
      <c r="I1377" s="42"/>
      <c r="J1377" s="42"/>
      <c r="K1377" s="42"/>
      <c r="L1377" s="42"/>
      <c r="M1377" s="43">
        <f t="shared" si="1079"/>
        <v>0</v>
      </c>
      <c r="N1377" s="42"/>
      <c r="O1377" s="53"/>
      <c r="P1377" s="53"/>
      <c r="Q1377" s="53"/>
      <c r="R1377" s="72"/>
      <c r="S1377" s="24">
        <f t="shared" si="1076"/>
        <v>0</v>
      </c>
      <c r="T1377" s="42"/>
      <c r="U1377" s="53"/>
      <c r="V1377" s="53"/>
      <c r="W1377" s="53"/>
      <c r="X1377" s="72">
        <v>1</v>
      </c>
      <c r="Y1377" s="24">
        <f t="shared" si="1077"/>
        <v>1</v>
      </c>
      <c r="Z1377" s="24">
        <f t="shared" si="1059"/>
        <v>2</v>
      </c>
      <c r="AA1377" s="83">
        <v>45173</v>
      </c>
      <c r="AB1377" s="23" t="s">
        <v>126</v>
      </c>
      <c r="AC1377" s="38">
        <v>3</v>
      </c>
      <c r="AD1377" s="39">
        <v>3</v>
      </c>
      <c r="AE1377" s="39">
        <v>5</v>
      </c>
      <c r="AF1377" s="39"/>
      <c r="AG1377" s="39">
        <v>5</v>
      </c>
      <c r="AH1377" s="37">
        <f t="shared" si="1084"/>
        <v>16</v>
      </c>
      <c r="AI1377" s="38"/>
      <c r="AJ1377" s="39">
        <v>3</v>
      </c>
      <c r="AK1377" s="39">
        <v>3</v>
      </c>
      <c r="AL1377" s="39"/>
      <c r="AM1377" s="39">
        <v>3</v>
      </c>
      <c r="AN1377" s="37">
        <f t="shared" si="1085"/>
        <v>9</v>
      </c>
      <c r="AO1377" s="39"/>
      <c r="AP1377" s="56">
        <v>3</v>
      </c>
      <c r="AQ1377" s="56"/>
      <c r="AR1377" s="56">
        <v>3</v>
      </c>
      <c r="AS1377" s="71"/>
      <c r="AT1377" s="16">
        <f t="shared" si="1086"/>
        <v>6</v>
      </c>
      <c r="AU1377" s="39"/>
      <c r="AV1377" s="56">
        <v>3</v>
      </c>
      <c r="AW1377" s="56"/>
      <c r="AX1377" s="56"/>
      <c r="AY1377" s="71"/>
      <c r="AZ1377" s="16">
        <f t="shared" si="1087"/>
        <v>3</v>
      </c>
      <c r="BA1377" s="16">
        <f t="shared" si="1088"/>
        <v>34</v>
      </c>
      <c r="BB1377" s="83">
        <v>45176</v>
      </c>
    </row>
    <row r="1378" spans="1:54" ht="14.25" x14ac:dyDescent="0.15">
      <c r="A1378" s="23" t="s">
        <v>48</v>
      </c>
      <c r="B1378" s="41"/>
      <c r="C1378" s="42"/>
      <c r="D1378" s="42"/>
      <c r="E1378" s="42"/>
      <c r="F1378" s="42"/>
      <c r="G1378" s="43">
        <f t="shared" si="1078"/>
        <v>0</v>
      </c>
      <c r="H1378" s="41"/>
      <c r="I1378" s="42"/>
      <c r="J1378" s="42"/>
      <c r="K1378" s="42"/>
      <c r="L1378" s="42">
        <v>1</v>
      </c>
      <c r="M1378" s="43">
        <f t="shared" si="1079"/>
        <v>1</v>
      </c>
      <c r="N1378" s="42"/>
      <c r="O1378" s="53"/>
      <c r="P1378" s="53"/>
      <c r="Q1378" s="53"/>
      <c r="R1378" s="72"/>
      <c r="S1378" s="24">
        <f t="shared" si="1076"/>
        <v>0</v>
      </c>
      <c r="T1378" s="42"/>
      <c r="U1378" s="53"/>
      <c r="V1378" s="53"/>
      <c r="W1378" s="53"/>
      <c r="X1378" s="72"/>
      <c r="Y1378" s="24">
        <f t="shared" si="1077"/>
        <v>0</v>
      </c>
      <c r="Z1378" s="24">
        <f t="shared" si="1059"/>
        <v>1</v>
      </c>
      <c r="AA1378" s="83">
        <v>45171</v>
      </c>
      <c r="AB1378" s="23" t="s">
        <v>126</v>
      </c>
      <c r="AC1378" s="38">
        <v>3</v>
      </c>
      <c r="AD1378" s="39">
        <v>3</v>
      </c>
      <c r="AE1378" s="39">
        <v>3</v>
      </c>
      <c r="AF1378" s="39">
        <v>3</v>
      </c>
      <c r="AG1378" s="39"/>
      <c r="AH1378" s="37">
        <f t="shared" si="1084"/>
        <v>12</v>
      </c>
      <c r="AI1378" s="38"/>
      <c r="AJ1378" s="39"/>
      <c r="AK1378" s="39"/>
      <c r="AL1378" s="39"/>
      <c r="AM1378" s="39"/>
      <c r="AN1378" s="37">
        <f t="shared" si="1085"/>
        <v>0</v>
      </c>
      <c r="AO1378" s="39"/>
      <c r="AP1378" s="56"/>
      <c r="AQ1378" s="56"/>
      <c r="AR1378" s="56"/>
      <c r="AS1378" s="71"/>
      <c r="AT1378" s="16">
        <f t="shared" si="1086"/>
        <v>0</v>
      </c>
      <c r="AU1378" s="39"/>
      <c r="AV1378" s="56"/>
      <c r="AW1378" s="56"/>
      <c r="AX1378" s="56"/>
      <c r="AY1378" s="71"/>
      <c r="AZ1378" s="16">
        <f t="shared" si="1087"/>
        <v>0</v>
      </c>
      <c r="BA1378" s="16">
        <f t="shared" si="1088"/>
        <v>12</v>
      </c>
      <c r="BB1378" s="83">
        <v>45182</v>
      </c>
    </row>
    <row r="1379" spans="1:54" ht="14.25" x14ac:dyDescent="0.15">
      <c r="A1379" s="23" t="s">
        <v>438</v>
      </c>
      <c r="B1379" s="41"/>
      <c r="C1379" s="42"/>
      <c r="D1379" s="42"/>
      <c r="E1379" s="42"/>
      <c r="F1379" s="42">
        <v>1</v>
      </c>
      <c r="G1379" s="43">
        <f t="shared" si="1078"/>
        <v>1</v>
      </c>
      <c r="H1379" s="41"/>
      <c r="I1379" s="42"/>
      <c r="J1379" s="42"/>
      <c r="K1379" s="42"/>
      <c r="L1379" s="42"/>
      <c r="M1379" s="43">
        <f t="shared" si="1079"/>
        <v>0</v>
      </c>
      <c r="N1379" s="42"/>
      <c r="O1379" s="53"/>
      <c r="P1379" s="53"/>
      <c r="Q1379" s="53"/>
      <c r="R1379" s="72"/>
      <c r="S1379" s="24">
        <f t="shared" si="1076"/>
        <v>0</v>
      </c>
      <c r="T1379" s="42"/>
      <c r="U1379" s="53">
        <v>1</v>
      </c>
      <c r="V1379" s="53"/>
      <c r="W1379" s="53"/>
      <c r="X1379" s="72"/>
      <c r="Y1379" s="24">
        <f t="shared" si="1077"/>
        <v>1</v>
      </c>
      <c r="Z1379" s="24">
        <f t="shared" si="1059"/>
        <v>2</v>
      </c>
      <c r="AA1379" s="83">
        <v>45174</v>
      </c>
      <c r="AB1379" s="23" t="s">
        <v>126</v>
      </c>
      <c r="AC1379" s="38"/>
      <c r="AD1379" s="39"/>
      <c r="AE1379" s="39"/>
      <c r="AF1379" s="39"/>
      <c r="AG1379" s="39"/>
      <c r="AH1379" s="37">
        <f t="shared" si="1084"/>
        <v>0</v>
      </c>
      <c r="AI1379" s="38"/>
      <c r="AJ1379" s="39"/>
      <c r="AK1379" s="39"/>
      <c r="AL1379" s="39"/>
      <c r="AM1379" s="39"/>
      <c r="AN1379" s="37">
        <f t="shared" si="1085"/>
        <v>0</v>
      </c>
      <c r="AO1379" s="39"/>
      <c r="AP1379" s="56"/>
      <c r="AQ1379" s="56">
        <v>2</v>
      </c>
      <c r="AR1379" s="56"/>
      <c r="AS1379" s="71"/>
      <c r="AT1379" s="16">
        <f t="shared" si="1086"/>
        <v>2</v>
      </c>
      <c r="AU1379" s="39"/>
      <c r="AV1379" s="56"/>
      <c r="AW1379" s="56">
        <v>5</v>
      </c>
      <c r="AX1379" s="56">
        <v>2</v>
      </c>
      <c r="AY1379" s="71">
        <v>2</v>
      </c>
      <c r="AZ1379" s="16">
        <f t="shared" si="1087"/>
        <v>9</v>
      </c>
      <c r="BA1379" s="16">
        <f t="shared" si="1088"/>
        <v>11</v>
      </c>
      <c r="BB1379" s="83">
        <v>45184</v>
      </c>
    </row>
    <row r="1380" spans="1:54" ht="14.25" x14ac:dyDescent="0.15">
      <c r="A1380" s="23" t="s">
        <v>438</v>
      </c>
      <c r="B1380" s="41">
        <v>1</v>
      </c>
      <c r="C1380" s="42">
        <v>3</v>
      </c>
      <c r="D1380" s="42"/>
      <c r="E1380" s="42"/>
      <c r="F1380" s="42">
        <v>2</v>
      </c>
      <c r="G1380" s="43">
        <f t="shared" si="1078"/>
        <v>6</v>
      </c>
      <c r="H1380" s="41"/>
      <c r="I1380" s="42"/>
      <c r="J1380" s="42"/>
      <c r="K1380" s="42"/>
      <c r="L1380" s="42"/>
      <c r="M1380" s="43">
        <f t="shared" si="1079"/>
        <v>0</v>
      </c>
      <c r="N1380" s="42"/>
      <c r="O1380" s="53"/>
      <c r="P1380" s="53"/>
      <c r="Q1380" s="53">
        <v>1</v>
      </c>
      <c r="R1380" s="72"/>
      <c r="S1380" s="24">
        <f t="shared" si="1076"/>
        <v>1</v>
      </c>
      <c r="T1380" s="42"/>
      <c r="U1380" s="53"/>
      <c r="V1380" s="53">
        <v>1</v>
      </c>
      <c r="W1380" s="53"/>
      <c r="X1380" s="72"/>
      <c r="Y1380" s="24">
        <f t="shared" si="1077"/>
        <v>1</v>
      </c>
      <c r="Z1380" s="24">
        <f t="shared" si="1059"/>
        <v>8</v>
      </c>
      <c r="AA1380" s="83">
        <v>45175</v>
      </c>
      <c r="AB1380" s="23" t="s">
        <v>126</v>
      </c>
      <c r="AC1380" s="38"/>
      <c r="AD1380" s="39"/>
      <c r="AE1380" s="39">
        <v>2</v>
      </c>
      <c r="AF1380" s="39">
        <v>2</v>
      </c>
      <c r="AG1380" s="39"/>
      <c r="AH1380" s="37">
        <f t="shared" ref="AH1380" si="1089">SUM(AC1380:AG1380)</f>
        <v>4</v>
      </c>
      <c r="AI1380" s="38"/>
      <c r="AJ1380" s="39"/>
      <c r="AK1380" s="39"/>
      <c r="AL1380" s="39"/>
      <c r="AM1380" s="39"/>
      <c r="AN1380" s="37">
        <f t="shared" ref="AN1380" si="1090">SUM(AI1380:AM1380)</f>
        <v>0</v>
      </c>
      <c r="AO1380" s="39"/>
      <c r="AP1380" s="56">
        <v>2</v>
      </c>
      <c r="AQ1380" s="56">
        <v>2</v>
      </c>
      <c r="AR1380" s="56"/>
      <c r="AS1380" s="71"/>
      <c r="AT1380" s="16">
        <f t="shared" ref="AT1380" si="1091">SUM(AO1380:AS1380)</f>
        <v>4</v>
      </c>
      <c r="AU1380" s="39"/>
      <c r="AV1380" s="56"/>
      <c r="AW1380" s="56"/>
      <c r="AX1380" s="56"/>
      <c r="AY1380" s="71"/>
      <c r="AZ1380" s="16">
        <f t="shared" ref="AZ1380" si="1092">SUM(AU1380:AY1380)</f>
        <v>0</v>
      </c>
      <c r="BA1380" s="16">
        <f t="shared" si="1088"/>
        <v>8</v>
      </c>
      <c r="BB1380" s="83">
        <v>45189</v>
      </c>
    </row>
    <row r="1381" spans="1:54" ht="14.25" x14ac:dyDescent="0.15">
      <c r="A1381" s="23" t="s">
        <v>48</v>
      </c>
      <c r="B1381" s="41">
        <v>1</v>
      </c>
      <c r="C1381" s="42"/>
      <c r="D1381" s="42">
        <v>1</v>
      </c>
      <c r="E1381" s="42"/>
      <c r="F1381" s="42">
        <v>1</v>
      </c>
      <c r="G1381" s="43">
        <f t="shared" si="1078"/>
        <v>3</v>
      </c>
      <c r="H1381" s="41"/>
      <c r="I1381" s="42"/>
      <c r="J1381" s="42">
        <v>1</v>
      </c>
      <c r="K1381" s="42"/>
      <c r="L1381" s="42"/>
      <c r="M1381" s="43">
        <f t="shared" si="1079"/>
        <v>1</v>
      </c>
      <c r="N1381" s="42"/>
      <c r="O1381" s="53"/>
      <c r="P1381" s="53"/>
      <c r="Q1381" s="53"/>
      <c r="R1381" s="72"/>
      <c r="S1381" s="24">
        <f t="shared" si="1076"/>
        <v>0</v>
      </c>
      <c r="T1381" s="42"/>
      <c r="U1381" s="53"/>
      <c r="V1381" s="53"/>
      <c r="W1381" s="53"/>
      <c r="X1381" s="72">
        <v>1</v>
      </c>
      <c r="Y1381" s="24">
        <f t="shared" si="1077"/>
        <v>1</v>
      </c>
      <c r="Z1381" s="24">
        <f t="shared" si="1059"/>
        <v>5</v>
      </c>
      <c r="AA1381" s="83">
        <v>45174</v>
      </c>
      <c r="AB1381" s="23"/>
      <c r="AC1381" s="38"/>
      <c r="AD1381" s="39"/>
      <c r="AE1381" s="39"/>
      <c r="AF1381" s="39"/>
      <c r="AG1381" s="39"/>
      <c r="AH1381" s="37">
        <f t="shared" si="1084"/>
        <v>0</v>
      </c>
      <c r="AI1381" s="38"/>
      <c r="AJ1381" s="39"/>
      <c r="AK1381" s="39"/>
      <c r="AL1381" s="39"/>
      <c r="AM1381" s="39"/>
      <c r="AN1381" s="37">
        <f t="shared" si="1085"/>
        <v>0</v>
      </c>
      <c r="AO1381" s="39"/>
      <c r="AP1381" s="56"/>
      <c r="AQ1381" s="56"/>
      <c r="AR1381" s="56"/>
      <c r="AS1381" s="71"/>
      <c r="AT1381" s="16">
        <f t="shared" si="1086"/>
        <v>0</v>
      </c>
      <c r="AU1381" s="39"/>
      <c r="AV1381" s="56"/>
      <c r="AW1381" s="56"/>
      <c r="AX1381" s="56"/>
      <c r="AY1381" s="71"/>
      <c r="AZ1381" s="16">
        <f t="shared" si="1087"/>
        <v>0</v>
      </c>
      <c r="BA1381" s="16">
        <f t="shared" si="1088"/>
        <v>0</v>
      </c>
      <c r="BB1381" s="128"/>
    </row>
    <row r="1382" spans="1:54" ht="14.25" x14ac:dyDescent="0.15">
      <c r="A1382" s="23" t="s">
        <v>438</v>
      </c>
      <c r="B1382" s="41"/>
      <c r="C1382" s="42"/>
      <c r="D1382" s="42"/>
      <c r="E1382" s="42"/>
      <c r="F1382" s="42">
        <v>3</v>
      </c>
      <c r="G1382" s="43">
        <f t="shared" si="1078"/>
        <v>3</v>
      </c>
      <c r="H1382" s="41"/>
      <c r="I1382" s="42"/>
      <c r="J1382" s="42"/>
      <c r="K1382" s="42"/>
      <c r="L1382" s="42"/>
      <c r="M1382" s="43">
        <f t="shared" si="1079"/>
        <v>0</v>
      </c>
      <c r="N1382" s="42"/>
      <c r="O1382" s="53">
        <v>1</v>
      </c>
      <c r="P1382" s="53"/>
      <c r="Q1382" s="53"/>
      <c r="R1382" s="72"/>
      <c r="S1382" s="24">
        <f t="shared" si="1076"/>
        <v>1</v>
      </c>
      <c r="T1382" s="42"/>
      <c r="U1382" s="53">
        <v>1</v>
      </c>
      <c r="V1382" s="53"/>
      <c r="W1382" s="53"/>
      <c r="X1382" s="72"/>
      <c r="Y1382" s="24">
        <f t="shared" si="1077"/>
        <v>1</v>
      </c>
      <c r="Z1382" s="24">
        <f t="shared" si="1059"/>
        <v>5</v>
      </c>
      <c r="AA1382" s="83">
        <v>45176</v>
      </c>
      <c r="AB1382" s="23"/>
      <c r="AC1382" s="38"/>
      <c r="AD1382" s="39"/>
      <c r="AE1382" s="39"/>
      <c r="AF1382" s="39"/>
      <c r="AG1382" s="39"/>
      <c r="AH1382" s="37">
        <f t="shared" si="1070"/>
        <v>0</v>
      </c>
      <c r="AI1382" s="38"/>
      <c r="AJ1382" s="39"/>
      <c r="AK1382" s="39"/>
      <c r="AL1382" s="39"/>
      <c r="AM1382" s="39"/>
      <c r="AN1382" s="37">
        <f t="shared" si="1071"/>
        <v>0</v>
      </c>
      <c r="AO1382" s="39"/>
      <c r="AP1382" s="56"/>
      <c r="AQ1382" s="56"/>
      <c r="AR1382" s="56"/>
      <c r="AS1382" s="71"/>
      <c r="AT1382" s="16">
        <f t="shared" si="1072"/>
        <v>0</v>
      </c>
      <c r="AU1382" s="39"/>
      <c r="AV1382" s="56"/>
      <c r="AW1382" s="56"/>
      <c r="AX1382" s="56"/>
      <c r="AY1382" s="71"/>
      <c r="AZ1382" s="16">
        <f t="shared" si="1073"/>
        <v>0</v>
      </c>
      <c r="BA1382" s="16">
        <f t="shared" si="1069"/>
        <v>0</v>
      </c>
      <c r="BB1382" s="128"/>
    </row>
    <row r="1383" spans="1:54" ht="14.25" x14ac:dyDescent="0.15">
      <c r="A1383" s="23" t="s">
        <v>623</v>
      </c>
      <c r="B1383" s="41"/>
      <c r="C1383" s="42"/>
      <c r="D1383" s="42">
        <v>1</v>
      </c>
      <c r="E1383" s="42"/>
      <c r="F1383" s="42"/>
      <c r="G1383" s="43">
        <f t="shared" si="1078"/>
        <v>1</v>
      </c>
      <c r="H1383" s="41"/>
      <c r="I1383" s="42">
        <v>1</v>
      </c>
      <c r="J1383" s="42"/>
      <c r="K1383" s="42"/>
      <c r="L1383" s="42"/>
      <c r="M1383" s="43">
        <f t="shared" si="1079"/>
        <v>1</v>
      </c>
      <c r="N1383" s="42"/>
      <c r="O1383" s="53"/>
      <c r="P1383" s="53"/>
      <c r="Q1383" s="53"/>
      <c r="R1383" s="72"/>
      <c r="S1383" s="24">
        <f t="shared" si="1076"/>
        <v>0</v>
      </c>
      <c r="T1383" s="42"/>
      <c r="U1383" s="53"/>
      <c r="V1383" s="53"/>
      <c r="W1383" s="53"/>
      <c r="X1383" s="72"/>
      <c r="Y1383" s="24">
        <f t="shared" si="1077"/>
        <v>0</v>
      </c>
      <c r="Z1383" s="24">
        <f t="shared" si="1059"/>
        <v>2</v>
      </c>
      <c r="AA1383" s="83">
        <v>45176</v>
      </c>
      <c r="AB1383" s="23"/>
      <c r="AC1383" s="38"/>
      <c r="AD1383" s="39"/>
      <c r="AE1383" s="39"/>
      <c r="AF1383" s="39"/>
      <c r="AG1383" s="39"/>
      <c r="AH1383" s="37">
        <f t="shared" si="1070"/>
        <v>0</v>
      </c>
      <c r="AI1383" s="38"/>
      <c r="AJ1383" s="39"/>
      <c r="AK1383" s="39"/>
      <c r="AL1383" s="39"/>
      <c r="AM1383" s="39"/>
      <c r="AN1383" s="37">
        <f t="shared" si="1071"/>
        <v>0</v>
      </c>
      <c r="AO1383" s="39"/>
      <c r="AP1383" s="56"/>
      <c r="AQ1383" s="56"/>
      <c r="AR1383" s="56"/>
      <c r="AS1383" s="71"/>
      <c r="AT1383" s="16">
        <f t="shared" si="1072"/>
        <v>0</v>
      </c>
      <c r="AU1383" s="39"/>
      <c r="AV1383" s="56"/>
      <c r="AW1383" s="56"/>
      <c r="AX1383" s="56"/>
      <c r="AY1383" s="71"/>
      <c r="AZ1383" s="16">
        <f t="shared" si="1073"/>
        <v>0</v>
      </c>
      <c r="BA1383" s="16">
        <f t="shared" si="1069"/>
        <v>0</v>
      </c>
      <c r="BB1383" s="128"/>
    </row>
    <row r="1384" spans="1:54" ht="14.25" x14ac:dyDescent="0.15">
      <c r="A1384" s="23" t="s">
        <v>48</v>
      </c>
      <c r="B1384" s="41"/>
      <c r="C1384" s="42">
        <v>1</v>
      </c>
      <c r="D1384" s="42">
        <v>1</v>
      </c>
      <c r="E1384" s="42"/>
      <c r="F1384" s="42">
        <v>1</v>
      </c>
      <c r="G1384" s="43">
        <f t="shared" si="1078"/>
        <v>3</v>
      </c>
      <c r="H1384" s="41"/>
      <c r="I1384" s="42">
        <v>1</v>
      </c>
      <c r="J1384" s="42">
        <v>1</v>
      </c>
      <c r="K1384" s="42"/>
      <c r="L1384" s="42"/>
      <c r="M1384" s="43">
        <f t="shared" si="1079"/>
        <v>2</v>
      </c>
      <c r="N1384" s="42"/>
      <c r="O1384" s="53"/>
      <c r="P1384" s="53"/>
      <c r="Q1384" s="53"/>
      <c r="R1384" s="72"/>
      <c r="S1384" s="24">
        <f t="shared" si="1076"/>
        <v>0</v>
      </c>
      <c r="T1384" s="42"/>
      <c r="U1384" s="53"/>
      <c r="V1384" s="53"/>
      <c r="W1384" s="53">
        <v>1</v>
      </c>
      <c r="X1384" s="72"/>
      <c r="Y1384" s="24">
        <f t="shared" si="1077"/>
        <v>1</v>
      </c>
      <c r="Z1384" s="24">
        <f t="shared" si="1059"/>
        <v>6</v>
      </c>
      <c r="AA1384" s="83">
        <v>45175</v>
      </c>
      <c r="AB1384" s="23"/>
      <c r="AC1384" s="38"/>
      <c r="AD1384" s="39"/>
      <c r="AE1384" s="39"/>
      <c r="AF1384" s="39"/>
      <c r="AG1384" s="39"/>
      <c r="AH1384" s="37">
        <f t="shared" si="1070"/>
        <v>0</v>
      </c>
      <c r="AI1384" s="38"/>
      <c r="AJ1384" s="39"/>
      <c r="AK1384" s="39"/>
      <c r="AL1384" s="39"/>
      <c r="AM1384" s="39"/>
      <c r="AN1384" s="37">
        <f t="shared" si="1071"/>
        <v>0</v>
      </c>
      <c r="AO1384" s="39"/>
      <c r="AP1384" s="56"/>
      <c r="AQ1384" s="56"/>
      <c r="AR1384" s="56"/>
      <c r="AS1384" s="71"/>
      <c r="AT1384" s="16">
        <f t="shared" si="1072"/>
        <v>0</v>
      </c>
      <c r="AU1384" s="39"/>
      <c r="AV1384" s="56"/>
      <c r="AW1384" s="56"/>
      <c r="AX1384" s="56"/>
      <c r="AY1384" s="71"/>
      <c r="AZ1384" s="16">
        <f t="shared" si="1073"/>
        <v>0</v>
      </c>
      <c r="BA1384" s="16">
        <f t="shared" si="1069"/>
        <v>0</v>
      </c>
      <c r="BB1384" s="128"/>
    </row>
    <row r="1385" spans="1:54" ht="14.25" x14ac:dyDescent="0.15">
      <c r="A1385" s="23" t="s">
        <v>438</v>
      </c>
      <c r="B1385" s="41"/>
      <c r="C1385" s="42"/>
      <c r="D1385" s="42">
        <v>1</v>
      </c>
      <c r="E1385" s="42"/>
      <c r="F1385" s="42"/>
      <c r="G1385" s="43">
        <f t="shared" si="1078"/>
        <v>1</v>
      </c>
      <c r="H1385" s="41"/>
      <c r="I1385" s="42"/>
      <c r="J1385" s="42"/>
      <c r="K1385" s="42"/>
      <c r="L1385" s="42"/>
      <c r="M1385" s="43">
        <f t="shared" si="1079"/>
        <v>0</v>
      </c>
      <c r="N1385" s="42"/>
      <c r="O1385" s="53"/>
      <c r="P1385" s="53"/>
      <c r="Q1385" s="53"/>
      <c r="R1385" s="72"/>
      <c r="S1385" s="24">
        <f t="shared" si="1076"/>
        <v>0</v>
      </c>
      <c r="T1385" s="42"/>
      <c r="U1385" s="53"/>
      <c r="V1385" s="53"/>
      <c r="W1385" s="53"/>
      <c r="X1385" s="72"/>
      <c r="Y1385" s="24">
        <f t="shared" si="1077"/>
        <v>0</v>
      </c>
      <c r="Z1385" s="24">
        <f t="shared" si="1059"/>
        <v>1</v>
      </c>
      <c r="AA1385" s="83">
        <v>45177</v>
      </c>
      <c r="AB1385" s="23"/>
      <c r="AC1385" s="38"/>
      <c r="AD1385" s="39"/>
      <c r="AE1385" s="39"/>
      <c r="AF1385" s="39"/>
      <c r="AG1385" s="39"/>
      <c r="AH1385" s="37">
        <f t="shared" si="1070"/>
        <v>0</v>
      </c>
      <c r="AI1385" s="38"/>
      <c r="AJ1385" s="39"/>
      <c r="AK1385" s="39"/>
      <c r="AL1385" s="39"/>
      <c r="AM1385" s="39"/>
      <c r="AN1385" s="37">
        <f t="shared" si="1071"/>
        <v>0</v>
      </c>
      <c r="AO1385" s="39"/>
      <c r="AP1385" s="56"/>
      <c r="AQ1385" s="56"/>
      <c r="AR1385" s="56"/>
      <c r="AS1385" s="71"/>
      <c r="AT1385" s="16">
        <f t="shared" si="1072"/>
        <v>0</v>
      </c>
      <c r="AU1385" s="39"/>
      <c r="AV1385" s="56"/>
      <c r="AW1385" s="56"/>
      <c r="AX1385" s="56"/>
      <c r="AY1385" s="71"/>
      <c r="AZ1385" s="16">
        <f t="shared" si="1073"/>
        <v>0</v>
      </c>
      <c r="BA1385" s="16">
        <f t="shared" si="1069"/>
        <v>0</v>
      </c>
      <c r="BB1385" s="128"/>
    </row>
    <row r="1386" spans="1:54" ht="14.25" x14ac:dyDescent="0.15">
      <c r="A1386" s="23" t="s">
        <v>48</v>
      </c>
      <c r="B1386" s="41"/>
      <c r="C1386" s="42"/>
      <c r="D1386" s="42">
        <v>2</v>
      </c>
      <c r="E1386" s="42"/>
      <c r="F1386" s="42"/>
      <c r="G1386" s="43">
        <f t="shared" si="1078"/>
        <v>2</v>
      </c>
      <c r="H1386" s="41"/>
      <c r="I1386" s="42"/>
      <c r="J1386" s="42">
        <v>1</v>
      </c>
      <c r="K1386" s="42"/>
      <c r="L1386" s="42"/>
      <c r="M1386" s="43">
        <f t="shared" si="1079"/>
        <v>1</v>
      </c>
      <c r="N1386" s="42"/>
      <c r="O1386" s="53">
        <v>1</v>
      </c>
      <c r="P1386" s="53"/>
      <c r="Q1386" s="53"/>
      <c r="R1386" s="72"/>
      <c r="S1386" s="24">
        <f t="shared" si="1076"/>
        <v>1</v>
      </c>
      <c r="T1386" s="42"/>
      <c r="U1386" s="53"/>
      <c r="V1386" s="53"/>
      <c r="W1386" s="53"/>
      <c r="X1386" s="72"/>
      <c r="Y1386" s="24">
        <f t="shared" si="1077"/>
        <v>0</v>
      </c>
      <c r="Z1386" s="24">
        <f t="shared" si="1059"/>
        <v>4</v>
      </c>
      <c r="AA1386" s="83">
        <v>45176</v>
      </c>
      <c r="AB1386" s="23"/>
      <c r="AC1386" s="38"/>
      <c r="AD1386" s="39"/>
      <c r="AE1386" s="39"/>
      <c r="AF1386" s="39"/>
      <c r="AG1386" s="39"/>
      <c r="AH1386" s="37">
        <f t="shared" si="1070"/>
        <v>0</v>
      </c>
      <c r="AI1386" s="38"/>
      <c r="AJ1386" s="39"/>
      <c r="AK1386" s="39"/>
      <c r="AL1386" s="39"/>
      <c r="AM1386" s="39"/>
      <c r="AN1386" s="37">
        <f t="shared" si="1071"/>
        <v>0</v>
      </c>
      <c r="AO1386" s="39"/>
      <c r="AP1386" s="56"/>
      <c r="AQ1386" s="56"/>
      <c r="AR1386" s="56"/>
      <c r="AS1386" s="71"/>
      <c r="AT1386" s="16">
        <f t="shared" si="1072"/>
        <v>0</v>
      </c>
      <c r="AU1386" s="39"/>
      <c r="AV1386" s="56"/>
      <c r="AW1386" s="56"/>
      <c r="AX1386" s="56"/>
      <c r="AY1386" s="71"/>
      <c r="AZ1386" s="16">
        <f t="shared" si="1073"/>
        <v>0</v>
      </c>
      <c r="BA1386" s="16">
        <f t="shared" si="1069"/>
        <v>0</v>
      </c>
      <c r="BB1386" s="128"/>
    </row>
    <row r="1387" spans="1:54" ht="14.25" x14ac:dyDescent="0.15">
      <c r="A1387" s="23" t="s">
        <v>438</v>
      </c>
      <c r="B1387" s="41"/>
      <c r="C1387" s="42">
        <v>1</v>
      </c>
      <c r="D1387" s="42"/>
      <c r="E1387" s="42">
        <v>2</v>
      </c>
      <c r="F1387" s="42"/>
      <c r="G1387" s="43">
        <f t="shared" si="1078"/>
        <v>3</v>
      </c>
      <c r="H1387" s="41"/>
      <c r="I1387" s="42"/>
      <c r="J1387" s="42"/>
      <c r="K1387" s="42"/>
      <c r="L1387" s="42"/>
      <c r="M1387" s="43">
        <f t="shared" si="1079"/>
        <v>0</v>
      </c>
      <c r="N1387" s="42"/>
      <c r="O1387" s="53">
        <v>1</v>
      </c>
      <c r="P1387" s="53"/>
      <c r="Q1387" s="53"/>
      <c r="R1387" s="72"/>
      <c r="S1387" s="24">
        <f t="shared" si="1076"/>
        <v>1</v>
      </c>
      <c r="T1387" s="42"/>
      <c r="U1387" s="53"/>
      <c r="V1387" s="53"/>
      <c r="W1387" s="53"/>
      <c r="X1387" s="72"/>
      <c r="Y1387" s="24">
        <f t="shared" si="1077"/>
        <v>0</v>
      </c>
      <c r="Z1387" s="24">
        <f t="shared" si="1059"/>
        <v>4</v>
      </c>
      <c r="AA1387" s="83">
        <v>45181</v>
      </c>
      <c r="AB1387" s="23"/>
      <c r="AC1387" s="38"/>
      <c r="AD1387" s="39"/>
      <c r="AE1387" s="39"/>
      <c r="AF1387" s="39"/>
      <c r="AG1387" s="39"/>
      <c r="AH1387" s="37">
        <f t="shared" si="1070"/>
        <v>0</v>
      </c>
      <c r="AI1387" s="38"/>
      <c r="AJ1387" s="39"/>
      <c r="AK1387" s="39"/>
      <c r="AL1387" s="39"/>
      <c r="AM1387" s="39"/>
      <c r="AN1387" s="37">
        <f t="shared" si="1071"/>
        <v>0</v>
      </c>
      <c r="AO1387" s="39"/>
      <c r="AP1387" s="56"/>
      <c r="AQ1387" s="56"/>
      <c r="AR1387" s="56"/>
      <c r="AS1387" s="71"/>
      <c r="AT1387" s="16">
        <f t="shared" si="1072"/>
        <v>0</v>
      </c>
      <c r="AU1387" s="39"/>
      <c r="AV1387" s="56"/>
      <c r="AW1387" s="56"/>
      <c r="AX1387" s="56"/>
      <c r="AY1387" s="71"/>
      <c r="AZ1387" s="16">
        <f t="shared" si="1073"/>
        <v>0</v>
      </c>
      <c r="BA1387" s="16">
        <f t="shared" si="1069"/>
        <v>0</v>
      </c>
      <c r="BB1387" s="128"/>
    </row>
    <row r="1388" spans="1:54" ht="14.25" x14ac:dyDescent="0.15">
      <c r="A1388" s="23" t="s">
        <v>48</v>
      </c>
      <c r="B1388" s="41"/>
      <c r="C1388" s="42">
        <v>1</v>
      </c>
      <c r="D1388" s="42"/>
      <c r="E1388" s="42">
        <v>1</v>
      </c>
      <c r="F1388" s="42"/>
      <c r="G1388" s="43">
        <f t="shared" si="1078"/>
        <v>2</v>
      </c>
      <c r="H1388" s="41"/>
      <c r="I1388" s="42"/>
      <c r="J1388" s="42"/>
      <c r="K1388" s="42"/>
      <c r="L1388" s="42">
        <v>1</v>
      </c>
      <c r="M1388" s="43">
        <f t="shared" si="1079"/>
        <v>1</v>
      </c>
      <c r="N1388" s="42"/>
      <c r="O1388" s="53"/>
      <c r="P1388" s="53">
        <v>1</v>
      </c>
      <c r="Q1388" s="53"/>
      <c r="R1388" s="72"/>
      <c r="S1388" s="24">
        <f t="shared" si="1076"/>
        <v>1</v>
      </c>
      <c r="T1388" s="42"/>
      <c r="U1388" s="53"/>
      <c r="V1388" s="53"/>
      <c r="W1388" s="53"/>
      <c r="X1388" s="72"/>
      <c r="Y1388" s="24">
        <f t="shared" si="1077"/>
        <v>0</v>
      </c>
      <c r="Z1388" s="24">
        <f t="shared" si="1059"/>
        <v>4</v>
      </c>
      <c r="AA1388" s="83">
        <v>45180</v>
      </c>
      <c r="AB1388" s="23"/>
      <c r="AC1388" s="38"/>
      <c r="AD1388" s="39"/>
      <c r="AE1388" s="39"/>
      <c r="AF1388" s="39"/>
      <c r="AG1388" s="39"/>
      <c r="AH1388" s="37">
        <f t="shared" si="1070"/>
        <v>0</v>
      </c>
      <c r="AI1388" s="38"/>
      <c r="AJ1388" s="39"/>
      <c r="AK1388" s="39"/>
      <c r="AL1388" s="39"/>
      <c r="AM1388" s="39"/>
      <c r="AN1388" s="37">
        <f t="shared" si="1071"/>
        <v>0</v>
      </c>
      <c r="AO1388" s="39"/>
      <c r="AP1388" s="56"/>
      <c r="AQ1388" s="56"/>
      <c r="AR1388" s="56"/>
      <c r="AS1388" s="71"/>
      <c r="AT1388" s="16">
        <f t="shared" si="1072"/>
        <v>0</v>
      </c>
      <c r="AU1388" s="39"/>
      <c r="AV1388" s="56"/>
      <c r="AW1388" s="56"/>
      <c r="AX1388" s="56"/>
      <c r="AY1388" s="71"/>
      <c r="AZ1388" s="16">
        <f t="shared" si="1073"/>
        <v>0</v>
      </c>
      <c r="BA1388" s="16">
        <f t="shared" si="1069"/>
        <v>0</v>
      </c>
      <c r="BB1388" s="128"/>
    </row>
    <row r="1389" spans="1:54" ht="14.25" x14ac:dyDescent="0.15">
      <c r="A1389" s="23" t="s">
        <v>438</v>
      </c>
      <c r="B1389" s="41">
        <v>3</v>
      </c>
      <c r="C1389" s="42"/>
      <c r="D1389" s="42"/>
      <c r="E1389" s="42"/>
      <c r="F1389" s="42"/>
      <c r="G1389" s="43">
        <f t="shared" si="1078"/>
        <v>3</v>
      </c>
      <c r="H1389" s="41"/>
      <c r="I1389" s="42"/>
      <c r="J1389" s="42"/>
      <c r="K1389" s="42"/>
      <c r="L1389" s="42"/>
      <c r="M1389" s="43">
        <f t="shared" si="1079"/>
        <v>0</v>
      </c>
      <c r="N1389" s="42"/>
      <c r="O1389" s="53"/>
      <c r="P1389" s="53"/>
      <c r="Q1389" s="53"/>
      <c r="R1389" s="72"/>
      <c r="S1389" s="24">
        <f t="shared" si="1076"/>
        <v>0</v>
      </c>
      <c r="T1389" s="42"/>
      <c r="U1389" s="53"/>
      <c r="V1389" s="53"/>
      <c r="W1389" s="53"/>
      <c r="X1389" s="72"/>
      <c r="Y1389" s="24">
        <f t="shared" si="1077"/>
        <v>0</v>
      </c>
      <c r="Z1389" s="24">
        <f t="shared" si="1059"/>
        <v>3</v>
      </c>
      <c r="AA1389" s="83">
        <v>45182</v>
      </c>
      <c r="AB1389" s="23"/>
      <c r="AC1389" s="38"/>
      <c r="AD1389" s="39"/>
      <c r="AE1389" s="39"/>
      <c r="AF1389" s="39"/>
      <c r="AG1389" s="39"/>
      <c r="AH1389" s="37">
        <f t="shared" ref="AH1389:AH1400" si="1093">SUM(AC1389:AG1389)</f>
        <v>0</v>
      </c>
      <c r="AI1389" s="38"/>
      <c r="AJ1389" s="39"/>
      <c r="AK1389" s="39"/>
      <c r="AL1389" s="39"/>
      <c r="AM1389" s="39"/>
      <c r="AN1389" s="37">
        <f t="shared" ref="AN1389:AN1400" si="1094">SUM(AI1389:AM1389)</f>
        <v>0</v>
      </c>
      <c r="AO1389" s="39"/>
      <c r="AP1389" s="56"/>
      <c r="AQ1389" s="56"/>
      <c r="AR1389" s="56"/>
      <c r="AS1389" s="71"/>
      <c r="AT1389" s="16">
        <f t="shared" ref="AT1389:AT1400" si="1095">SUM(AO1389:AS1389)</f>
        <v>0</v>
      </c>
      <c r="AU1389" s="39"/>
      <c r="AV1389" s="56"/>
      <c r="AW1389" s="56"/>
      <c r="AX1389" s="56"/>
      <c r="AY1389" s="71"/>
      <c r="AZ1389" s="16">
        <f t="shared" ref="AZ1389:AZ1400" si="1096">SUM(AU1389:AY1389)</f>
        <v>0</v>
      </c>
      <c r="BA1389" s="16">
        <f t="shared" ref="BA1389:BA1400" si="1097">AH1389+AN1389+AT1389+AZ1389</f>
        <v>0</v>
      </c>
      <c r="BB1389" s="128"/>
    </row>
    <row r="1390" spans="1:54" ht="14.25" x14ac:dyDescent="0.15">
      <c r="A1390" s="23" t="s">
        <v>48</v>
      </c>
      <c r="B1390" s="41"/>
      <c r="C1390" s="42">
        <v>1</v>
      </c>
      <c r="D1390" s="42"/>
      <c r="E1390" s="42"/>
      <c r="F1390" s="42"/>
      <c r="G1390" s="43">
        <f t="shared" si="1078"/>
        <v>1</v>
      </c>
      <c r="H1390" s="41"/>
      <c r="I1390" s="42">
        <v>1</v>
      </c>
      <c r="J1390" s="42"/>
      <c r="K1390" s="42"/>
      <c r="L1390" s="42"/>
      <c r="M1390" s="43">
        <f t="shared" si="1079"/>
        <v>1</v>
      </c>
      <c r="N1390" s="42"/>
      <c r="O1390" s="53"/>
      <c r="P1390" s="53"/>
      <c r="Q1390" s="53"/>
      <c r="R1390" s="72"/>
      <c r="S1390" s="24">
        <f t="shared" si="1076"/>
        <v>0</v>
      </c>
      <c r="T1390" s="42"/>
      <c r="U1390" s="53"/>
      <c r="V1390" s="53"/>
      <c r="W1390" s="53">
        <v>1</v>
      </c>
      <c r="X1390" s="72">
        <v>1</v>
      </c>
      <c r="Y1390" s="24">
        <f t="shared" si="1077"/>
        <v>2</v>
      </c>
      <c r="Z1390" s="24">
        <f t="shared" si="1059"/>
        <v>4</v>
      </c>
      <c r="AA1390" s="83">
        <v>45181</v>
      </c>
      <c r="AB1390" s="23"/>
      <c r="AC1390" s="38"/>
      <c r="AD1390" s="39"/>
      <c r="AE1390" s="39"/>
      <c r="AF1390" s="39"/>
      <c r="AG1390" s="39"/>
      <c r="AH1390" s="37">
        <f t="shared" si="1093"/>
        <v>0</v>
      </c>
      <c r="AI1390" s="38"/>
      <c r="AJ1390" s="39"/>
      <c r="AK1390" s="39"/>
      <c r="AL1390" s="39"/>
      <c r="AM1390" s="39"/>
      <c r="AN1390" s="37">
        <f t="shared" si="1094"/>
        <v>0</v>
      </c>
      <c r="AO1390" s="39"/>
      <c r="AP1390" s="56"/>
      <c r="AQ1390" s="56"/>
      <c r="AR1390" s="56"/>
      <c r="AS1390" s="71"/>
      <c r="AT1390" s="16">
        <f t="shared" si="1095"/>
        <v>0</v>
      </c>
      <c r="AU1390" s="39"/>
      <c r="AV1390" s="56"/>
      <c r="AW1390" s="56"/>
      <c r="AX1390" s="56"/>
      <c r="AY1390" s="71"/>
      <c r="AZ1390" s="16">
        <f t="shared" si="1096"/>
        <v>0</v>
      </c>
      <c r="BA1390" s="16">
        <f t="shared" si="1097"/>
        <v>0</v>
      </c>
      <c r="BB1390" s="128"/>
    </row>
    <row r="1391" spans="1:54" ht="14.25" x14ac:dyDescent="0.15">
      <c r="A1391" s="23" t="s">
        <v>438</v>
      </c>
      <c r="B1391" s="41"/>
      <c r="C1391" s="42">
        <v>1</v>
      </c>
      <c r="D1391" s="42"/>
      <c r="E1391" s="42"/>
      <c r="F1391" s="42"/>
      <c r="G1391" s="43">
        <f t="shared" si="1078"/>
        <v>1</v>
      </c>
      <c r="H1391" s="41"/>
      <c r="I1391" s="42"/>
      <c r="J1391" s="42"/>
      <c r="K1391" s="42"/>
      <c r="L1391" s="42"/>
      <c r="M1391" s="43">
        <f t="shared" si="1079"/>
        <v>0</v>
      </c>
      <c r="N1391" s="42"/>
      <c r="O1391" s="53"/>
      <c r="P1391" s="53">
        <v>1</v>
      </c>
      <c r="Q1391" s="53"/>
      <c r="R1391" s="72"/>
      <c r="S1391" s="24">
        <f t="shared" si="1076"/>
        <v>1</v>
      </c>
      <c r="T1391" s="42"/>
      <c r="U1391" s="53"/>
      <c r="V1391" s="53">
        <v>2</v>
      </c>
      <c r="W1391" s="53"/>
      <c r="X1391" s="72"/>
      <c r="Y1391" s="24">
        <f t="shared" si="1077"/>
        <v>2</v>
      </c>
      <c r="Z1391" s="24">
        <f t="shared" si="1059"/>
        <v>4</v>
      </c>
      <c r="AA1391" s="83">
        <v>45183</v>
      </c>
      <c r="AB1391" s="23"/>
      <c r="AC1391" s="38"/>
      <c r="AD1391" s="39"/>
      <c r="AE1391" s="39"/>
      <c r="AF1391" s="39"/>
      <c r="AG1391" s="39"/>
      <c r="AH1391" s="37">
        <f t="shared" si="1093"/>
        <v>0</v>
      </c>
      <c r="AI1391" s="38"/>
      <c r="AJ1391" s="39"/>
      <c r="AK1391" s="39"/>
      <c r="AL1391" s="39"/>
      <c r="AM1391" s="39"/>
      <c r="AN1391" s="37">
        <f t="shared" si="1094"/>
        <v>0</v>
      </c>
      <c r="AO1391" s="39"/>
      <c r="AP1391" s="56"/>
      <c r="AQ1391" s="56"/>
      <c r="AR1391" s="56"/>
      <c r="AS1391" s="71"/>
      <c r="AT1391" s="16">
        <f t="shared" si="1095"/>
        <v>0</v>
      </c>
      <c r="AU1391" s="39"/>
      <c r="AV1391" s="56"/>
      <c r="AW1391" s="56"/>
      <c r="AX1391" s="56"/>
      <c r="AY1391" s="71"/>
      <c r="AZ1391" s="16">
        <f t="shared" si="1096"/>
        <v>0</v>
      </c>
      <c r="BA1391" s="16">
        <f t="shared" si="1097"/>
        <v>0</v>
      </c>
      <c r="BB1391" s="128"/>
    </row>
    <row r="1392" spans="1:54" ht="14.25" x14ac:dyDescent="0.15">
      <c r="A1392" s="23" t="s">
        <v>438</v>
      </c>
      <c r="B1392" s="41"/>
      <c r="C1392" s="42"/>
      <c r="D1392" s="42"/>
      <c r="E1392" s="42"/>
      <c r="F1392" s="42"/>
      <c r="G1392" s="43">
        <f t="shared" si="1078"/>
        <v>0</v>
      </c>
      <c r="H1392" s="41"/>
      <c r="I1392" s="42"/>
      <c r="J1392" s="42"/>
      <c r="K1392" s="42"/>
      <c r="L1392" s="42"/>
      <c r="M1392" s="43">
        <f t="shared" si="1079"/>
        <v>0</v>
      </c>
      <c r="N1392" s="42"/>
      <c r="O1392" s="53"/>
      <c r="P1392" s="53"/>
      <c r="Q1392" s="53"/>
      <c r="R1392" s="72"/>
      <c r="S1392" s="24">
        <f t="shared" si="1076"/>
        <v>0</v>
      </c>
      <c r="T1392" s="42"/>
      <c r="U1392" s="53"/>
      <c r="V1392" s="53">
        <v>1</v>
      </c>
      <c r="W1392" s="53"/>
      <c r="X1392" s="72"/>
      <c r="Y1392" s="24">
        <f t="shared" si="1077"/>
        <v>1</v>
      </c>
      <c r="Z1392" s="24">
        <f t="shared" si="1059"/>
        <v>1</v>
      </c>
      <c r="AA1392" s="83">
        <v>45184</v>
      </c>
      <c r="AB1392" s="23"/>
      <c r="AC1392" s="38"/>
      <c r="AD1392" s="39"/>
      <c r="AE1392" s="39"/>
      <c r="AF1392" s="39"/>
      <c r="AG1392" s="39"/>
      <c r="AH1392" s="37">
        <f t="shared" si="1093"/>
        <v>0</v>
      </c>
      <c r="AI1392" s="38"/>
      <c r="AJ1392" s="39"/>
      <c r="AK1392" s="39"/>
      <c r="AL1392" s="39"/>
      <c r="AM1392" s="39"/>
      <c r="AN1392" s="37">
        <f t="shared" si="1094"/>
        <v>0</v>
      </c>
      <c r="AO1392" s="39"/>
      <c r="AP1392" s="56"/>
      <c r="AQ1392" s="56"/>
      <c r="AR1392" s="56"/>
      <c r="AS1392" s="71"/>
      <c r="AT1392" s="16">
        <f t="shared" si="1095"/>
        <v>0</v>
      </c>
      <c r="AU1392" s="39"/>
      <c r="AV1392" s="56"/>
      <c r="AW1392" s="56"/>
      <c r="AX1392" s="56"/>
      <c r="AY1392" s="71"/>
      <c r="AZ1392" s="16">
        <f t="shared" si="1096"/>
        <v>0</v>
      </c>
      <c r="BA1392" s="16">
        <f t="shared" si="1097"/>
        <v>0</v>
      </c>
      <c r="BB1392" s="128"/>
    </row>
    <row r="1393" spans="1:54" ht="14.25" x14ac:dyDescent="0.15">
      <c r="A1393" s="23" t="s">
        <v>624</v>
      </c>
      <c r="B1393" s="41"/>
      <c r="C1393" s="42"/>
      <c r="D1393" s="42"/>
      <c r="E1393" s="42"/>
      <c r="F1393" s="42"/>
      <c r="G1393" s="43">
        <f t="shared" si="1078"/>
        <v>0</v>
      </c>
      <c r="H1393" s="41"/>
      <c r="I1393" s="42"/>
      <c r="J1393" s="42"/>
      <c r="K1393" s="42"/>
      <c r="L1393" s="42"/>
      <c r="M1393" s="43">
        <f t="shared" si="1079"/>
        <v>0</v>
      </c>
      <c r="N1393" s="42"/>
      <c r="O1393" s="53"/>
      <c r="P1393" s="53"/>
      <c r="Q1393" s="53"/>
      <c r="R1393" s="72"/>
      <c r="S1393" s="24">
        <f t="shared" si="1076"/>
        <v>0</v>
      </c>
      <c r="T1393" s="42">
        <v>-2</v>
      </c>
      <c r="U1393" s="53"/>
      <c r="V1393" s="53"/>
      <c r="W1393" s="53"/>
      <c r="X1393" s="72">
        <v>-1</v>
      </c>
      <c r="Y1393" s="24">
        <f t="shared" si="1077"/>
        <v>-3</v>
      </c>
      <c r="Z1393" s="24">
        <f t="shared" si="1059"/>
        <v>-3</v>
      </c>
      <c r="AA1393" s="83">
        <v>45183</v>
      </c>
      <c r="AB1393" s="23"/>
      <c r="AC1393" s="38"/>
      <c r="AD1393" s="39"/>
      <c r="AE1393" s="39"/>
      <c r="AF1393" s="39"/>
      <c r="AG1393" s="39"/>
      <c r="AH1393" s="37">
        <f t="shared" si="1093"/>
        <v>0</v>
      </c>
      <c r="AI1393" s="38"/>
      <c r="AJ1393" s="39"/>
      <c r="AK1393" s="39"/>
      <c r="AL1393" s="39"/>
      <c r="AM1393" s="39"/>
      <c r="AN1393" s="37">
        <f t="shared" si="1094"/>
        <v>0</v>
      </c>
      <c r="AO1393" s="39"/>
      <c r="AP1393" s="56"/>
      <c r="AQ1393" s="56"/>
      <c r="AR1393" s="56"/>
      <c r="AS1393" s="71"/>
      <c r="AT1393" s="16">
        <f t="shared" si="1095"/>
        <v>0</v>
      </c>
      <c r="AU1393" s="39"/>
      <c r="AV1393" s="56"/>
      <c r="AW1393" s="56"/>
      <c r="AX1393" s="56"/>
      <c r="AY1393" s="71"/>
      <c r="AZ1393" s="16">
        <f t="shared" si="1096"/>
        <v>0</v>
      </c>
      <c r="BA1393" s="16">
        <f t="shared" si="1097"/>
        <v>0</v>
      </c>
      <c r="BB1393" s="128"/>
    </row>
    <row r="1394" spans="1:54" ht="14.25" x14ac:dyDescent="0.15">
      <c r="A1394" s="23" t="s">
        <v>625</v>
      </c>
      <c r="B1394" s="41"/>
      <c r="C1394" s="42"/>
      <c r="D1394" s="42"/>
      <c r="E1394" s="42"/>
      <c r="F1394" s="42"/>
      <c r="G1394" s="43">
        <f t="shared" si="1078"/>
        <v>0</v>
      </c>
      <c r="H1394" s="41"/>
      <c r="I1394" s="42"/>
      <c r="J1394" s="42"/>
      <c r="K1394" s="42"/>
      <c r="L1394" s="42"/>
      <c r="M1394" s="43">
        <f t="shared" si="1079"/>
        <v>0</v>
      </c>
      <c r="N1394" s="42"/>
      <c r="O1394" s="53"/>
      <c r="P1394" s="53">
        <v>-2</v>
      </c>
      <c r="Q1394" s="53"/>
      <c r="R1394" s="72"/>
      <c r="S1394" s="24">
        <f t="shared" si="1076"/>
        <v>-2</v>
      </c>
      <c r="T1394" s="42"/>
      <c r="U1394" s="53"/>
      <c r="V1394" s="53">
        <v>-5</v>
      </c>
      <c r="W1394" s="53">
        <v>-2</v>
      </c>
      <c r="X1394" s="72">
        <v>-2</v>
      </c>
      <c r="Y1394" s="24">
        <f t="shared" si="1077"/>
        <v>-9</v>
      </c>
      <c r="Z1394" s="24">
        <f t="shared" si="1059"/>
        <v>-11</v>
      </c>
      <c r="AA1394" s="83">
        <v>45184</v>
      </c>
      <c r="AB1394" s="23"/>
      <c r="AC1394" s="38"/>
      <c r="AD1394" s="39"/>
      <c r="AE1394" s="39"/>
      <c r="AF1394" s="39"/>
      <c r="AG1394" s="39"/>
      <c r="AH1394" s="37">
        <f t="shared" si="1093"/>
        <v>0</v>
      </c>
      <c r="AI1394" s="38"/>
      <c r="AJ1394" s="39"/>
      <c r="AK1394" s="39"/>
      <c r="AL1394" s="39"/>
      <c r="AM1394" s="39"/>
      <c r="AN1394" s="37">
        <f t="shared" si="1094"/>
        <v>0</v>
      </c>
      <c r="AO1394" s="39"/>
      <c r="AP1394" s="56"/>
      <c r="AQ1394" s="56"/>
      <c r="AR1394" s="56"/>
      <c r="AS1394" s="71"/>
      <c r="AT1394" s="16">
        <f t="shared" si="1095"/>
        <v>0</v>
      </c>
      <c r="AU1394" s="39"/>
      <c r="AV1394" s="56"/>
      <c r="AW1394" s="56"/>
      <c r="AX1394" s="56"/>
      <c r="AY1394" s="71"/>
      <c r="AZ1394" s="16">
        <f t="shared" si="1096"/>
        <v>0</v>
      </c>
      <c r="BA1394" s="16">
        <f t="shared" si="1097"/>
        <v>0</v>
      </c>
      <c r="BB1394" s="128"/>
    </row>
    <row r="1395" spans="1:54" ht="14.25" x14ac:dyDescent="0.15">
      <c r="A1395" s="23" t="s">
        <v>438</v>
      </c>
      <c r="B1395" s="41"/>
      <c r="C1395" s="42"/>
      <c r="D1395" s="42"/>
      <c r="E1395" s="42">
        <v>1</v>
      </c>
      <c r="F1395" s="42"/>
      <c r="G1395" s="43">
        <f t="shared" si="1078"/>
        <v>1</v>
      </c>
      <c r="H1395" s="41"/>
      <c r="I1395" s="42"/>
      <c r="J1395" s="42"/>
      <c r="K1395" s="42"/>
      <c r="L1395" s="42"/>
      <c r="M1395" s="43">
        <f t="shared" si="1079"/>
        <v>0</v>
      </c>
      <c r="N1395" s="42"/>
      <c r="O1395" s="53"/>
      <c r="P1395" s="53"/>
      <c r="Q1395" s="53"/>
      <c r="R1395" s="72">
        <v>1</v>
      </c>
      <c r="S1395" s="24">
        <f t="shared" si="1076"/>
        <v>1</v>
      </c>
      <c r="T1395" s="42"/>
      <c r="U1395" s="53"/>
      <c r="V1395" s="53"/>
      <c r="W1395" s="53">
        <v>1</v>
      </c>
      <c r="X1395" s="72"/>
      <c r="Y1395" s="24">
        <f t="shared" si="1077"/>
        <v>1</v>
      </c>
      <c r="Z1395" s="24">
        <f t="shared" si="1059"/>
        <v>3</v>
      </c>
      <c r="AA1395" s="83">
        <v>45188</v>
      </c>
      <c r="AB1395" s="23"/>
      <c r="AC1395" s="38"/>
      <c r="AD1395" s="39"/>
      <c r="AE1395" s="39"/>
      <c r="AF1395" s="39"/>
      <c r="AG1395" s="39"/>
      <c r="AH1395" s="37">
        <f t="shared" si="1093"/>
        <v>0</v>
      </c>
      <c r="AI1395" s="38"/>
      <c r="AJ1395" s="39"/>
      <c r="AK1395" s="39"/>
      <c r="AL1395" s="39"/>
      <c r="AM1395" s="39"/>
      <c r="AN1395" s="37">
        <f t="shared" si="1094"/>
        <v>0</v>
      </c>
      <c r="AO1395" s="39"/>
      <c r="AP1395" s="56"/>
      <c r="AQ1395" s="56"/>
      <c r="AR1395" s="56"/>
      <c r="AS1395" s="71"/>
      <c r="AT1395" s="16">
        <f t="shared" si="1095"/>
        <v>0</v>
      </c>
      <c r="AU1395" s="39"/>
      <c r="AV1395" s="56"/>
      <c r="AW1395" s="56"/>
      <c r="AX1395" s="56"/>
      <c r="AY1395" s="71"/>
      <c r="AZ1395" s="16">
        <f t="shared" si="1096"/>
        <v>0</v>
      </c>
      <c r="BA1395" s="16">
        <f t="shared" si="1097"/>
        <v>0</v>
      </c>
      <c r="BB1395" s="128"/>
    </row>
    <row r="1396" spans="1:54" ht="14.25" x14ac:dyDescent="0.15">
      <c r="A1396" s="23" t="s">
        <v>48</v>
      </c>
      <c r="B1396" s="41"/>
      <c r="C1396" s="42"/>
      <c r="D1396" s="42">
        <v>1</v>
      </c>
      <c r="E1396" s="42"/>
      <c r="F1396" s="42"/>
      <c r="G1396" s="43">
        <f t="shared" si="1078"/>
        <v>1</v>
      </c>
      <c r="H1396" s="41"/>
      <c r="I1396" s="42">
        <v>1</v>
      </c>
      <c r="J1396" s="42"/>
      <c r="K1396" s="42"/>
      <c r="L1396" s="42"/>
      <c r="M1396" s="43">
        <f t="shared" si="1079"/>
        <v>1</v>
      </c>
      <c r="N1396" s="42"/>
      <c r="O1396" s="53"/>
      <c r="P1396" s="53"/>
      <c r="Q1396" s="53"/>
      <c r="R1396" s="72"/>
      <c r="S1396" s="24">
        <f t="shared" si="1076"/>
        <v>0</v>
      </c>
      <c r="T1396" s="42"/>
      <c r="U1396" s="53"/>
      <c r="V1396" s="53"/>
      <c r="W1396" s="53"/>
      <c r="X1396" s="72"/>
      <c r="Y1396" s="24">
        <f t="shared" si="1077"/>
        <v>0</v>
      </c>
      <c r="Z1396" s="24">
        <f t="shared" si="1059"/>
        <v>2</v>
      </c>
      <c r="AA1396" s="83">
        <v>45184</v>
      </c>
      <c r="AB1396" s="23"/>
      <c r="AC1396" s="38"/>
      <c r="AD1396" s="39"/>
      <c r="AE1396" s="39"/>
      <c r="AF1396" s="39"/>
      <c r="AG1396" s="39"/>
      <c r="AH1396" s="37">
        <f t="shared" si="1093"/>
        <v>0</v>
      </c>
      <c r="AI1396" s="38"/>
      <c r="AJ1396" s="39"/>
      <c r="AK1396" s="39"/>
      <c r="AL1396" s="39"/>
      <c r="AM1396" s="39"/>
      <c r="AN1396" s="37">
        <f t="shared" si="1094"/>
        <v>0</v>
      </c>
      <c r="AO1396" s="39"/>
      <c r="AP1396" s="56"/>
      <c r="AQ1396" s="56"/>
      <c r="AR1396" s="56"/>
      <c r="AS1396" s="71"/>
      <c r="AT1396" s="16">
        <f t="shared" si="1095"/>
        <v>0</v>
      </c>
      <c r="AU1396" s="39"/>
      <c r="AV1396" s="56"/>
      <c r="AW1396" s="56"/>
      <c r="AX1396" s="56"/>
      <c r="AY1396" s="71"/>
      <c r="AZ1396" s="16">
        <f t="shared" si="1096"/>
        <v>0</v>
      </c>
      <c r="BA1396" s="16">
        <f t="shared" si="1097"/>
        <v>0</v>
      </c>
      <c r="BB1396" s="128"/>
    </row>
    <row r="1397" spans="1:54" ht="14.25" x14ac:dyDescent="0.15">
      <c r="A1397" s="23" t="s">
        <v>438</v>
      </c>
      <c r="B1397" s="41"/>
      <c r="C1397" s="42"/>
      <c r="D1397" s="42"/>
      <c r="E1397" s="42"/>
      <c r="F1397" s="42"/>
      <c r="G1397" s="43">
        <f t="shared" si="1078"/>
        <v>0</v>
      </c>
      <c r="H1397" s="41"/>
      <c r="I1397" s="42"/>
      <c r="J1397" s="42"/>
      <c r="K1397" s="42"/>
      <c r="L1397" s="42"/>
      <c r="M1397" s="43">
        <f t="shared" si="1079"/>
        <v>0</v>
      </c>
      <c r="N1397" s="42">
        <v>1</v>
      </c>
      <c r="O1397" s="53"/>
      <c r="P1397" s="53">
        <v>1</v>
      </c>
      <c r="Q1397" s="53"/>
      <c r="R1397" s="72"/>
      <c r="S1397" s="24">
        <f t="shared" si="1076"/>
        <v>2</v>
      </c>
      <c r="T1397" s="42"/>
      <c r="U1397" s="53"/>
      <c r="V1397" s="53">
        <v>1</v>
      </c>
      <c r="W1397" s="53"/>
      <c r="X1397" s="72"/>
      <c r="Y1397" s="24">
        <f t="shared" si="1077"/>
        <v>1</v>
      </c>
      <c r="Z1397" s="24">
        <f t="shared" si="1059"/>
        <v>3</v>
      </c>
      <c r="AA1397" s="83">
        <v>45189</v>
      </c>
      <c r="AB1397" s="23"/>
      <c r="AC1397" s="38"/>
      <c r="AD1397" s="39"/>
      <c r="AE1397" s="39"/>
      <c r="AF1397" s="39"/>
      <c r="AG1397" s="39"/>
      <c r="AH1397" s="37">
        <f t="shared" si="1093"/>
        <v>0</v>
      </c>
      <c r="AI1397" s="38"/>
      <c r="AJ1397" s="39"/>
      <c r="AK1397" s="39"/>
      <c r="AL1397" s="39"/>
      <c r="AM1397" s="39"/>
      <c r="AN1397" s="37">
        <f t="shared" si="1094"/>
        <v>0</v>
      </c>
      <c r="AO1397" s="39"/>
      <c r="AP1397" s="56"/>
      <c r="AQ1397" s="56"/>
      <c r="AR1397" s="56"/>
      <c r="AS1397" s="71"/>
      <c r="AT1397" s="16">
        <f t="shared" si="1095"/>
        <v>0</v>
      </c>
      <c r="AU1397" s="39"/>
      <c r="AV1397" s="56"/>
      <c r="AW1397" s="56"/>
      <c r="AX1397" s="56"/>
      <c r="AY1397" s="71"/>
      <c r="AZ1397" s="16">
        <f t="shared" si="1096"/>
        <v>0</v>
      </c>
      <c r="BA1397" s="16">
        <f t="shared" si="1097"/>
        <v>0</v>
      </c>
      <c r="BB1397" s="128"/>
    </row>
    <row r="1398" spans="1:54" ht="14.25" x14ac:dyDescent="0.15">
      <c r="A1398" s="23" t="s">
        <v>496</v>
      </c>
      <c r="B1398" s="41"/>
      <c r="C1398" s="42"/>
      <c r="D1398" s="42"/>
      <c r="E1398" s="42">
        <v>1</v>
      </c>
      <c r="F1398" s="42"/>
      <c r="G1398" s="43">
        <f t="shared" si="1078"/>
        <v>1</v>
      </c>
      <c r="H1398" s="41"/>
      <c r="I1398" s="42"/>
      <c r="J1398" s="42"/>
      <c r="K1398" s="42"/>
      <c r="L1398" s="42"/>
      <c r="M1398" s="43">
        <f t="shared" si="1079"/>
        <v>0</v>
      </c>
      <c r="N1398" s="42"/>
      <c r="O1398" s="53"/>
      <c r="P1398" s="53"/>
      <c r="Q1398" s="53">
        <v>1</v>
      </c>
      <c r="R1398" s="72"/>
      <c r="S1398" s="24">
        <f t="shared" si="1076"/>
        <v>1</v>
      </c>
      <c r="T1398" s="42"/>
      <c r="U1398" s="53"/>
      <c r="V1398" s="53"/>
      <c r="W1398" s="53"/>
      <c r="X1398" s="72"/>
      <c r="Y1398" s="24">
        <f t="shared" si="1077"/>
        <v>0</v>
      </c>
      <c r="Z1398" s="24">
        <f t="shared" si="1059"/>
        <v>2</v>
      </c>
      <c r="AA1398" s="83">
        <v>45189</v>
      </c>
      <c r="AB1398" s="23"/>
      <c r="AC1398" s="38"/>
      <c r="AD1398" s="39"/>
      <c r="AE1398" s="39"/>
      <c r="AF1398" s="39"/>
      <c r="AG1398" s="39"/>
      <c r="AH1398" s="37">
        <f t="shared" si="1093"/>
        <v>0</v>
      </c>
      <c r="AI1398" s="38"/>
      <c r="AJ1398" s="39"/>
      <c r="AK1398" s="39"/>
      <c r="AL1398" s="39"/>
      <c r="AM1398" s="39"/>
      <c r="AN1398" s="37">
        <f t="shared" si="1094"/>
        <v>0</v>
      </c>
      <c r="AO1398" s="39"/>
      <c r="AP1398" s="56"/>
      <c r="AQ1398" s="56"/>
      <c r="AR1398" s="56"/>
      <c r="AS1398" s="71"/>
      <c r="AT1398" s="16">
        <f t="shared" si="1095"/>
        <v>0</v>
      </c>
      <c r="AU1398" s="39"/>
      <c r="AV1398" s="56"/>
      <c r="AW1398" s="56"/>
      <c r="AX1398" s="56"/>
      <c r="AY1398" s="71"/>
      <c r="AZ1398" s="16">
        <f t="shared" si="1096"/>
        <v>0</v>
      </c>
      <c r="BA1398" s="16">
        <f t="shared" si="1097"/>
        <v>0</v>
      </c>
      <c r="BB1398" s="128"/>
    </row>
    <row r="1399" spans="1:54" ht="14.25" x14ac:dyDescent="0.15">
      <c r="A1399" s="23" t="s">
        <v>48</v>
      </c>
      <c r="B1399" s="41"/>
      <c r="C1399" s="42"/>
      <c r="D1399" s="42">
        <v>2</v>
      </c>
      <c r="E1399" s="42"/>
      <c r="F1399" s="42">
        <v>2</v>
      </c>
      <c r="G1399" s="43">
        <f t="shared" si="1074"/>
        <v>4</v>
      </c>
      <c r="H1399" s="41"/>
      <c r="I1399" s="42"/>
      <c r="J1399" s="42"/>
      <c r="K1399" s="42"/>
      <c r="L1399" s="42"/>
      <c r="M1399" s="43">
        <f t="shared" si="1075"/>
        <v>0</v>
      </c>
      <c r="N1399" s="42"/>
      <c r="O1399" s="53">
        <v>1</v>
      </c>
      <c r="P1399" s="53">
        <v>1</v>
      </c>
      <c r="Q1399" s="53"/>
      <c r="R1399" s="72"/>
      <c r="S1399" s="24">
        <f>SUM(N1399:R1399)</f>
        <v>2</v>
      </c>
      <c r="T1399" s="42"/>
      <c r="U1399" s="53"/>
      <c r="V1399" s="53"/>
      <c r="W1399" s="53"/>
      <c r="X1399" s="72"/>
      <c r="Y1399" s="24">
        <f>SUM(T1399:X1399)</f>
        <v>0</v>
      </c>
      <c r="Z1399" s="24">
        <f>G1399+M1399+S1399+Y1399</f>
        <v>6</v>
      </c>
      <c r="AA1399" s="83">
        <v>45188</v>
      </c>
      <c r="AB1399" s="23"/>
      <c r="AC1399" s="38"/>
      <c r="AD1399" s="39"/>
      <c r="AE1399" s="39"/>
      <c r="AF1399" s="39"/>
      <c r="AG1399" s="39"/>
      <c r="AH1399" s="37">
        <f t="shared" si="1093"/>
        <v>0</v>
      </c>
      <c r="AI1399" s="38"/>
      <c r="AJ1399" s="39"/>
      <c r="AK1399" s="39"/>
      <c r="AL1399" s="39"/>
      <c r="AM1399" s="39"/>
      <c r="AN1399" s="37">
        <f t="shared" si="1094"/>
        <v>0</v>
      </c>
      <c r="AO1399" s="39"/>
      <c r="AP1399" s="56"/>
      <c r="AQ1399" s="56"/>
      <c r="AR1399" s="56"/>
      <c r="AS1399" s="71"/>
      <c r="AT1399" s="16">
        <f t="shared" si="1095"/>
        <v>0</v>
      </c>
      <c r="AU1399" s="39"/>
      <c r="AV1399" s="56"/>
      <c r="AW1399" s="56"/>
      <c r="AX1399" s="56"/>
      <c r="AY1399" s="71"/>
      <c r="AZ1399" s="16">
        <f t="shared" si="1096"/>
        <v>0</v>
      </c>
      <c r="BA1399" s="16">
        <f t="shared" si="1097"/>
        <v>0</v>
      </c>
      <c r="BB1399" s="128"/>
    </row>
    <row r="1400" spans="1:54" ht="15" thickBot="1" x14ac:dyDescent="0.2">
      <c r="A1400" s="23" t="s">
        <v>438</v>
      </c>
      <c r="B1400" s="44"/>
      <c r="C1400" s="45"/>
      <c r="D1400" s="45">
        <v>2</v>
      </c>
      <c r="E1400" s="45"/>
      <c r="F1400" s="45"/>
      <c r="G1400" s="43">
        <f t="shared" si="1074"/>
        <v>2</v>
      </c>
      <c r="H1400" s="44"/>
      <c r="I1400" s="45"/>
      <c r="J1400" s="45"/>
      <c r="K1400" s="45"/>
      <c r="L1400" s="45"/>
      <c r="M1400" s="112">
        <f t="shared" si="1075"/>
        <v>0</v>
      </c>
      <c r="N1400" s="45"/>
      <c r="O1400" s="78"/>
      <c r="P1400" s="78">
        <v>1</v>
      </c>
      <c r="Q1400" s="78"/>
      <c r="R1400" s="79">
        <v>1</v>
      </c>
      <c r="S1400" s="113">
        <f>SUM(N1400:R1400)</f>
        <v>2</v>
      </c>
      <c r="T1400" s="45"/>
      <c r="U1400" s="78"/>
      <c r="V1400" s="78"/>
      <c r="W1400" s="78">
        <v>1</v>
      </c>
      <c r="X1400" s="79"/>
      <c r="Y1400" s="113">
        <f>SUM(T1400:X1400)</f>
        <v>1</v>
      </c>
      <c r="Z1400" s="82">
        <f>G1400+M1400+S1400+Y1400</f>
        <v>5</v>
      </c>
      <c r="AA1400" s="83">
        <v>45190</v>
      </c>
      <c r="AB1400" s="23"/>
      <c r="AC1400" s="38"/>
      <c r="AD1400" s="39"/>
      <c r="AE1400" s="39"/>
      <c r="AF1400" s="39"/>
      <c r="AG1400" s="39"/>
      <c r="AH1400" s="37">
        <f t="shared" si="1093"/>
        <v>0</v>
      </c>
      <c r="AI1400" s="38"/>
      <c r="AJ1400" s="39"/>
      <c r="AK1400" s="39"/>
      <c r="AL1400" s="39"/>
      <c r="AM1400" s="39"/>
      <c r="AN1400" s="37">
        <f t="shared" si="1094"/>
        <v>0</v>
      </c>
      <c r="AO1400" s="39"/>
      <c r="AP1400" s="56"/>
      <c r="AQ1400" s="56"/>
      <c r="AR1400" s="56"/>
      <c r="AS1400" s="71"/>
      <c r="AT1400" s="16">
        <f t="shared" si="1095"/>
        <v>0</v>
      </c>
      <c r="AU1400" s="39"/>
      <c r="AV1400" s="56"/>
      <c r="AW1400" s="56"/>
      <c r="AX1400" s="56"/>
      <c r="AY1400" s="71"/>
      <c r="AZ1400" s="16">
        <f t="shared" si="1096"/>
        <v>0</v>
      </c>
      <c r="BA1400" s="16">
        <f t="shared" si="1097"/>
        <v>0</v>
      </c>
      <c r="BB1400" s="128"/>
    </row>
    <row r="1401" spans="1:54" ht="15" thickBot="1" x14ac:dyDescent="0.2">
      <c r="A1401" s="9" t="s">
        <v>13</v>
      </c>
      <c r="B1401" s="25">
        <f>SUM(B1375:B1400)</f>
        <v>5</v>
      </c>
      <c r="C1401" s="26">
        <f>SUM(C1375:C1400)</f>
        <v>9</v>
      </c>
      <c r="D1401" s="26">
        <f>SUM(D1375:D1400)</f>
        <v>11</v>
      </c>
      <c r="E1401" s="26">
        <f>SUM(E1375:E1400)</f>
        <v>6</v>
      </c>
      <c r="F1401" s="27">
        <f>SUM(F1375:F1400)</f>
        <v>11</v>
      </c>
      <c r="G1401" s="19">
        <f>SUM(B1401:F1401)</f>
        <v>42</v>
      </c>
      <c r="H1401" s="25">
        <f>SUM(H1375:H1400)</f>
        <v>0</v>
      </c>
      <c r="I1401" s="26">
        <f>SUM(I1375:I1400)</f>
        <v>5</v>
      </c>
      <c r="J1401" s="26">
        <f>SUM(J1375:J1400)</f>
        <v>3</v>
      </c>
      <c r="K1401" s="26">
        <f>SUM(K1375:K1400)</f>
        <v>0</v>
      </c>
      <c r="L1401" s="27">
        <f>SUM(L1375:L1400)</f>
        <v>2</v>
      </c>
      <c r="M1401" s="25">
        <f>SUM(H1401:L1401)</f>
        <v>10</v>
      </c>
      <c r="N1401" s="65">
        <f>SUM(N1375:N1400)</f>
        <v>1</v>
      </c>
      <c r="O1401" s="18">
        <f>SUM(O1375:O1400)</f>
        <v>4</v>
      </c>
      <c r="P1401" s="18">
        <f>SUM(P1375:P1400)</f>
        <v>3</v>
      </c>
      <c r="Q1401" s="18">
        <f>SUM(Q1375:Q1400)</f>
        <v>2</v>
      </c>
      <c r="R1401" s="70">
        <f>SUM(R1375:R1400)</f>
        <v>2</v>
      </c>
      <c r="S1401" s="49">
        <f>SUM(N1401:R1401)</f>
        <v>12</v>
      </c>
      <c r="T1401" s="74">
        <f>SUM(T1375:T1400)</f>
        <v>-2</v>
      </c>
      <c r="U1401" s="18">
        <f>SUM(U1375:U1400)</f>
        <v>2</v>
      </c>
      <c r="V1401" s="18">
        <f>SUM(V1375:V1400)</f>
        <v>0</v>
      </c>
      <c r="W1401" s="18">
        <f>SUM(W1375:W1400)</f>
        <v>2</v>
      </c>
      <c r="X1401" s="70">
        <f>SUM(X1375:X1400)</f>
        <v>0</v>
      </c>
      <c r="Y1401" s="49">
        <f>SUM(T1401:X1401)</f>
        <v>2</v>
      </c>
      <c r="Z1401" s="137">
        <f>G1401+M1401+S1401+Y1401</f>
        <v>66</v>
      </c>
      <c r="AB1401" s="9" t="s">
        <v>13</v>
      </c>
      <c r="AC1401" s="25">
        <f>SUM(AC1375:AC1400)</f>
        <v>6</v>
      </c>
      <c r="AD1401" s="26">
        <f>SUM(AD1375:AD1400)</f>
        <v>11</v>
      </c>
      <c r="AE1401" s="26">
        <f>SUM(AE1375:AE1400)</f>
        <v>10</v>
      </c>
      <c r="AF1401" s="26">
        <f>SUM(AF1375:AF1400)</f>
        <v>7</v>
      </c>
      <c r="AG1401" s="27">
        <f>SUM(AG1375:AG1400)</f>
        <v>10</v>
      </c>
      <c r="AH1401" s="19">
        <f t="shared" ref="AH1401" si="1098">SUM(AC1401:AG1401)</f>
        <v>44</v>
      </c>
      <c r="AI1401" s="25">
        <f>SUM(AI1375:AI1400)</f>
        <v>0</v>
      </c>
      <c r="AJ1401" s="26">
        <f>SUM(AJ1375:AJ1400)</f>
        <v>5</v>
      </c>
      <c r="AK1401" s="26">
        <f>SUM(AK1375:AK1400)</f>
        <v>3</v>
      </c>
      <c r="AL1401" s="26">
        <f>SUM(AL1375:AL1400)</f>
        <v>0</v>
      </c>
      <c r="AM1401" s="27">
        <f>SUM(AM1375:AM1400)</f>
        <v>3</v>
      </c>
      <c r="AN1401" s="25">
        <f t="shared" ref="AN1401" si="1099">SUM(AI1401:AM1401)</f>
        <v>11</v>
      </c>
      <c r="AO1401" s="65">
        <f>SUM(AO1375:AO1400)</f>
        <v>0</v>
      </c>
      <c r="AP1401" s="18">
        <f>SUM(AP1375:AP1400)</f>
        <v>5</v>
      </c>
      <c r="AQ1401" s="18">
        <f>SUM(AQ1375:AQ1400)</f>
        <v>6</v>
      </c>
      <c r="AR1401" s="18">
        <f>SUM(AR1375:AR1400)</f>
        <v>3</v>
      </c>
      <c r="AS1401" s="70">
        <f>SUM(AS1375:AS1400)</f>
        <v>2</v>
      </c>
      <c r="AT1401" s="49">
        <f t="shared" ref="AT1401" si="1100">SUM(AO1401:AS1401)</f>
        <v>16</v>
      </c>
      <c r="AU1401" s="74">
        <f>SUM(AU1375:AU1400)</f>
        <v>0</v>
      </c>
      <c r="AV1401" s="18">
        <f>SUM(AV1375:AV1400)</f>
        <v>3</v>
      </c>
      <c r="AW1401" s="18">
        <f>SUM(AW1375:AW1400)</f>
        <v>7</v>
      </c>
      <c r="AX1401" s="18">
        <f>SUM(AX1375:AX1400)</f>
        <v>2</v>
      </c>
      <c r="AY1401" s="70">
        <f>SUM(AY1375:AY1400)</f>
        <v>4</v>
      </c>
      <c r="AZ1401" s="49">
        <f t="shared" ref="AZ1401" si="1101">SUM(AU1401:AY1401)</f>
        <v>16</v>
      </c>
      <c r="BA1401" s="77">
        <f t="shared" si="1069"/>
        <v>87</v>
      </c>
    </row>
    <row r="1402" spans="1:54" ht="15" thickBot="1" x14ac:dyDescent="0.2">
      <c r="A1402" s="32" t="s">
        <v>14</v>
      </c>
      <c r="B1402" s="29">
        <f t="shared" ref="B1402:Y1402" si="1102">B1374-B1401</f>
        <v>6</v>
      </c>
      <c r="C1402" s="30">
        <f t="shared" si="1102"/>
        <v>5</v>
      </c>
      <c r="D1402" s="30">
        <f t="shared" si="1102"/>
        <v>1</v>
      </c>
      <c r="E1402" s="30">
        <f t="shared" si="1102"/>
        <v>3</v>
      </c>
      <c r="F1402" s="31">
        <f t="shared" si="1102"/>
        <v>4</v>
      </c>
      <c r="G1402" s="31">
        <f t="shared" si="1102"/>
        <v>19</v>
      </c>
      <c r="H1402" s="29">
        <f t="shared" si="1102"/>
        <v>6</v>
      </c>
      <c r="I1402" s="30">
        <f t="shared" si="1102"/>
        <v>3</v>
      </c>
      <c r="J1402" s="30">
        <f t="shared" si="1102"/>
        <v>5</v>
      </c>
      <c r="K1402" s="30">
        <f t="shared" si="1102"/>
        <v>6</v>
      </c>
      <c r="L1402" s="31">
        <f t="shared" si="1102"/>
        <v>6</v>
      </c>
      <c r="M1402" s="66">
        <f t="shared" si="1102"/>
        <v>26</v>
      </c>
      <c r="N1402" s="29">
        <f t="shared" si="1102"/>
        <v>4</v>
      </c>
      <c r="O1402" s="30">
        <f t="shared" si="1102"/>
        <v>3</v>
      </c>
      <c r="P1402" s="30">
        <f t="shared" si="1102"/>
        <v>2</v>
      </c>
      <c r="Q1402" s="30">
        <f t="shared" si="1102"/>
        <v>5</v>
      </c>
      <c r="R1402" s="66">
        <f t="shared" si="1102"/>
        <v>3</v>
      </c>
      <c r="S1402" s="33">
        <f t="shared" si="1102"/>
        <v>17</v>
      </c>
      <c r="T1402" s="75">
        <f t="shared" si="1102"/>
        <v>8</v>
      </c>
      <c r="U1402" s="30">
        <f t="shared" si="1102"/>
        <v>6</v>
      </c>
      <c r="V1402" s="30">
        <f t="shared" si="1102"/>
        <v>5</v>
      </c>
      <c r="W1402" s="30">
        <f t="shared" si="1102"/>
        <v>4</v>
      </c>
      <c r="X1402" s="66">
        <f t="shared" si="1102"/>
        <v>5</v>
      </c>
      <c r="Y1402" s="33">
        <f t="shared" si="1102"/>
        <v>28</v>
      </c>
      <c r="Z1402" s="77">
        <f>G1402+M1402+S1402+Y1402</f>
        <v>90</v>
      </c>
      <c r="AB1402" s="32" t="s">
        <v>14</v>
      </c>
      <c r="AC1402" s="29">
        <f t="shared" ref="AC1402:AZ1402" si="1103">AC1374-AC1401</f>
        <v>104</v>
      </c>
      <c r="AD1402" s="30">
        <f t="shared" si="1103"/>
        <v>80</v>
      </c>
      <c r="AE1402" s="30">
        <f t="shared" si="1103"/>
        <v>85</v>
      </c>
      <c r="AF1402" s="30">
        <f t="shared" si="1103"/>
        <v>59</v>
      </c>
      <c r="AG1402" s="31">
        <f t="shared" si="1103"/>
        <v>38</v>
      </c>
      <c r="AH1402" s="31">
        <f t="shared" si="1103"/>
        <v>366</v>
      </c>
      <c r="AI1402" s="29">
        <f t="shared" si="1103"/>
        <v>87</v>
      </c>
      <c r="AJ1402" s="30">
        <f t="shared" si="1103"/>
        <v>86</v>
      </c>
      <c r="AK1402" s="30">
        <f t="shared" si="1103"/>
        <v>90</v>
      </c>
      <c r="AL1402" s="30">
        <f t="shared" si="1103"/>
        <v>76</v>
      </c>
      <c r="AM1402" s="31">
        <f t="shared" si="1103"/>
        <v>88</v>
      </c>
      <c r="AN1402" s="66">
        <f t="shared" si="1103"/>
        <v>427</v>
      </c>
      <c r="AO1402" s="29">
        <f t="shared" si="1103"/>
        <v>146</v>
      </c>
      <c r="AP1402" s="30">
        <f t="shared" si="1103"/>
        <v>108</v>
      </c>
      <c r="AQ1402" s="30">
        <f t="shared" si="1103"/>
        <v>111</v>
      </c>
      <c r="AR1402" s="30">
        <f t="shared" si="1103"/>
        <v>124</v>
      </c>
      <c r="AS1402" s="66">
        <f t="shared" si="1103"/>
        <v>130</v>
      </c>
      <c r="AT1402" s="33">
        <f t="shared" si="1103"/>
        <v>619</v>
      </c>
      <c r="AU1402" s="75">
        <f t="shared" si="1103"/>
        <v>111</v>
      </c>
      <c r="AV1402" s="30">
        <f t="shared" si="1103"/>
        <v>58</v>
      </c>
      <c r="AW1402" s="30">
        <f t="shared" si="1103"/>
        <v>37</v>
      </c>
      <c r="AX1402" s="30">
        <f t="shared" si="1103"/>
        <v>28</v>
      </c>
      <c r="AY1402" s="66">
        <f t="shared" si="1103"/>
        <v>77</v>
      </c>
      <c r="AZ1402" s="33">
        <f t="shared" si="1103"/>
        <v>311</v>
      </c>
      <c r="BA1402" s="77">
        <f t="shared" si="1069"/>
        <v>1723</v>
      </c>
    </row>
    <row r="1405" spans="1:54" ht="19.5" thickBot="1" x14ac:dyDescent="0.25">
      <c r="A1405" s="1" t="s">
        <v>15</v>
      </c>
      <c r="AB1405" s="1" t="s">
        <v>16</v>
      </c>
    </row>
    <row r="1406" spans="1:54" ht="15" thickBot="1" x14ac:dyDescent="0.2">
      <c r="A1406" s="4"/>
      <c r="B1406" s="245" t="s">
        <v>17</v>
      </c>
      <c r="C1406" s="246"/>
      <c r="D1406" s="246"/>
      <c r="E1406" s="246"/>
      <c r="F1406" s="246"/>
      <c r="G1406" s="247"/>
      <c r="H1406" s="245" t="s">
        <v>18</v>
      </c>
      <c r="I1406" s="246"/>
      <c r="J1406" s="246"/>
      <c r="K1406" s="246"/>
      <c r="L1406" s="246"/>
      <c r="M1406" s="247"/>
      <c r="N1406" s="248" t="s">
        <v>27</v>
      </c>
      <c r="O1406" s="249"/>
      <c r="P1406" s="249"/>
      <c r="Q1406" s="249"/>
      <c r="R1406" s="249"/>
      <c r="S1406" s="250"/>
      <c r="T1406" s="248" t="s">
        <v>28</v>
      </c>
      <c r="U1406" s="249"/>
      <c r="V1406" s="249"/>
      <c r="W1406" s="249"/>
      <c r="X1406" s="249"/>
      <c r="Y1406" s="250"/>
      <c r="Z1406" s="251" t="s">
        <v>1</v>
      </c>
      <c r="AB1406" s="4"/>
      <c r="AC1406" s="253" t="s">
        <v>17</v>
      </c>
      <c r="AD1406" s="249"/>
      <c r="AE1406" s="249"/>
      <c r="AF1406" s="249"/>
      <c r="AG1406" s="249"/>
      <c r="AH1406" s="250"/>
      <c r="AI1406" s="248" t="s">
        <v>18</v>
      </c>
      <c r="AJ1406" s="249"/>
      <c r="AK1406" s="249"/>
      <c r="AL1406" s="249"/>
      <c r="AM1406" s="249"/>
      <c r="AN1406" s="250"/>
      <c r="AO1406" s="248" t="s">
        <v>27</v>
      </c>
      <c r="AP1406" s="249"/>
      <c r="AQ1406" s="249"/>
      <c r="AR1406" s="249"/>
      <c r="AS1406" s="249"/>
      <c r="AT1406" s="250"/>
      <c r="AU1406" s="248" t="s">
        <v>28</v>
      </c>
      <c r="AV1406" s="249"/>
      <c r="AW1406" s="249"/>
      <c r="AX1406" s="249"/>
      <c r="AY1406" s="249"/>
      <c r="AZ1406" s="250"/>
      <c r="BA1406" s="243" t="s">
        <v>1</v>
      </c>
    </row>
    <row r="1407" spans="1:54" ht="15" thickBot="1" x14ac:dyDescent="0.2">
      <c r="A1407" s="9" t="s">
        <v>2</v>
      </c>
      <c r="B1407" s="6" t="s">
        <v>3</v>
      </c>
      <c r="C1407" s="7" t="s">
        <v>4</v>
      </c>
      <c r="D1407" s="7" t="s">
        <v>5</v>
      </c>
      <c r="E1407" s="48" t="s">
        <v>20</v>
      </c>
      <c r="F1407" s="8" t="s">
        <v>21</v>
      </c>
      <c r="G1407" s="5" t="s">
        <v>6</v>
      </c>
      <c r="H1407" s="6" t="s">
        <v>3</v>
      </c>
      <c r="I1407" s="7" t="s">
        <v>4</v>
      </c>
      <c r="J1407" s="7" t="s">
        <v>5</v>
      </c>
      <c r="K1407" s="48" t="s">
        <v>20</v>
      </c>
      <c r="L1407" s="8" t="s">
        <v>21</v>
      </c>
      <c r="M1407" s="5" t="s">
        <v>6</v>
      </c>
      <c r="N1407" s="6" t="s">
        <v>3</v>
      </c>
      <c r="O1407" s="7" t="s">
        <v>4</v>
      </c>
      <c r="P1407" s="7" t="s">
        <v>5</v>
      </c>
      <c r="Q1407" s="48" t="s">
        <v>20</v>
      </c>
      <c r="R1407" s="8" t="s">
        <v>21</v>
      </c>
      <c r="S1407" s="5" t="s">
        <v>6</v>
      </c>
      <c r="T1407" s="7" t="s">
        <v>3</v>
      </c>
      <c r="U1407" s="7" t="s">
        <v>4</v>
      </c>
      <c r="V1407" s="7" t="s">
        <v>5</v>
      </c>
      <c r="W1407" s="48" t="s">
        <v>20</v>
      </c>
      <c r="X1407" s="109" t="s">
        <v>21</v>
      </c>
      <c r="Y1407" s="62" t="s">
        <v>6</v>
      </c>
      <c r="Z1407" s="252"/>
      <c r="AB1407" s="9" t="s">
        <v>2</v>
      </c>
      <c r="AC1407" s="6" t="s">
        <v>3</v>
      </c>
      <c r="AD1407" s="7" t="s">
        <v>4</v>
      </c>
      <c r="AE1407" s="7" t="s">
        <v>5</v>
      </c>
      <c r="AF1407" s="48" t="s">
        <v>20</v>
      </c>
      <c r="AG1407" s="8" t="s">
        <v>21</v>
      </c>
      <c r="AH1407" s="5" t="s">
        <v>6</v>
      </c>
      <c r="AI1407" s="6" t="s">
        <v>3</v>
      </c>
      <c r="AJ1407" s="7" t="s">
        <v>4</v>
      </c>
      <c r="AK1407" s="7" t="s">
        <v>5</v>
      </c>
      <c r="AL1407" s="48" t="s">
        <v>20</v>
      </c>
      <c r="AM1407" s="8" t="s">
        <v>21</v>
      </c>
      <c r="AN1407" s="5" t="s">
        <v>6</v>
      </c>
      <c r="AO1407" s="6" t="s">
        <v>3</v>
      </c>
      <c r="AP1407" s="7" t="s">
        <v>4</v>
      </c>
      <c r="AQ1407" s="7" t="s">
        <v>5</v>
      </c>
      <c r="AR1407" s="48" t="s">
        <v>20</v>
      </c>
      <c r="AS1407" s="8" t="s">
        <v>21</v>
      </c>
      <c r="AT1407" s="5" t="s">
        <v>6</v>
      </c>
      <c r="AU1407" s="7" t="s">
        <v>3</v>
      </c>
      <c r="AV1407" s="7" t="s">
        <v>4</v>
      </c>
      <c r="AW1407" s="7" t="s">
        <v>5</v>
      </c>
      <c r="AX1407" s="48" t="s">
        <v>20</v>
      </c>
      <c r="AY1407" s="109" t="s">
        <v>21</v>
      </c>
      <c r="AZ1407" s="62" t="s">
        <v>6</v>
      </c>
      <c r="BA1407" s="244"/>
    </row>
    <row r="1408" spans="1:54" ht="14.25" x14ac:dyDescent="0.15">
      <c r="A1408" s="103" t="s">
        <v>43</v>
      </c>
      <c r="B1408" s="104">
        <f>B1402</f>
        <v>6</v>
      </c>
      <c r="C1408" s="105">
        <f>C1402</f>
        <v>5</v>
      </c>
      <c r="D1408" s="105">
        <f>D1402</f>
        <v>1</v>
      </c>
      <c r="E1408" s="105">
        <f>E1402</f>
        <v>3</v>
      </c>
      <c r="F1408" s="105">
        <f>F1402</f>
        <v>4</v>
      </c>
      <c r="G1408" s="106">
        <f t="shared" ref="G1408" si="1104">SUM(B1408:F1408)</f>
        <v>19</v>
      </c>
      <c r="H1408" s="104">
        <f>H1402</f>
        <v>6</v>
      </c>
      <c r="I1408" s="105">
        <f>I1402</f>
        <v>3</v>
      </c>
      <c r="J1408" s="105">
        <f>J1402</f>
        <v>5</v>
      </c>
      <c r="K1408" s="105">
        <f>K1402</f>
        <v>6</v>
      </c>
      <c r="L1408" s="105">
        <f>L1402</f>
        <v>6</v>
      </c>
      <c r="M1408" s="107">
        <f t="shared" ref="M1408:M1410" si="1105">SUM(H1408:L1408)</f>
        <v>26</v>
      </c>
      <c r="N1408" s="104">
        <f>N1402</f>
        <v>4</v>
      </c>
      <c r="O1408" s="105">
        <f>O1402</f>
        <v>3</v>
      </c>
      <c r="P1408" s="105">
        <f>P1402</f>
        <v>2</v>
      </c>
      <c r="Q1408" s="105">
        <f>Q1402</f>
        <v>5</v>
      </c>
      <c r="R1408" s="105">
        <f>R1402</f>
        <v>3</v>
      </c>
      <c r="S1408" s="108">
        <f t="shared" ref="S1408:S1410" si="1106">SUM(N1408:R1408)</f>
        <v>17</v>
      </c>
      <c r="T1408" s="104">
        <f>T1402</f>
        <v>8</v>
      </c>
      <c r="U1408" s="105">
        <f>U1402</f>
        <v>6</v>
      </c>
      <c r="V1408" s="105">
        <f>V1402</f>
        <v>5</v>
      </c>
      <c r="W1408" s="105">
        <f>W1402</f>
        <v>4</v>
      </c>
      <c r="X1408" s="105">
        <f>X1402</f>
        <v>5</v>
      </c>
      <c r="Y1408" s="106">
        <f t="shared" ref="Y1408:Y1410" si="1107">SUM(T1408:X1408)</f>
        <v>28</v>
      </c>
      <c r="Z1408" s="106">
        <f t="shared" ref="Z1408:Z1437" si="1108">G1408+M1408+S1408+Y1408</f>
        <v>90</v>
      </c>
      <c r="AB1408" s="103" t="s">
        <v>43</v>
      </c>
      <c r="AC1408" s="104">
        <f>AC1402</f>
        <v>104</v>
      </c>
      <c r="AD1408" s="105">
        <f>AD1402</f>
        <v>80</v>
      </c>
      <c r="AE1408" s="105">
        <f>AE1402</f>
        <v>85</v>
      </c>
      <c r="AF1408" s="105">
        <f>AF1402</f>
        <v>59</v>
      </c>
      <c r="AG1408" s="105">
        <f>AG1402</f>
        <v>38</v>
      </c>
      <c r="AH1408" s="106">
        <f>SUM(AC1408:AG1408)</f>
        <v>366</v>
      </c>
      <c r="AI1408" s="104">
        <f>AI1402</f>
        <v>87</v>
      </c>
      <c r="AJ1408" s="105">
        <f>AJ1402</f>
        <v>86</v>
      </c>
      <c r="AK1408" s="105">
        <f>AK1402</f>
        <v>90</v>
      </c>
      <c r="AL1408" s="105">
        <f>AL1402</f>
        <v>76</v>
      </c>
      <c r="AM1408" s="105">
        <f>AM1402</f>
        <v>88</v>
      </c>
      <c r="AN1408" s="107">
        <f>SUM(AI1408:AM1408)</f>
        <v>427</v>
      </c>
      <c r="AO1408" s="104">
        <f>AO1402</f>
        <v>146</v>
      </c>
      <c r="AP1408" s="105">
        <f>AP1402</f>
        <v>108</v>
      </c>
      <c r="AQ1408" s="105">
        <f>AQ1402</f>
        <v>111</v>
      </c>
      <c r="AR1408" s="105">
        <f>AR1402</f>
        <v>124</v>
      </c>
      <c r="AS1408" s="105">
        <f>AS1402</f>
        <v>130</v>
      </c>
      <c r="AT1408" s="108">
        <f>SUM(AO1408:AS1408)</f>
        <v>619</v>
      </c>
      <c r="AU1408" s="104">
        <f>AU1402</f>
        <v>111</v>
      </c>
      <c r="AV1408" s="105">
        <f>AV1402</f>
        <v>58</v>
      </c>
      <c r="AW1408" s="105">
        <f>AW1402</f>
        <v>37</v>
      </c>
      <c r="AX1408" s="105">
        <f>AX1402</f>
        <v>28</v>
      </c>
      <c r="AY1408" s="105">
        <f>AY1402</f>
        <v>77</v>
      </c>
      <c r="AZ1408" s="106">
        <f>SUM(AU1408:AY1408)</f>
        <v>311</v>
      </c>
      <c r="BA1408" s="106">
        <f>AH1408+AN1408+AT1408+AZ1408</f>
        <v>1723</v>
      </c>
    </row>
    <row r="1409" spans="1:54" ht="14.25" x14ac:dyDescent="0.15">
      <c r="A1409" s="10" t="s">
        <v>181</v>
      </c>
      <c r="B1409" s="14"/>
      <c r="C1409" s="15"/>
      <c r="D1409" s="15">
        <v>2</v>
      </c>
      <c r="E1409" s="15">
        <v>2</v>
      </c>
      <c r="F1409" s="15"/>
      <c r="G1409" s="16">
        <f t="shared" ref="G1409:G1410" si="1109">SUM(B1409:F1409)</f>
        <v>4</v>
      </c>
      <c r="H1409" s="14"/>
      <c r="I1409" s="15"/>
      <c r="J1409" s="15"/>
      <c r="K1409" s="15"/>
      <c r="L1409" s="15"/>
      <c r="M1409" s="57">
        <f t="shared" si="1105"/>
        <v>0</v>
      </c>
      <c r="N1409" s="14"/>
      <c r="O1409" s="55">
        <v>2</v>
      </c>
      <c r="P1409" s="55">
        <v>2</v>
      </c>
      <c r="Q1409" s="55"/>
      <c r="R1409" s="67"/>
      <c r="S1409" s="24">
        <f t="shared" si="1106"/>
        <v>4</v>
      </c>
      <c r="T1409" s="15"/>
      <c r="U1409" s="55"/>
      <c r="V1409" s="55"/>
      <c r="W1409" s="55"/>
      <c r="X1409" s="67"/>
      <c r="Y1409" s="24">
        <f t="shared" si="1107"/>
        <v>0</v>
      </c>
      <c r="Z1409" s="24">
        <f t="shared" si="1108"/>
        <v>8</v>
      </c>
      <c r="AA1409" s="83">
        <v>45189</v>
      </c>
      <c r="AB1409" s="10" t="s">
        <v>181</v>
      </c>
      <c r="AC1409" s="14"/>
      <c r="AD1409" s="15"/>
      <c r="AE1409" s="15"/>
      <c r="AF1409" s="15"/>
      <c r="AG1409" s="15"/>
      <c r="AH1409" s="43">
        <f t="shared" ref="AH1409:AH1438" si="1110">SUM(AC1409:AG1409)</f>
        <v>0</v>
      </c>
      <c r="AI1409" s="14"/>
      <c r="AJ1409" s="15"/>
      <c r="AK1409" s="15"/>
      <c r="AL1409" s="15"/>
      <c r="AM1409" s="15"/>
      <c r="AN1409" s="43">
        <f t="shared" ref="AN1409:AN1438" si="1111">SUM(AI1409:AM1409)</f>
        <v>0</v>
      </c>
      <c r="AO1409" s="14"/>
      <c r="AP1409" s="55"/>
      <c r="AQ1409" s="55"/>
      <c r="AR1409" s="55"/>
      <c r="AS1409" s="67"/>
      <c r="AT1409" s="24">
        <f t="shared" ref="AT1409:AT1438" si="1112">SUM(AO1409:AS1409)</f>
        <v>0</v>
      </c>
      <c r="AU1409" s="15"/>
      <c r="AV1409" s="55"/>
      <c r="AW1409" s="55"/>
      <c r="AX1409" s="55"/>
      <c r="AY1409" s="67"/>
      <c r="AZ1409" s="24">
        <f t="shared" ref="AZ1409:AZ1438" si="1113">SUM(AU1409:AY1409)</f>
        <v>0</v>
      </c>
      <c r="BA1409" s="24">
        <f t="shared" ref="BA1409:BA1441" si="1114">AH1409+AN1409+AT1409+AZ1409</f>
        <v>0</v>
      </c>
      <c r="BB1409" s="128"/>
    </row>
    <row r="1410" spans="1:54" ht="14.25" x14ac:dyDescent="0.15">
      <c r="A1410" s="10" t="s">
        <v>181</v>
      </c>
      <c r="B1410" s="14"/>
      <c r="C1410" s="15"/>
      <c r="D1410" s="15">
        <v>3</v>
      </c>
      <c r="E1410" s="15"/>
      <c r="F1410" s="15">
        <v>3</v>
      </c>
      <c r="G1410" s="16">
        <f t="shared" si="1109"/>
        <v>6</v>
      </c>
      <c r="H1410" s="14"/>
      <c r="I1410" s="15">
        <v>3</v>
      </c>
      <c r="J1410" s="15"/>
      <c r="K1410" s="15"/>
      <c r="L1410" s="15"/>
      <c r="M1410" s="57">
        <f t="shared" si="1105"/>
        <v>3</v>
      </c>
      <c r="N1410" s="14"/>
      <c r="O1410" s="55"/>
      <c r="P1410" s="55">
        <v>3</v>
      </c>
      <c r="Q1410" s="55"/>
      <c r="R1410" s="67">
        <v>3</v>
      </c>
      <c r="S1410" s="24">
        <f t="shared" si="1106"/>
        <v>6</v>
      </c>
      <c r="T1410" s="15"/>
      <c r="U1410" s="55"/>
      <c r="V1410" s="55"/>
      <c r="W1410" s="55">
        <v>3</v>
      </c>
      <c r="X1410" s="67"/>
      <c r="Y1410" s="24">
        <f t="shared" si="1107"/>
        <v>3</v>
      </c>
      <c r="Z1410" s="24">
        <f t="shared" si="1108"/>
        <v>18</v>
      </c>
      <c r="AA1410" s="83">
        <v>45194</v>
      </c>
      <c r="AB1410" s="10" t="s">
        <v>181</v>
      </c>
      <c r="AC1410" s="14"/>
      <c r="AD1410" s="15"/>
      <c r="AE1410" s="15"/>
      <c r="AF1410" s="15"/>
      <c r="AG1410" s="15"/>
      <c r="AH1410" s="43">
        <f t="shared" si="1110"/>
        <v>0</v>
      </c>
      <c r="AI1410" s="14"/>
      <c r="AJ1410" s="15"/>
      <c r="AK1410" s="15"/>
      <c r="AL1410" s="15"/>
      <c r="AM1410" s="15"/>
      <c r="AN1410" s="43">
        <f t="shared" si="1111"/>
        <v>0</v>
      </c>
      <c r="AO1410" s="14"/>
      <c r="AP1410" s="55"/>
      <c r="AQ1410" s="55"/>
      <c r="AR1410" s="55"/>
      <c r="AS1410" s="67"/>
      <c r="AT1410" s="24">
        <f t="shared" si="1112"/>
        <v>0</v>
      </c>
      <c r="AU1410" s="15"/>
      <c r="AV1410" s="55"/>
      <c r="AW1410" s="55"/>
      <c r="AX1410" s="55"/>
      <c r="AY1410" s="67"/>
      <c r="AZ1410" s="24">
        <f t="shared" si="1113"/>
        <v>0</v>
      </c>
      <c r="BA1410" s="24">
        <f t="shared" si="1114"/>
        <v>0</v>
      </c>
      <c r="BB1410" s="128"/>
    </row>
    <row r="1411" spans="1:54" ht="14.25" x14ac:dyDescent="0.15">
      <c r="A1411" s="10" t="s">
        <v>77</v>
      </c>
      <c r="B1411" s="14"/>
      <c r="C1411" s="15"/>
      <c r="D1411" s="15"/>
      <c r="E1411" s="15"/>
      <c r="F1411" s="15"/>
      <c r="G1411" s="16">
        <f t="shared" ref="G1411:G1439" si="1115">SUM(B1411:F1411)</f>
        <v>0</v>
      </c>
      <c r="H1411" s="14"/>
      <c r="I1411" s="15"/>
      <c r="J1411" s="15"/>
      <c r="K1411" s="15"/>
      <c r="L1411" s="15"/>
      <c r="M1411" s="57">
        <f t="shared" ref="M1411:M1439" si="1116">SUM(H1411:L1411)</f>
        <v>0</v>
      </c>
      <c r="N1411" s="14"/>
      <c r="O1411" s="55"/>
      <c r="P1411" s="55"/>
      <c r="Q1411" s="55"/>
      <c r="R1411" s="67">
        <v>1</v>
      </c>
      <c r="S1411" s="24">
        <f t="shared" ref="S1411:S1437" si="1117">SUM(N1411:R1411)</f>
        <v>1</v>
      </c>
      <c r="T1411" s="15"/>
      <c r="U1411" s="55"/>
      <c r="V1411" s="55">
        <v>1</v>
      </c>
      <c r="W1411" s="55"/>
      <c r="X1411" s="67"/>
      <c r="Y1411" s="24">
        <f t="shared" ref="Y1411:Y1437" si="1118">SUM(T1411:X1411)</f>
        <v>1</v>
      </c>
      <c r="Z1411" s="24">
        <f t="shared" si="1108"/>
        <v>2</v>
      </c>
      <c r="AA1411" s="83">
        <v>45196</v>
      </c>
      <c r="AB1411" s="10" t="s">
        <v>181</v>
      </c>
      <c r="AC1411" s="14"/>
      <c r="AD1411" s="15"/>
      <c r="AE1411" s="15"/>
      <c r="AF1411" s="15"/>
      <c r="AG1411" s="15"/>
      <c r="AH1411" s="43">
        <f t="shared" si="1110"/>
        <v>0</v>
      </c>
      <c r="AI1411" s="14"/>
      <c r="AJ1411" s="15"/>
      <c r="AK1411" s="15"/>
      <c r="AL1411" s="15"/>
      <c r="AM1411" s="15"/>
      <c r="AN1411" s="43">
        <f t="shared" si="1111"/>
        <v>0</v>
      </c>
      <c r="AO1411" s="14"/>
      <c r="AP1411" s="55"/>
      <c r="AQ1411" s="55"/>
      <c r="AR1411" s="55"/>
      <c r="AS1411" s="67"/>
      <c r="AT1411" s="24">
        <f t="shared" si="1112"/>
        <v>0</v>
      </c>
      <c r="AU1411" s="15"/>
      <c r="AV1411" s="55"/>
      <c r="AW1411" s="55"/>
      <c r="AX1411" s="55"/>
      <c r="AY1411" s="67"/>
      <c r="AZ1411" s="24">
        <f t="shared" si="1113"/>
        <v>0</v>
      </c>
      <c r="BA1411" s="24">
        <f t="shared" si="1114"/>
        <v>0</v>
      </c>
      <c r="BB1411" s="128"/>
    </row>
    <row r="1412" spans="1:54" ht="15" thickBot="1" x14ac:dyDescent="0.2">
      <c r="A1412" s="10" t="s">
        <v>181</v>
      </c>
      <c r="B1412" s="14"/>
      <c r="C1412" s="15"/>
      <c r="D1412" s="15">
        <v>5</v>
      </c>
      <c r="E1412" s="15">
        <v>3</v>
      </c>
      <c r="F1412" s="15"/>
      <c r="G1412" s="16">
        <f t="shared" si="1115"/>
        <v>8</v>
      </c>
      <c r="H1412" s="14"/>
      <c r="I1412" s="15"/>
      <c r="J1412" s="15"/>
      <c r="K1412" s="15"/>
      <c r="L1412" s="15"/>
      <c r="M1412" s="57">
        <f t="shared" si="1116"/>
        <v>0</v>
      </c>
      <c r="N1412" s="14">
        <v>3</v>
      </c>
      <c r="O1412" s="55"/>
      <c r="P1412" s="55"/>
      <c r="Q1412" s="55"/>
      <c r="R1412" s="67"/>
      <c r="S1412" s="24">
        <f t="shared" si="1117"/>
        <v>3</v>
      </c>
      <c r="T1412" s="15"/>
      <c r="U1412" s="55"/>
      <c r="V1412" s="55"/>
      <c r="W1412" s="55"/>
      <c r="X1412" s="67"/>
      <c r="Y1412" s="24">
        <f t="shared" si="1118"/>
        <v>0</v>
      </c>
      <c r="Z1412" s="24">
        <f t="shared" si="1108"/>
        <v>11</v>
      </c>
      <c r="AA1412" s="83">
        <v>45197</v>
      </c>
      <c r="AB1412" s="10" t="s">
        <v>181</v>
      </c>
      <c r="AC1412" s="14"/>
      <c r="AD1412" s="15"/>
      <c r="AE1412" s="15"/>
      <c r="AF1412" s="15"/>
      <c r="AG1412" s="15"/>
      <c r="AH1412" s="43">
        <f t="shared" si="1110"/>
        <v>0</v>
      </c>
      <c r="AI1412" s="14"/>
      <c r="AJ1412" s="15"/>
      <c r="AK1412" s="15"/>
      <c r="AL1412" s="15"/>
      <c r="AM1412" s="15"/>
      <c r="AN1412" s="43">
        <f t="shared" si="1111"/>
        <v>0</v>
      </c>
      <c r="AO1412" s="14"/>
      <c r="AP1412" s="55"/>
      <c r="AQ1412" s="55"/>
      <c r="AR1412" s="55"/>
      <c r="AS1412" s="67"/>
      <c r="AT1412" s="24">
        <f t="shared" si="1112"/>
        <v>0</v>
      </c>
      <c r="AU1412" s="15"/>
      <c r="AV1412" s="55"/>
      <c r="AW1412" s="55"/>
      <c r="AX1412" s="55"/>
      <c r="AY1412" s="67"/>
      <c r="AZ1412" s="24">
        <f t="shared" si="1113"/>
        <v>0</v>
      </c>
      <c r="BA1412" s="24">
        <f t="shared" si="1114"/>
        <v>0</v>
      </c>
      <c r="BB1412" s="128"/>
    </row>
    <row r="1413" spans="1:54" ht="15" thickBot="1" x14ac:dyDescent="0.2">
      <c r="A1413" s="4" t="s">
        <v>12</v>
      </c>
      <c r="B1413" s="17">
        <f>SUM(B1408:B1412)</f>
        <v>6</v>
      </c>
      <c r="C1413" s="18">
        <f>SUM(C1408:C1412)</f>
        <v>5</v>
      </c>
      <c r="D1413" s="18">
        <f>SUM(D1408:D1412)</f>
        <v>11</v>
      </c>
      <c r="E1413" s="18">
        <f>SUM(E1408:E1412)</f>
        <v>8</v>
      </c>
      <c r="F1413" s="18">
        <f>SUM(F1408:F1412)</f>
        <v>7</v>
      </c>
      <c r="G1413" s="148">
        <f t="shared" si="1115"/>
        <v>37</v>
      </c>
      <c r="H1413" s="17">
        <f>SUM(H1408:H1412)</f>
        <v>6</v>
      </c>
      <c r="I1413" s="18">
        <f>SUM(I1408:I1412)</f>
        <v>6</v>
      </c>
      <c r="J1413" s="18">
        <f>SUM(J1408:J1412)</f>
        <v>5</v>
      </c>
      <c r="K1413" s="18">
        <f>SUM(K1408:K1412)</f>
        <v>6</v>
      </c>
      <c r="L1413" s="18">
        <f>SUM(L1408:L1412)</f>
        <v>6</v>
      </c>
      <c r="M1413" s="17">
        <f t="shared" si="1116"/>
        <v>29</v>
      </c>
      <c r="N1413" s="65">
        <f>SUM(N1408:N1412)</f>
        <v>7</v>
      </c>
      <c r="O1413" s="18">
        <f>SUM(O1408:O1412)</f>
        <v>5</v>
      </c>
      <c r="P1413" s="18">
        <f>SUM(P1408:P1412)</f>
        <v>7</v>
      </c>
      <c r="Q1413" s="18">
        <f>SUM(Q1408:Q1412)</f>
        <v>5</v>
      </c>
      <c r="R1413" s="70">
        <f>SUM(R1408:R1412)</f>
        <v>7</v>
      </c>
      <c r="S1413" s="49">
        <f t="shared" si="1117"/>
        <v>31</v>
      </c>
      <c r="T1413" s="74">
        <f>SUM(T1408:T1412)</f>
        <v>8</v>
      </c>
      <c r="U1413" s="18">
        <f>SUM(U1408:U1412)</f>
        <v>6</v>
      </c>
      <c r="V1413" s="18">
        <f>SUM(V1408:V1412)</f>
        <v>6</v>
      </c>
      <c r="W1413" s="18">
        <f>SUM(W1408:W1412)</f>
        <v>7</v>
      </c>
      <c r="X1413" s="70">
        <f>SUM(X1408:X1412)</f>
        <v>5</v>
      </c>
      <c r="Y1413" s="49">
        <f t="shared" si="1118"/>
        <v>32</v>
      </c>
      <c r="Z1413" s="33">
        <f t="shared" si="1108"/>
        <v>129</v>
      </c>
      <c r="AB1413" s="4" t="s">
        <v>12</v>
      </c>
      <c r="AC1413" s="17">
        <f>SUM(AC1408:AC1412)</f>
        <v>104</v>
      </c>
      <c r="AD1413" s="18">
        <f>SUM(AD1408:AD1412)</f>
        <v>80</v>
      </c>
      <c r="AE1413" s="18">
        <f>SUM(AE1408:AE1412)</f>
        <v>85</v>
      </c>
      <c r="AF1413" s="18">
        <f>SUM(AF1408:AF1412)</f>
        <v>59</v>
      </c>
      <c r="AG1413" s="18">
        <f>SUM(AG1408:AG1412)</f>
        <v>38</v>
      </c>
      <c r="AH1413" s="148">
        <f t="shared" si="1110"/>
        <v>366</v>
      </c>
      <c r="AI1413" s="17">
        <f>SUM(AI1408:AI1412)</f>
        <v>87</v>
      </c>
      <c r="AJ1413" s="18">
        <f>SUM(AJ1408:AJ1412)</f>
        <v>86</v>
      </c>
      <c r="AK1413" s="18">
        <f>SUM(AK1408:AK1412)</f>
        <v>90</v>
      </c>
      <c r="AL1413" s="18">
        <f>SUM(AL1408:AL1412)</f>
        <v>76</v>
      </c>
      <c r="AM1413" s="18">
        <f>SUM(AM1408:AM1412)</f>
        <v>88</v>
      </c>
      <c r="AN1413" s="148">
        <f t="shared" si="1111"/>
        <v>427</v>
      </c>
      <c r="AO1413" s="65">
        <f>SUM(AO1408:AO1412)</f>
        <v>146</v>
      </c>
      <c r="AP1413" s="18">
        <f>SUM(AP1408:AP1412)</f>
        <v>108</v>
      </c>
      <c r="AQ1413" s="18">
        <f>SUM(AQ1408:AQ1412)</f>
        <v>111</v>
      </c>
      <c r="AR1413" s="18">
        <f>SUM(AR1408:AR1412)</f>
        <v>124</v>
      </c>
      <c r="AS1413" s="70">
        <f>SUM(AS1408:AS1412)</f>
        <v>130</v>
      </c>
      <c r="AT1413" s="49">
        <f t="shared" si="1112"/>
        <v>619</v>
      </c>
      <c r="AU1413" s="74">
        <f>SUM(AU1408:AU1412)</f>
        <v>111</v>
      </c>
      <c r="AV1413" s="18">
        <f>SUM(AV1408:AV1412)</f>
        <v>58</v>
      </c>
      <c r="AW1413" s="18">
        <f>SUM(AW1408:AW1412)</f>
        <v>37</v>
      </c>
      <c r="AX1413" s="18">
        <f>SUM(AX1408:AX1412)</f>
        <v>28</v>
      </c>
      <c r="AY1413" s="70">
        <f>SUM(AY1408:AY1412)</f>
        <v>77</v>
      </c>
      <c r="AZ1413" s="49">
        <f t="shared" si="1113"/>
        <v>311</v>
      </c>
      <c r="BA1413" s="33">
        <f t="shared" si="1114"/>
        <v>1723</v>
      </c>
    </row>
    <row r="1414" spans="1:54" ht="14.25" x14ac:dyDescent="0.15">
      <c r="A1414" s="23" t="s">
        <v>48</v>
      </c>
      <c r="B1414" s="41"/>
      <c r="C1414" s="42"/>
      <c r="D1414" s="42"/>
      <c r="E1414" s="42"/>
      <c r="F1414" s="42">
        <v>1</v>
      </c>
      <c r="G1414" s="43">
        <f t="shared" ref="G1414:G1437" si="1119">SUM(B1414:F1414)</f>
        <v>1</v>
      </c>
      <c r="H1414" s="41"/>
      <c r="I1414" s="42"/>
      <c r="J1414" s="42"/>
      <c r="K1414" s="42"/>
      <c r="L1414" s="42"/>
      <c r="M1414" s="43">
        <f t="shared" ref="M1414:M1437" si="1120">SUM(H1414:L1414)</f>
        <v>0</v>
      </c>
      <c r="N1414" s="42"/>
      <c r="O1414" s="53"/>
      <c r="P1414" s="53"/>
      <c r="Q1414" s="53"/>
      <c r="R1414" s="72"/>
      <c r="S1414" s="24">
        <f t="shared" si="1117"/>
        <v>0</v>
      </c>
      <c r="T1414" s="42"/>
      <c r="U1414" s="53"/>
      <c r="V1414" s="53"/>
      <c r="W1414" s="53"/>
      <c r="X1414" s="72"/>
      <c r="Y1414" s="24">
        <f t="shared" si="1118"/>
        <v>0</v>
      </c>
      <c r="Z1414" s="24">
        <f t="shared" si="1108"/>
        <v>1</v>
      </c>
      <c r="AA1414" s="83">
        <v>45189</v>
      </c>
      <c r="AB1414" s="23" t="s">
        <v>126</v>
      </c>
      <c r="AC1414" s="38"/>
      <c r="AD1414" s="39"/>
      <c r="AE1414" s="39">
        <v>3</v>
      </c>
      <c r="AF1414" s="39"/>
      <c r="AG1414" s="39">
        <v>3</v>
      </c>
      <c r="AH1414" s="37">
        <f t="shared" ref="AH1414:AH1415" si="1121">SUM(AC1414:AG1414)</f>
        <v>6</v>
      </c>
      <c r="AI1414" s="38"/>
      <c r="AJ1414" s="39">
        <v>3</v>
      </c>
      <c r="AK1414" s="39"/>
      <c r="AL1414" s="39"/>
      <c r="AM1414" s="39"/>
      <c r="AN1414" s="37">
        <f t="shared" si="1111"/>
        <v>3</v>
      </c>
      <c r="AO1414" s="39"/>
      <c r="AP1414" s="56"/>
      <c r="AQ1414" s="56">
        <v>3</v>
      </c>
      <c r="AR1414" s="56"/>
      <c r="AS1414" s="71">
        <v>3</v>
      </c>
      <c r="AT1414" s="16">
        <f t="shared" si="1112"/>
        <v>6</v>
      </c>
      <c r="AU1414" s="39"/>
      <c r="AV1414" s="56"/>
      <c r="AW1414" s="56"/>
      <c r="AX1414" s="56">
        <v>3</v>
      </c>
      <c r="AY1414" s="71"/>
      <c r="AZ1414" s="16">
        <f t="shared" si="1113"/>
        <v>3</v>
      </c>
      <c r="BA1414" s="16">
        <f t="shared" si="1114"/>
        <v>18</v>
      </c>
      <c r="BB1414" s="83">
        <v>45194</v>
      </c>
    </row>
    <row r="1415" spans="1:54" ht="14.25" x14ac:dyDescent="0.15">
      <c r="A1415" s="23" t="s">
        <v>438</v>
      </c>
      <c r="B1415" s="41"/>
      <c r="C1415" s="42"/>
      <c r="D1415" s="42">
        <v>1</v>
      </c>
      <c r="E1415" s="42"/>
      <c r="F1415" s="42"/>
      <c r="G1415" s="43">
        <f t="shared" si="1119"/>
        <v>1</v>
      </c>
      <c r="H1415" s="41"/>
      <c r="I1415" s="42">
        <v>1</v>
      </c>
      <c r="J1415" s="42"/>
      <c r="K1415" s="42"/>
      <c r="L1415" s="42"/>
      <c r="M1415" s="43">
        <f t="shared" si="1120"/>
        <v>1</v>
      </c>
      <c r="N1415" s="42"/>
      <c r="O1415" s="53"/>
      <c r="P1415" s="53"/>
      <c r="Q1415" s="53"/>
      <c r="R1415" s="72"/>
      <c r="S1415" s="24">
        <f t="shared" si="1117"/>
        <v>0</v>
      </c>
      <c r="T1415" s="42"/>
      <c r="U1415" s="53"/>
      <c r="V1415" s="53"/>
      <c r="W1415" s="53"/>
      <c r="X1415" s="72"/>
      <c r="Y1415" s="24">
        <f t="shared" si="1118"/>
        <v>0</v>
      </c>
      <c r="Z1415" s="24">
        <f t="shared" si="1108"/>
        <v>2</v>
      </c>
      <c r="AA1415" s="83">
        <v>45191</v>
      </c>
      <c r="AB1415" s="23" t="s">
        <v>126</v>
      </c>
      <c r="AC1415" s="38"/>
      <c r="AD1415" s="39"/>
      <c r="AE1415" s="39">
        <v>5</v>
      </c>
      <c r="AF1415" s="39">
        <v>3</v>
      </c>
      <c r="AG1415" s="39"/>
      <c r="AH1415" s="37">
        <f t="shared" si="1121"/>
        <v>8</v>
      </c>
      <c r="AI1415" s="38"/>
      <c r="AJ1415" s="39"/>
      <c r="AK1415" s="39"/>
      <c r="AL1415" s="39"/>
      <c r="AM1415" s="39"/>
      <c r="AN1415" s="37">
        <f t="shared" ref="AN1415" si="1122">SUM(AI1415:AM1415)</f>
        <v>0</v>
      </c>
      <c r="AO1415" s="39">
        <v>3</v>
      </c>
      <c r="AP1415" s="56"/>
      <c r="AQ1415" s="56"/>
      <c r="AR1415" s="56"/>
      <c r="AS1415" s="71"/>
      <c r="AT1415" s="16">
        <f t="shared" ref="AT1415" si="1123">SUM(AO1415:AS1415)</f>
        <v>3</v>
      </c>
      <c r="AU1415" s="39"/>
      <c r="AV1415" s="56"/>
      <c r="AW1415" s="56"/>
      <c r="AX1415" s="56"/>
      <c r="AY1415" s="71"/>
      <c r="AZ1415" s="16">
        <f t="shared" ref="AZ1415" si="1124">SUM(AU1415:AY1415)</f>
        <v>0</v>
      </c>
      <c r="BA1415" s="16">
        <f t="shared" si="1114"/>
        <v>11</v>
      </c>
      <c r="BB1415" s="83">
        <v>45197</v>
      </c>
    </row>
    <row r="1416" spans="1:54" ht="14.25" x14ac:dyDescent="0.15">
      <c r="A1416" s="23" t="s">
        <v>48</v>
      </c>
      <c r="B1416" s="41"/>
      <c r="C1416" s="42"/>
      <c r="D1416" s="42"/>
      <c r="E1416" s="42"/>
      <c r="F1416" s="42"/>
      <c r="G1416" s="43">
        <f t="shared" si="1119"/>
        <v>0</v>
      </c>
      <c r="H1416" s="41"/>
      <c r="I1416" s="42"/>
      <c r="J1416" s="42"/>
      <c r="K1416" s="42"/>
      <c r="L1416" s="42"/>
      <c r="M1416" s="43">
        <f t="shared" si="1120"/>
        <v>0</v>
      </c>
      <c r="N1416" s="42"/>
      <c r="O1416" s="53"/>
      <c r="P1416" s="53">
        <v>1</v>
      </c>
      <c r="Q1416" s="53"/>
      <c r="R1416" s="72"/>
      <c r="S1416" s="24">
        <f t="shared" si="1117"/>
        <v>1</v>
      </c>
      <c r="T1416" s="42"/>
      <c r="U1416" s="53"/>
      <c r="V1416" s="53">
        <v>1</v>
      </c>
      <c r="W1416" s="53"/>
      <c r="X1416" s="72"/>
      <c r="Y1416" s="24">
        <f t="shared" si="1118"/>
        <v>1</v>
      </c>
      <c r="Z1416" s="24">
        <f t="shared" si="1108"/>
        <v>2</v>
      </c>
      <c r="AA1416" s="83">
        <v>45190</v>
      </c>
      <c r="AB1416" s="23" t="s">
        <v>126</v>
      </c>
      <c r="AC1416" s="38"/>
      <c r="AD1416" s="39"/>
      <c r="AE1416" s="39">
        <v>5</v>
      </c>
      <c r="AF1416" s="39">
        <v>5</v>
      </c>
      <c r="AG1416" s="39"/>
      <c r="AH1416" s="37">
        <f t="shared" ref="AH1416:AH1420" si="1125">SUM(AC1416:AG1416)</f>
        <v>10</v>
      </c>
      <c r="AI1416" s="38"/>
      <c r="AJ1416" s="39"/>
      <c r="AK1416" s="39"/>
      <c r="AL1416" s="39"/>
      <c r="AM1416" s="39"/>
      <c r="AN1416" s="37">
        <f t="shared" ref="AN1416:AN1420" si="1126">SUM(AI1416:AM1416)</f>
        <v>0</v>
      </c>
      <c r="AO1416" s="39"/>
      <c r="AP1416" s="56"/>
      <c r="AQ1416" s="56"/>
      <c r="AR1416" s="56"/>
      <c r="AS1416" s="71"/>
      <c r="AT1416" s="16">
        <f t="shared" ref="AT1416:AT1420" si="1127">SUM(AO1416:AS1416)</f>
        <v>0</v>
      </c>
      <c r="AU1416" s="39"/>
      <c r="AV1416" s="56"/>
      <c r="AW1416" s="56"/>
      <c r="AX1416" s="56"/>
      <c r="AY1416" s="71"/>
      <c r="AZ1416" s="16">
        <f t="shared" ref="AZ1416:AZ1420" si="1128">SUM(AU1416:AY1416)</f>
        <v>0</v>
      </c>
      <c r="BA1416" s="16">
        <f t="shared" ref="BA1416:BA1420" si="1129">AH1416+AN1416+AT1416+AZ1416</f>
        <v>10</v>
      </c>
      <c r="BB1416" s="83">
        <v>45202</v>
      </c>
    </row>
    <row r="1417" spans="1:54" ht="14.25" x14ac:dyDescent="0.15">
      <c r="A1417" s="23" t="s">
        <v>438</v>
      </c>
      <c r="B1417" s="41">
        <v>1</v>
      </c>
      <c r="C1417" s="42"/>
      <c r="D1417" s="42"/>
      <c r="E1417" s="42">
        <v>1</v>
      </c>
      <c r="F1417" s="42"/>
      <c r="G1417" s="43">
        <f t="shared" si="1119"/>
        <v>2</v>
      </c>
      <c r="H1417" s="41"/>
      <c r="I1417" s="42"/>
      <c r="J1417" s="42"/>
      <c r="K1417" s="42"/>
      <c r="L1417" s="42"/>
      <c r="M1417" s="43">
        <f t="shared" si="1120"/>
        <v>0</v>
      </c>
      <c r="N1417" s="42"/>
      <c r="O1417" s="53"/>
      <c r="P1417" s="53"/>
      <c r="Q1417" s="53"/>
      <c r="R1417" s="72"/>
      <c r="S1417" s="24">
        <f t="shared" si="1117"/>
        <v>0</v>
      </c>
      <c r="T1417" s="42"/>
      <c r="U1417" s="53"/>
      <c r="V1417" s="53"/>
      <c r="W1417" s="53"/>
      <c r="X1417" s="72"/>
      <c r="Y1417" s="24">
        <f t="shared" si="1118"/>
        <v>0</v>
      </c>
      <c r="Z1417" s="24">
        <f t="shared" si="1108"/>
        <v>2</v>
      </c>
      <c r="AA1417" s="83">
        <v>45194</v>
      </c>
      <c r="AB1417" s="23" t="s">
        <v>126</v>
      </c>
      <c r="AC1417" s="38"/>
      <c r="AD1417" s="39"/>
      <c r="AE1417" s="39"/>
      <c r="AF1417" s="39"/>
      <c r="AG1417" s="39">
        <v>3</v>
      </c>
      <c r="AH1417" s="37">
        <f t="shared" si="1125"/>
        <v>3</v>
      </c>
      <c r="AI1417" s="38"/>
      <c r="AJ1417" s="39"/>
      <c r="AK1417" s="39"/>
      <c r="AL1417" s="39"/>
      <c r="AM1417" s="39"/>
      <c r="AN1417" s="37">
        <f t="shared" si="1126"/>
        <v>0</v>
      </c>
      <c r="AO1417" s="39"/>
      <c r="AP1417" s="56">
        <v>3</v>
      </c>
      <c r="AQ1417" s="56"/>
      <c r="AR1417" s="56"/>
      <c r="AS1417" s="71"/>
      <c r="AT1417" s="16">
        <f t="shared" si="1127"/>
        <v>3</v>
      </c>
      <c r="AU1417" s="39"/>
      <c r="AV1417" s="56"/>
      <c r="AW1417" s="56"/>
      <c r="AX1417" s="56"/>
      <c r="AY1417" s="71"/>
      <c r="AZ1417" s="16">
        <f t="shared" si="1128"/>
        <v>0</v>
      </c>
      <c r="BA1417" s="16">
        <f t="shared" si="1129"/>
        <v>6</v>
      </c>
      <c r="BB1417" s="83">
        <v>45204</v>
      </c>
    </row>
    <row r="1418" spans="1:54" ht="14.25" x14ac:dyDescent="0.15">
      <c r="A1418" s="23" t="s">
        <v>48</v>
      </c>
      <c r="B1418" s="41"/>
      <c r="C1418" s="42"/>
      <c r="D1418" s="42"/>
      <c r="E1418" s="42"/>
      <c r="F1418" s="42"/>
      <c r="G1418" s="43">
        <f t="shared" si="1119"/>
        <v>0</v>
      </c>
      <c r="H1418" s="41"/>
      <c r="I1418" s="42"/>
      <c r="J1418" s="42"/>
      <c r="K1418" s="42"/>
      <c r="L1418" s="42"/>
      <c r="M1418" s="43">
        <f t="shared" si="1120"/>
        <v>0</v>
      </c>
      <c r="N1418" s="42"/>
      <c r="O1418" s="53"/>
      <c r="P1418" s="53"/>
      <c r="Q1418" s="53"/>
      <c r="R1418" s="72"/>
      <c r="S1418" s="24">
        <f t="shared" si="1117"/>
        <v>0</v>
      </c>
      <c r="T1418" s="42"/>
      <c r="U1418" s="53"/>
      <c r="V1418" s="53"/>
      <c r="W1418" s="53">
        <v>1</v>
      </c>
      <c r="X1418" s="72"/>
      <c r="Y1418" s="24">
        <f t="shared" si="1118"/>
        <v>1</v>
      </c>
      <c r="Z1418" s="24">
        <f t="shared" si="1108"/>
        <v>1</v>
      </c>
      <c r="AA1418" s="83">
        <v>45191</v>
      </c>
      <c r="AB1418" s="23" t="s">
        <v>126</v>
      </c>
      <c r="AC1418" s="38"/>
      <c r="AD1418" s="39"/>
      <c r="AE1418" s="39"/>
      <c r="AF1418" s="39"/>
      <c r="AG1418" s="39"/>
      <c r="AH1418" s="37">
        <f t="shared" ref="AH1418" si="1130">SUM(AC1418:AG1418)</f>
        <v>0</v>
      </c>
      <c r="AI1418" s="38"/>
      <c r="AJ1418" s="39"/>
      <c r="AK1418" s="39"/>
      <c r="AL1418" s="39">
        <v>3</v>
      </c>
      <c r="AM1418" s="39"/>
      <c r="AN1418" s="37">
        <f t="shared" ref="AN1418" si="1131">SUM(AI1418:AM1418)</f>
        <v>3</v>
      </c>
      <c r="AO1418" s="39"/>
      <c r="AP1418" s="56"/>
      <c r="AQ1418" s="56">
        <v>3</v>
      </c>
      <c r="AR1418" s="56"/>
      <c r="AS1418" s="71"/>
      <c r="AT1418" s="16">
        <f t="shared" ref="AT1418" si="1132">SUM(AO1418:AS1418)</f>
        <v>3</v>
      </c>
      <c r="AU1418" s="39"/>
      <c r="AV1418" s="56"/>
      <c r="AW1418" s="56">
        <v>3</v>
      </c>
      <c r="AX1418" s="56"/>
      <c r="AY1418" s="71"/>
      <c r="AZ1418" s="16">
        <f t="shared" ref="AZ1418" si="1133">SUM(AU1418:AY1418)</f>
        <v>3</v>
      </c>
      <c r="BA1418" s="16">
        <f t="shared" si="1129"/>
        <v>9</v>
      </c>
      <c r="BB1418" s="83">
        <v>45212</v>
      </c>
    </row>
    <row r="1419" spans="1:54" ht="14.25" x14ac:dyDescent="0.15">
      <c r="A1419" s="23" t="s">
        <v>438</v>
      </c>
      <c r="B1419" s="41"/>
      <c r="C1419" s="42"/>
      <c r="D1419" s="42"/>
      <c r="E1419" s="42"/>
      <c r="F1419" s="42">
        <v>1</v>
      </c>
      <c r="G1419" s="43">
        <f t="shared" si="1119"/>
        <v>1</v>
      </c>
      <c r="H1419" s="41"/>
      <c r="I1419" s="42"/>
      <c r="J1419" s="42"/>
      <c r="K1419" s="42"/>
      <c r="L1419" s="42"/>
      <c r="M1419" s="43">
        <f t="shared" si="1120"/>
        <v>0</v>
      </c>
      <c r="N1419" s="42"/>
      <c r="O1419" s="53"/>
      <c r="P1419" s="53"/>
      <c r="Q1419" s="53"/>
      <c r="R1419" s="72"/>
      <c r="S1419" s="24">
        <f t="shared" si="1117"/>
        <v>0</v>
      </c>
      <c r="T1419" s="42"/>
      <c r="U1419" s="53"/>
      <c r="V1419" s="53"/>
      <c r="W1419" s="53"/>
      <c r="X1419" s="72"/>
      <c r="Y1419" s="24">
        <f t="shared" si="1118"/>
        <v>0</v>
      </c>
      <c r="Z1419" s="24">
        <f t="shared" si="1108"/>
        <v>1</v>
      </c>
      <c r="AA1419" s="83">
        <v>45195</v>
      </c>
      <c r="AB1419" s="23"/>
      <c r="AC1419" s="38"/>
      <c r="AD1419" s="39"/>
      <c r="AE1419" s="39"/>
      <c r="AF1419" s="39"/>
      <c r="AG1419" s="39"/>
      <c r="AH1419" s="37">
        <f t="shared" si="1125"/>
        <v>0</v>
      </c>
      <c r="AI1419" s="38"/>
      <c r="AJ1419" s="39"/>
      <c r="AK1419" s="39"/>
      <c r="AL1419" s="39"/>
      <c r="AM1419" s="39"/>
      <c r="AN1419" s="37">
        <f t="shared" si="1126"/>
        <v>0</v>
      </c>
      <c r="AO1419" s="39"/>
      <c r="AP1419" s="56"/>
      <c r="AQ1419" s="56"/>
      <c r="AR1419" s="56"/>
      <c r="AS1419" s="71"/>
      <c r="AT1419" s="16">
        <f t="shared" si="1127"/>
        <v>0</v>
      </c>
      <c r="AU1419" s="39"/>
      <c r="AV1419" s="56"/>
      <c r="AW1419" s="56"/>
      <c r="AX1419" s="56"/>
      <c r="AY1419" s="71"/>
      <c r="AZ1419" s="16">
        <f t="shared" si="1128"/>
        <v>0</v>
      </c>
      <c r="BA1419" s="16">
        <f t="shared" si="1129"/>
        <v>0</v>
      </c>
      <c r="BB1419" s="128"/>
    </row>
    <row r="1420" spans="1:54" ht="14.25" x14ac:dyDescent="0.15">
      <c r="A1420" s="23" t="s">
        <v>48</v>
      </c>
      <c r="B1420" s="41"/>
      <c r="C1420" s="42"/>
      <c r="D1420" s="42">
        <v>1</v>
      </c>
      <c r="E1420" s="42"/>
      <c r="F1420" s="42">
        <v>1</v>
      </c>
      <c r="G1420" s="43">
        <f t="shared" si="1119"/>
        <v>2</v>
      </c>
      <c r="H1420" s="41"/>
      <c r="I1420" s="42"/>
      <c r="J1420" s="42"/>
      <c r="K1420" s="42"/>
      <c r="L1420" s="42"/>
      <c r="M1420" s="43">
        <f t="shared" si="1120"/>
        <v>0</v>
      </c>
      <c r="N1420" s="42"/>
      <c r="O1420" s="53"/>
      <c r="P1420" s="53"/>
      <c r="Q1420" s="53"/>
      <c r="R1420" s="72"/>
      <c r="S1420" s="24">
        <f t="shared" si="1117"/>
        <v>0</v>
      </c>
      <c r="T1420" s="42"/>
      <c r="U1420" s="53"/>
      <c r="V1420" s="53"/>
      <c r="W1420" s="53"/>
      <c r="X1420" s="72"/>
      <c r="Y1420" s="24">
        <f t="shared" si="1118"/>
        <v>0</v>
      </c>
      <c r="Z1420" s="24">
        <f t="shared" si="1108"/>
        <v>2</v>
      </c>
      <c r="AA1420" s="83">
        <v>45194</v>
      </c>
      <c r="AB1420" s="23"/>
      <c r="AC1420" s="38"/>
      <c r="AD1420" s="39"/>
      <c r="AE1420" s="39"/>
      <c r="AF1420" s="39"/>
      <c r="AG1420" s="39"/>
      <c r="AH1420" s="37">
        <f t="shared" si="1125"/>
        <v>0</v>
      </c>
      <c r="AI1420" s="38"/>
      <c r="AJ1420" s="39"/>
      <c r="AK1420" s="39"/>
      <c r="AL1420" s="39"/>
      <c r="AM1420" s="39"/>
      <c r="AN1420" s="37">
        <f t="shared" si="1126"/>
        <v>0</v>
      </c>
      <c r="AO1420" s="39"/>
      <c r="AP1420" s="56"/>
      <c r="AQ1420" s="56"/>
      <c r="AR1420" s="56"/>
      <c r="AS1420" s="71"/>
      <c r="AT1420" s="16">
        <f t="shared" si="1127"/>
        <v>0</v>
      </c>
      <c r="AU1420" s="39"/>
      <c r="AV1420" s="56"/>
      <c r="AW1420" s="56"/>
      <c r="AX1420" s="56"/>
      <c r="AY1420" s="71"/>
      <c r="AZ1420" s="16">
        <f t="shared" si="1128"/>
        <v>0</v>
      </c>
      <c r="BA1420" s="16">
        <f t="shared" si="1129"/>
        <v>0</v>
      </c>
      <c r="BB1420" s="128"/>
    </row>
    <row r="1421" spans="1:54" ht="14.25" x14ac:dyDescent="0.15">
      <c r="A1421" s="23" t="s">
        <v>438</v>
      </c>
      <c r="B1421" s="41"/>
      <c r="C1421" s="42"/>
      <c r="D1421" s="42">
        <v>1</v>
      </c>
      <c r="E1421" s="42">
        <v>1</v>
      </c>
      <c r="F1421" s="42"/>
      <c r="G1421" s="43">
        <f t="shared" si="1119"/>
        <v>2</v>
      </c>
      <c r="H1421" s="41"/>
      <c r="I1421" s="42">
        <v>1</v>
      </c>
      <c r="J1421" s="42"/>
      <c r="K1421" s="42"/>
      <c r="L1421" s="42"/>
      <c r="M1421" s="43">
        <f t="shared" si="1120"/>
        <v>1</v>
      </c>
      <c r="N1421" s="42"/>
      <c r="O1421" s="53"/>
      <c r="P1421" s="53"/>
      <c r="Q1421" s="53"/>
      <c r="R1421" s="72">
        <v>1</v>
      </c>
      <c r="S1421" s="24">
        <f t="shared" si="1117"/>
        <v>1</v>
      </c>
      <c r="T1421" s="42"/>
      <c r="U1421" s="53"/>
      <c r="V1421" s="53">
        <v>1</v>
      </c>
      <c r="W1421" s="53">
        <v>1</v>
      </c>
      <c r="X1421" s="72"/>
      <c r="Y1421" s="24">
        <f t="shared" si="1118"/>
        <v>2</v>
      </c>
      <c r="Z1421" s="24">
        <f t="shared" si="1108"/>
        <v>6</v>
      </c>
      <c r="AA1421" s="83">
        <v>45196</v>
      </c>
      <c r="AB1421" s="23"/>
      <c r="AC1421" s="38"/>
      <c r="AD1421" s="39"/>
      <c r="AE1421" s="39"/>
      <c r="AF1421" s="39"/>
      <c r="AG1421" s="39"/>
      <c r="AH1421" s="37">
        <f t="shared" si="1110"/>
        <v>0</v>
      </c>
      <c r="AI1421" s="38"/>
      <c r="AJ1421" s="39"/>
      <c r="AK1421" s="39"/>
      <c r="AL1421" s="39"/>
      <c r="AM1421" s="39"/>
      <c r="AN1421" s="37">
        <f t="shared" si="1111"/>
        <v>0</v>
      </c>
      <c r="AO1421" s="39"/>
      <c r="AP1421" s="56"/>
      <c r="AQ1421" s="56"/>
      <c r="AR1421" s="56"/>
      <c r="AS1421" s="71"/>
      <c r="AT1421" s="16">
        <f t="shared" si="1112"/>
        <v>0</v>
      </c>
      <c r="AU1421" s="39"/>
      <c r="AV1421" s="56"/>
      <c r="AW1421" s="56"/>
      <c r="AX1421" s="56"/>
      <c r="AY1421" s="71"/>
      <c r="AZ1421" s="16">
        <f t="shared" si="1113"/>
        <v>0</v>
      </c>
      <c r="BA1421" s="16">
        <f t="shared" si="1114"/>
        <v>0</v>
      </c>
      <c r="BB1421" s="128"/>
    </row>
    <row r="1422" spans="1:54" ht="14.25" x14ac:dyDescent="0.15">
      <c r="A1422" s="23" t="s">
        <v>48</v>
      </c>
      <c r="B1422" s="41"/>
      <c r="C1422" s="42"/>
      <c r="D1422" s="42">
        <v>1</v>
      </c>
      <c r="E1422" s="42"/>
      <c r="F1422" s="42"/>
      <c r="G1422" s="43">
        <f t="shared" si="1119"/>
        <v>1</v>
      </c>
      <c r="H1422" s="41"/>
      <c r="I1422" s="42"/>
      <c r="J1422" s="42"/>
      <c r="K1422" s="42"/>
      <c r="L1422" s="42"/>
      <c r="M1422" s="43">
        <f t="shared" si="1120"/>
        <v>0</v>
      </c>
      <c r="N1422" s="42"/>
      <c r="O1422" s="53"/>
      <c r="P1422" s="53">
        <v>1</v>
      </c>
      <c r="Q1422" s="53"/>
      <c r="R1422" s="72"/>
      <c r="S1422" s="24">
        <f t="shared" si="1117"/>
        <v>1</v>
      </c>
      <c r="T1422" s="42"/>
      <c r="U1422" s="53"/>
      <c r="V1422" s="53"/>
      <c r="W1422" s="53"/>
      <c r="X1422" s="72"/>
      <c r="Y1422" s="24">
        <f t="shared" si="1118"/>
        <v>0</v>
      </c>
      <c r="Z1422" s="24">
        <f t="shared" si="1108"/>
        <v>2</v>
      </c>
      <c r="AA1422" s="83">
        <v>45195</v>
      </c>
      <c r="AB1422" s="23"/>
      <c r="AC1422" s="38"/>
      <c r="AD1422" s="39"/>
      <c r="AE1422" s="39"/>
      <c r="AF1422" s="39"/>
      <c r="AG1422" s="39"/>
      <c r="AH1422" s="37">
        <f t="shared" si="1110"/>
        <v>0</v>
      </c>
      <c r="AI1422" s="38"/>
      <c r="AJ1422" s="39"/>
      <c r="AK1422" s="39"/>
      <c r="AL1422" s="39"/>
      <c r="AM1422" s="39"/>
      <c r="AN1422" s="37">
        <f t="shared" si="1111"/>
        <v>0</v>
      </c>
      <c r="AO1422" s="39"/>
      <c r="AP1422" s="56"/>
      <c r="AQ1422" s="56"/>
      <c r="AR1422" s="56"/>
      <c r="AS1422" s="71"/>
      <c r="AT1422" s="16">
        <f t="shared" si="1112"/>
        <v>0</v>
      </c>
      <c r="AU1422" s="39"/>
      <c r="AV1422" s="56"/>
      <c r="AW1422" s="56"/>
      <c r="AX1422" s="56"/>
      <c r="AY1422" s="71"/>
      <c r="AZ1422" s="16">
        <f t="shared" si="1113"/>
        <v>0</v>
      </c>
      <c r="BA1422" s="16">
        <f t="shared" si="1114"/>
        <v>0</v>
      </c>
      <c r="BB1422" s="128"/>
    </row>
    <row r="1423" spans="1:54" ht="14.25" x14ac:dyDescent="0.15">
      <c r="A1423" s="23" t="s">
        <v>438</v>
      </c>
      <c r="B1423" s="41"/>
      <c r="C1423" s="42"/>
      <c r="D1423" s="42">
        <v>1</v>
      </c>
      <c r="E1423" s="42"/>
      <c r="F1423" s="42"/>
      <c r="G1423" s="43">
        <f t="shared" si="1119"/>
        <v>1</v>
      </c>
      <c r="H1423" s="41"/>
      <c r="I1423" s="42"/>
      <c r="J1423" s="42"/>
      <c r="K1423" s="42"/>
      <c r="L1423" s="42"/>
      <c r="M1423" s="43">
        <f t="shared" si="1120"/>
        <v>0</v>
      </c>
      <c r="N1423" s="42">
        <v>1</v>
      </c>
      <c r="O1423" s="53">
        <v>1</v>
      </c>
      <c r="P1423" s="53"/>
      <c r="Q1423" s="53"/>
      <c r="R1423" s="72"/>
      <c r="S1423" s="24">
        <f t="shared" si="1117"/>
        <v>2</v>
      </c>
      <c r="T1423" s="42"/>
      <c r="U1423" s="53"/>
      <c r="V1423" s="53"/>
      <c r="W1423" s="53"/>
      <c r="X1423" s="72"/>
      <c r="Y1423" s="24">
        <f t="shared" si="1118"/>
        <v>0</v>
      </c>
      <c r="Z1423" s="24">
        <f t="shared" si="1108"/>
        <v>3</v>
      </c>
      <c r="AA1423" s="83">
        <v>45197</v>
      </c>
      <c r="AB1423" s="23"/>
      <c r="AC1423" s="38"/>
      <c r="AD1423" s="39"/>
      <c r="AE1423" s="39"/>
      <c r="AF1423" s="39"/>
      <c r="AG1423" s="39"/>
      <c r="AH1423" s="37">
        <f t="shared" si="1110"/>
        <v>0</v>
      </c>
      <c r="AI1423" s="38"/>
      <c r="AJ1423" s="39"/>
      <c r="AK1423" s="39"/>
      <c r="AL1423" s="39"/>
      <c r="AM1423" s="39"/>
      <c r="AN1423" s="37">
        <f t="shared" si="1111"/>
        <v>0</v>
      </c>
      <c r="AO1423" s="39"/>
      <c r="AP1423" s="56"/>
      <c r="AQ1423" s="56"/>
      <c r="AR1423" s="56"/>
      <c r="AS1423" s="71"/>
      <c r="AT1423" s="16">
        <f t="shared" si="1112"/>
        <v>0</v>
      </c>
      <c r="AU1423" s="39"/>
      <c r="AV1423" s="56"/>
      <c r="AW1423" s="56"/>
      <c r="AX1423" s="56"/>
      <c r="AY1423" s="71"/>
      <c r="AZ1423" s="16">
        <f t="shared" si="1113"/>
        <v>0</v>
      </c>
      <c r="BA1423" s="16">
        <f t="shared" si="1114"/>
        <v>0</v>
      </c>
      <c r="BB1423" s="128"/>
    </row>
    <row r="1424" spans="1:54" ht="14.25" x14ac:dyDescent="0.15">
      <c r="A1424" s="23" t="s">
        <v>628</v>
      </c>
      <c r="B1424" s="41"/>
      <c r="C1424" s="42"/>
      <c r="D1424" s="42"/>
      <c r="E1424" s="42">
        <v>1</v>
      </c>
      <c r="F1424" s="42"/>
      <c r="G1424" s="43">
        <f t="shared" si="1119"/>
        <v>1</v>
      </c>
      <c r="H1424" s="41"/>
      <c r="I1424" s="42"/>
      <c r="J1424" s="42"/>
      <c r="K1424" s="42"/>
      <c r="L1424" s="42"/>
      <c r="M1424" s="43">
        <f t="shared" si="1120"/>
        <v>0</v>
      </c>
      <c r="N1424" s="42"/>
      <c r="O1424" s="53"/>
      <c r="P1424" s="53"/>
      <c r="Q1424" s="53"/>
      <c r="R1424" s="72"/>
      <c r="S1424" s="24">
        <f t="shared" si="1117"/>
        <v>0</v>
      </c>
      <c r="T1424" s="42"/>
      <c r="U1424" s="53"/>
      <c r="V1424" s="53"/>
      <c r="W1424" s="53"/>
      <c r="X1424" s="72"/>
      <c r="Y1424" s="24">
        <f t="shared" si="1118"/>
        <v>0</v>
      </c>
      <c r="Z1424" s="24">
        <f t="shared" si="1108"/>
        <v>1</v>
      </c>
      <c r="AA1424" s="83">
        <v>45197</v>
      </c>
      <c r="AB1424" s="23"/>
      <c r="AC1424" s="38"/>
      <c r="AD1424" s="39"/>
      <c r="AE1424" s="39"/>
      <c r="AF1424" s="39"/>
      <c r="AG1424" s="39"/>
      <c r="AH1424" s="37">
        <f t="shared" si="1110"/>
        <v>0</v>
      </c>
      <c r="AI1424" s="38"/>
      <c r="AJ1424" s="39"/>
      <c r="AK1424" s="39"/>
      <c r="AL1424" s="39"/>
      <c r="AM1424" s="39"/>
      <c r="AN1424" s="37">
        <f t="shared" si="1111"/>
        <v>0</v>
      </c>
      <c r="AO1424" s="39"/>
      <c r="AP1424" s="56"/>
      <c r="AQ1424" s="56"/>
      <c r="AR1424" s="56"/>
      <c r="AS1424" s="71"/>
      <c r="AT1424" s="16">
        <f t="shared" si="1112"/>
        <v>0</v>
      </c>
      <c r="AU1424" s="39"/>
      <c r="AV1424" s="56"/>
      <c r="AW1424" s="56"/>
      <c r="AX1424" s="56"/>
      <c r="AY1424" s="71"/>
      <c r="AZ1424" s="16">
        <f t="shared" si="1113"/>
        <v>0</v>
      </c>
      <c r="BA1424" s="16">
        <f t="shared" si="1114"/>
        <v>0</v>
      </c>
      <c r="BB1424" s="128"/>
    </row>
    <row r="1425" spans="1:54" ht="14.25" x14ac:dyDescent="0.15">
      <c r="A1425" s="23" t="s">
        <v>438</v>
      </c>
      <c r="B1425" s="41"/>
      <c r="C1425" s="42"/>
      <c r="D1425" s="42">
        <v>2</v>
      </c>
      <c r="E1425" s="42"/>
      <c r="F1425" s="42"/>
      <c r="G1425" s="43">
        <f t="shared" si="1119"/>
        <v>2</v>
      </c>
      <c r="H1425" s="41"/>
      <c r="I1425" s="42"/>
      <c r="J1425" s="42"/>
      <c r="K1425" s="42"/>
      <c r="L1425" s="42"/>
      <c r="M1425" s="43">
        <f t="shared" si="1120"/>
        <v>0</v>
      </c>
      <c r="N1425" s="42"/>
      <c r="O1425" s="53"/>
      <c r="P1425" s="53"/>
      <c r="Q1425" s="53"/>
      <c r="R1425" s="72"/>
      <c r="S1425" s="24">
        <f t="shared" si="1117"/>
        <v>0</v>
      </c>
      <c r="T1425" s="42"/>
      <c r="U1425" s="53"/>
      <c r="V1425" s="53"/>
      <c r="W1425" s="53"/>
      <c r="X1425" s="72"/>
      <c r="Y1425" s="24">
        <f t="shared" si="1118"/>
        <v>0</v>
      </c>
      <c r="Z1425" s="24">
        <f t="shared" si="1108"/>
        <v>2</v>
      </c>
      <c r="AA1425" s="83">
        <v>45198</v>
      </c>
      <c r="AB1425" s="23"/>
      <c r="AC1425" s="38"/>
      <c r="AD1425" s="39"/>
      <c r="AE1425" s="39"/>
      <c r="AF1425" s="39"/>
      <c r="AG1425" s="39"/>
      <c r="AH1425" s="37">
        <f t="shared" si="1110"/>
        <v>0</v>
      </c>
      <c r="AI1425" s="38"/>
      <c r="AJ1425" s="39"/>
      <c r="AK1425" s="39"/>
      <c r="AL1425" s="39"/>
      <c r="AM1425" s="39"/>
      <c r="AN1425" s="37">
        <f t="shared" si="1111"/>
        <v>0</v>
      </c>
      <c r="AO1425" s="39"/>
      <c r="AP1425" s="56"/>
      <c r="AQ1425" s="56"/>
      <c r="AR1425" s="56"/>
      <c r="AS1425" s="71"/>
      <c r="AT1425" s="16">
        <f t="shared" si="1112"/>
        <v>0</v>
      </c>
      <c r="AU1425" s="39"/>
      <c r="AV1425" s="56"/>
      <c r="AW1425" s="56"/>
      <c r="AX1425" s="56"/>
      <c r="AY1425" s="71"/>
      <c r="AZ1425" s="16">
        <f t="shared" si="1113"/>
        <v>0</v>
      </c>
      <c r="BA1425" s="16">
        <f t="shared" si="1114"/>
        <v>0</v>
      </c>
      <c r="BB1425" s="128"/>
    </row>
    <row r="1426" spans="1:54" ht="14.25" x14ac:dyDescent="0.15">
      <c r="A1426" s="23" t="s">
        <v>438</v>
      </c>
      <c r="B1426" s="41">
        <v>1</v>
      </c>
      <c r="C1426" s="42"/>
      <c r="D1426" s="42"/>
      <c r="E1426" s="42">
        <v>1</v>
      </c>
      <c r="F1426" s="42"/>
      <c r="G1426" s="43">
        <f t="shared" si="1119"/>
        <v>2</v>
      </c>
      <c r="H1426" s="41"/>
      <c r="I1426" s="42"/>
      <c r="J1426" s="42"/>
      <c r="K1426" s="42"/>
      <c r="L1426" s="42"/>
      <c r="M1426" s="43">
        <f t="shared" si="1120"/>
        <v>0</v>
      </c>
      <c r="N1426" s="42"/>
      <c r="O1426" s="53"/>
      <c r="P1426" s="53"/>
      <c r="Q1426" s="53"/>
      <c r="R1426" s="72"/>
      <c r="S1426" s="24">
        <f t="shared" si="1117"/>
        <v>0</v>
      </c>
      <c r="T1426" s="42"/>
      <c r="U1426" s="53"/>
      <c r="V1426" s="53"/>
      <c r="W1426" s="53"/>
      <c r="X1426" s="72"/>
      <c r="Y1426" s="24">
        <f t="shared" si="1118"/>
        <v>0</v>
      </c>
      <c r="Z1426" s="24">
        <f t="shared" si="1108"/>
        <v>2</v>
      </c>
      <c r="AA1426" s="83">
        <v>45201</v>
      </c>
      <c r="AB1426" s="23"/>
      <c r="AC1426" s="38"/>
      <c r="AD1426" s="39"/>
      <c r="AE1426" s="39"/>
      <c r="AF1426" s="39"/>
      <c r="AG1426" s="39"/>
      <c r="AH1426" s="37">
        <f t="shared" si="1110"/>
        <v>0</v>
      </c>
      <c r="AI1426" s="38"/>
      <c r="AJ1426" s="39"/>
      <c r="AK1426" s="39"/>
      <c r="AL1426" s="39"/>
      <c r="AM1426" s="39"/>
      <c r="AN1426" s="37">
        <f t="shared" si="1111"/>
        <v>0</v>
      </c>
      <c r="AO1426" s="39"/>
      <c r="AP1426" s="56"/>
      <c r="AQ1426" s="56"/>
      <c r="AR1426" s="56"/>
      <c r="AS1426" s="71"/>
      <c r="AT1426" s="16">
        <f t="shared" si="1112"/>
        <v>0</v>
      </c>
      <c r="AU1426" s="39"/>
      <c r="AV1426" s="56"/>
      <c r="AW1426" s="56"/>
      <c r="AX1426" s="56"/>
      <c r="AY1426" s="71"/>
      <c r="AZ1426" s="16">
        <f t="shared" si="1113"/>
        <v>0</v>
      </c>
      <c r="BA1426" s="16">
        <f t="shared" si="1114"/>
        <v>0</v>
      </c>
      <c r="BB1426" s="128"/>
    </row>
    <row r="1427" spans="1:54" ht="14.25" x14ac:dyDescent="0.15">
      <c r="A1427" s="23" t="s">
        <v>438</v>
      </c>
      <c r="B1427" s="41"/>
      <c r="C1427" s="42"/>
      <c r="D1427" s="42">
        <v>1</v>
      </c>
      <c r="E1427" s="42">
        <v>2</v>
      </c>
      <c r="F1427" s="42"/>
      <c r="G1427" s="43">
        <f t="shared" si="1119"/>
        <v>3</v>
      </c>
      <c r="H1427" s="41"/>
      <c r="I1427" s="42"/>
      <c r="J1427" s="42"/>
      <c r="K1427" s="42"/>
      <c r="L1427" s="42"/>
      <c r="M1427" s="43">
        <f t="shared" si="1120"/>
        <v>0</v>
      </c>
      <c r="N1427" s="42"/>
      <c r="O1427" s="53"/>
      <c r="P1427" s="53"/>
      <c r="Q1427" s="53"/>
      <c r="R1427" s="72"/>
      <c r="S1427" s="24">
        <f t="shared" si="1117"/>
        <v>0</v>
      </c>
      <c r="T1427" s="42"/>
      <c r="U1427" s="53"/>
      <c r="V1427" s="53"/>
      <c r="W1427" s="53"/>
      <c r="X1427" s="72"/>
      <c r="Y1427" s="24">
        <f t="shared" si="1118"/>
        <v>0</v>
      </c>
      <c r="Z1427" s="24">
        <f t="shared" si="1108"/>
        <v>3</v>
      </c>
      <c r="AA1427" s="83">
        <v>45202</v>
      </c>
      <c r="AB1427" s="23"/>
      <c r="AC1427" s="38"/>
      <c r="AD1427" s="39"/>
      <c r="AE1427" s="39"/>
      <c r="AF1427" s="39"/>
      <c r="AG1427" s="39"/>
      <c r="AH1427" s="37">
        <f t="shared" si="1110"/>
        <v>0</v>
      </c>
      <c r="AI1427" s="38"/>
      <c r="AJ1427" s="39"/>
      <c r="AK1427" s="39"/>
      <c r="AL1427" s="39"/>
      <c r="AM1427" s="39"/>
      <c r="AN1427" s="37">
        <f t="shared" si="1111"/>
        <v>0</v>
      </c>
      <c r="AO1427" s="39"/>
      <c r="AP1427" s="56"/>
      <c r="AQ1427" s="56"/>
      <c r="AR1427" s="56"/>
      <c r="AS1427" s="71"/>
      <c r="AT1427" s="16">
        <f t="shared" si="1112"/>
        <v>0</v>
      </c>
      <c r="AU1427" s="39"/>
      <c r="AV1427" s="56"/>
      <c r="AW1427" s="56"/>
      <c r="AX1427" s="56"/>
      <c r="AY1427" s="71"/>
      <c r="AZ1427" s="16">
        <f t="shared" si="1113"/>
        <v>0</v>
      </c>
      <c r="BA1427" s="16">
        <f t="shared" si="1114"/>
        <v>0</v>
      </c>
      <c r="BB1427" s="128"/>
    </row>
    <row r="1428" spans="1:54" ht="14.25" x14ac:dyDescent="0.15">
      <c r="A1428" s="23" t="s">
        <v>48</v>
      </c>
      <c r="B1428" s="41"/>
      <c r="C1428" s="42"/>
      <c r="D1428" s="42"/>
      <c r="E1428" s="42"/>
      <c r="F1428" s="42">
        <v>1</v>
      </c>
      <c r="G1428" s="43">
        <f t="shared" si="1119"/>
        <v>1</v>
      </c>
      <c r="H1428" s="41">
        <v>1</v>
      </c>
      <c r="I1428" s="42"/>
      <c r="J1428" s="42"/>
      <c r="K1428" s="42"/>
      <c r="L1428" s="42">
        <v>1</v>
      </c>
      <c r="M1428" s="43">
        <f t="shared" si="1120"/>
        <v>2</v>
      </c>
      <c r="N1428" s="42"/>
      <c r="O1428" s="53"/>
      <c r="P1428" s="53"/>
      <c r="Q1428" s="53"/>
      <c r="R1428" s="72"/>
      <c r="S1428" s="24">
        <f t="shared" si="1117"/>
        <v>0</v>
      </c>
      <c r="T1428" s="42"/>
      <c r="U1428" s="53"/>
      <c r="V1428" s="53"/>
      <c r="W1428" s="53"/>
      <c r="X1428" s="72"/>
      <c r="Y1428" s="24">
        <f t="shared" si="1118"/>
        <v>0</v>
      </c>
      <c r="Z1428" s="24">
        <f t="shared" si="1108"/>
        <v>3</v>
      </c>
      <c r="AA1428" s="83">
        <v>45201</v>
      </c>
      <c r="AB1428" s="23"/>
      <c r="AC1428" s="38"/>
      <c r="AD1428" s="39"/>
      <c r="AE1428" s="39"/>
      <c r="AF1428" s="39"/>
      <c r="AG1428" s="39"/>
      <c r="AH1428" s="37">
        <f t="shared" si="1110"/>
        <v>0</v>
      </c>
      <c r="AI1428" s="38"/>
      <c r="AJ1428" s="39"/>
      <c r="AK1428" s="39"/>
      <c r="AL1428" s="39"/>
      <c r="AM1428" s="39"/>
      <c r="AN1428" s="37">
        <f t="shared" si="1111"/>
        <v>0</v>
      </c>
      <c r="AO1428" s="39"/>
      <c r="AP1428" s="56"/>
      <c r="AQ1428" s="56"/>
      <c r="AR1428" s="56"/>
      <c r="AS1428" s="71"/>
      <c r="AT1428" s="16">
        <f t="shared" si="1112"/>
        <v>0</v>
      </c>
      <c r="AU1428" s="39"/>
      <c r="AV1428" s="56"/>
      <c r="AW1428" s="56"/>
      <c r="AX1428" s="56"/>
      <c r="AY1428" s="71"/>
      <c r="AZ1428" s="16">
        <f t="shared" si="1113"/>
        <v>0</v>
      </c>
      <c r="BA1428" s="16">
        <f t="shared" si="1114"/>
        <v>0</v>
      </c>
      <c r="BB1428" s="128"/>
    </row>
    <row r="1429" spans="1:54" ht="14.25" x14ac:dyDescent="0.15">
      <c r="A1429" s="23" t="s">
        <v>629</v>
      </c>
      <c r="B1429" s="41"/>
      <c r="C1429" s="42"/>
      <c r="D1429" s="42">
        <v>-5</v>
      </c>
      <c r="E1429" s="42">
        <v>-5</v>
      </c>
      <c r="F1429" s="42"/>
      <c r="G1429" s="43">
        <f t="shared" si="1119"/>
        <v>-10</v>
      </c>
      <c r="H1429" s="41"/>
      <c r="I1429" s="42"/>
      <c r="J1429" s="42"/>
      <c r="K1429" s="42"/>
      <c r="L1429" s="42"/>
      <c r="M1429" s="43">
        <f t="shared" si="1120"/>
        <v>0</v>
      </c>
      <c r="N1429" s="42"/>
      <c r="O1429" s="53"/>
      <c r="P1429" s="53"/>
      <c r="Q1429" s="53"/>
      <c r="R1429" s="72"/>
      <c r="S1429" s="24">
        <f t="shared" si="1117"/>
        <v>0</v>
      </c>
      <c r="T1429" s="42"/>
      <c r="U1429" s="53"/>
      <c r="V1429" s="53"/>
      <c r="W1429" s="53"/>
      <c r="X1429" s="72"/>
      <c r="Y1429" s="24">
        <f t="shared" si="1118"/>
        <v>0</v>
      </c>
      <c r="Z1429" s="24">
        <f t="shared" si="1108"/>
        <v>-10</v>
      </c>
      <c r="AA1429" s="83">
        <v>45202</v>
      </c>
      <c r="AB1429" s="23"/>
      <c r="AC1429" s="38"/>
      <c r="AD1429" s="39"/>
      <c r="AE1429" s="39"/>
      <c r="AF1429" s="39"/>
      <c r="AG1429" s="39"/>
      <c r="AH1429" s="37">
        <f t="shared" si="1110"/>
        <v>0</v>
      </c>
      <c r="AI1429" s="38"/>
      <c r="AJ1429" s="39"/>
      <c r="AK1429" s="39"/>
      <c r="AL1429" s="39"/>
      <c r="AM1429" s="39"/>
      <c r="AN1429" s="37">
        <f t="shared" si="1111"/>
        <v>0</v>
      </c>
      <c r="AO1429" s="39"/>
      <c r="AP1429" s="56"/>
      <c r="AQ1429" s="56"/>
      <c r="AR1429" s="56"/>
      <c r="AS1429" s="71"/>
      <c r="AT1429" s="16">
        <f t="shared" si="1112"/>
        <v>0</v>
      </c>
      <c r="AU1429" s="39"/>
      <c r="AV1429" s="56"/>
      <c r="AW1429" s="56"/>
      <c r="AX1429" s="56"/>
      <c r="AY1429" s="71"/>
      <c r="AZ1429" s="16">
        <f t="shared" si="1113"/>
        <v>0</v>
      </c>
      <c r="BA1429" s="16">
        <f t="shared" si="1114"/>
        <v>0</v>
      </c>
      <c r="BB1429" s="128"/>
    </row>
    <row r="1430" spans="1:54" ht="14.25" x14ac:dyDescent="0.15">
      <c r="A1430" s="23" t="s">
        <v>438</v>
      </c>
      <c r="B1430" s="41"/>
      <c r="C1430" s="42"/>
      <c r="D1430" s="42"/>
      <c r="E1430" s="42"/>
      <c r="F1430" s="42">
        <v>1</v>
      </c>
      <c r="G1430" s="43">
        <f t="shared" si="1119"/>
        <v>1</v>
      </c>
      <c r="H1430" s="41"/>
      <c r="I1430" s="42"/>
      <c r="J1430" s="42"/>
      <c r="K1430" s="42"/>
      <c r="L1430" s="42"/>
      <c r="M1430" s="43">
        <f t="shared" si="1120"/>
        <v>0</v>
      </c>
      <c r="N1430" s="42"/>
      <c r="O1430" s="53"/>
      <c r="P1430" s="53">
        <v>1</v>
      </c>
      <c r="Q1430" s="53"/>
      <c r="R1430" s="72"/>
      <c r="S1430" s="24">
        <f t="shared" si="1117"/>
        <v>1</v>
      </c>
      <c r="T1430" s="42"/>
      <c r="U1430" s="53"/>
      <c r="V1430" s="53"/>
      <c r="W1430" s="53"/>
      <c r="X1430" s="72"/>
      <c r="Y1430" s="24">
        <f t="shared" si="1118"/>
        <v>0</v>
      </c>
      <c r="Z1430" s="24">
        <f t="shared" si="1108"/>
        <v>2</v>
      </c>
      <c r="AA1430" s="83">
        <v>45203</v>
      </c>
      <c r="AB1430" s="23"/>
      <c r="AC1430" s="38"/>
      <c r="AD1430" s="39"/>
      <c r="AE1430" s="39"/>
      <c r="AF1430" s="39"/>
      <c r="AG1430" s="39"/>
      <c r="AH1430" s="37">
        <f t="shared" si="1110"/>
        <v>0</v>
      </c>
      <c r="AI1430" s="38"/>
      <c r="AJ1430" s="39"/>
      <c r="AK1430" s="39"/>
      <c r="AL1430" s="39"/>
      <c r="AM1430" s="39"/>
      <c r="AN1430" s="37">
        <f t="shared" si="1111"/>
        <v>0</v>
      </c>
      <c r="AO1430" s="39"/>
      <c r="AP1430" s="56"/>
      <c r="AQ1430" s="56"/>
      <c r="AR1430" s="56"/>
      <c r="AS1430" s="71"/>
      <c r="AT1430" s="16">
        <f t="shared" si="1112"/>
        <v>0</v>
      </c>
      <c r="AU1430" s="39"/>
      <c r="AV1430" s="56"/>
      <c r="AW1430" s="56"/>
      <c r="AX1430" s="56"/>
      <c r="AY1430" s="71"/>
      <c r="AZ1430" s="16">
        <f t="shared" si="1113"/>
        <v>0</v>
      </c>
      <c r="BA1430" s="16">
        <f t="shared" si="1114"/>
        <v>0</v>
      </c>
      <c r="BB1430" s="128"/>
    </row>
    <row r="1431" spans="1:54" ht="14.25" x14ac:dyDescent="0.15">
      <c r="A1431" s="23" t="s">
        <v>48</v>
      </c>
      <c r="B1431" s="41"/>
      <c r="C1431" s="42"/>
      <c r="D1431" s="42"/>
      <c r="E1431" s="42">
        <v>1</v>
      </c>
      <c r="F1431" s="42"/>
      <c r="G1431" s="43">
        <f t="shared" si="1119"/>
        <v>1</v>
      </c>
      <c r="H1431" s="41"/>
      <c r="I1431" s="42"/>
      <c r="J1431" s="42"/>
      <c r="K1431" s="42"/>
      <c r="L1431" s="42"/>
      <c r="M1431" s="43">
        <f t="shared" si="1120"/>
        <v>0</v>
      </c>
      <c r="N1431" s="42"/>
      <c r="O1431" s="53"/>
      <c r="P1431" s="53"/>
      <c r="Q1431" s="53"/>
      <c r="R1431" s="72"/>
      <c r="S1431" s="24">
        <f t="shared" si="1117"/>
        <v>0</v>
      </c>
      <c r="T1431" s="42"/>
      <c r="U1431" s="53"/>
      <c r="V1431" s="53"/>
      <c r="W1431" s="53"/>
      <c r="X1431" s="72"/>
      <c r="Y1431" s="24">
        <f t="shared" si="1118"/>
        <v>0</v>
      </c>
      <c r="Z1431" s="24">
        <f t="shared" si="1108"/>
        <v>1</v>
      </c>
      <c r="AA1431" s="83">
        <v>45202</v>
      </c>
      <c r="AB1431" s="23"/>
      <c r="AC1431" s="38"/>
      <c r="AD1431" s="39"/>
      <c r="AE1431" s="39"/>
      <c r="AF1431" s="39"/>
      <c r="AG1431" s="39"/>
      <c r="AH1431" s="37">
        <f t="shared" si="1110"/>
        <v>0</v>
      </c>
      <c r="AI1431" s="38"/>
      <c r="AJ1431" s="39"/>
      <c r="AK1431" s="39"/>
      <c r="AL1431" s="39"/>
      <c r="AM1431" s="39"/>
      <c r="AN1431" s="37">
        <f t="shared" si="1111"/>
        <v>0</v>
      </c>
      <c r="AO1431" s="39"/>
      <c r="AP1431" s="56"/>
      <c r="AQ1431" s="56"/>
      <c r="AR1431" s="56"/>
      <c r="AS1431" s="71"/>
      <c r="AT1431" s="16">
        <f t="shared" si="1112"/>
        <v>0</v>
      </c>
      <c r="AU1431" s="39"/>
      <c r="AV1431" s="56"/>
      <c r="AW1431" s="56"/>
      <c r="AX1431" s="56"/>
      <c r="AY1431" s="71"/>
      <c r="AZ1431" s="16">
        <f t="shared" si="1113"/>
        <v>0</v>
      </c>
      <c r="BA1431" s="16">
        <f t="shared" si="1114"/>
        <v>0</v>
      </c>
      <c r="BB1431" s="128"/>
    </row>
    <row r="1432" spans="1:54" ht="14.25" x14ac:dyDescent="0.15">
      <c r="A1432" s="23" t="s">
        <v>438</v>
      </c>
      <c r="B1432" s="41"/>
      <c r="C1432" s="42"/>
      <c r="D1432" s="42"/>
      <c r="E1432" s="42"/>
      <c r="F1432" s="42"/>
      <c r="G1432" s="43">
        <f t="shared" si="1119"/>
        <v>0</v>
      </c>
      <c r="H1432" s="41"/>
      <c r="I1432" s="42"/>
      <c r="J1432" s="42"/>
      <c r="K1432" s="42"/>
      <c r="L1432" s="42"/>
      <c r="M1432" s="43">
        <f t="shared" si="1120"/>
        <v>0</v>
      </c>
      <c r="N1432" s="42"/>
      <c r="O1432" s="53">
        <v>1</v>
      </c>
      <c r="P1432" s="53"/>
      <c r="Q1432" s="53"/>
      <c r="R1432" s="72"/>
      <c r="S1432" s="24">
        <f t="shared" si="1117"/>
        <v>1</v>
      </c>
      <c r="T1432" s="42"/>
      <c r="U1432" s="53"/>
      <c r="V1432" s="53"/>
      <c r="W1432" s="53"/>
      <c r="X1432" s="72"/>
      <c r="Y1432" s="24">
        <f t="shared" si="1118"/>
        <v>0</v>
      </c>
      <c r="Z1432" s="24">
        <f t="shared" si="1108"/>
        <v>1</v>
      </c>
      <c r="AA1432" s="83">
        <v>45204</v>
      </c>
      <c r="AB1432" s="23"/>
      <c r="AC1432" s="38"/>
      <c r="AD1432" s="39"/>
      <c r="AE1432" s="39"/>
      <c r="AF1432" s="39"/>
      <c r="AG1432" s="39"/>
      <c r="AH1432" s="37">
        <f t="shared" si="1110"/>
        <v>0</v>
      </c>
      <c r="AI1432" s="38"/>
      <c r="AJ1432" s="39"/>
      <c r="AK1432" s="39"/>
      <c r="AL1432" s="39"/>
      <c r="AM1432" s="39"/>
      <c r="AN1432" s="37">
        <f t="shared" si="1111"/>
        <v>0</v>
      </c>
      <c r="AO1432" s="39"/>
      <c r="AP1432" s="56"/>
      <c r="AQ1432" s="56"/>
      <c r="AR1432" s="56"/>
      <c r="AS1432" s="71"/>
      <c r="AT1432" s="16">
        <f t="shared" si="1112"/>
        <v>0</v>
      </c>
      <c r="AU1432" s="39"/>
      <c r="AV1432" s="56"/>
      <c r="AW1432" s="56"/>
      <c r="AX1432" s="56"/>
      <c r="AY1432" s="71"/>
      <c r="AZ1432" s="16">
        <f t="shared" si="1113"/>
        <v>0</v>
      </c>
      <c r="BA1432" s="16">
        <f t="shared" si="1114"/>
        <v>0</v>
      </c>
      <c r="BB1432" s="128"/>
    </row>
    <row r="1433" spans="1:54" ht="14.25" x14ac:dyDescent="0.15">
      <c r="A1433" s="23" t="s">
        <v>181</v>
      </c>
      <c r="B1433" s="41"/>
      <c r="C1433" s="42"/>
      <c r="D1433" s="42"/>
      <c r="E1433" s="42"/>
      <c r="F1433" s="42">
        <v>-3</v>
      </c>
      <c r="G1433" s="43">
        <f t="shared" si="1119"/>
        <v>-3</v>
      </c>
      <c r="H1433" s="41"/>
      <c r="I1433" s="42"/>
      <c r="J1433" s="42"/>
      <c r="K1433" s="42"/>
      <c r="L1433" s="42"/>
      <c r="M1433" s="43">
        <f t="shared" si="1120"/>
        <v>0</v>
      </c>
      <c r="N1433" s="42"/>
      <c r="O1433" s="53">
        <v>-3</v>
      </c>
      <c r="P1433" s="53"/>
      <c r="Q1433" s="53"/>
      <c r="R1433" s="72"/>
      <c r="S1433" s="24">
        <f t="shared" si="1117"/>
        <v>-3</v>
      </c>
      <c r="T1433" s="42"/>
      <c r="U1433" s="53"/>
      <c r="V1433" s="53"/>
      <c r="W1433" s="53"/>
      <c r="X1433" s="72"/>
      <c r="Y1433" s="24">
        <f t="shared" si="1118"/>
        <v>0</v>
      </c>
      <c r="Z1433" s="24">
        <f t="shared" si="1108"/>
        <v>-6</v>
      </c>
      <c r="AA1433" s="83">
        <v>45204</v>
      </c>
      <c r="AB1433" s="23"/>
      <c r="AC1433" s="38"/>
      <c r="AD1433" s="39"/>
      <c r="AE1433" s="39"/>
      <c r="AF1433" s="39"/>
      <c r="AG1433" s="39"/>
      <c r="AH1433" s="37">
        <f t="shared" si="1110"/>
        <v>0</v>
      </c>
      <c r="AI1433" s="38"/>
      <c r="AJ1433" s="39"/>
      <c r="AK1433" s="39"/>
      <c r="AL1433" s="39"/>
      <c r="AM1433" s="39"/>
      <c r="AN1433" s="37">
        <f t="shared" si="1111"/>
        <v>0</v>
      </c>
      <c r="AO1433" s="39"/>
      <c r="AP1433" s="56"/>
      <c r="AQ1433" s="56"/>
      <c r="AR1433" s="56"/>
      <c r="AS1433" s="71"/>
      <c r="AT1433" s="16">
        <f t="shared" si="1112"/>
        <v>0</v>
      </c>
      <c r="AU1433" s="39"/>
      <c r="AV1433" s="56"/>
      <c r="AW1433" s="56"/>
      <c r="AX1433" s="56"/>
      <c r="AY1433" s="71"/>
      <c r="AZ1433" s="16">
        <f t="shared" si="1113"/>
        <v>0</v>
      </c>
      <c r="BA1433" s="16">
        <f t="shared" si="1114"/>
        <v>0</v>
      </c>
      <c r="BB1433" s="128"/>
    </row>
    <row r="1434" spans="1:54" ht="14.25" x14ac:dyDescent="0.15">
      <c r="A1434" s="23" t="s">
        <v>438</v>
      </c>
      <c r="B1434" s="41"/>
      <c r="C1434" s="42"/>
      <c r="D1434" s="42"/>
      <c r="E1434" s="42"/>
      <c r="F1434" s="42"/>
      <c r="G1434" s="43">
        <f t="shared" si="1119"/>
        <v>0</v>
      </c>
      <c r="H1434" s="41"/>
      <c r="I1434" s="42"/>
      <c r="J1434" s="42"/>
      <c r="K1434" s="42"/>
      <c r="L1434" s="42"/>
      <c r="M1434" s="43">
        <f t="shared" si="1120"/>
        <v>0</v>
      </c>
      <c r="N1434" s="42"/>
      <c r="O1434" s="53"/>
      <c r="P1434" s="53"/>
      <c r="Q1434" s="53"/>
      <c r="R1434" s="72"/>
      <c r="S1434" s="24">
        <f t="shared" si="1117"/>
        <v>0</v>
      </c>
      <c r="T1434" s="42"/>
      <c r="U1434" s="53"/>
      <c r="V1434" s="53"/>
      <c r="W1434" s="53"/>
      <c r="X1434" s="72">
        <v>1</v>
      </c>
      <c r="Y1434" s="24">
        <f t="shared" si="1118"/>
        <v>1</v>
      </c>
      <c r="Z1434" s="24">
        <f t="shared" si="1108"/>
        <v>1</v>
      </c>
      <c r="AA1434" s="83">
        <v>45205</v>
      </c>
      <c r="AB1434" s="23"/>
      <c r="AC1434" s="38"/>
      <c r="AD1434" s="39"/>
      <c r="AE1434" s="39"/>
      <c r="AF1434" s="39"/>
      <c r="AG1434" s="39"/>
      <c r="AH1434" s="37">
        <f t="shared" si="1110"/>
        <v>0</v>
      </c>
      <c r="AI1434" s="38"/>
      <c r="AJ1434" s="39"/>
      <c r="AK1434" s="39"/>
      <c r="AL1434" s="39"/>
      <c r="AM1434" s="39"/>
      <c r="AN1434" s="37">
        <f t="shared" si="1111"/>
        <v>0</v>
      </c>
      <c r="AO1434" s="39"/>
      <c r="AP1434" s="56"/>
      <c r="AQ1434" s="56"/>
      <c r="AR1434" s="56"/>
      <c r="AS1434" s="71"/>
      <c r="AT1434" s="16">
        <f t="shared" si="1112"/>
        <v>0</v>
      </c>
      <c r="AU1434" s="39"/>
      <c r="AV1434" s="56"/>
      <c r="AW1434" s="56"/>
      <c r="AX1434" s="56"/>
      <c r="AY1434" s="71"/>
      <c r="AZ1434" s="16">
        <f t="shared" si="1113"/>
        <v>0</v>
      </c>
      <c r="BA1434" s="16">
        <f t="shared" si="1114"/>
        <v>0</v>
      </c>
      <c r="BB1434" s="128"/>
    </row>
    <row r="1435" spans="1:54" ht="14.25" x14ac:dyDescent="0.15">
      <c r="A1435" s="23" t="s">
        <v>48</v>
      </c>
      <c r="B1435" s="41"/>
      <c r="C1435" s="42"/>
      <c r="D1435" s="42"/>
      <c r="E1435" s="42"/>
      <c r="F1435" s="42"/>
      <c r="G1435" s="43">
        <f t="shared" si="1119"/>
        <v>0</v>
      </c>
      <c r="H1435" s="41"/>
      <c r="I1435" s="42"/>
      <c r="J1435" s="42">
        <v>1</v>
      </c>
      <c r="K1435" s="42"/>
      <c r="L1435" s="42"/>
      <c r="M1435" s="43">
        <f t="shared" si="1120"/>
        <v>1</v>
      </c>
      <c r="N1435" s="42"/>
      <c r="O1435" s="53"/>
      <c r="P1435" s="53"/>
      <c r="Q1435" s="53"/>
      <c r="R1435" s="72"/>
      <c r="S1435" s="24">
        <f t="shared" si="1117"/>
        <v>0</v>
      </c>
      <c r="T1435" s="42"/>
      <c r="U1435" s="53"/>
      <c r="V1435" s="53"/>
      <c r="W1435" s="53"/>
      <c r="X1435" s="72"/>
      <c r="Y1435" s="24">
        <f t="shared" si="1118"/>
        <v>0</v>
      </c>
      <c r="Z1435" s="24">
        <f t="shared" si="1108"/>
        <v>1</v>
      </c>
      <c r="AA1435" s="83">
        <v>45204</v>
      </c>
      <c r="AB1435" s="23"/>
      <c r="AC1435" s="38"/>
      <c r="AD1435" s="39"/>
      <c r="AE1435" s="39"/>
      <c r="AF1435" s="39"/>
      <c r="AG1435" s="39"/>
      <c r="AH1435" s="37">
        <f t="shared" si="1110"/>
        <v>0</v>
      </c>
      <c r="AI1435" s="38"/>
      <c r="AJ1435" s="39"/>
      <c r="AK1435" s="39"/>
      <c r="AL1435" s="39"/>
      <c r="AM1435" s="39"/>
      <c r="AN1435" s="37">
        <f t="shared" si="1111"/>
        <v>0</v>
      </c>
      <c r="AO1435" s="39"/>
      <c r="AP1435" s="56"/>
      <c r="AQ1435" s="56"/>
      <c r="AR1435" s="56"/>
      <c r="AS1435" s="71"/>
      <c r="AT1435" s="16">
        <f t="shared" si="1112"/>
        <v>0</v>
      </c>
      <c r="AU1435" s="39"/>
      <c r="AV1435" s="56"/>
      <c r="AW1435" s="56"/>
      <c r="AX1435" s="56"/>
      <c r="AY1435" s="71"/>
      <c r="AZ1435" s="16">
        <f t="shared" si="1113"/>
        <v>0</v>
      </c>
      <c r="BA1435" s="16">
        <f t="shared" si="1114"/>
        <v>0</v>
      </c>
      <c r="BB1435" s="128"/>
    </row>
    <row r="1436" spans="1:54" ht="14.25" x14ac:dyDescent="0.15">
      <c r="A1436" s="23" t="s">
        <v>438</v>
      </c>
      <c r="B1436" s="41"/>
      <c r="C1436" s="42"/>
      <c r="D1436" s="42"/>
      <c r="E1436" s="42"/>
      <c r="F1436" s="42"/>
      <c r="G1436" s="43">
        <f t="shared" si="1119"/>
        <v>0</v>
      </c>
      <c r="H1436" s="41"/>
      <c r="I1436" s="42"/>
      <c r="J1436" s="42"/>
      <c r="K1436" s="42"/>
      <c r="L1436" s="42"/>
      <c r="M1436" s="43">
        <f t="shared" si="1120"/>
        <v>0</v>
      </c>
      <c r="N1436" s="42"/>
      <c r="O1436" s="53"/>
      <c r="P1436" s="53">
        <v>1</v>
      </c>
      <c r="Q1436" s="53"/>
      <c r="R1436" s="72"/>
      <c r="S1436" s="24">
        <f t="shared" si="1117"/>
        <v>1</v>
      </c>
      <c r="T1436" s="42"/>
      <c r="U1436" s="53"/>
      <c r="V1436" s="53"/>
      <c r="W1436" s="53"/>
      <c r="X1436" s="72"/>
      <c r="Y1436" s="24">
        <f t="shared" si="1118"/>
        <v>0</v>
      </c>
      <c r="Z1436" s="24">
        <f t="shared" si="1108"/>
        <v>1</v>
      </c>
      <c r="AA1436" s="83">
        <v>45209</v>
      </c>
      <c r="AB1436" s="23"/>
      <c r="AC1436" s="38"/>
      <c r="AD1436" s="39"/>
      <c r="AE1436" s="39"/>
      <c r="AF1436" s="39"/>
      <c r="AG1436" s="39"/>
      <c r="AH1436" s="37">
        <f t="shared" si="1110"/>
        <v>0</v>
      </c>
      <c r="AI1436" s="38"/>
      <c r="AJ1436" s="39"/>
      <c r="AK1436" s="39"/>
      <c r="AL1436" s="39"/>
      <c r="AM1436" s="39"/>
      <c r="AN1436" s="37">
        <f t="shared" si="1111"/>
        <v>0</v>
      </c>
      <c r="AO1436" s="39"/>
      <c r="AP1436" s="56"/>
      <c r="AQ1436" s="56"/>
      <c r="AR1436" s="56"/>
      <c r="AS1436" s="71"/>
      <c r="AT1436" s="16">
        <f t="shared" si="1112"/>
        <v>0</v>
      </c>
      <c r="AU1436" s="39"/>
      <c r="AV1436" s="56"/>
      <c r="AW1436" s="56"/>
      <c r="AX1436" s="56"/>
      <c r="AY1436" s="71"/>
      <c r="AZ1436" s="16">
        <f t="shared" si="1113"/>
        <v>0</v>
      </c>
      <c r="BA1436" s="16">
        <f t="shared" si="1114"/>
        <v>0</v>
      </c>
      <c r="BB1436" s="128"/>
    </row>
    <row r="1437" spans="1:54" ht="14.25" x14ac:dyDescent="0.15">
      <c r="A1437" s="23" t="s">
        <v>48</v>
      </c>
      <c r="B1437" s="41"/>
      <c r="C1437" s="42"/>
      <c r="D1437" s="42"/>
      <c r="E1437" s="42">
        <v>1</v>
      </c>
      <c r="F1437" s="42"/>
      <c r="G1437" s="43">
        <f t="shared" si="1119"/>
        <v>1</v>
      </c>
      <c r="H1437" s="41"/>
      <c r="I1437" s="42"/>
      <c r="J1437" s="42"/>
      <c r="K1437" s="42">
        <v>1</v>
      </c>
      <c r="L1437" s="42"/>
      <c r="M1437" s="43">
        <f t="shared" si="1120"/>
        <v>1</v>
      </c>
      <c r="N1437" s="42"/>
      <c r="O1437" s="53"/>
      <c r="P1437" s="53"/>
      <c r="Q1437" s="53"/>
      <c r="R1437" s="72"/>
      <c r="S1437" s="24">
        <f t="shared" si="1117"/>
        <v>0</v>
      </c>
      <c r="T1437" s="42"/>
      <c r="U1437" s="53"/>
      <c r="V1437" s="53"/>
      <c r="W1437" s="53"/>
      <c r="X1437" s="72"/>
      <c r="Y1437" s="24">
        <f t="shared" si="1118"/>
        <v>0</v>
      </c>
      <c r="Z1437" s="24">
        <f t="shared" si="1108"/>
        <v>2</v>
      </c>
      <c r="AA1437" s="83">
        <v>45205</v>
      </c>
      <c r="AB1437" s="23"/>
      <c r="AC1437" s="38"/>
      <c r="AD1437" s="39"/>
      <c r="AE1437" s="39"/>
      <c r="AF1437" s="39"/>
      <c r="AG1437" s="39"/>
      <c r="AH1437" s="37">
        <f t="shared" si="1110"/>
        <v>0</v>
      </c>
      <c r="AI1437" s="38"/>
      <c r="AJ1437" s="39"/>
      <c r="AK1437" s="39"/>
      <c r="AL1437" s="39"/>
      <c r="AM1437" s="39"/>
      <c r="AN1437" s="37">
        <f t="shared" si="1111"/>
        <v>0</v>
      </c>
      <c r="AO1437" s="39"/>
      <c r="AP1437" s="56"/>
      <c r="AQ1437" s="56"/>
      <c r="AR1437" s="56"/>
      <c r="AS1437" s="71"/>
      <c r="AT1437" s="16">
        <f t="shared" si="1112"/>
        <v>0</v>
      </c>
      <c r="AU1437" s="39"/>
      <c r="AV1437" s="56"/>
      <c r="AW1437" s="56"/>
      <c r="AX1437" s="56"/>
      <c r="AY1437" s="71"/>
      <c r="AZ1437" s="16">
        <f t="shared" si="1113"/>
        <v>0</v>
      </c>
      <c r="BA1437" s="16">
        <f t="shared" si="1114"/>
        <v>0</v>
      </c>
      <c r="BB1437" s="128"/>
    </row>
    <row r="1438" spans="1:54" ht="14.25" x14ac:dyDescent="0.15">
      <c r="A1438" s="23" t="s">
        <v>48</v>
      </c>
      <c r="B1438" s="41"/>
      <c r="C1438" s="42"/>
      <c r="D1438" s="42"/>
      <c r="E1438" s="42">
        <v>1</v>
      </c>
      <c r="F1438" s="42"/>
      <c r="G1438" s="43">
        <f t="shared" si="1115"/>
        <v>1</v>
      </c>
      <c r="H1438" s="41"/>
      <c r="I1438" s="42">
        <v>1</v>
      </c>
      <c r="J1438" s="42"/>
      <c r="K1438" s="42">
        <v>1</v>
      </c>
      <c r="L1438" s="42"/>
      <c r="M1438" s="43">
        <f t="shared" si="1116"/>
        <v>2</v>
      </c>
      <c r="N1438" s="42"/>
      <c r="O1438" s="53"/>
      <c r="P1438" s="53"/>
      <c r="Q1438" s="53"/>
      <c r="R1438" s="72"/>
      <c r="S1438" s="24">
        <f>SUM(N1438:R1438)</f>
        <v>0</v>
      </c>
      <c r="T1438" s="42"/>
      <c r="U1438" s="53">
        <v>1</v>
      </c>
      <c r="V1438" s="53"/>
      <c r="W1438" s="53"/>
      <c r="X1438" s="72"/>
      <c r="Y1438" s="24">
        <f>SUM(T1438:X1438)</f>
        <v>1</v>
      </c>
      <c r="Z1438" s="24">
        <f>G1438+M1438+S1438+Y1438</f>
        <v>4</v>
      </c>
      <c r="AA1438" s="83">
        <v>45209</v>
      </c>
      <c r="AB1438" s="23"/>
      <c r="AC1438" s="38"/>
      <c r="AD1438" s="39"/>
      <c r="AE1438" s="39"/>
      <c r="AF1438" s="39"/>
      <c r="AG1438" s="39"/>
      <c r="AH1438" s="37">
        <f t="shared" si="1110"/>
        <v>0</v>
      </c>
      <c r="AI1438" s="38"/>
      <c r="AJ1438" s="39"/>
      <c r="AK1438" s="39"/>
      <c r="AL1438" s="39"/>
      <c r="AM1438" s="39"/>
      <c r="AN1438" s="37">
        <f t="shared" si="1111"/>
        <v>0</v>
      </c>
      <c r="AO1438" s="39"/>
      <c r="AP1438" s="56"/>
      <c r="AQ1438" s="56"/>
      <c r="AR1438" s="56"/>
      <c r="AS1438" s="71"/>
      <c r="AT1438" s="16">
        <f t="shared" si="1112"/>
        <v>0</v>
      </c>
      <c r="AU1438" s="39"/>
      <c r="AV1438" s="56"/>
      <c r="AW1438" s="56"/>
      <c r="AX1438" s="56"/>
      <c r="AY1438" s="71"/>
      <c r="AZ1438" s="16">
        <f t="shared" si="1113"/>
        <v>0</v>
      </c>
      <c r="BA1438" s="16">
        <f t="shared" si="1114"/>
        <v>0</v>
      </c>
      <c r="BB1438" s="128"/>
    </row>
    <row r="1439" spans="1:54" ht="15" thickBot="1" x14ac:dyDescent="0.2">
      <c r="A1439" s="23" t="s">
        <v>438</v>
      </c>
      <c r="B1439" s="44"/>
      <c r="C1439" s="45"/>
      <c r="D1439" s="45"/>
      <c r="E1439" s="45"/>
      <c r="F1439" s="45"/>
      <c r="G1439" s="43">
        <f t="shared" si="1115"/>
        <v>0</v>
      </c>
      <c r="H1439" s="44"/>
      <c r="I1439" s="45"/>
      <c r="J1439" s="45"/>
      <c r="K1439" s="45"/>
      <c r="L1439" s="45"/>
      <c r="M1439" s="112">
        <f t="shared" si="1116"/>
        <v>0</v>
      </c>
      <c r="N1439" s="45"/>
      <c r="O1439" s="78"/>
      <c r="P1439" s="78"/>
      <c r="Q1439" s="78"/>
      <c r="R1439" s="79"/>
      <c r="S1439" s="113">
        <f>SUM(N1439:R1439)</f>
        <v>0</v>
      </c>
      <c r="T1439" s="45"/>
      <c r="U1439" s="78"/>
      <c r="V1439" s="78">
        <v>1</v>
      </c>
      <c r="W1439" s="78"/>
      <c r="X1439" s="79"/>
      <c r="Y1439" s="113">
        <f>SUM(T1439:X1439)</f>
        <v>1</v>
      </c>
      <c r="Z1439" s="82">
        <f>G1439+M1439+S1439+Y1439</f>
        <v>1</v>
      </c>
      <c r="AA1439" s="83">
        <v>45211</v>
      </c>
      <c r="AB1439" s="23"/>
      <c r="AC1439" s="38"/>
      <c r="AD1439" s="39"/>
      <c r="AE1439" s="39"/>
      <c r="AF1439" s="39"/>
      <c r="AG1439" s="39"/>
      <c r="AH1439" s="37">
        <f t="shared" ref="AH1439" si="1134">SUM(AC1439:AG1439)</f>
        <v>0</v>
      </c>
      <c r="AI1439" s="38"/>
      <c r="AJ1439" s="39"/>
      <c r="AK1439" s="39"/>
      <c r="AL1439" s="39"/>
      <c r="AM1439" s="39"/>
      <c r="AN1439" s="37">
        <f t="shared" ref="AN1439" si="1135">SUM(AI1439:AM1439)</f>
        <v>0</v>
      </c>
      <c r="AO1439" s="39"/>
      <c r="AP1439" s="56"/>
      <c r="AQ1439" s="56"/>
      <c r="AR1439" s="56"/>
      <c r="AS1439" s="71"/>
      <c r="AT1439" s="16">
        <f t="shared" ref="AT1439" si="1136">SUM(AO1439:AS1439)</f>
        <v>0</v>
      </c>
      <c r="AU1439" s="39"/>
      <c r="AV1439" s="56"/>
      <c r="AW1439" s="56"/>
      <c r="AX1439" s="56"/>
      <c r="AY1439" s="71"/>
      <c r="AZ1439" s="16">
        <f t="shared" ref="AZ1439" si="1137">SUM(AU1439:AY1439)</f>
        <v>0</v>
      </c>
      <c r="BA1439" s="16">
        <f t="shared" ref="BA1439" si="1138">AH1439+AN1439+AT1439+AZ1439</f>
        <v>0</v>
      </c>
      <c r="BB1439" s="128"/>
    </row>
    <row r="1440" spans="1:54" ht="15" thickBot="1" x14ac:dyDescent="0.2">
      <c r="A1440" s="9" t="s">
        <v>13</v>
      </c>
      <c r="B1440" s="25">
        <f>SUM(B1414:B1439)</f>
        <v>2</v>
      </c>
      <c r="C1440" s="26">
        <f>SUM(C1414:C1439)</f>
        <v>0</v>
      </c>
      <c r="D1440" s="26">
        <f>SUM(D1414:D1439)</f>
        <v>3</v>
      </c>
      <c r="E1440" s="26">
        <f>SUM(E1414:E1439)</f>
        <v>4</v>
      </c>
      <c r="F1440" s="27">
        <f>SUM(F1414:F1439)</f>
        <v>2</v>
      </c>
      <c r="G1440" s="19">
        <f>SUM(B1440:F1440)</f>
        <v>11</v>
      </c>
      <c r="H1440" s="25">
        <f>SUM(H1414:H1439)</f>
        <v>1</v>
      </c>
      <c r="I1440" s="26">
        <f>SUM(I1414:I1439)</f>
        <v>3</v>
      </c>
      <c r="J1440" s="26">
        <f>SUM(J1414:J1439)</f>
        <v>1</v>
      </c>
      <c r="K1440" s="26">
        <f>SUM(K1414:K1439)</f>
        <v>2</v>
      </c>
      <c r="L1440" s="27">
        <f>SUM(L1414:L1439)</f>
        <v>1</v>
      </c>
      <c r="M1440" s="25">
        <f>SUM(H1440:L1440)</f>
        <v>8</v>
      </c>
      <c r="N1440" s="65">
        <f>SUM(N1414:N1439)</f>
        <v>1</v>
      </c>
      <c r="O1440" s="18">
        <f>SUM(O1414:O1439)</f>
        <v>-1</v>
      </c>
      <c r="P1440" s="18">
        <f>SUM(P1414:P1439)</f>
        <v>4</v>
      </c>
      <c r="Q1440" s="18">
        <f>SUM(Q1414:Q1439)</f>
        <v>0</v>
      </c>
      <c r="R1440" s="70">
        <f>SUM(R1414:R1439)</f>
        <v>1</v>
      </c>
      <c r="S1440" s="49">
        <f>SUM(N1440:R1440)</f>
        <v>5</v>
      </c>
      <c r="T1440" s="74">
        <f>SUM(T1414:T1439)</f>
        <v>0</v>
      </c>
      <c r="U1440" s="18">
        <f>SUM(U1414:U1439)</f>
        <v>1</v>
      </c>
      <c r="V1440" s="18">
        <f>SUM(V1414:V1439)</f>
        <v>3</v>
      </c>
      <c r="W1440" s="18">
        <f>SUM(W1414:W1439)</f>
        <v>2</v>
      </c>
      <c r="X1440" s="70">
        <f>SUM(X1414:X1439)</f>
        <v>1</v>
      </c>
      <c r="Y1440" s="49">
        <f>SUM(T1440:X1440)</f>
        <v>7</v>
      </c>
      <c r="Z1440" s="137">
        <f>G1440+M1440+S1440+Y1440</f>
        <v>31</v>
      </c>
      <c r="AB1440" s="9" t="s">
        <v>13</v>
      </c>
      <c r="AC1440" s="25">
        <f>SUM(AC1414:AC1439)</f>
        <v>0</v>
      </c>
      <c r="AD1440" s="26">
        <f>SUM(AD1414:AD1439)</f>
        <v>0</v>
      </c>
      <c r="AE1440" s="26">
        <f>SUM(AE1414:AE1439)</f>
        <v>13</v>
      </c>
      <c r="AF1440" s="26">
        <f>SUM(AF1414:AF1439)</f>
        <v>8</v>
      </c>
      <c r="AG1440" s="27">
        <f>SUM(AG1414:AG1439)</f>
        <v>6</v>
      </c>
      <c r="AH1440" s="19">
        <f t="shared" ref="AH1440" si="1139">SUM(AC1440:AG1440)</f>
        <v>27</v>
      </c>
      <c r="AI1440" s="25">
        <f>SUM(AI1414:AI1439)</f>
        <v>0</v>
      </c>
      <c r="AJ1440" s="26">
        <f>SUM(AJ1414:AJ1439)</f>
        <v>3</v>
      </c>
      <c r="AK1440" s="26">
        <f>SUM(AK1414:AK1439)</f>
        <v>0</v>
      </c>
      <c r="AL1440" s="26">
        <f>SUM(AL1414:AL1439)</f>
        <v>3</v>
      </c>
      <c r="AM1440" s="27">
        <f>SUM(AM1414:AM1439)</f>
        <v>0</v>
      </c>
      <c r="AN1440" s="25">
        <f t="shared" ref="AN1440" si="1140">SUM(AI1440:AM1440)</f>
        <v>6</v>
      </c>
      <c r="AO1440" s="65">
        <f>SUM(AO1414:AO1439)</f>
        <v>3</v>
      </c>
      <c r="AP1440" s="18">
        <f>SUM(AP1414:AP1439)</f>
        <v>3</v>
      </c>
      <c r="AQ1440" s="18">
        <f>SUM(AQ1414:AQ1439)</f>
        <v>6</v>
      </c>
      <c r="AR1440" s="18">
        <f>SUM(AR1414:AR1439)</f>
        <v>0</v>
      </c>
      <c r="AS1440" s="70">
        <f>SUM(AS1414:AS1439)</f>
        <v>3</v>
      </c>
      <c r="AT1440" s="49">
        <f t="shared" ref="AT1440" si="1141">SUM(AO1440:AS1440)</f>
        <v>15</v>
      </c>
      <c r="AU1440" s="74">
        <f>SUM(AU1414:AU1439)</f>
        <v>0</v>
      </c>
      <c r="AV1440" s="18">
        <f>SUM(AV1414:AV1439)</f>
        <v>0</v>
      </c>
      <c r="AW1440" s="18">
        <f>SUM(AW1414:AW1439)</f>
        <v>3</v>
      </c>
      <c r="AX1440" s="18">
        <f>SUM(AX1414:AX1439)</f>
        <v>3</v>
      </c>
      <c r="AY1440" s="70">
        <f>SUM(AY1414:AY1439)</f>
        <v>0</v>
      </c>
      <c r="AZ1440" s="49">
        <f t="shared" ref="AZ1440" si="1142">SUM(AU1440:AY1440)</f>
        <v>6</v>
      </c>
      <c r="BA1440" s="77">
        <f t="shared" si="1114"/>
        <v>54</v>
      </c>
    </row>
    <row r="1441" spans="1:54" ht="15" thickBot="1" x14ac:dyDescent="0.2">
      <c r="A1441" s="32" t="s">
        <v>14</v>
      </c>
      <c r="B1441" s="29">
        <f t="shared" ref="B1441:Y1441" si="1143">B1413-B1440</f>
        <v>4</v>
      </c>
      <c r="C1441" s="30">
        <f t="shared" si="1143"/>
        <v>5</v>
      </c>
      <c r="D1441" s="30">
        <f t="shared" si="1143"/>
        <v>8</v>
      </c>
      <c r="E1441" s="30">
        <f t="shared" si="1143"/>
        <v>4</v>
      </c>
      <c r="F1441" s="31">
        <f t="shared" si="1143"/>
        <v>5</v>
      </c>
      <c r="G1441" s="31">
        <f t="shared" si="1143"/>
        <v>26</v>
      </c>
      <c r="H1441" s="29">
        <f t="shared" si="1143"/>
        <v>5</v>
      </c>
      <c r="I1441" s="30">
        <f t="shared" si="1143"/>
        <v>3</v>
      </c>
      <c r="J1441" s="30">
        <f t="shared" si="1143"/>
        <v>4</v>
      </c>
      <c r="K1441" s="30">
        <f t="shared" si="1143"/>
        <v>4</v>
      </c>
      <c r="L1441" s="31">
        <f t="shared" si="1143"/>
        <v>5</v>
      </c>
      <c r="M1441" s="66">
        <f t="shared" si="1143"/>
        <v>21</v>
      </c>
      <c r="N1441" s="29">
        <f t="shared" si="1143"/>
        <v>6</v>
      </c>
      <c r="O1441" s="30">
        <f t="shared" si="1143"/>
        <v>6</v>
      </c>
      <c r="P1441" s="30">
        <f t="shared" si="1143"/>
        <v>3</v>
      </c>
      <c r="Q1441" s="30">
        <f t="shared" si="1143"/>
        <v>5</v>
      </c>
      <c r="R1441" s="66">
        <f t="shared" si="1143"/>
        <v>6</v>
      </c>
      <c r="S1441" s="33">
        <f t="shared" si="1143"/>
        <v>26</v>
      </c>
      <c r="T1441" s="75">
        <f t="shared" si="1143"/>
        <v>8</v>
      </c>
      <c r="U1441" s="30">
        <f t="shared" si="1143"/>
        <v>5</v>
      </c>
      <c r="V1441" s="30">
        <f t="shared" si="1143"/>
        <v>3</v>
      </c>
      <c r="W1441" s="30">
        <f t="shared" si="1143"/>
        <v>5</v>
      </c>
      <c r="X1441" s="66">
        <f t="shared" si="1143"/>
        <v>4</v>
      </c>
      <c r="Y1441" s="33">
        <f t="shared" si="1143"/>
        <v>25</v>
      </c>
      <c r="Z1441" s="77">
        <f>G1441+M1441+S1441+Y1441</f>
        <v>98</v>
      </c>
      <c r="AB1441" s="32" t="s">
        <v>14</v>
      </c>
      <c r="AC1441" s="29">
        <f t="shared" ref="AC1441:AZ1441" si="1144">AC1413-AC1440</f>
        <v>104</v>
      </c>
      <c r="AD1441" s="30">
        <f t="shared" si="1144"/>
        <v>80</v>
      </c>
      <c r="AE1441" s="30">
        <f t="shared" si="1144"/>
        <v>72</v>
      </c>
      <c r="AF1441" s="30">
        <f t="shared" si="1144"/>
        <v>51</v>
      </c>
      <c r="AG1441" s="31">
        <f t="shared" si="1144"/>
        <v>32</v>
      </c>
      <c r="AH1441" s="31">
        <f t="shared" si="1144"/>
        <v>339</v>
      </c>
      <c r="AI1441" s="29">
        <f t="shared" si="1144"/>
        <v>87</v>
      </c>
      <c r="AJ1441" s="30">
        <f t="shared" si="1144"/>
        <v>83</v>
      </c>
      <c r="AK1441" s="30">
        <f t="shared" si="1144"/>
        <v>90</v>
      </c>
      <c r="AL1441" s="30">
        <f t="shared" si="1144"/>
        <v>73</v>
      </c>
      <c r="AM1441" s="31">
        <f t="shared" si="1144"/>
        <v>88</v>
      </c>
      <c r="AN1441" s="66">
        <f t="shared" si="1144"/>
        <v>421</v>
      </c>
      <c r="AO1441" s="29">
        <f t="shared" si="1144"/>
        <v>143</v>
      </c>
      <c r="AP1441" s="30">
        <f t="shared" si="1144"/>
        <v>105</v>
      </c>
      <c r="AQ1441" s="30">
        <f t="shared" si="1144"/>
        <v>105</v>
      </c>
      <c r="AR1441" s="30">
        <f t="shared" si="1144"/>
        <v>124</v>
      </c>
      <c r="AS1441" s="66">
        <f t="shared" si="1144"/>
        <v>127</v>
      </c>
      <c r="AT1441" s="33">
        <f t="shared" si="1144"/>
        <v>604</v>
      </c>
      <c r="AU1441" s="75">
        <f t="shared" si="1144"/>
        <v>111</v>
      </c>
      <c r="AV1441" s="30">
        <f t="shared" si="1144"/>
        <v>58</v>
      </c>
      <c r="AW1441" s="30">
        <f t="shared" si="1144"/>
        <v>34</v>
      </c>
      <c r="AX1441" s="30">
        <f t="shared" si="1144"/>
        <v>25</v>
      </c>
      <c r="AY1441" s="66">
        <f t="shared" si="1144"/>
        <v>77</v>
      </c>
      <c r="AZ1441" s="33">
        <f t="shared" si="1144"/>
        <v>305</v>
      </c>
      <c r="BA1441" s="77">
        <f t="shared" si="1114"/>
        <v>1669</v>
      </c>
    </row>
    <row r="1444" spans="1:54" ht="19.5" thickBot="1" x14ac:dyDescent="0.25">
      <c r="A1444" s="1" t="s">
        <v>15</v>
      </c>
      <c r="AB1444" s="1" t="s">
        <v>16</v>
      </c>
    </row>
    <row r="1445" spans="1:54" ht="15" thickBot="1" x14ac:dyDescent="0.2">
      <c r="A1445" s="4"/>
      <c r="B1445" s="245" t="s">
        <v>17</v>
      </c>
      <c r="C1445" s="246"/>
      <c r="D1445" s="246"/>
      <c r="E1445" s="246"/>
      <c r="F1445" s="246"/>
      <c r="G1445" s="247"/>
      <c r="H1445" s="245" t="s">
        <v>18</v>
      </c>
      <c r="I1445" s="246"/>
      <c r="J1445" s="246"/>
      <c r="K1445" s="246"/>
      <c r="L1445" s="246"/>
      <c r="M1445" s="247"/>
      <c r="N1445" s="248" t="s">
        <v>27</v>
      </c>
      <c r="O1445" s="249"/>
      <c r="P1445" s="249"/>
      <c r="Q1445" s="249"/>
      <c r="R1445" s="249"/>
      <c r="S1445" s="250"/>
      <c r="T1445" s="248" t="s">
        <v>28</v>
      </c>
      <c r="U1445" s="249"/>
      <c r="V1445" s="249"/>
      <c r="W1445" s="249"/>
      <c r="X1445" s="249"/>
      <c r="Y1445" s="250"/>
      <c r="Z1445" s="251" t="s">
        <v>1</v>
      </c>
      <c r="AB1445" s="4"/>
      <c r="AC1445" s="253" t="s">
        <v>17</v>
      </c>
      <c r="AD1445" s="249"/>
      <c r="AE1445" s="249"/>
      <c r="AF1445" s="249"/>
      <c r="AG1445" s="249"/>
      <c r="AH1445" s="250"/>
      <c r="AI1445" s="248" t="s">
        <v>18</v>
      </c>
      <c r="AJ1445" s="249"/>
      <c r="AK1445" s="249"/>
      <c r="AL1445" s="249"/>
      <c r="AM1445" s="249"/>
      <c r="AN1445" s="250"/>
      <c r="AO1445" s="248" t="s">
        <v>27</v>
      </c>
      <c r="AP1445" s="249"/>
      <c r="AQ1445" s="249"/>
      <c r="AR1445" s="249"/>
      <c r="AS1445" s="249"/>
      <c r="AT1445" s="250"/>
      <c r="AU1445" s="248" t="s">
        <v>28</v>
      </c>
      <c r="AV1445" s="249"/>
      <c r="AW1445" s="249"/>
      <c r="AX1445" s="249"/>
      <c r="AY1445" s="249"/>
      <c r="AZ1445" s="250"/>
      <c r="BA1445" s="243" t="s">
        <v>1</v>
      </c>
    </row>
    <row r="1446" spans="1:54" ht="15" thickBot="1" x14ac:dyDescent="0.2">
      <c r="A1446" s="9" t="s">
        <v>2</v>
      </c>
      <c r="B1446" s="6" t="s">
        <v>3</v>
      </c>
      <c r="C1446" s="7" t="s">
        <v>4</v>
      </c>
      <c r="D1446" s="7" t="s">
        <v>5</v>
      </c>
      <c r="E1446" s="48" t="s">
        <v>20</v>
      </c>
      <c r="F1446" s="8" t="s">
        <v>21</v>
      </c>
      <c r="G1446" s="5" t="s">
        <v>6</v>
      </c>
      <c r="H1446" s="6" t="s">
        <v>3</v>
      </c>
      <c r="I1446" s="7" t="s">
        <v>4</v>
      </c>
      <c r="J1446" s="7" t="s">
        <v>5</v>
      </c>
      <c r="K1446" s="48" t="s">
        <v>20</v>
      </c>
      <c r="L1446" s="8" t="s">
        <v>21</v>
      </c>
      <c r="M1446" s="5" t="s">
        <v>6</v>
      </c>
      <c r="N1446" s="6" t="s">
        <v>3</v>
      </c>
      <c r="O1446" s="7" t="s">
        <v>4</v>
      </c>
      <c r="P1446" s="7" t="s">
        <v>5</v>
      </c>
      <c r="Q1446" s="48" t="s">
        <v>20</v>
      </c>
      <c r="R1446" s="8" t="s">
        <v>21</v>
      </c>
      <c r="S1446" s="5" t="s">
        <v>6</v>
      </c>
      <c r="T1446" s="7" t="s">
        <v>3</v>
      </c>
      <c r="U1446" s="7" t="s">
        <v>4</v>
      </c>
      <c r="V1446" s="7" t="s">
        <v>5</v>
      </c>
      <c r="W1446" s="48" t="s">
        <v>20</v>
      </c>
      <c r="X1446" s="109" t="s">
        <v>21</v>
      </c>
      <c r="Y1446" s="62" t="s">
        <v>6</v>
      </c>
      <c r="Z1446" s="252"/>
      <c r="AB1446" s="9" t="s">
        <v>2</v>
      </c>
      <c r="AC1446" s="6" t="s">
        <v>3</v>
      </c>
      <c r="AD1446" s="7" t="s">
        <v>4</v>
      </c>
      <c r="AE1446" s="7" t="s">
        <v>5</v>
      </c>
      <c r="AF1446" s="48" t="s">
        <v>20</v>
      </c>
      <c r="AG1446" s="8" t="s">
        <v>21</v>
      </c>
      <c r="AH1446" s="5" t="s">
        <v>6</v>
      </c>
      <c r="AI1446" s="6" t="s">
        <v>3</v>
      </c>
      <c r="AJ1446" s="7" t="s">
        <v>4</v>
      </c>
      <c r="AK1446" s="7" t="s">
        <v>5</v>
      </c>
      <c r="AL1446" s="48" t="s">
        <v>20</v>
      </c>
      <c r="AM1446" s="8" t="s">
        <v>21</v>
      </c>
      <c r="AN1446" s="5" t="s">
        <v>6</v>
      </c>
      <c r="AO1446" s="6" t="s">
        <v>3</v>
      </c>
      <c r="AP1446" s="7" t="s">
        <v>4</v>
      </c>
      <c r="AQ1446" s="7" t="s">
        <v>5</v>
      </c>
      <c r="AR1446" s="48" t="s">
        <v>20</v>
      </c>
      <c r="AS1446" s="8" t="s">
        <v>21</v>
      </c>
      <c r="AT1446" s="5" t="s">
        <v>6</v>
      </c>
      <c r="AU1446" s="7" t="s">
        <v>3</v>
      </c>
      <c r="AV1446" s="7" t="s">
        <v>4</v>
      </c>
      <c r="AW1446" s="7" t="s">
        <v>5</v>
      </c>
      <c r="AX1446" s="48" t="s">
        <v>20</v>
      </c>
      <c r="AY1446" s="109" t="s">
        <v>21</v>
      </c>
      <c r="AZ1446" s="62" t="s">
        <v>6</v>
      </c>
      <c r="BA1446" s="244"/>
    </row>
    <row r="1447" spans="1:54" ht="14.25" x14ac:dyDescent="0.15">
      <c r="A1447" s="103" t="s">
        <v>43</v>
      </c>
      <c r="B1447" s="104">
        <f>B1441</f>
        <v>4</v>
      </c>
      <c r="C1447" s="105">
        <f>C1441</f>
        <v>5</v>
      </c>
      <c r="D1447" s="105">
        <f>D1441</f>
        <v>8</v>
      </c>
      <c r="E1447" s="105">
        <f>E1441</f>
        <v>4</v>
      </c>
      <c r="F1447" s="105">
        <f>F1441</f>
        <v>5</v>
      </c>
      <c r="G1447" s="106">
        <f t="shared" ref="G1447" si="1145">SUM(B1447:F1447)</f>
        <v>26</v>
      </c>
      <c r="H1447" s="104">
        <f>H1441</f>
        <v>5</v>
      </c>
      <c r="I1447" s="105">
        <f>I1441</f>
        <v>3</v>
      </c>
      <c r="J1447" s="105">
        <f>J1441</f>
        <v>4</v>
      </c>
      <c r="K1447" s="105">
        <f>K1441</f>
        <v>4</v>
      </c>
      <c r="L1447" s="105">
        <f>L1441</f>
        <v>5</v>
      </c>
      <c r="M1447" s="107">
        <f t="shared" ref="M1447:M1449" si="1146">SUM(H1447:L1447)</f>
        <v>21</v>
      </c>
      <c r="N1447" s="104">
        <f>N1441</f>
        <v>6</v>
      </c>
      <c r="O1447" s="105">
        <f>O1441</f>
        <v>6</v>
      </c>
      <c r="P1447" s="105">
        <f>P1441</f>
        <v>3</v>
      </c>
      <c r="Q1447" s="105">
        <f>Q1441</f>
        <v>5</v>
      </c>
      <c r="R1447" s="105">
        <f>R1441</f>
        <v>6</v>
      </c>
      <c r="S1447" s="108">
        <f t="shared" ref="S1447:S1449" si="1147">SUM(N1447:R1447)</f>
        <v>26</v>
      </c>
      <c r="T1447" s="104">
        <f>T1441</f>
        <v>8</v>
      </c>
      <c r="U1447" s="105">
        <f>U1441</f>
        <v>5</v>
      </c>
      <c r="V1447" s="105">
        <f>V1441</f>
        <v>3</v>
      </c>
      <c r="W1447" s="105">
        <f>W1441</f>
        <v>5</v>
      </c>
      <c r="X1447" s="105">
        <f>X1441</f>
        <v>4</v>
      </c>
      <c r="Y1447" s="106">
        <f t="shared" ref="Y1447:Y1449" si="1148">SUM(T1447:X1447)</f>
        <v>25</v>
      </c>
      <c r="Z1447" s="106">
        <f t="shared" ref="Z1447:Z1476" si="1149">G1447+M1447+S1447+Y1447</f>
        <v>98</v>
      </c>
      <c r="AB1447" s="103" t="s">
        <v>43</v>
      </c>
      <c r="AC1447" s="104">
        <f>AC1441</f>
        <v>104</v>
      </c>
      <c r="AD1447" s="105">
        <f>AD1441</f>
        <v>80</v>
      </c>
      <c r="AE1447" s="105">
        <f>AE1441</f>
        <v>72</v>
      </c>
      <c r="AF1447" s="105">
        <f>AF1441</f>
        <v>51</v>
      </c>
      <c r="AG1447" s="105">
        <f>AG1441</f>
        <v>32</v>
      </c>
      <c r="AH1447" s="106">
        <f>SUM(AC1447:AG1447)</f>
        <v>339</v>
      </c>
      <c r="AI1447" s="104">
        <f>AI1441</f>
        <v>87</v>
      </c>
      <c r="AJ1447" s="105">
        <f>AJ1441</f>
        <v>83</v>
      </c>
      <c r="AK1447" s="105">
        <f>AK1441</f>
        <v>90</v>
      </c>
      <c r="AL1447" s="105">
        <f>AL1441</f>
        <v>73</v>
      </c>
      <c r="AM1447" s="105">
        <f>AM1441</f>
        <v>88</v>
      </c>
      <c r="AN1447" s="107">
        <f>SUM(AI1447:AM1447)</f>
        <v>421</v>
      </c>
      <c r="AO1447" s="104">
        <f>AO1441</f>
        <v>143</v>
      </c>
      <c r="AP1447" s="105">
        <f>AP1441</f>
        <v>105</v>
      </c>
      <c r="AQ1447" s="105">
        <f>AQ1441</f>
        <v>105</v>
      </c>
      <c r="AR1447" s="105">
        <f>AR1441</f>
        <v>124</v>
      </c>
      <c r="AS1447" s="105">
        <f>AS1441</f>
        <v>127</v>
      </c>
      <c r="AT1447" s="108">
        <f>SUM(AO1447:AS1447)</f>
        <v>604</v>
      </c>
      <c r="AU1447" s="104">
        <f>AU1441</f>
        <v>111</v>
      </c>
      <c r="AV1447" s="105">
        <f>AV1441</f>
        <v>58</v>
      </c>
      <c r="AW1447" s="105">
        <f>AW1441</f>
        <v>34</v>
      </c>
      <c r="AX1447" s="105">
        <f>AX1441</f>
        <v>25</v>
      </c>
      <c r="AY1447" s="105">
        <f>AY1441</f>
        <v>77</v>
      </c>
      <c r="AZ1447" s="106">
        <f>SUM(AU1447:AY1447)</f>
        <v>305</v>
      </c>
      <c r="BA1447" s="106">
        <f>AH1447+AN1447+AT1447+AZ1447</f>
        <v>1669</v>
      </c>
    </row>
    <row r="1448" spans="1:54" ht="14.25" x14ac:dyDescent="0.15">
      <c r="A1448" s="10" t="s">
        <v>181</v>
      </c>
      <c r="B1448" s="14"/>
      <c r="C1448" s="15"/>
      <c r="D1448" s="15"/>
      <c r="E1448" s="15"/>
      <c r="F1448" s="15"/>
      <c r="G1448" s="16">
        <f t="shared" ref="G1448" si="1150">SUM(B1448:F1448)</f>
        <v>0</v>
      </c>
      <c r="H1448" s="14"/>
      <c r="I1448" s="15"/>
      <c r="J1448" s="15"/>
      <c r="K1448" s="15">
        <v>3</v>
      </c>
      <c r="L1448" s="15"/>
      <c r="M1448" s="57">
        <f t="shared" si="1146"/>
        <v>3</v>
      </c>
      <c r="N1448" s="14"/>
      <c r="O1448" s="55"/>
      <c r="P1448" s="55">
        <v>3</v>
      </c>
      <c r="Q1448" s="55"/>
      <c r="R1448" s="67"/>
      <c r="S1448" s="24">
        <f t="shared" si="1147"/>
        <v>3</v>
      </c>
      <c r="T1448" s="15"/>
      <c r="U1448" s="55"/>
      <c r="V1448" s="55">
        <v>3</v>
      </c>
      <c r="W1448" s="55"/>
      <c r="X1448" s="67"/>
      <c r="Y1448" s="24">
        <f t="shared" si="1148"/>
        <v>3</v>
      </c>
      <c r="Z1448" s="24">
        <f t="shared" si="1149"/>
        <v>9</v>
      </c>
      <c r="AA1448" s="83">
        <v>45212</v>
      </c>
      <c r="AB1448" s="10" t="s">
        <v>181</v>
      </c>
      <c r="AC1448" s="14"/>
      <c r="AD1448" s="15"/>
      <c r="AE1448" s="15"/>
      <c r="AF1448" s="15"/>
      <c r="AG1448" s="15"/>
      <c r="AH1448" s="43">
        <f t="shared" ref="AH1448:AH1459" si="1151">SUM(AC1448:AG1448)</f>
        <v>0</v>
      </c>
      <c r="AI1448" s="14"/>
      <c r="AJ1448" s="15"/>
      <c r="AK1448" s="15"/>
      <c r="AL1448" s="15"/>
      <c r="AM1448" s="15"/>
      <c r="AN1448" s="43">
        <f t="shared" ref="AN1448:AN1459" si="1152">SUM(AI1448:AM1448)</f>
        <v>0</v>
      </c>
      <c r="AO1448" s="14"/>
      <c r="AP1448" s="55"/>
      <c r="AQ1448" s="55"/>
      <c r="AR1448" s="55"/>
      <c r="AS1448" s="67"/>
      <c r="AT1448" s="24">
        <f t="shared" ref="AT1448:AT1459" si="1153">SUM(AO1448:AS1448)</f>
        <v>0</v>
      </c>
      <c r="AU1448" s="15"/>
      <c r="AV1448" s="55"/>
      <c r="AW1448" s="55"/>
      <c r="AX1448" s="55"/>
      <c r="AY1448" s="67"/>
      <c r="AZ1448" s="24">
        <f t="shared" ref="AZ1448:AZ1459" si="1154">SUM(AU1448:AY1448)</f>
        <v>0</v>
      </c>
      <c r="BA1448" s="24">
        <f t="shared" ref="BA1448:BA1480" si="1155">AH1448+AN1448+AT1448+AZ1448</f>
        <v>0</v>
      </c>
      <c r="BB1448" s="128"/>
    </row>
    <row r="1449" spans="1:54" ht="14.25" x14ac:dyDescent="0.15">
      <c r="A1449" s="10" t="s">
        <v>77</v>
      </c>
      <c r="B1449" s="14"/>
      <c r="C1449" s="15"/>
      <c r="D1449" s="15"/>
      <c r="E1449" s="15"/>
      <c r="F1449" s="15">
        <v>1</v>
      </c>
      <c r="G1449" s="16">
        <f t="shared" ref="G1449" si="1156">SUM(B1449:F1449)</f>
        <v>1</v>
      </c>
      <c r="H1449" s="14"/>
      <c r="I1449" s="15"/>
      <c r="J1449" s="15"/>
      <c r="K1449" s="15"/>
      <c r="L1449" s="15"/>
      <c r="M1449" s="57">
        <f t="shared" si="1146"/>
        <v>0</v>
      </c>
      <c r="N1449" s="14"/>
      <c r="O1449" s="55"/>
      <c r="P1449" s="55"/>
      <c r="Q1449" s="55"/>
      <c r="R1449" s="67"/>
      <c r="S1449" s="24">
        <f t="shared" si="1147"/>
        <v>0</v>
      </c>
      <c r="T1449" s="15"/>
      <c r="U1449" s="55"/>
      <c r="V1449" s="55"/>
      <c r="W1449" s="55"/>
      <c r="X1449" s="67"/>
      <c r="Y1449" s="24">
        <f t="shared" si="1148"/>
        <v>0</v>
      </c>
      <c r="Z1449" s="24">
        <f t="shared" si="1149"/>
        <v>1</v>
      </c>
      <c r="AA1449" s="83">
        <v>45212</v>
      </c>
      <c r="AB1449" s="10" t="s">
        <v>181</v>
      </c>
      <c r="AC1449" s="14"/>
      <c r="AD1449" s="15"/>
      <c r="AE1449" s="15"/>
      <c r="AF1449" s="15"/>
      <c r="AG1449" s="15"/>
      <c r="AH1449" s="43">
        <f t="shared" si="1151"/>
        <v>0</v>
      </c>
      <c r="AI1449" s="14"/>
      <c r="AJ1449" s="15"/>
      <c r="AK1449" s="15"/>
      <c r="AL1449" s="15"/>
      <c r="AM1449" s="15"/>
      <c r="AN1449" s="43">
        <f t="shared" si="1152"/>
        <v>0</v>
      </c>
      <c r="AO1449" s="14"/>
      <c r="AP1449" s="55"/>
      <c r="AQ1449" s="55"/>
      <c r="AR1449" s="55"/>
      <c r="AS1449" s="67"/>
      <c r="AT1449" s="24">
        <f t="shared" si="1153"/>
        <v>0</v>
      </c>
      <c r="AU1449" s="15"/>
      <c r="AV1449" s="55"/>
      <c r="AW1449" s="55"/>
      <c r="AX1449" s="55"/>
      <c r="AY1449" s="67"/>
      <c r="AZ1449" s="24">
        <f t="shared" si="1154"/>
        <v>0</v>
      </c>
      <c r="BA1449" s="24">
        <f t="shared" si="1155"/>
        <v>0</v>
      </c>
      <c r="BB1449" s="128"/>
    </row>
    <row r="1450" spans="1:54" ht="14.25" x14ac:dyDescent="0.15">
      <c r="A1450" s="10" t="s">
        <v>181</v>
      </c>
      <c r="B1450" s="14"/>
      <c r="C1450" s="15">
        <v>5</v>
      </c>
      <c r="D1450" s="15"/>
      <c r="E1450" s="15"/>
      <c r="F1450" s="15"/>
      <c r="G1450" s="16">
        <f t="shared" ref="G1450:G1451" si="1157">SUM(B1450:F1450)</f>
        <v>5</v>
      </c>
      <c r="H1450" s="14"/>
      <c r="I1450" s="15"/>
      <c r="J1450" s="15"/>
      <c r="K1450" s="15"/>
      <c r="L1450" s="15"/>
      <c r="M1450" s="57">
        <f t="shared" ref="M1450:M1451" si="1158">SUM(H1450:L1450)</f>
        <v>0</v>
      </c>
      <c r="N1450" s="14"/>
      <c r="O1450" s="55"/>
      <c r="P1450" s="55"/>
      <c r="Q1450" s="55"/>
      <c r="R1450" s="67"/>
      <c r="S1450" s="24">
        <f t="shared" ref="S1450:S1451" si="1159">SUM(N1450:R1450)</f>
        <v>0</v>
      </c>
      <c r="T1450" s="15"/>
      <c r="U1450" s="55"/>
      <c r="V1450" s="55"/>
      <c r="W1450" s="55"/>
      <c r="X1450" s="67"/>
      <c r="Y1450" s="24">
        <f t="shared" ref="Y1450:Y1451" si="1160">SUM(T1450:X1450)</f>
        <v>0</v>
      </c>
      <c r="Z1450" s="24">
        <f t="shared" ref="Z1450:Z1451" si="1161">G1450+M1450+S1450+Y1450</f>
        <v>5</v>
      </c>
      <c r="AA1450" s="83">
        <v>45218</v>
      </c>
      <c r="AB1450" s="10" t="s">
        <v>181</v>
      </c>
      <c r="AC1450" s="14"/>
      <c r="AD1450" s="15"/>
      <c r="AE1450" s="15"/>
      <c r="AF1450" s="15"/>
      <c r="AG1450" s="15"/>
      <c r="AH1450" s="43">
        <f t="shared" si="1151"/>
        <v>0</v>
      </c>
      <c r="AI1450" s="14"/>
      <c r="AJ1450" s="15"/>
      <c r="AK1450" s="15"/>
      <c r="AL1450" s="15"/>
      <c r="AM1450" s="15"/>
      <c r="AN1450" s="43">
        <f t="shared" si="1152"/>
        <v>0</v>
      </c>
      <c r="AO1450" s="14"/>
      <c r="AP1450" s="55"/>
      <c r="AQ1450" s="55"/>
      <c r="AR1450" s="55"/>
      <c r="AS1450" s="67"/>
      <c r="AT1450" s="24">
        <f t="shared" si="1153"/>
        <v>0</v>
      </c>
      <c r="AU1450" s="15"/>
      <c r="AV1450" s="55"/>
      <c r="AW1450" s="55"/>
      <c r="AX1450" s="55"/>
      <c r="AY1450" s="67"/>
      <c r="AZ1450" s="24">
        <f t="shared" si="1154"/>
        <v>0</v>
      </c>
      <c r="BA1450" s="24">
        <f t="shared" si="1155"/>
        <v>0</v>
      </c>
      <c r="BB1450" s="128"/>
    </row>
    <row r="1451" spans="1:54" ht="15" thickBot="1" x14ac:dyDescent="0.2">
      <c r="A1451" s="10" t="s">
        <v>181</v>
      </c>
      <c r="B1451" s="14"/>
      <c r="C1451" s="15"/>
      <c r="D1451" s="15"/>
      <c r="E1451" s="15"/>
      <c r="F1451" s="15"/>
      <c r="G1451" s="16">
        <f t="shared" si="1157"/>
        <v>0</v>
      </c>
      <c r="H1451" s="14"/>
      <c r="I1451" s="15">
        <v>3</v>
      </c>
      <c r="J1451" s="15">
        <v>3</v>
      </c>
      <c r="K1451" s="15"/>
      <c r="L1451" s="15"/>
      <c r="M1451" s="57">
        <f t="shared" si="1158"/>
        <v>6</v>
      </c>
      <c r="N1451" s="14"/>
      <c r="O1451" s="55"/>
      <c r="P1451" s="55"/>
      <c r="Q1451" s="55">
        <v>3</v>
      </c>
      <c r="R1451" s="67"/>
      <c r="S1451" s="24">
        <f t="shared" si="1159"/>
        <v>3</v>
      </c>
      <c r="T1451" s="15"/>
      <c r="U1451" s="55"/>
      <c r="V1451" s="55">
        <v>3</v>
      </c>
      <c r="W1451" s="55"/>
      <c r="X1451" s="67"/>
      <c r="Y1451" s="24">
        <f t="shared" si="1160"/>
        <v>3</v>
      </c>
      <c r="Z1451" s="24">
        <f t="shared" si="1161"/>
        <v>12</v>
      </c>
      <c r="AA1451" s="83">
        <v>45219</v>
      </c>
      <c r="AB1451" s="10" t="s">
        <v>181</v>
      </c>
      <c r="AC1451" s="14"/>
      <c r="AD1451" s="15"/>
      <c r="AE1451" s="15"/>
      <c r="AF1451" s="15"/>
      <c r="AG1451" s="15"/>
      <c r="AH1451" s="43">
        <f t="shared" si="1151"/>
        <v>0</v>
      </c>
      <c r="AI1451" s="14"/>
      <c r="AJ1451" s="15"/>
      <c r="AK1451" s="15"/>
      <c r="AL1451" s="15"/>
      <c r="AM1451" s="15"/>
      <c r="AN1451" s="43">
        <f t="shared" si="1152"/>
        <v>0</v>
      </c>
      <c r="AO1451" s="14"/>
      <c r="AP1451" s="55"/>
      <c r="AQ1451" s="55"/>
      <c r="AR1451" s="55"/>
      <c r="AS1451" s="67"/>
      <c r="AT1451" s="24">
        <f t="shared" si="1153"/>
        <v>0</v>
      </c>
      <c r="AU1451" s="15"/>
      <c r="AV1451" s="55"/>
      <c r="AW1451" s="55"/>
      <c r="AX1451" s="55"/>
      <c r="AY1451" s="67"/>
      <c r="AZ1451" s="24">
        <f t="shared" si="1154"/>
        <v>0</v>
      </c>
      <c r="BA1451" s="24">
        <f t="shared" si="1155"/>
        <v>0</v>
      </c>
      <c r="BB1451" s="128"/>
    </row>
    <row r="1452" spans="1:54" ht="15" thickBot="1" x14ac:dyDescent="0.2">
      <c r="A1452" s="4" t="s">
        <v>12</v>
      </c>
      <c r="B1452" s="17">
        <f>SUM(B1447:B1451)</f>
        <v>4</v>
      </c>
      <c r="C1452" s="18">
        <f>SUM(C1447:C1451)</f>
        <v>10</v>
      </c>
      <c r="D1452" s="18">
        <f>SUM(D1447:D1451)</f>
        <v>8</v>
      </c>
      <c r="E1452" s="18">
        <f>SUM(E1447:E1451)</f>
        <v>4</v>
      </c>
      <c r="F1452" s="18">
        <f>SUM(F1447:F1451)</f>
        <v>6</v>
      </c>
      <c r="G1452" s="148">
        <f t="shared" ref="G1452:G1478" si="1162">SUM(B1452:F1452)</f>
        <v>32</v>
      </c>
      <c r="H1452" s="17">
        <f>SUM(H1447:H1451)</f>
        <v>5</v>
      </c>
      <c r="I1452" s="18">
        <f>SUM(I1447:I1451)</f>
        <v>6</v>
      </c>
      <c r="J1452" s="18">
        <f>SUM(J1447:J1451)</f>
        <v>7</v>
      </c>
      <c r="K1452" s="18">
        <f>SUM(K1447:K1451)</f>
        <v>7</v>
      </c>
      <c r="L1452" s="18">
        <f>SUM(L1447:L1451)</f>
        <v>5</v>
      </c>
      <c r="M1452" s="17">
        <f t="shared" ref="M1452:M1478" si="1163">SUM(H1452:L1452)</f>
        <v>30</v>
      </c>
      <c r="N1452" s="65">
        <f>SUM(N1447:N1451)</f>
        <v>6</v>
      </c>
      <c r="O1452" s="18">
        <f>SUM(O1447:O1451)</f>
        <v>6</v>
      </c>
      <c r="P1452" s="18">
        <f>SUM(P1447:P1451)</f>
        <v>6</v>
      </c>
      <c r="Q1452" s="18">
        <f>SUM(Q1447:Q1451)</f>
        <v>8</v>
      </c>
      <c r="R1452" s="70">
        <f>SUM(R1447:R1451)</f>
        <v>6</v>
      </c>
      <c r="S1452" s="49">
        <f t="shared" ref="S1452:S1476" si="1164">SUM(N1452:R1452)</f>
        <v>32</v>
      </c>
      <c r="T1452" s="74">
        <f>SUM(T1447:T1451)</f>
        <v>8</v>
      </c>
      <c r="U1452" s="18">
        <f>SUM(U1447:U1451)</f>
        <v>5</v>
      </c>
      <c r="V1452" s="18">
        <f>SUM(V1447:V1451)</f>
        <v>9</v>
      </c>
      <c r="W1452" s="18">
        <f>SUM(W1447:W1451)</f>
        <v>5</v>
      </c>
      <c r="X1452" s="70">
        <f>SUM(X1447:X1451)</f>
        <v>4</v>
      </c>
      <c r="Y1452" s="49">
        <f t="shared" ref="Y1452:Y1476" si="1165">SUM(T1452:X1452)</f>
        <v>31</v>
      </c>
      <c r="Z1452" s="33">
        <f t="shared" si="1149"/>
        <v>125</v>
      </c>
      <c r="AB1452" s="4" t="s">
        <v>12</v>
      </c>
      <c r="AC1452" s="17">
        <f>SUM(AC1447:AC1451)</f>
        <v>104</v>
      </c>
      <c r="AD1452" s="18">
        <f>SUM(AD1447:AD1451)</f>
        <v>80</v>
      </c>
      <c r="AE1452" s="18">
        <f>SUM(AE1447:AE1451)</f>
        <v>72</v>
      </c>
      <c r="AF1452" s="18">
        <f>SUM(AF1447:AF1451)</f>
        <v>51</v>
      </c>
      <c r="AG1452" s="18">
        <f>SUM(AG1447:AG1451)</f>
        <v>32</v>
      </c>
      <c r="AH1452" s="148">
        <f t="shared" si="1151"/>
        <v>339</v>
      </c>
      <c r="AI1452" s="17">
        <f>SUM(AI1447:AI1451)</f>
        <v>87</v>
      </c>
      <c r="AJ1452" s="18">
        <f>SUM(AJ1447:AJ1451)</f>
        <v>83</v>
      </c>
      <c r="AK1452" s="18">
        <f>SUM(AK1447:AK1451)</f>
        <v>90</v>
      </c>
      <c r="AL1452" s="18">
        <f>SUM(AL1447:AL1451)</f>
        <v>73</v>
      </c>
      <c r="AM1452" s="18">
        <f>SUM(AM1447:AM1451)</f>
        <v>88</v>
      </c>
      <c r="AN1452" s="148">
        <f t="shared" si="1152"/>
        <v>421</v>
      </c>
      <c r="AO1452" s="65">
        <f>SUM(AO1447:AO1451)</f>
        <v>143</v>
      </c>
      <c r="AP1452" s="18">
        <f>SUM(AP1447:AP1451)</f>
        <v>105</v>
      </c>
      <c r="AQ1452" s="18">
        <f>SUM(AQ1447:AQ1451)</f>
        <v>105</v>
      </c>
      <c r="AR1452" s="18">
        <f>SUM(AR1447:AR1451)</f>
        <v>124</v>
      </c>
      <c r="AS1452" s="70">
        <f>SUM(AS1447:AS1451)</f>
        <v>127</v>
      </c>
      <c r="AT1452" s="49">
        <f t="shared" si="1153"/>
        <v>604</v>
      </c>
      <c r="AU1452" s="74">
        <f>SUM(AU1447:AU1451)</f>
        <v>111</v>
      </c>
      <c r="AV1452" s="18">
        <f>SUM(AV1447:AV1451)</f>
        <v>58</v>
      </c>
      <c r="AW1452" s="18">
        <f>SUM(AW1447:AW1451)</f>
        <v>34</v>
      </c>
      <c r="AX1452" s="18">
        <f>SUM(AX1447:AX1451)</f>
        <v>25</v>
      </c>
      <c r="AY1452" s="70">
        <f>SUM(AY1447:AY1451)</f>
        <v>77</v>
      </c>
      <c r="AZ1452" s="49">
        <f t="shared" si="1154"/>
        <v>305</v>
      </c>
      <c r="BA1452" s="33">
        <f t="shared" si="1155"/>
        <v>1669</v>
      </c>
    </row>
    <row r="1453" spans="1:54" ht="14.25" x14ac:dyDescent="0.15">
      <c r="A1453" s="202" t="s">
        <v>438</v>
      </c>
      <c r="B1453" s="41"/>
      <c r="C1453" s="42"/>
      <c r="D1453" s="42"/>
      <c r="E1453" s="42"/>
      <c r="F1453" s="42">
        <v>1</v>
      </c>
      <c r="G1453" s="43">
        <f t="shared" ref="G1453:G1475" si="1166">SUM(B1453:F1453)</f>
        <v>1</v>
      </c>
      <c r="H1453" s="41"/>
      <c r="I1453" s="42"/>
      <c r="J1453" s="42"/>
      <c r="K1453" s="42"/>
      <c r="L1453" s="42"/>
      <c r="M1453" s="43">
        <f t="shared" ref="M1453:M1475" si="1167">SUM(H1453:L1453)</f>
        <v>0</v>
      </c>
      <c r="N1453" s="42"/>
      <c r="O1453" s="53"/>
      <c r="P1453" s="53"/>
      <c r="Q1453" s="53"/>
      <c r="R1453" s="72"/>
      <c r="S1453" s="24">
        <f t="shared" ref="S1453:S1475" si="1168">SUM(N1453:R1453)</f>
        <v>0</v>
      </c>
      <c r="T1453" s="42"/>
      <c r="U1453" s="53"/>
      <c r="V1453" s="53"/>
      <c r="W1453" s="53"/>
      <c r="X1453" s="72"/>
      <c r="Y1453" s="24">
        <f t="shared" ref="Y1453:Y1475" si="1169">SUM(T1453:X1453)</f>
        <v>0</v>
      </c>
      <c r="Z1453" s="24">
        <f t="shared" ref="Z1453:Z1475" si="1170">G1453+M1453+S1453+Y1453</f>
        <v>1</v>
      </c>
      <c r="AA1453" s="83">
        <v>45212</v>
      </c>
      <c r="AB1453" s="23" t="s">
        <v>630</v>
      </c>
      <c r="AC1453" s="38"/>
      <c r="AD1453" s="39">
        <v>5</v>
      </c>
      <c r="AE1453" s="39"/>
      <c r="AF1453" s="39"/>
      <c r="AG1453" s="39"/>
      <c r="AH1453" s="37">
        <f t="shared" si="1151"/>
        <v>5</v>
      </c>
      <c r="AI1453" s="38"/>
      <c r="AJ1453" s="39"/>
      <c r="AK1453" s="39"/>
      <c r="AL1453" s="39"/>
      <c r="AM1453" s="39"/>
      <c r="AN1453" s="37">
        <f t="shared" si="1152"/>
        <v>0</v>
      </c>
      <c r="AO1453" s="39"/>
      <c r="AP1453" s="56"/>
      <c r="AQ1453" s="56"/>
      <c r="AR1453" s="56"/>
      <c r="AS1453" s="71"/>
      <c r="AT1453" s="16">
        <f t="shared" si="1153"/>
        <v>0</v>
      </c>
      <c r="AU1453" s="39"/>
      <c r="AV1453" s="56"/>
      <c r="AW1453" s="56"/>
      <c r="AX1453" s="56"/>
      <c r="AY1453" s="71"/>
      <c r="AZ1453" s="16">
        <f t="shared" si="1154"/>
        <v>0</v>
      </c>
      <c r="BA1453" s="16">
        <f t="shared" ref="BA1453:BA1459" si="1171">AH1453+AN1453+AT1453+AZ1453</f>
        <v>5</v>
      </c>
      <c r="BB1453" s="83">
        <v>45218</v>
      </c>
    </row>
    <row r="1454" spans="1:54" ht="14.25" x14ac:dyDescent="0.15">
      <c r="A1454" s="23" t="s">
        <v>48</v>
      </c>
      <c r="B1454" s="41"/>
      <c r="C1454" s="42">
        <v>1</v>
      </c>
      <c r="D1454" s="42"/>
      <c r="E1454" s="42"/>
      <c r="F1454" s="42"/>
      <c r="G1454" s="43">
        <f t="shared" si="1166"/>
        <v>1</v>
      </c>
      <c r="H1454" s="41"/>
      <c r="I1454" s="42"/>
      <c r="J1454" s="42"/>
      <c r="K1454" s="42"/>
      <c r="L1454" s="42"/>
      <c r="M1454" s="43">
        <f t="shared" si="1167"/>
        <v>0</v>
      </c>
      <c r="N1454" s="42"/>
      <c r="O1454" s="53"/>
      <c r="P1454" s="53"/>
      <c r="Q1454" s="53">
        <v>1</v>
      </c>
      <c r="R1454" s="72"/>
      <c r="S1454" s="24">
        <f t="shared" si="1168"/>
        <v>1</v>
      </c>
      <c r="T1454" s="42"/>
      <c r="U1454" s="53"/>
      <c r="V1454" s="53"/>
      <c r="W1454" s="53"/>
      <c r="X1454" s="72"/>
      <c r="Y1454" s="24">
        <f t="shared" si="1169"/>
        <v>0</v>
      </c>
      <c r="Z1454" s="24">
        <f t="shared" si="1170"/>
        <v>2</v>
      </c>
      <c r="AA1454" s="83">
        <v>45211</v>
      </c>
      <c r="AB1454" s="23" t="s">
        <v>126</v>
      </c>
      <c r="AC1454" s="38"/>
      <c r="AD1454" s="39"/>
      <c r="AE1454" s="39"/>
      <c r="AF1454" s="39"/>
      <c r="AG1454" s="39"/>
      <c r="AH1454" s="37">
        <f t="shared" ref="AH1454:AH1455" si="1172">SUM(AC1454:AG1454)</f>
        <v>0</v>
      </c>
      <c r="AI1454" s="38"/>
      <c r="AJ1454" s="39">
        <v>3</v>
      </c>
      <c r="AK1454" s="39">
        <v>3</v>
      </c>
      <c r="AL1454" s="39"/>
      <c r="AM1454" s="39"/>
      <c r="AN1454" s="37">
        <f t="shared" ref="AN1454:AN1455" si="1173">SUM(AI1454:AM1454)</f>
        <v>6</v>
      </c>
      <c r="AO1454" s="39"/>
      <c r="AP1454" s="56"/>
      <c r="AQ1454" s="56"/>
      <c r="AR1454" s="56">
        <v>3</v>
      </c>
      <c r="AS1454" s="71"/>
      <c r="AT1454" s="16">
        <f t="shared" ref="AT1454:AT1455" si="1174">SUM(AO1454:AS1454)</f>
        <v>3</v>
      </c>
      <c r="AU1454" s="39"/>
      <c r="AV1454" s="56"/>
      <c r="AW1454" s="56">
        <v>3</v>
      </c>
      <c r="AX1454" s="56"/>
      <c r="AY1454" s="71"/>
      <c r="AZ1454" s="16">
        <f t="shared" ref="AZ1454:AZ1455" si="1175">SUM(AU1454:AY1454)</f>
        <v>3</v>
      </c>
      <c r="BA1454" s="16">
        <f t="shared" si="1171"/>
        <v>12</v>
      </c>
      <c r="BB1454" s="83">
        <v>45219</v>
      </c>
    </row>
    <row r="1455" spans="1:54" ht="14.25" x14ac:dyDescent="0.15">
      <c r="A1455" s="23" t="s">
        <v>438</v>
      </c>
      <c r="B1455" s="41"/>
      <c r="C1455" s="42"/>
      <c r="D1455" s="42"/>
      <c r="E1455" s="42"/>
      <c r="F1455" s="42"/>
      <c r="G1455" s="43">
        <f t="shared" si="1166"/>
        <v>0</v>
      </c>
      <c r="H1455" s="41"/>
      <c r="I1455" s="42">
        <v>1</v>
      </c>
      <c r="J1455" s="42"/>
      <c r="K1455" s="42"/>
      <c r="L1455" s="42"/>
      <c r="M1455" s="43">
        <f t="shared" si="1167"/>
        <v>1</v>
      </c>
      <c r="N1455" s="42"/>
      <c r="O1455" s="53"/>
      <c r="P1455" s="53"/>
      <c r="Q1455" s="53"/>
      <c r="R1455" s="72"/>
      <c r="S1455" s="24">
        <f t="shared" si="1168"/>
        <v>0</v>
      </c>
      <c r="T1455" s="42"/>
      <c r="U1455" s="53"/>
      <c r="V1455" s="53"/>
      <c r="W1455" s="53"/>
      <c r="X1455" s="72"/>
      <c r="Y1455" s="24">
        <f t="shared" si="1169"/>
        <v>0</v>
      </c>
      <c r="Z1455" s="24">
        <f t="shared" si="1170"/>
        <v>1</v>
      </c>
      <c r="AA1455" s="83">
        <v>45215</v>
      </c>
      <c r="AB1455" s="23" t="s">
        <v>126</v>
      </c>
      <c r="AC1455" s="38"/>
      <c r="AD1455" s="39"/>
      <c r="AE1455" s="39"/>
      <c r="AF1455" s="39">
        <v>3</v>
      </c>
      <c r="AG1455" s="39"/>
      <c r="AH1455" s="37">
        <f t="shared" si="1172"/>
        <v>3</v>
      </c>
      <c r="AI1455" s="38"/>
      <c r="AJ1455" s="39"/>
      <c r="AK1455" s="39"/>
      <c r="AL1455" s="39"/>
      <c r="AM1455" s="39">
        <v>3</v>
      </c>
      <c r="AN1455" s="37">
        <f t="shared" si="1173"/>
        <v>3</v>
      </c>
      <c r="AO1455" s="39"/>
      <c r="AP1455" s="56"/>
      <c r="AQ1455" s="56"/>
      <c r="AR1455" s="56"/>
      <c r="AS1455" s="71"/>
      <c r="AT1455" s="16">
        <f t="shared" si="1174"/>
        <v>0</v>
      </c>
      <c r="AU1455" s="39"/>
      <c r="AV1455" s="56"/>
      <c r="AW1455" s="56"/>
      <c r="AX1455" s="56"/>
      <c r="AY1455" s="71"/>
      <c r="AZ1455" s="16">
        <f t="shared" si="1175"/>
        <v>0</v>
      </c>
      <c r="BA1455" s="16">
        <f t="shared" si="1171"/>
        <v>6</v>
      </c>
      <c r="BB1455" s="83">
        <v>45226</v>
      </c>
    </row>
    <row r="1456" spans="1:54" ht="14.25" x14ac:dyDescent="0.15">
      <c r="A1456" s="23" t="s">
        <v>48</v>
      </c>
      <c r="B1456" s="41"/>
      <c r="C1456" s="42"/>
      <c r="D1456" s="42"/>
      <c r="E1456" s="42"/>
      <c r="F1456" s="42"/>
      <c r="G1456" s="43">
        <f t="shared" si="1166"/>
        <v>0</v>
      </c>
      <c r="H1456" s="41"/>
      <c r="I1456" s="42"/>
      <c r="J1456" s="42"/>
      <c r="K1456" s="42"/>
      <c r="L1456" s="42"/>
      <c r="M1456" s="43">
        <f t="shared" si="1167"/>
        <v>0</v>
      </c>
      <c r="N1456" s="42"/>
      <c r="O1456" s="53">
        <v>1</v>
      </c>
      <c r="P1456" s="53"/>
      <c r="Q1456" s="53"/>
      <c r="R1456" s="72"/>
      <c r="S1456" s="24">
        <f t="shared" si="1168"/>
        <v>1</v>
      </c>
      <c r="T1456" s="42"/>
      <c r="U1456" s="53"/>
      <c r="V1456" s="53"/>
      <c r="W1456" s="53"/>
      <c r="X1456" s="72"/>
      <c r="Y1456" s="24">
        <f t="shared" si="1169"/>
        <v>0</v>
      </c>
      <c r="Z1456" s="24">
        <f t="shared" si="1170"/>
        <v>1</v>
      </c>
      <c r="AA1456" s="83">
        <v>45212</v>
      </c>
      <c r="AB1456" s="23"/>
      <c r="AC1456" s="38"/>
      <c r="AD1456" s="39"/>
      <c r="AE1456" s="39"/>
      <c r="AF1456" s="39"/>
      <c r="AG1456" s="39"/>
      <c r="AH1456" s="37">
        <f t="shared" ref="AH1456" si="1176">SUM(AC1456:AG1456)</f>
        <v>0</v>
      </c>
      <c r="AI1456" s="38"/>
      <c r="AJ1456" s="39"/>
      <c r="AK1456" s="39"/>
      <c r="AL1456" s="39"/>
      <c r="AM1456" s="39"/>
      <c r="AN1456" s="37">
        <f t="shared" ref="AN1456" si="1177">SUM(AI1456:AM1456)</f>
        <v>0</v>
      </c>
      <c r="AO1456" s="39"/>
      <c r="AP1456" s="56"/>
      <c r="AQ1456" s="56"/>
      <c r="AR1456" s="56"/>
      <c r="AS1456" s="71"/>
      <c r="AT1456" s="16">
        <f t="shared" ref="AT1456" si="1178">SUM(AO1456:AS1456)</f>
        <v>0</v>
      </c>
      <c r="AU1456" s="39"/>
      <c r="AV1456" s="56"/>
      <c r="AW1456" s="56"/>
      <c r="AX1456" s="56"/>
      <c r="AY1456" s="71"/>
      <c r="AZ1456" s="16">
        <f t="shared" ref="AZ1456" si="1179">SUM(AU1456:AY1456)</f>
        <v>0</v>
      </c>
      <c r="BA1456" s="16">
        <f t="shared" ref="BA1456" si="1180">AH1456+AN1456+AT1456+AZ1456</f>
        <v>0</v>
      </c>
      <c r="BB1456" s="128"/>
    </row>
    <row r="1457" spans="1:54" ht="14.25" x14ac:dyDescent="0.15">
      <c r="A1457" s="23" t="s">
        <v>438</v>
      </c>
      <c r="B1457" s="41"/>
      <c r="C1457" s="42"/>
      <c r="D1457" s="42"/>
      <c r="E1457" s="42"/>
      <c r="F1457" s="42"/>
      <c r="G1457" s="43">
        <f t="shared" si="1166"/>
        <v>0</v>
      </c>
      <c r="H1457" s="41"/>
      <c r="I1457" s="42"/>
      <c r="J1457" s="42"/>
      <c r="K1457" s="42"/>
      <c r="L1457" s="42"/>
      <c r="M1457" s="43">
        <f t="shared" si="1167"/>
        <v>0</v>
      </c>
      <c r="N1457" s="42"/>
      <c r="O1457" s="53"/>
      <c r="P1457" s="53"/>
      <c r="Q1457" s="53">
        <v>1</v>
      </c>
      <c r="R1457" s="72"/>
      <c r="S1457" s="24">
        <f t="shared" si="1168"/>
        <v>1</v>
      </c>
      <c r="T1457" s="42"/>
      <c r="U1457" s="53"/>
      <c r="V1457" s="53"/>
      <c r="W1457" s="53"/>
      <c r="X1457" s="72"/>
      <c r="Y1457" s="24">
        <f t="shared" si="1169"/>
        <v>0</v>
      </c>
      <c r="Z1457" s="24">
        <f t="shared" si="1170"/>
        <v>1</v>
      </c>
      <c r="AA1457" s="83">
        <v>45216</v>
      </c>
      <c r="AB1457" s="23"/>
      <c r="AC1457" s="38"/>
      <c r="AD1457" s="39"/>
      <c r="AE1457" s="39"/>
      <c r="AF1457" s="39"/>
      <c r="AG1457" s="39"/>
      <c r="AH1457" s="37">
        <f t="shared" si="1151"/>
        <v>0</v>
      </c>
      <c r="AI1457" s="38"/>
      <c r="AJ1457" s="39"/>
      <c r="AK1457" s="39"/>
      <c r="AL1457" s="39"/>
      <c r="AM1457" s="39"/>
      <c r="AN1457" s="37">
        <f t="shared" si="1152"/>
        <v>0</v>
      </c>
      <c r="AO1457" s="39"/>
      <c r="AP1457" s="56"/>
      <c r="AQ1457" s="56"/>
      <c r="AR1457" s="56"/>
      <c r="AS1457" s="71"/>
      <c r="AT1457" s="16">
        <f t="shared" si="1153"/>
        <v>0</v>
      </c>
      <c r="AU1457" s="39"/>
      <c r="AV1457" s="56"/>
      <c r="AW1457" s="56"/>
      <c r="AX1457" s="56"/>
      <c r="AY1457" s="71"/>
      <c r="AZ1457" s="16">
        <f t="shared" si="1154"/>
        <v>0</v>
      </c>
      <c r="BA1457" s="16">
        <f t="shared" si="1171"/>
        <v>0</v>
      </c>
      <c r="BB1457" s="128"/>
    </row>
    <row r="1458" spans="1:54" ht="14.25" x14ac:dyDescent="0.15">
      <c r="A1458" s="23" t="s">
        <v>48</v>
      </c>
      <c r="B1458" s="41"/>
      <c r="C1458" s="42">
        <v>1</v>
      </c>
      <c r="D1458" s="42"/>
      <c r="E1458" s="42"/>
      <c r="F1458" s="42"/>
      <c r="G1458" s="43">
        <f t="shared" si="1166"/>
        <v>1</v>
      </c>
      <c r="H1458" s="41"/>
      <c r="I1458" s="42"/>
      <c r="J1458" s="42"/>
      <c r="K1458" s="42"/>
      <c r="L1458" s="42"/>
      <c r="M1458" s="43">
        <f t="shared" si="1167"/>
        <v>0</v>
      </c>
      <c r="N1458" s="42"/>
      <c r="O1458" s="53"/>
      <c r="P1458" s="53">
        <v>1</v>
      </c>
      <c r="Q1458" s="53"/>
      <c r="R1458" s="72"/>
      <c r="S1458" s="24">
        <f t="shared" si="1168"/>
        <v>1</v>
      </c>
      <c r="T1458" s="42"/>
      <c r="U1458" s="53"/>
      <c r="V1458" s="53">
        <v>2</v>
      </c>
      <c r="W1458" s="53"/>
      <c r="X1458" s="72">
        <v>1</v>
      </c>
      <c r="Y1458" s="24">
        <f t="shared" si="1169"/>
        <v>3</v>
      </c>
      <c r="Z1458" s="24">
        <f t="shared" si="1170"/>
        <v>5</v>
      </c>
      <c r="AA1458" s="83">
        <v>45215</v>
      </c>
      <c r="AB1458" s="23"/>
      <c r="AC1458" s="38"/>
      <c r="AD1458" s="39"/>
      <c r="AE1458" s="39"/>
      <c r="AF1458" s="39"/>
      <c r="AG1458" s="39"/>
      <c r="AH1458" s="37">
        <f t="shared" si="1151"/>
        <v>0</v>
      </c>
      <c r="AI1458" s="38"/>
      <c r="AJ1458" s="39"/>
      <c r="AK1458" s="39"/>
      <c r="AL1458" s="39"/>
      <c r="AM1458" s="39"/>
      <c r="AN1458" s="37">
        <f t="shared" si="1152"/>
        <v>0</v>
      </c>
      <c r="AO1458" s="39"/>
      <c r="AP1458" s="56"/>
      <c r="AQ1458" s="56"/>
      <c r="AR1458" s="56"/>
      <c r="AS1458" s="71"/>
      <c r="AT1458" s="16">
        <f t="shared" si="1153"/>
        <v>0</v>
      </c>
      <c r="AU1458" s="39"/>
      <c r="AV1458" s="56"/>
      <c r="AW1458" s="56"/>
      <c r="AX1458" s="56"/>
      <c r="AY1458" s="71"/>
      <c r="AZ1458" s="16">
        <f t="shared" si="1154"/>
        <v>0</v>
      </c>
      <c r="BA1458" s="16">
        <f t="shared" si="1171"/>
        <v>0</v>
      </c>
      <c r="BB1458" s="128"/>
    </row>
    <row r="1459" spans="1:54" ht="14.25" x14ac:dyDescent="0.15">
      <c r="A1459" s="23" t="s">
        <v>48</v>
      </c>
      <c r="B1459" s="41"/>
      <c r="C1459" s="42"/>
      <c r="D1459" s="42">
        <v>1</v>
      </c>
      <c r="E1459" s="42"/>
      <c r="F1459" s="42"/>
      <c r="G1459" s="43">
        <f t="shared" si="1166"/>
        <v>1</v>
      </c>
      <c r="H1459" s="41"/>
      <c r="I1459" s="42"/>
      <c r="J1459" s="42"/>
      <c r="K1459" s="42"/>
      <c r="L1459" s="42"/>
      <c r="M1459" s="43">
        <f t="shared" si="1167"/>
        <v>0</v>
      </c>
      <c r="N1459" s="42"/>
      <c r="O1459" s="53"/>
      <c r="P1459" s="53"/>
      <c r="Q1459" s="53"/>
      <c r="R1459" s="72"/>
      <c r="S1459" s="24">
        <f t="shared" si="1168"/>
        <v>0</v>
      </c>
      <c r="T1459" s="42"/>
      <c r="U1459" s="53"/>
      <c r="V1459" s="53"/>
      <c r="W1459" s="53"/>
      <c r="X1459" s="72"/>
      <c r="Y1459" s="24">
        <f t="shared" si="1169"/>
        <v>0</v>
      </c>
      <c r="Z1459" s="24">
        <f t="shared" si="1170"/>
        <v>1</v>
      </c>
      <c r="AA1459" s="83">
        <v>45216</v>
      </c>
      <c r="AB1459" s="23"/>
      <c r="AC1459" s="38"/>
      <c r="AD1459" s="39"/>
      <c r="AE1459" s="39"/>
      <c r="AF1459" s="39"/>
      <c r="AG1459" s="39"/>
      <c r="AH1459" s="37">
        <f t="shared" si="1151"/>
        <v>0</v>
      </c>
      <c r="AI1459" s="38"/>
      <c r="AJ1459" s="39"/>
      <c r="AK1459" s="39"/>
      <c r="AL1459" s="39"/>
      <c r="AM1459" s="39"/>
      <c r="AN1459" s="37">
        <f t="shared" si="1152"/>
        <v>0</v>
      </c>
      <c r="AO1459" s="39"/>
      <c r="AP1459" s="56"/>
      <c r="AQ1459" s="56"/>
      <c r="AR1459" s="56"/>
      <c r="AS1459" s="71"/>
      <c r="AT1459" s="16">
        <f t="shared" si="1153"/>
        <v>0</v>
      </c>
      <c r="AU1459" s="39"/>
      <c r="AV1459" s="56"/>
      <c r="AW1459" s="56"/>
      <c r="AX1459" s="56"/>
      <c r="AY1459" s="71"/>
      <c r="AZ1459" s="16">
        <f t="shared" si="1154"/>
        <v>0</v>
      </c>
      <c r="BA1459" s="16">
        <f t="shared" si="1171"/>
        <v>0</v>
      </c>
      <c r="BB1459" s="128"/>
    </row>
    <row r="1460" spans="1:54" ht="14.25" x14ac:dyDescent="0.15">
      <c r="A1460" s="23" t="s">
        <v>438</v>
      </c>
      <c r="B1460" s="41"/>
      <c r="C1460" s="42">
        <v>1</v>
      </c>
      <c r="D1460" s="42"/>
      <c r="E1460" s="42"/>
      <c r="F1460" s="42"/>
      <c r="G1460" s="43">
        <f t="shared" si="1166"/>
        <v>1</v>
      </c>
      <c r="H1460" s="41"/>
      <c r="I1460" s="42"/>
      <c r="J1460" s="42"/>
      <c r="K1460" s="42"/>
      <c r="L1460" s="42"/>
      <c r="M1460" s="43">
        <f t="shared" si="1167"/>
        <v>0</v>
      </c>
      <c r="N1460" s="42"/>
      <c r="O1460" s="53"/>
      <c r="P1460" s="53"/>
      <c r="Q1460" s="53"/>
      <c r="R1460" s="72"/>
      <c r="S1460" s="24">
        <f t="shared" si="1168"/>
        <v>0</v>
      </c>
      <c r="T1460" s="42"/>
      <c r="U1460" s="53"/>
      <c r="V1460" s="53">
        <v>1</v>
      </c>
      <c r="W1460" s="53"/>
      <c r="X1460" s="72"/>
      <c r="Y1460" s="24">
        <f t="shared" si="1169"/>
        <v>1</v>
      </c>
      <c r="Z1460" s="24">
        <f t="shared" si="1170"/>
        <v>2</v>
      </c>
      <c r="AA1460" s="83">
        <v>45218</v>
      </c>
      <c r="AB1460" s="23"/>
      <c r="AC1460" s="38"/>
      <c r="AD1460" s="39"/>
      <c r="AE1460" s="39"/>
      <c r="AF1460" s="39"/>
      <c r="AG1460" s="39"/>
      <c r="AH1460" s="37">
        <f t="shared" ref="AH1460:AH1479" si="1181">SUM(AC1460:AG1460)</f>
        <v>0</v>
      </c>
      <c r="AI1460" s="38"/>
      <c r="AJ1460" s="39"/>
      <c r="AK1460" s="39"/>
      <c r="AL1460" s="39"/>
      <c r="AM1460" s="39"/>
      <c r="AN1460" s="37">
        <f t="shared" ref="AN1460:AN1479" si="1182">SUM(AI1460:AM1460)</f>
        <v>0</v>
      </c>
      <c r="AO1460" s="39"/>
      <c r="AP1460" s="56"/>
      <c r="AQ1460" s="56"/>
      <c r="AR1460" s="56"/>
      <c r="AS1460" s="71"/>
      <c r="AT1460" s="16">
        <f t="shared" ref="AT1460:AT1479" si="1183">SUM(AO1460:AS1460)</f>
        <v>0</v>
      </c>
      <c r="AU1460" s="39"/>
      <c r="AV1460" s="56"/>
      <c r="AW1460" s="56"/>
      <c r="AX1460" s="56"/>
      <c r="AY1460" s="71"/>
      <c r="AZ1460" s="16">
        <f t="shared" ref="AZ1460:AZ1479" si="1184">SUM(AU1460:AY1460)</f>
        <v>0</v>
      </c>
      <c r="BA1460" s="16">
        <f t="shared" si="1155"/>
        <v>0</v>
      </c>
      <c r="BB1460" s="128"/>
    </row>
    <row r="1461" spans="1:54" ht="14.25" x14ac:dyDescent="0.15">
      <c r="A1461" s="23" t="s">
        <v>438</v>
      </c>
      <c r="B1461" s="41"/>
      <c r="C1461" s="42">
        <v>1</v>
      </c>
      <c r="D1461" s="42">
        <v>1</v>
      </c>
      <c r="E1461" s="42"/>
      <c r="F1461" s="42"/>
      <c r="G1461" s="43">
        <f t="shared" si="1166"/>
        <v>2</v>
      </c>
      <c r="H1461" s="41"/>
      <c r="I1461" s="42"/>
      <c r="J1461" s="42"/>
      <c r="K1461" s="42"/>
      <c r="L1461" s="42"/>
      <c r="M1461" s="43">
        <f t="shared" si="1167"/>
        <v>0</v>
      </c>
      <c r="N1461" s="42"/>
      <c r="O1461" s="53"/>
      <c r="P1461" s="53"/>
      <c r="Q1461" s="53"/>
      <c r="R1461" s="72"/>
      <c r="S1461" s="24">
        <f t="shared" si="1168"/>
        <v>0</v>
      </c>
      <c r="T1461" s="42"/>
      <c r="U1461" s="53"/>
      <c r="V1461" s="53"/>
      <c r="W1461" s="53"/>
      <c r="X1461" s="72"/>
      <c r="Y1461" s="24">
        <f t="shared" si="1169"/>
        <v>0</v>
      </c>
      <c r="Z1461" s="24">
        <f t="shared" si="1170"/>
        <v>2</v>
      </c>
      <c r="AA1461" s="83">
        <v>45219</v>
      </c>
      <c r="AB1461" s="23"/>
      <c r="AC1461" s="38"/>
      <c r="AD1461" s="39"/>
      <c r="AE1461" s="39"/>
      <c r="AF1461" s="39"/>
      <c r="AG1461" s="39"/>
      <c r="AH1461" s="37">
        <f t="shared" si="1181"/>
        <v>0</v>
      </c>
      <c r="AI1461" s="38"/>
      <c r="AJ1461" s="39"/>
      <c r="AK1461" s="39"/>
      <c r="AL1461" s="39"/>
      <c r="AM1461" s="39"/>
      <c r="AN1461" s="37">
        <f t="shared" si="1182"/>
        <v>0</v>
      </c>
      <c r="AO1461" s="39"/>
      <c r="AP1461" s="56"/>
      <c r="AQ1461" s="56"/>
      <c r="AR1461" s="56"/>
      <c r="AS1461" s="71"/>
      <c r="AT1461" s="16">
        <f t="shared" si="1183"/>
        <v>0</v>
      </c>
      <c r="AU1461" s="39"/>
      <c r="AV1461" s="56"/>
      <c r="AW1461" s="56"/>
      <c r="AX1461" s="56"/>
      <c r="AY1461" s="71"/>
      <c r="AZ1461" s="16">
        <f t="shared" si="1184"/>
        <v>0</v>
      </c>
      <c r="BA1461" s="16">
        <f t="shared" si="1155"/>
        <v>0</v>
      </c>
      <c r="BB1461" s="128"/>
    </row>
    <row r="1462" spans="1:54" ht="14.25" x14ac:dyDescent="0.15">
      <c r="A1462" s="23" t="s">
        <v>48</v>
      </c>
      <c r="B1462" s="41"/>
      <c r="C1462" s="42"/>
      <c r="D1462" s="42"/>
      <c r="E1462" s="42"/>
      <c r="F1462" s="42"/>
      <c r="G1462" s="43">
        <f t="shared" si="1166"/>
        <v>0</v>
      </c>
      <c r="H1462" s="41"/>
      <c r="I1462" s="42"/>
      <c r="J1462" s="42">
        <v>1</v>
      </c>
      <c r="K1462" s="42"/>
      <c r="L1462" s="42"/>
      <c r="M1462" s="43">
        <f t="shared" si="1167"/>
        <v>1</v>
      </c>
      <c r="N1462" s="42"/>
      <c r="O1462" s="53"/>
      <c r="P1462" s="53"/>
      <c r="Q1462" s="53"/>
      <c r="R1462" s="72"/>
      <c r="S1462" s="24">
        <f t="shared" si="1168"/>
        <v>0</v>
      </c>
      <c r="T1462" s="42"/>
      <c r="U1462" s="53"/>
      <c r="V1462" s="53"/>
      <c r="W1462" s="53"/>
      <c r="X1462" s="72"/>
      <c r="Y1462" s="24">
        <f t="shared" si="1169"/>
        <v>0</v>
      </c>
      <c r="Z1462" s="24">
        <f t="shared" si="1170"/>
        <v>1</v>
      </c>
      <c r="AA1462" s="83">
        <v>45218</v>
      </c>
      <c r="AB1462" s="23"/>
      <c r="AC1462" s="38"/>
      <c r="AD1462" s="39"/>
      <c r="AE1462" s="39"/>
      <c r="AF1462" s="39"/>
      <c r="AG1462" s="39"/>
      <c r="AH1462" s="37">
        <f t="shared" si="1181"/>
        <v>0</v>
      </c>
      <c r="AI1462" s="38"/>
      <c r="AJ1462" s="39"/>
      <c r="AK1462" s="39"/>
      <c r="AL1462" s="39"/>
      <c r="AM1462" s="39"/>
      <c r="AN1462" s="37">
        <f t="shared" si="1182"/>
        <v>0</v>
      </c>
      <c r="AO1462" s="39"/>
      <c r="AP1462" s="56"/>
      <c r="AQ1462" s="56"/>
      <c r="AR1462" s="56"/>
      <c r="AS1462" s="71"/>
      <c r="AT1462" s="16">
        <f t="shared" si="1183"/>
        <v>0</v>
      </c>
      <c r="AU1462" s="39"/>
      <c r="AV1462" s="56"/>
      <c r="AW1462" s="56"/>
      <c r="AX1462" s="56"/>
      <c r="AY1462" s="71"/>
      <c r="AZ1462" s="16">
        <f t="shared" si="1184"/>
        <v>0</v>
      </c>
      <c r="BA1462" s="16">
        <f t="shared" si="1155"/>
        <v>0</v>
      </c>
      <c r="BB1462" s="128"/>
    </row>
    <row r="1463" spans="1:54" ht="14.25" x14ac:dyDescent="0.15">
      <c r="A1463" s="23" t="s">
        <v>438</v>
      </c>
      <c r="B1463" s="41"/>
      <c r="C1463" s="42"/>
      <c r="D1463" s="42"/>
      <c r="E1463" s="42"/>
      <c r="F1463" s="42"/>
      <c r="G1463" s="43">
        <f t="shared" si="1166"/>
        <v>0</v>
      </c>
      <c r="H1463" s="41"/>
      <c r="I1463" s="42"/>
      <c r="J1463" s="42"/>
      <c r="K1463" s="42"/>
      <c r="L1463" s="42"/>
      <c r="M1463" s="43">
        <f t="shared" si="1167"/>
        <v>0</v>
      </c>
      <c r="N1463" s="42"/>
      <c r="O1463" s="53"/>
      <c r="P1463" s="53"/>
      <c r="Q1463" s="53"/>
      <c r="R1463" s="72"/>
      <c r="S1463" s="24">
        <f t="shared" si="1168"/>
        <v>0</v>
      </c>
      <c r="T1463" s="42"/>
      <c r="U1463" s="53"/>
      <c r="V1463" s="53">
        <v>1</v>
      </c>
      <c r="W1463" s="53"/>
      <c r="X1463" s="72"/>
      <c r="Y1463" s="24">
        <f t="shared" si="1169"/>
        <v>1</v>
      </c>
      <c r="Z1463" s="24">
        <f t="shared" si="1170"/>
        <v>1</v>
      </c>
      <c r="AA1463" s="83">
        <v>45223</v>
      </c>
      <c r="AB1463" s="23"/>
      <c r="AC1463" s="38"/>
      <c r="AD1463" s="39"/>
      <c r="AE1463" s="39"/>
      <c r="AF1463" s="39"/>
      <c r="AG1463" s="39"/>
      <c r="AH1463" s="37">
        <f t="shared" si="1181"/>
        <v>0</v>
      </c>
      <c r="AI1463" s="38"/>
      <c r="AJ1463" s="39"/>
      <c r="AK1463" s="39"/>
      <c r="AL1463" s="39"/>
      <c r="AM1463" s="39"/>
      <c r="AN1463" s="37">
        <f t="shared" si="1182"/>
        <v>0</v>
      </c>
      <c r="AO1463" s="39"/>
      <c r="AP1463" s="56"/>
      <c r="AQ1463" s="56"/>
      <c r="AR1463" s="56"/>
      <c r="AS1463" s="71"/>
      <c r="AT1463" s="16">
        <f t="shared" si="1183"/>
        <v>0</v>
      </c>
      <c r="AU1463" s="39"/>
      <c r="AV1463" s="56"/>
      <c r="AW1463" s="56"/>
      <c r="AX1463" s="56"/>
      <c r="AY1463" s="71"/>
      <c r="AZ1463" s="16">
        <f t="shared" si="1184"/>
        <v>0</v>
      </c>
      <c r="BA1463" s="16">
        <f t="shared" si="1155"/>
        <v>0</v>
      </c>
      <c r="BB1463" s="128"/>
    </row>
    <row r="1464" spans="1:54" ht="14.25" x14ac:dyDescent="0.15">
      <c r="A1464" s="23" t="s">
        <v>48</v>
      </c>
      <c r="B1464" s="41"/>
      <c r="C1464" s="42">
        <v>1</v>
      </c>
      <c r="D1464" s="42"/>
      <c r="E1464" s="42"/>
      <c r="F1464" s="42"/>
      <c r="G1464" s="43">
        <f t="shared" si="1166"/>
        <v>1</v>
      </c>
      <c r="H1464" s="41"/>
      <c r="I1464" s="42"/>
      <c r="J1464" s="42"/>
      <c r="K1464" s="42"/>
      <c r="L1464" s="42"/>
      <c r="M1464" s="43">
        <f t="shared" si="1167"/>
        <v>0</v>
      </c>
      <c r="N1464" s="42"/>
      <c r="O1464" s="53"/>
      <c r="P1464" s="53"/>
      <c r="Q1464" s="53"/>
      <c r="R1464" s="72"/>
      <c r="S1464" s="24">
        <f t="shared" si="1168"/>
        <v>0</v>
      </c>
      <c r="T1464" s="42"/>
      <c r="U1464" s="53"/>
      <c r="V1464" s="53"/>
      <c r="W1464" s="53"/>
      <c r="X1464" s="72"/>
      <c r="Y1464" s="24">
        <f t="shared" si="1169"/>
        <v>0</v>
      </c>
      <c r="Z1464" s="24">
        <f t="shared" si="1170"/>
        <v>1</v>
      </c>
      <c r="AA1464" s="83">
        <v>45222</v>
      </c>
      <c r="AB1464" s="23"/>
      <c r="AC1464" s="38"/>
      <c r="AD1464" s="39"/>
      <c r="AE1464" s="39"/>
      <c r="AF1464" s="39"/>
      <c r="AG1464" s="39"/>
      <c r="AH1464" s="37">
        <f t="shared" si="1181"/>
        <v>0</v>
      </c>
      <c r="AI1464" s="38"/>
      <c r="AJ1464" s="39"/>
      <c r="AK1464" s="39"/>
      <c r="AL1464" s="39"/>
      <c r="AM1464" s="39"/>
      <c r="AN1464" s="37">
        <f t="shared" si="1182"/>
        <v>0</v>
      </c>
      <c r="AO1464" s="39"/>
      <c r="AP1464" s="56"/>
      <c r="AQ1464" s="56"/>
      <c r="AR1464" s="56"/>
      <c r="AS1464" s="71"/>
      <c r="AT1464" s="16">
        <f t="shared" si="1183"/>
        <v>0</v>
      </c>
      <c r="AU1464" s="39"/>
      <c r="AV1464" s="56"/>
      <c r="AW1464" s="56"/>
      <c r="AX1464" s="56"/>
      <c r="AY1464" s="71"/>
      <c r="AZ1464" s="16">
        <f t="shared" si="1184"/>
        <v>0</v>
      </c>
      <c r="BA1464" s="16">
        <f t="shared" si="1155"/>
        <v>0</v>
      </c>
      <c r="BB1464" s="128"/>
    </row>
    <row r="1465" spans="1:54" ht="14.25" x14ac:dyDescent="0.15">
      <c r="A1465" s="23" t="s">
        <v>438</v>
      </c>
      <c r="B1465" s="41"/>
      <c r="C1465" s="42"/>
      <c r="D1465" s="42">
        <v>1</v>
      </c>
      <c r="E1465" s="42"/>
      <c r="F1465" s="42"/>
      <c r="G1465" s="43">
        <f t="shared" si="1166"/>
        <v>1</v>
      </c>
      <c r="H1465" s="41"/>
      <c r="I1465" s="42"/>
      <c r="J1465" s="42"/>
      <c r="K1465" s="42"/>
      <c r="L1465" s="42"/>
      <c r="M1465" s="43">
        <f t="shared" si="1167"/>
        <v>0</v>
      </c>
      <c r="N1465" s="42"/>
      <c r="O1465" s="53"/>
      <c r="P1465" s="53"/>
      <c r="Q1465" s="53"/>
      <c r="R1465" s="72"/>
      <c r="S1465" s="24">
        <f t="shared" si="1168"/>
        <v>0</v>
      </c>
      <c r="T1465" s="42"/>
      <c r="U1465" s="53"/>
      <c r="V1465" s="53"/>
      <c r="W1465" s="53"/>
      <c r="X1465" s="72"/>
      <c r="Y1465" s="24">
        <f t="shared" si="1169"/>
        <v>0</v>
      </c>
      <c r="Z1465" s="24">
        <f t="shared" si="1170"/>
        <v>1</v>
      </c>
      <c r="AA1465" s="83">
        <v>45224</v>
      </c>
      <c r="AB1465" s="23"/>
      <c r="AC1465" s="38"/>
      <c r="AD1465" s="39"/>
      <c r="AE1465" s="39"/>
      <c r="AF1465" s="39"/>
      <c r="AG1465" s="39"/>
      <c r="AH1465" s="37">
        <f t="shared" si="1181"/>
        <v>0</v>
      </c>
      <c r="AI1465" s="38"/>
      <c r="AJ1465" s="39"/>
      <c r="AK1465" s="39"/>
      <c r="AL1465" s="39"/>
      <c r="AM1465" s="39"/>
      <c r="AN1465" s="37">
        <f t="shared" si="1182"/>
        <v>0</v>
      </c>
      <c r="AO1465" s="39"/>
      <c r="AP1465" s="56"/>
      <c r="AQ1465" s="56"/>
      <c r="AR1465" s="56"/>
      <c r="AS1465" s="71"/>
      <c r="AT1465" s="16">
        <f t="shared" si="1183"/>
        <v>0</v>
      </c>
      <c r="AU1465" s="39"/>
      <c r="AV1465" s="56"/>
      <c r="AW1465" s="56"/>
      <c r="AX1465" s="56"/>
      <c r="AY1465" s="71"/>
      <c r="AZ1465" s="16">
        <f t="shared" si="1184"/>
        <v>0</v>
      </c>
      <c r="BA1465" s="16">
        <f t="shared" si="1155"/>
        <v>0</v>
      </c>
      <c r="BB1465" s="128"/>
    </row>
    <row r="1466" spans="1:54" ht="14.25" x14ac:dyDescent="0.15">
      <c r="A1466" s="23" t="s">
        <v>48</v>
      </c>
      <c r="B1466" s="41"/>
      <c r="C1466" s="42"/>
      <c r="D1466" s="42"/>
      <c r="E1466" s="42">
        <v>1</v>
      </c>
      <c r="F1466" s="42"/>
      <c r="G1466" s="43">
        <f t="shared" si="1166"/>
        <v>1</v>
      </c>
      <c r="H1466" s="41"/>
      <c r="I1466" s="42"/>
      <c r="J1466" s="42"/>
      <c r="K1466" s="42"/>
      <c r="L1466" s="42"/>
      <c r="M1466" s="43">
        <f t="shared" si="1167"/>
        <v>0</v>
      </c>
      <c r="N1466" s="42"/>
      <c r="O1466" s="53"/>
      <c r="P1466" s="53"/>
      <c r="Q1466" s="53"/>
      <c r="R1466" s="72"/>
      <c r="S1466" s="24">
        <f t="shared" si="1168"/>
        <v>0</v>
      </c>
      <c r="T1466" s="42"/>
      <c r="U1466" s="53"/>
      <c r="V1466" s="53"/>
      <c r="W1466" s="53"/>
      <c r="X1466" s="72"/>
      <c r="Y1466" s="24">
        <f t="shared" si="1169"/>
        <v>0</v>
      </c>
      <c r="Z1466" s="24">
        <f t="shared" si="1170"/>
        <v>1</v>
      </c>
      <c r="AA1466" s="83">
        <v>45223</v>
      </c>
      <c r="AB1466" s="23"/>
      <c r="AC1466" s="38"/>
      <c r="AD1466" s="39"/>
      <c r="AE1466" s="39"/>
      <c r="AF1466" s="39"/>
      <c r="AG1466" s="39"/>
      <c r="AH1466" s="37">
        <f t="shared" ref="AH1466:AH1477" si="1185">SUM(AC1466:AG1466)</f>
        <v>0</v>
      </c>
      <c r="AI1466" s="38"/>
      <c r="AJ1466" s="39"/>
      <c r="AK1466" s="39"/>
      <c r="AL1466" s="39"/>
      <c r="AM1466" s="39"/>
      <c r="AN1466" s="37">
        <f t="shared" ref="AN1466:AN1477" si="1186">SUM(AI1466:AM1466)</f>
        <v>0</v>
      </c>
      <c r="AO1466" s="39"/>
      <c r="AP1466" s="56"/>
      <c r="AQ1466" s="56"/>
      <c r="AR1466" s="56"/>
      <c r="AS1466" s="71"/>
      <c r="AT1466" s="16">
        <f t="shared" ref="AT1466:AT1477" si="1187">SUM(AO1466:AS1466)</f>
        <v>0</v>
      </c>
      <c r="AU1466" s="39"/>
      <c r="AV1466" s="56"/>
      <c r="AW1466" s="56"/>
      <c r="AX1466" s="56"/>
      <c r="AY1466" s="71"/>
      <c r="AZ1466" s="16">
        <f t="shared" ref="AZ1466:AZ1477" si="1188">SUM(AU1466:AY1466)</f>
        <v>0</v>
      </c>
      <c r="BA1466" s="16">
        <f t="shared" ref="BA1466:BA1478" si="1189">AH1466+AN1466+AT1466+AZ1466</f>
        <v>0</v>
      </c>
      <c r="BB1466" s="128"/>
    </row>
    <row r="1467" spans="1:54" ht="14.25" x14ac:dyDescent="0.15">
      <c r="A1467" s="23" t="s">
        <v>48</v>
      </c>
      <c r="B1467" s="41"/>
      <c r="C1467" s="42"/>
      <c r="D1467" s="42"/>
      <c r="E1467" s="42"/>
      <c r="F1467" s="42"/>
      <c r="G1467" s="43">
        <f t="shared" si="1166"/>
        <v>0</v>
      </c>
      <c r="H1467" s="41"/>
      <c r="I1467" s="42"/>
      <c r="J1467" s="42"/>
      <c r="K1467" s="42"/>
      <c r="L1467" s="42">
        <v>1</v>
      </c>
      <c r="M1467" s="43">
        <f t="shared" si="1167"/>
        <v>1</v>
      </c>
      <c r="N1467" s="42"/>
      <c r="O1467" s="53"/>
      <c r="P1467" s="53"/>
      <c r="Q1467" s="53"/>
      <c r="R1467" s="72"/>
      <c r="S1467" s="24">
        <f t="shared" si="1168"/>
        <v>0</v>
      </c>
      <c r="T1467" s="42"/>
      <c r="U1467" s="53"/>
      <c r="V1467" s="53"/>
      <c r="W1467" s="53"/>
      <c r="X1467" s="72"/>
      <c r="Y1467" s="24">
        <f t="shared" si="1169"/>
        <v>0</v>
      </c>
      <c r="Z1467" s="24">
        <f t="shared" si="1170"/>
        <v>1</v>
      </c>
      <c r="AA1467" s="83">
        <v>45224</v>
      </c>
      <c r="AB1467" s="23"/>
      <c r="AC1467" s="38"/>
      <c r="AD1467" s="39"/>
      <c r="AE1467" s="39"/>
      <c r="AF1467" s="39"/>
      <c r="AG1467" s="39"/>
      <c r="AH1467" s="37">
        <f t="shared" si="1185"/>
        <v>0</v>
      </c>
      <c r="AI1467" s="38"/>
      <c r="AJ1467" s="39"/>
      <c r="AK1467" s="39"/>
      <c r="AL1467" s="39"/>
      <c r="AM1467" s="39"/>
      <c r="AN1467" s="37">
        <f t="shared" si="1186"/>
        <v>0</v>
      </c>
      <c r="AO1467" s="39"/>
      <c r="AP1467" s="56"/>
      <c r="AQ1467" s="56"/>
      <c r="AR1467" s="56"/>
      <c r="AS1467" s="71"/>
      <c r="AT1467" s="16">
        <f t="shared" si="1187"/>
        <v>0</v>
      </c>
      <c r="AU1467" s="39"/>
      <c r="AV1467" s="56"/>
      <c r="AW1467" s="56"/>
      <c r="AX1467" s="56"/>
      <c r="AY1467" s="71"/>
      <c r="AZ1467" s="16">
        <f t="shared" si="1188"/>
        <v>0</v>
      </c>
      <c r="BA1467" s="16">
        <f t="shared" si="1189"/>
        <v>0</v>
      </c>
      <c r="BB1467" s="128"/>
    </row>
    <row r="1468" spans="1:54" ht="14.25" x14ac:dyDescent="0.15">
      <c r="A1468" s="23" t="s">
        <v>48</v>
      </c>
      <c r="B1468" s="41"/>
      <c r="C1468" s="42"/>
      <c r="D1468" s="42"/>
      <c r="E1468" s="42"/>
      <c r="F1468" s="42"/>
      <c r="G1468" s="43">
        <f t="shared" si="1166"/>
        <v>0</v>
      </c>
      <c r="H1468" s="41"/>
      <c r="I1468" s="42"/>
      <c r="J1468" s="42"/>
      <c r="K1468" s="42">
        <v>1</v>
      </c>
      <c r="L1468" s="42">
        <f>1+1</f>
        <v>2</v>
      </c>
      <c r="M1468" s="43">
        <f t="shared" si="1167"/>
        <v>3</v>
      </c>
      <c r="N1468" s="42"/>
      <c r="O1468" s="53">
        <v>1</v>
      </c>
      <c r="P1468" s="53"/>
      <c r="Q1468" s="53"/>
      <c r="R1468" s="72"/>
      <c r="S1468" s="24">
        <f t="shared" si="1168"/>
        <v>1</v>
      </c>
      <c r="T1468" s="42"/>
      <c r="U1468" s="53"/>
      <c r="V1468" s="53">
        <v>1</v>
      </c>
      <c r="W1468" s="53"/>
      <c r="X1468" s="72"/>
      <c r="Y1468" s="24">
        <f t="shared" si="1169"/>
        <v>1</v>
      </c>
      <c r="Z1468" s="24">
        <f t="shared" si="1170"/>
        <v>5</v>
      </c>
      <c r="AA1468" s="83">
        <v>45224</v>
      </c>
      <c r="AB1468" s="23"/>
      <c r="AC1468" s="38"/>
      <c r="AD1468" s="39"/>
      <c r="AE1468" s="39"/>
      <c r="AF1468" s="39"/>
      <c r="AG1468" s="39"/>
      <c r="AH1468" s="37">
        <f t="shared" si="1185"/>
        <v>0</v>
      </c>
      <c r="AI1468" s="38"/>
      <c r="AJ1468" s="39"/>
      <c r="AK1468" s="39"/>
      <c r="AL1468" s="39"/>
      <c r="AM1468" s="39"/>
      <c r="AN1468" s="37">
        <f t="shared" si="1186"/>
        <v>0</v>
      </c>
      <c r="AO1468" s="39"/>
      <c r="AP1468" s="56"/>
      <c r="AQ1468" s="56"/>
      <c r="AR1468" s="56"/>
      <c r="AS1468" s="71"/>
      <c r="AT1468" s="16">
        <f t="shared" si="1187"/>
        <v>0</v>
      </c>
      <c r="AU1468" s="39"/>
      <c r="AV1468" s="56"/>
      <c r="AW1468" s="56"/>
      <c r="AX1468" s="56"/>
      <c r="AY1468" s="71"/>
      <c r="AZ1468" s="16">
        <f t="shared" si="1188"/>
        <v>0</v>
      </c>
      <c r="BA1468" s="16">
        <f t="shared" si="1189"/>
        <v>0</v>
      </c>
      <c r="BB1468" s="128"/>
    </row>
    <row r="1469" spans="1:54" ht="14.25" x14ac:dyDescent="0.15">
      <c r="A1469" s="23" t="s">
        <v>631</v>
      </c>
      <c r="B1469" s="41"/>
      <c r="C1469" s="42"/>
      <c r="D1469" s="42"/>
      <c r="E1469" s="42">
        <v>-3</v>
      </c>
      <c r="F1469" s="42"/>
      <c r="G1469" s="43">
        <f t="shared" si="1166"/>
        <v>-3</v>
      </c>
      <c r="H1469" s="41"/>
      <c r="I1469" s="42"/>
      <c r="J1469" s="42"/>
      <c r="K1469" s="42"/>
      <c r="L1469" s="42">
        <v>-3</v>
      </c>
      <c r="M1469" s="43">
        <f t="shared" si="1167"/>
        <v>-3</v>
      </c>
      <c r="N1469" s="42"/>
      <c r="O1469" s="53"/>
      <c r="P1469" s="53"/>
      <c r="Q1469" s="53"/>
      <c r="R1469" s="72"/>
      <c r="S1469" s="24">
        <f t="shared" si="1168"/>
        <v>0</v>
      </c>
      <c r="T1469" s="42"/>
      <c r="U1469" s="53"/>
      <c r="V1469" s="53"/>
      <c r="W1469" s="53"/>
      <c r="X1469" s="72"/>
      <c r="Y1469" s="24">
        <f t="shared" si="1169"/>
        <v>0</v>
      </c>
      <c r="Z1469" s="24">
        <f t="shared" si="1170"/>
        <v>-6</v>
      </c>
      <c r="AA1469" s="83">
        <v>45226</v>
      </c>
      <c r="AB1469" s="23"/>
      <c r="AC1469" s="38"/>
      <c r="AD1469" s="39"/>
      <c r="AE1469" s="39"/>
      <c r="AF1469" s="39"/>
      <c r="AG1469" s="39"/>
      <c r="AH1469" s="37">
        <f t="shared" si="1185"/>
        <v>0</v>
      </c>
      <c r="AI1469" s="38"/>
      <c r="AJ1469" s="39"/>
      <c r="AK1469" s="39"/>
      <c r="AL1469" s="39"/>
      <c r="AM1469" s="39"/>
      <c r="AN1469" s="37">
        <f t="shared" si="1186"/>
        <v>0</v>
      </c>
      <c r="AO1469" s="39"/>
      <c r="AP1469" s="56"/>
      <c r="AQ1469" s="56"/>
      <c r="AR1469" s="56"/>
      <c r="AS1469" s="71"/>
      <c r="AT1469" s="16">
        <f t="shared" si="1187"/>
        <v>0</v>
      </c>
      <c r="AU1469" s="39"/>
      <c r="AV1469" s="56"/>
      <c r="AW1469" s="56"/>
      <c r="AX1469" s="56"/>
      <c r="AY1469" s="71"/>
      <c r="AZ1469" s="16">
        <f t="shared" si="1188"/>
        <v>0</v>
      </c>
      <c r="BA1469" s="16">
        <f t="shared" si="1189"/>
        <v>0</v>
      </c>
      <c r="BB1469" s="128"/>
    </row>
    <row r="1470" spans="1:54" ht="14.25" x14ac:dyDescent="0.15">
      <c r="A1470" s="23" t="s">
        <v>48</v>
      </c>
      <c r="B1470" s="41"/>
      <c r="C1470" s="42"/>
      <c r="D1470" s="42"/>
      <c r="E1470" s="42"/>
      <c r="F1470" s="42"/>
      <c r="G1470" s="43">
        <f t="shared" si="1166"/>
        <v>0</v>
      </c>
      <c r="H1470" s="41"/>
      <c r="I1470" s="42"/>
      <c r="J1470" s="42"/>
      <c r="K1470" s="42"/>
      <c r="L1470" s="42"/>
      <c r="M1470" s="43">
        <f t="shared" si="1167"/>
        <v>0</v>
      </c>
      <c r="N1470" s="42"/>
      <c r="O1470" s="53"/>
      <c r="P1470" s="53">
        <v>1</v>
      </c>
      <c r="Q1470" s="53"/>
      <c r="R1470" s="72"/>
      <c r="S1470" s="24">
        <f t="shared" si="1168"/>
        <v>1</v>
      </c>
      <c r="T1470" s="42"/>
      <c r="U1470" s="53"/>
      <c r="V1470" s="53"/>
      <c r="W1470" s="53"/>
      <c r="X1470" s="72"/>
      <c r="Y1470" s="24">
        <f t="shared" si="1169"/>
        <v>0</v>
      </c>
      <c r="Z1470" s="24">
        <f t="shared" si="1170"/>
        <v>1</v>
      </c>
      <c r="AA1470" s="83">
        <v>45226</v>
      </c>
      <c r="AB1470" s="23"/>
      <c r="AC1470" s="38"/>
      <c r="AD1470" s="39"/>
      <c r="AE1470" s="39"/>
      <c r="AF1470" s="39"/>
      <c r="AG1470" s="39"/>
      <c r="AH1470" s="37">
        <f t="shared" si="1185"/>
        <v>0</v>
      </c>
      <c r="AI1470" s="38"/>
      <c r="AJ1470" s="39"/>
      <c r="AK1470" s="39"/>
      <c r="AL1470" s="39"/>
      <c r="AM1470" s="39"/>
      <c r="AN1470" s="37">
        <f t="shared" si="1186"/>
        <v>0</v>
      </c>
      <c r="AO1470" s="39"/>
      <c r="AP1470" s="56"/>
      <c r="AQ1470" s="56"/>
      <c r="AR1470" s="56"/>
      <c r="AS1470" s="71"/>
      <c r="AT1470" s="16">
        <f t="shared" si="1187"/>
        <v>0</v>
      </c>
      <c r="AU1470" s="39"/>
      <c r="AV1470" s="56"/>
      <c r="AW1470" s="56"/>
      <c r="AX1470" s="56"/>
      <c r="AY1470" s="71"/>
      <c r="AZ1470" s="16">
        <f t="shared" si="1188"/>
        <v>0</v>
      </c>
      <c r="BA1470" s="16">
        <f t="shared" si="1189"/>
        <v>0</v>
      </c>
      <c r="BB1470" s="128"/>
    </row>
    <row r="1471" spans="1:54" ht="14.25" x14ac:dyDescent="0.15">
      <c r="A1471" s="23" t="s">
        <v>438</v>
      </c>
      <c r="B1471" s="41"/>
      <c r="C1471" s="42"/>
      <c r="D1471" s="42">
        <v>1</v>
      </c>
      <c r="E1471" s="42"/>
      <c r="F1471" s="42"/>
      <c r="G1471" s="43">
        <f t="shared" si="1166"/>
        <v>1</v>
      </c>
      <c r="H1471" s="41"/>
      <c r="I1471" s="42"/>
      <c r="J1471" s="42"/>
      <c r="K1471" s="42"/>
      <c r="L1471" s="42"/>
      <c r="M1471" s="43">
        <f t="shared" si="1167"/>
        <v>0</v>
      </c>
      <c r="N1471" s="42"/>
      <c r="O1471" s="53"/>
      <c r="P1471" s="53"/>
      <c r="Q1471" s="53"/>
      <c r="R1471" s="72"/>
      <c r="S1471" s="24">
        <f t="shared" si="1168"/>
        <v>0</v>
      </c>
      <c r="T1471" s="42"/>
      <c r="U1471" s="53"/>
      <c r="V1471" s="53"/>
      <c r="W1471" s="53"/>
      <c r="X1471" s="72"/>
      <c r="Y1471" s="24">
        <f t="shared" si="1169"/>
        <v>0</v>
      </c>
      <c r="Z1471" s="24">
        <f t="shared" si="1170"/>
        <v>1</v>
      </c>
      <c r="AA1471" s="83">
        <v>45230</v>
      </c>
      <c r="AB1471" s="23"/>
      <c r="AC1471" s="38"/>
      <c r="AD1471" s="39"/>
      <c r="AE1471" s="39"/>
      <c r="AF1471" s="39"/>
      <c r="AG1471" s="39"/>
      <c r="AH1471" s="37">
        <f t="shared" si="1185"/>
        <v>0</v>
      </c>
      <c r="AI1471" s="38"/>
      <c r="AJ1471" s="39"/>
      <c r="AK1471" s="39"/>
      <c r="AL1471" s="39"/>
      <c r="AM1471" s="39"/>
      <c r="AN1471" s="37">
        <f t="shared" si="1186"/>
        <v>0</v>
      </c>
      <c r="AO1471" s="39"/>
      <c r="AP1471" s="56"/>
      <c r="AQ1471" s="56"/>
      <c r="AR1471" s="56"/>
      <c r="AS1471" s="71"/>
      <c r="AT1471" s="16">
        <f t="shared" si="1187"/>
        <v>0</v>
      </c>
      <c r="AU1471" s="39"/>
      <c r="AV1471" s="56"/>
      <c r="AW1471" s="56"/>
      <c r="AX1471" s="56"/>
      <c r="AY1471" s="71"/>
      <c r="AZ1471" s="16">
        <f t="shared" si="1188"/>
        <v>0</v>
      </c>
      <c r="BA1471" s="16">
        <f t="shared" si="1189"/>
        <v>0</v>
      </c>
      <c r="BB1471" s="128"/>
    </row>
    <row r="1472" spans="1:54" ht="14.25" x14ac:dyDescent="0.15">
      <c r="A1472" s="23" t="s">
        <v>48</v>
      </c>
      <c r="B1472" s="41"/>
      <c r="C1472" s="42"/>
      <c r="D1472" s="42"/>
      <c r="E1472" s="42"/>
      <c r="F1472" s="42"/>
      <c r="G1472" s="43">
        <f t="shared" si="1166"/>
        <v>0</v>
      </c>
      <c r="H1472" s="41"/>
      <c r="I1472" s="42">
        <v>1</v>
      </c>
      <c r="J1472" s="42"/>
      <c r="K1472" s="42"/>
      <c r="L1472" s="42"/>
      <c r="M1472" s="43">
        <f t="shared" si="1167"/>
        <v>1</v>
      </c>
      <c r="N1472" s="42"/>
      <c r="O1472" s="53"/>
      <c r="P1472" s="53"/>
      <c r="Q1472" s="53"/>
      <c r="R1472" s="72"/>
      <c r="S1472" s="24">
        <f t="shared" si="1168"/>
        <v>0</v>
      </c>
      <c r="T1472" s="42"/>
      <c r="U1472" s="53"/>
      <c r="V1472" s="53"/>
      <c r="W1472" s="53"/>
      <c r="X1472" s="72"/>
      <c r="Y1472" s="24">
        <f t="shared" si="1169"/>
        <v>0</v>
      </c>
      <c r="Z1472" s="24">
        <f t="shared" si="1170"/>
        <v>1</v>
      </c>
      <c r="AA1472" s="83">
        <v>45229</v>
      </c>
      <c r="AB1472" s="23"/>
      <c r="AC1472" s="38"/>
      <c r="AD1472" s="39"/>
      <c r="AE1472" s="39"/>
      <c r="AF1472" s="39"/>
      <c r="AG1472" s="39"/>
      <c r="AH1472" s="37">
        <f t="shared" si="1185"/>
        <v>0</v>
      </c>
      <c r="AI1472" s="38"/>
      <c r="AJ1472" s="39"/>
      <c r="AK1472" s="39"/>
      <c r="AL1472" s="39"/>
      <c r="AM1472" s="39"/>
      <c r="AN1472" s="37">
        <f t="shared" si="1186"/>
        <v>0</v>
      </c>
      <c r="AO1472" s="39"/>
      <c r="AP1472" s="56"/>
      <c r="AQ1472" s="56"/>
      <c r="AR1472" s="56"/>
      <c r="AS1472" s="71"/>
      <c r="AT1472" s="16">
        <f t="shared" si="1187"/>
        <v>0</v>
      </c>
      <c r="AU1472" s="39"/>
      <c r="AV1472" s="56"/>
      <c r="AW1472" s="56"/>
      <c r="AX1472" s="56"/>
      <c r="AY1472" s="71"/>
      <c r="AZ1472" s="16">
        <f t="shared" si="1188"/>
        <v>0</v>
      </c>
      <c r="BA1472" s="16">
        <f t="shared" si="1189"/>
        <v>0</v>
      </c>
      <c r="BB1472" s="128"/>
    </row>
    <row r="1473" spans="1:54" ht="14.25" x14ac:dyDescent="0.15">
      <c r="A1473" s="23" t="s">
        <v>48</v>
      </c>
      <c r="B1473" s="41"/>
      <c r="C1473" s="42"/>
      <c r="D1473" s="42"/>
      <c r="E1473" s="42"/>
      <c r="F1473" s="42"/>
      <c r="G1473" s="43">
        <f t="shared" si="1166"/>
        <v>0</v>
      </c>
      <c r="H1473" s="41">
        <v>1</v>
      </c>
      <c r="I1473" s="42">
        <v>1</v>
      </c>
      <c r="J1473" s="42"/>
      <c r="K1473" s="42"/>
      <c r="L1473" s="42"/>
      <c r="M1473" s="43">
        <f t="shared" si="1167"/>
        <v>2</v>
      </c>
      <c r="N1473" s="42"/>
      <c r="O1473" s="53"/>
      <c r="P1473" s="53"/>
      <c r="Q1473" s="53"/>
      <c r="R1473" s="72"/>
      <c r="S1473" s="24">
        <f t="shared" si="1168"/>
        <v>0</v>
      </c>
      <c r="T1473" s="42"/>
      <c r="U1473" s="53"/>
      <c r="V1473" s="53"/>
      <c r="W1473" s="53"/>
      <c r="X1473" s="72"/>
      <c r="Y1473" s="24">
        <f t="shared" si="1169"/>
        <v>0</v>
      </c>
      <c r="Z1473" s="24">
        <f t="shared" si="1170"/>
        <v>2</v>
      </c>
      <c r="AA1473" s="83">
        <v>45230</v>
      </c>
      <c r="AB1473" s="23"/>
      <c r="AC1473" s="38"/>
      <c r="AD1473" s="39"/>
      <c r="AE1473" s="39"/>
      <c r="AF1473" s="39"/>
      <c r="AG1473" s="39"/>
      <c r="AH1473" s="37">
        <f t="shared" si="1185"/>
        <v>0</v>
      </c>
      <c r="AI1473" s="38"/>
      <c r="AJ1473" s="39"/>
      <c r="AK1473" s="39"/>
      <c r="AL1473" s="39"/>
      <c r="AM1473" s="39"/>
      <c r="AN1473" s="37">
        <f t="shared" si="1186"/>
        <v>0</v>
      </c>
      <c r="AO1473" s="39"/>
      <c r="AP1473" s="56"/>
      <c r="AQ1473" s="56"/>
      <c r="AR1473" s="56"/>
      <c r="AS1473" s="71"/>
      <c r="AT1473" s="16">
        <f t="shared" si="1187"/>
        <v>0</v>
      </c>
      <c r="AU1473" s="39"/>
      <c r="AV1473" s="56"/>
      <c r="AW1473" s="56"/>
      <c r="AX1473" s="56"/>
      <c r="AY1473" s="71"/>
      <c r="AZ1473" s="16">
        <f t="shared" si="1188"/>
        <v>0</v>
      </c>
      <c r="BA1473" s="16">
        <f t="shared" si="1189"/>
        <v>0</v>
      </c>
      <c r="BB1473" s="128"/>
    </row>
    <row r="1474" spans="1:54" ht="14.25" x14ac:dyDescent="0.15">
      <c r="A1474" s="23" t="s">
        <v>48</v>
      </c>
      <c r="B1474" s="41"/>
      <c r="C1474" s="42"/>
      <c r="D1474" s="42"/>
      <c r="E1474" s="42"/>
      <c r="F1474" s="42">
        <v>1</v>
      </c>
      <c r="G1474" s="43">
        <f t="shared" si="1166"/>
        <v>1</v>
      </c>
      <c r="H1474" s="41"/>
      <c r="I1474" s="42"/>
      <c r="J1474" s="42"/>
      <c r="K1474" s="42"/>
      <c r="L1474" s="42"/>
      <c r="M1474" s="43">
        <f t="shared" si="1167"/>
        <v>0</v>
      </c>
      <c r="N1474" s="42"/>
      <c r="O1474" s="53"/>
      <c r="P1474" s="53"/>
      <c r="Q1474" s="53"/>
      <c r="R1474" s="72"/>
      <c r="S1474" s="24">
        <f t="shared" si="1168"/>
        <v>0</v>
      </c>
      <c r="T1474" s="42"/>
      <c r="U1474" s="53"/>
      <c r="V1474" s="53"/>
      <c r="W1474" s="53"/>
      <c r="X1474" s="72"/>
      <c r="Y1474" s="24">
        <f t="shared" si="1169"/>
        <v>0</v>
      </c>
      <c r="Z1474" s="24">
        <f t="shared" si="1170"/>
        <v>1</v>
      </c>
      <c r="AA1474" s="83">
        <v>45231</v>
      </c>
      <c r="AB1474" s="23"/>
      <c r="AC1474" s="38"/>
      <c r="AD1474" s="39"/>
      <c r="AE1474" s="39"/>
      <c r="AF1474" s="39"/>
      <c r="AG1474" s="39"/>
      <c r="AH1474" s="37">
        <f t="shared" si="1185"/>
        <v>0</v>
      </c>
      <c r="AI1474" s="38"/>
      <c r="AJ1474" s="39"/>
      <c r="AK1474" s="39"/>
      <c r="AL1474" s="39"/>
      <c r="AM1474" s="39"/>
      <c r="AN1474" s="37">
        <f t="shared" si="1186"/>
        <v>0</v>
      </c>
      <c r="AO1474" s="39"/>
      <c r="AP1474" s="56"/>
      <c r="AQ1474" s="56"/>
      <c r="AR1474" s="56"/>
      <c r="AS1474" s="71"/>
      <c r="AT1474" s="16">
        <f t="shared" si="1187"/>
        <v>0</v>
      </c>
      <c r="AU1474" s="39"/>
      <c r="AV1474" s="56"/>
      <c r="AW1474" s="56"/>
      <c r="AX1474" s="56"/>
      <c r="AY1474" s="71"/>
      <c r="AZ1474" s="16">
        <f t="shared" si="1188"/>
        <v>0</v>
      </c>
      <c r="BA1474" s="16">
        <f t="shared" si="1189"/>
        <v>0</v>
      </c>
      <c r="BB1474" s="128"/>
    </row>
    <row r="1475" spans="1:54" ht="14.25" x14ac:dyDescent="0.15">
      <c r="A1475" s="23" t="s">
        <v>438</v>
      </c>
      <c r="B1475" s="41"/>
      <c r="C1475" s="42"/>
      <c r="D1475" s="42"/>
      <c r="E1475" s="42"/>
      <c r="F1475" s="42">
        <v>1</v>
      </c>
      <c r="G1475" s="43">
        <f t="shared" si="1166"/>
        <v>1</v>
      </c>
      <c r="H1475" s="41"/>
      <c r="I1475" s="42"/>
      <c r="J1475" s="42"/>
      <c r="K1475" s="42"/>
      <c r="L1475" s="42"/>
      <c r="M1475" s="43">
        <f t="shared" si="1167"/>
        <v>0</v>
      </c>
      <c r="N1475" s="42"/>
      <c r="O1475" s="53"/>
      <c r="P1475" s="53"/>
      <c r="Q1475" s="53"/>
      <c r="R1475" s="72"/>
      <c r="S1475" s="24">
        <f t="shared" si="1168"/>
        <v>0</v>
      </c>
      <c r="T1475" s="42"/>
      <c r="U1475" s="53"/>
      <c r="V1475" s="53"/>
      <c r="W1475" s="53"/>
      <c r="X1475" s="72"/>
      <c r="Y1475" s="24">
        <f t="shared" si="1169"/>
        <v>0</v>
      </c>
      <c r="Z1475" s="24">
        <f t="shared" si="1170"/>
        <v>1</v>
      </c>
      <c r="AA1475" s="83">
        <v>45236</v>
      </c>
      <c r="AB1475" s="23"/>
      <c r="AC1475" s="38"/>
      <c r="AD1475" s="39"/>
      <c r="AE1475" s="39"/>
      <c r="AF1475" s="39"/>
      <c r="AG1475" s="39"/>
      <c r="AH1475" s="37">
        <f t="shared" si="1185"/>
        <v>0</v>
      </c>
      <c r="AI1475" s="38"/>
      <c r="AJ1475" s="39"/>
      <c r="AK1475" s="39"/>
      <c r="AL1475" s="39"/>
      <c r="AM1475" s="39"/>
      <c r="AN1475" s="37">
        <f t="shared" si="1186"/>
        <v>0</v>
      </c>
      <c r="AO1475" s="39"/>
      <c r="AP1475" s="56"/>
      <c r="AQ1475" s="56"/>
      <c r="AR1475" s="56"/>
      <c r="AS1475" s="71"/>
      <c r="AT1475" s="16">
        <f t="shared" si="1187"/>
        <v>0</v>
      </c>
      <c r="AU1475" s="39"/>
      <c r="AV1475" s="56"/>
      <c r="AW1475" s="56"/>
      <c r="AX1475" s="56"/>
      <c r="AY1475" s="71"/>
      <c r="AZ1475" s="16">
        <f t="shared" si="1188"/>
        <v>0</v>
      </c>
      <c r="BA1475" s="16">
        <f t="shared" si="1189"/>
        <v>0</v>
      </c>
      <c r="BB1475" s="128"/>
    </row>
    <row r="1476" spans="1:54" ht="14.25" x14ac:dyDescent="0.15">
      <c r="A1476" s="23" t="s">
        <v>48</v>
      </c>
      <c r="B1476" s="41"/>
      <c r="C1476" s="42"/>
      <c r="D1476" s="42"/>
      <c r="E1476" s="42"/>
      <c r="F1476" s="42"/>
      <c r="G1476" s="43">
        <f t="shared" si="1162"/>
        <v>0</v>
      </c>
      <c r="H1476" s="41"/>
      <c r="I1476" s="42"/>
      <c r="J1476" s="42"/>
      <c r="K1476" s="42"/>
      <c r="L1476" s="42"/>
      <c r="M1476" s="43">
        <f t="shared" si="1163"/>
        <v>0</v>
      </c>
      <c r="N1476" s="42"/>
      <c r="O1476" s="53"/>
      <c r="P1476" s="53"/>
      <c r="Q1476" s="53"/>
      <c r="R1476" s="72"/>
      <c r="S1476" s="24">
        <f t="shared" si="1164"/>
        <v>0</v>
      </c>
      <c r="T1476" s="42"/>
      <c r="U1476" s="53"/>
      <c r="V1476" s="53"/>
      <c r="W1476" s="53">
        <v>1</v>
      </c>
      <c r="X1476" s="72"/>
      <c r="Y1476" s="24">
        <f t="shared" si="1165"/>
        <v>1</v>
      </c>
      <c r="Z1476" s="24">
        <f t="shared" si="1149"/>
        <v>1</v>
      </c>
      <c r="AA1476" s="83">
        <v>45232</v>
      </c>
      <c r="AB1476" s="23"/>
      <c r="AC1476" s="38"/>
      <c r="AD1476" s="39"/>
      <c r="AE1476" s="39"/>
      <c r="AF1476" s="39"/>
      <c r="AG1476" s="39"/>
      <c r="AH1476" s="37">
        <f t="shared" si="1185"/>
        <v>0</v>
      </c>
      <c r="AI1476" s="38"/>
      <c r="AJ1476" s="39"/>
      <c r="AK1476" s="39"/>
      <c r="AL1476" s="39"/>
      <c r="AM1476" s="39"/>
      <c r="AN1476" s="37">
        <f t="shared" si="1186"/>
        <v>0</v>
      </c>
      <c r="AO1476" s="39"/>
      <c r="AP1476" s="56"/>
      <c r="AQ1476" s="56"/>
      <c r="AR1476" s="56"/>
      <c r="AS1476" s="71"/>
      <c r="AT1476" s="16">
        <f t="shared" si="1187"/>
        <v>0</v>
      </c>
      <c r="AU1476" s="39"/>
      <c r="AV1476" s="56"/>
      <c r="AW1476" s="56"/>
      <c r="AX1476" s="56"/>
      <c r="AY1476" s="71"/>
      <c r="AZ1476" s="16">
        <f t="shared" si="1188"/>
        <v>0</v>
      </c>
      <c r="BA1476" s="16">
        <f t="shared" si="1189"/>
        <v>0</v>
      </c>
      <c r="BB1476" s="128"/>
    </row>
    <row r="1477" spans="1:54" ht="14.25" x14ac:dyDescent="0.15">
      <c r="A1477" s="23" t="s">
        <v>438</v>
      </c>
      <c r="B1477" s="41"/>
      <c r="C1477" s="42"/>
      <c r="D1477" s="42"/>
      <c r="E1477" s="42"/>
      <c r="F1477" s="42">
        <v>1</v>
      </c>
      <c r="G1477" s="43">
        <f t="shared" si="1162"/>
        <v>1</v>
      </c>
      <c r="H1477" s="41"/>
      <c r="I1477" s="42"/>
      <c r="J1477" s="42"/>
      <c r="K1477" s="42"/>
      <c r="L1477" s="42"/>
      <c r="M1477" s="43">
        <f t="shared" si="1163"/>
        <v>0</v>
      </c>
      <c r="N1477" s="42"/>
      <c r="O1477" s="53"/>
      <c r="P1477" s="53"/>
      <c r="Q1477" s="53"/>
      <c r="R1477" s="72"/>
      <c r="S1477" s="24">
        <f>SUM(N1477:R1477)</f>
        <v>0</v>
      </c>
      <c r="T1477" s="42"/>
      <c r="U1477" s="53"/>
      <c r="V1477" s="53"/>
      <c r="W1477" s="53"/>
      <c r="X1477" s="72"/>
      <c r="Y1477" s="24">
        <f>SUM(T1477:X1477)</f>
        <v>0</v>
      </c>
      <c r="Z1477" s="24">
        <f>G1477+M1477+S1477+Y1477</f>
        <v>1</v>
      </c>
      <c r="AA1477" s="83">
        <v>45237</v>
      </c>
      <c r="AB1477" s="23"/>
      <c r="AC1477" s="38"/>
      <c r="AD1477" s="39"/>
      <c r="AE1477" s="39"/>
      <c r="AF1477" s="39"/>
      <c r="AG1477" s="39"/>
      <c r="AH1477" s="37">
        <f t="shared" si="1185"/>
        <v>0</v>
      </c>
      <c r="AI1477" s="38"/>
      <c r="AJ1477" s="39"/>
      <c r="AK1477" s="39"/>
      <c r="AL1477" s="39"/>
      <c r="AM1477" s="39"/>
      <c r="AN1477" s="37">
        <f t="shared" si="1186"/>
        <v>0</v>
      </c>
      <c r="AO1477" s="39"/>
      <c r="AP1477" s="56"/>
      <c r="AQ1477" s="56"/>
      <c r="AR1477" s="56"/>
      <c r="AS1477" s="71"/>
      <c r="AT1477" s="16">
        <f t="shared" si="1187"/>
        <v>0</v>
      </c>
      <c r="AU1477" s="39"/>
      <c r="AV1477" s="56"/>
      <c r="AW1477" s="56"/>
      <c r="AX1477" s="56"/>
      <c r="AY1477" s="71"/>
      <c r="AZ1477" s="16">
        <f t="shared" si="1188"/>
        <v>0</v>
      </c>
      <c r="BA1477" s="16">
        <f t="shared" si="1189"/>
        <v>0</v>
      </c>
      <c r="BB1477" s="128"/>
    </row>
    <row r="1478" spans="1:54" ht="15" thickBot="1" x14ac:dyDescent="0.2">
      <c r="A1478" s="23" t="s">
        <v>48</v>
      </c>
      <c r="B1478" s="44"/>
      <c r="C1478" s="45"/>
      <c r="D1478" s="45"/>
      <c r="E1478" s="45"/>
      <c r="F1478" s="45">
        <v>1</v>
      </c>
      <c r="G1478" s="43">
        <f t="shared" si="1162"/>
        <v>1</v>
      </c>
      <c r="H1478" s="44"/>
      <c r="I1478" s="45">
        <v>1</v>
      </c>
      <c r="J1478" s="45"/>
      <c r="K1478" s="45"/>
      <c r="L1478" s="45"/>
      <c r="M1478" s="112">
        <f t="shared" si="1163"/>
        <v>1</v>
      </c>
      <c r="N1478" s="45"/>
      <c r="O1478" s="78"/>
      <c r="P1478" s="78">
        <v>1</v>
      </c>
      <c r="Q1478" s="78"/>
      <c r="R1478" s="79"/>
      <c r="S1478" s="113">
        <f>SUM(N1478:R1478)</f>
        <v>1</v>
      </c>
      <c r="T1478" s="45"/>
      <c r="U1478" s="78"/>
      <c r="V1478" s="78"/>
      <c r="W1478" s="78"/>
      <c r="X1478" s="79"/>
      <c r="Y1478" s="113">
        <f>SUM(T1478:X1478)</f>
        <v>0</v>
      </c>
      <c r="Z1478" s="82">
        <f>G1478+M1478+S1478+Y1478</f>
        <v>3</v>
      </c>
      <c r="AA1478" s="93">
        <v>45236</v>
      </c>
      <c r="AB1478" s="23" t="s">
        <v>626</v>
      </c>
      <c r="AC1478" s="38"/>
      <c r="AD1478" s="39"/>
      <c r="AE1478" s="39"/>
      <c r="AF1478" s="39"/>
      <c r="AG1478" s="39"/>
      <c r="AH1478" s="37">
        <f t="shared" ref="AH1478" si="1190">SUM(AC1478:AG1478)</f>
        <v>0</v>
      </c>
      <c r="AI1478" s="203"/>
      <c r="AJ1478" s="204"/>
      <c r="AK1478" s="204"/>
      <c r="AL1478" s="204"/>
      <c r="AM1478" s="204"/>
      <c r="AN1478" s="37">
        <f t="shared" ref="AN1478" si="1191">SUM(AI1478:AM1478)</f>
        <v>0</v>
      </c>
      <c r="AO1478" s="39"/>
      <c r="AP1478" s="56"/>
      <c r="AQ1478" s="56"/>
      <c r="AR1478" s="56"/>
      <c r="AS1478" s="71"/>
      <c r="AT1478" s="16">
        <f t="shared" ref="AT1478" si="1192">SUM(AO1478:AS1478)</f>
        <v>0</v>
      </c>
      <c r="AU1478" s="39"/>
      <c r="AV1478" s="56"/>
      <c r="AW1478" s="56"/>
      <c r="AX1478" s="56"/>
      <c r="AY1478" s="71"/>
      <c r="AZ1478" s="16">
        <f t="shared" ref="AZ1478" si="1193">SUM(AU1478:AY1478)</f>
        <v>0</v>
      </c>
      <c r="BA1478" s="16">
        <f t="shared" si="1189"/>
        <v>0</v>
      </c>
      <c r="BB1478" s="128" t="s">
        <v>627</v>
      </c>
    </row>
    <row r="1479" spans="1:54" ht="15" thickBot="1" x14ac:dyDescent="0.2">
      <c r="A1479" s="9" t="s">
        <v>13</v>
      </c>
      <c r="B1479" s="25">
        <f>SUM(B1453:B1478)</f>
        <v>0</v>
      </c>
      <c r="C1479" s="26">
        <f>SUM(C1453:C1478)</f>
        <v>5</v>
      </c>
      <c r="D1479" s="26">
        <f>SUM(D1453:D1478)</f>
        <v>4</v>
      </c>
      <c r="E1479" s="26">
        <f>SUM(E1453:E1478)</f>
        <v>-2</v>
      </c>
      <c r="F1479" s="27">
        <f>SUM(F1453:F1478)</f>
        <v>5</v>
      </c>
      <c r="G1479" s="19">
        <f>SUM(B1479:F1479)</f>
        <v>12</v>
      </c>
      <c r="H1479" s="25">
        <f>SUM(H1453:H1478)</f>
        <v>1</v>
      </c>
      <c r="I1479" s="26">
        <f>SUM(I1453:I1478)</f>
        <v>4</v>
      </c>
      <c r="J1479" s="26">
        <f>SUM(J1453:J1478)</f>
        <v>1</v>
      </c>
      <c r="K1479" s="26">
        <f>SUM(K1453:K1478)</f>
        <v>1</v>
      </c>
      <c r="L1479" s="27">
        <f>SUM(L1453:L1478)</f>
        <v>0</v>
      </c>
      <c r="M1479" s="25">
        <f>SUM(H1479:L1479)</f>
        <v>7</v>
      </c>
      <c r="N1479" s="65">
        <f>SUM(N1453:N1478)</f>
        <v>0</v>
      </c>
      <c r="O1479" s="18">
        <f>SUM(O1453:O1478)</f>
        <v>2</v>
      </c>
      <c r="P1479" s="18">
        <f>SUM(P1453:P1478)</f>
        <v>3</v>
      </c>
      <c r="Q1479" s="18">
        <f>SUM(Q1453:Q1478)</f>
        <v>2</v>
      </c>
      <c r="R1479" s="70">
        <f>SUM(R1453:R1478)</f>
        <v>0</v>
      </c>
      <c r="S1479" s="49">
        <f>SUM(N1479:R1479)</f>
        <v>7</v>
      </c>
      <c r="T1479" s="74">
        <f>SUM(T1453:T1478)</f>
        <v>0</v>
      </c>
      <c r="U1479" s="18">
        <f>SUM(U1453:U1478)</f>
        <v>0</v>
      </c>
      <c r="V1479" s="18">
        <f>SUM(V1453:V1478)</f>
        <v>5</v>
      </c>
      <c r="W1479" s="18">
        <f>SUM(W1453:W1478)</f>
        <v>1</v>
      </c>
      <c r="X1479" s="70">
        <f>SUM(X1453:X1478)</f>
        <v>1</v>
      </c>
      <c r="Y1479" s="49">
        <f>SUM(T1479:X1479)</f>
        <v>7</v>
      </c>
      <c r="Z1479" s="137">
        <f>G1479+M1479+S1479+Y1479</f>
        <v>33</v>
      </c>
      <c r="AB1479" s="9" t="s">
        <v>13</v>
      </c>
      <c r="AC1479" s="25">
        <f>SUM(AC1453:AC1478)</f>
        <v>0</v>
      </c>
      <c r="AD1479" s="26">
        <f>SUM(AD1453:AD1478)</f>
        <v>5</v>
      </c>
      <c r="AE1479" s="26">
        <f>SUM(AE1453:AE1478)</f>
        <v>0</v>
      </c>
      <c r="AF1479" s="26">
        <f>SUM(AF1453:AF1478)</f>
        <v>3</v>
      </c>
      <c r="AG1479" s="27">
        <f>SUM(AG1453:AG1478)</f>
        <v>0</v>
      </c>
      <c r="AH1479" s="19">
        <f t="shared" si="1181"/>
        <v>8</v>
      </c>
      <c r="AI1479" s="25">
        <f>SUM(AI1453:AI1478)</f>
        <v>0</v>
      </c>
      <c r="AJ1479" s="26">
        <f>SUM(AJ1453:AJ1478)</f>
        <v>3</v>
      </c>
      <c r="AK1479" s="26">
        <f>SUM(AK1453:AK1478)</f>
        <v>3</v>
      </c>
      <c r="AL1479" s="26">
        <f>SUM(AL1453:AL1478)</f>
        <v>0</v>
      </c>
      <c r="AM1479" s="27">
        <f>SUM(AM1453:AM1478)</f>
        <v>3</v>
      </c>
      <c r="AN1479" s="25">
        <f t="shared" si="1182"/>
        <v>9</v>
      </c>
      <c r="AO1479" s="65">
        <f>SUM(AO1453:AO1478)</f>
        <v>0</v>
      </c>
      <c r="AP1479" s="18">
        <f>SUM(AP1453:AP1478)</f>
        <v>0</v>
      </c>
      <c r="AQ1479" s="18">
        <f>SUM(AQ1453:AQ1478)</f>
        <v>0</v>
      </c>
      <c r="AR1479" s="18">
        <f>SUM(AR1453:AR1478)</f>
        <v>3</v>
      </c>
      <c r="AS1479" s="70">
        <f>SUM(AS1453:AS1478)</f>
        <v>0</v>
      </c>
      <c r="AT1479" s="49">
        <f t="shared" si="1183"/>
        <v>3</v>
      </c>
      <c r="AU1479" s="74">
        <f>SUM(AU1453:AU1478)</f>
        <v>0</v>
      </c>
      <c r="AV1479" s="18">
        <f>SUM(AV1453:AV1478)</f>
        <v>0</v>
      </c>
      <c r="AW1479" s="18">
        <f>SUM(AW1453:AW1478)</f>
        <v>3</v>
      </c>
      <c r="AX1479" s="18">
        <f>SUM(AX1453:AX1478)</f>
        <v>0</v>
      </c>
      <c r="AY1479" s="70">
        <f>SUM(AY1453:AY1478)</f>
        <v>0</v>
      </c>
      <c r="AZ1479" s="49">
        <f t="shared" si="1184"/>
        <v>3</v>
      </c>
      <c r="BA1479" s="77">
        <f t="shared" si="1155"/>
        <v>23</v>
      </c>
    </row>
    <row r="1480" spans="1:54" ht="15" thickBot="1" x14ac:dyDescent="0.2">
      <c r="A1480" s="32" t="s">
        <v>14</v>
      </c>
      <c r="B1480" s="29">
        <f t="shared" ref="B1480:Y1480" si="1194">B1452-B1479</f>
        <v>4</v>
      </c>
      <c r="C1480" s="30">
        <f t="shared" si="1194"/>
        <v>5</v>
      </c>
      <c r="D1480" s="30">
        <f t="shared" si="1194"/>
        <v>4</v>
      </c>
      <c r="E1480" s="30">
        <f t="shared" si="1194"/>
        <v>6</v>
      </c>
      <c r="F1480" s="31">
        <f t="shared" si="1194"/>
        <v>1</v>
      </c>
      <c r="G1480" s="31">
        <f t="shared" si="1194"/>
        <v>20</v>
      </c>
      <c r="H1480" s="29">
        <f t="shared" si="1194"/>
        <v>4</v>
      </c>
      <c r="I1480" s="30">
        <f t="shared" si="1194"/>
        <v>2</v>
      </c>
      <c r="J1480" s="30">
        <f t="shared" si="1194"/>
        <v>6</v>
      </c>
      <c r="K1480" s="30">
        <f t="shared" si="1194"/>
        <v>6</v>
      </c>
      <c r="L1480" s="31">
        <f t="shared" si="1194"/>
        <v>5</v>
      </c>
      <c r="M1480" s="66">
        <f t="shared" si="1194"/>
        <v>23</v>
      </c>
      <c r="N1480" s="29">
        <f t="shared" si="1194"/>
        <v>6</v>
      </c>
      <c r="O1480" s="30">
        <f t="shared" si="1194"/>
        <v>4</v>
      </c>
      <c r="P1480" s="30">
        <f t="shared" si="1194"/>
        <v>3</v>
      </c>
      <c r="Q1480" s="30">
        <f t="shared" si="1194"/>
        <v>6</v>
      </c>
      <c r="R1480" s="66">
        <f t="shared" si="1194"/>
        <v>6</v>
      </c>
      <c r="S1480" s="33">
        <f t="shared" si="1194"/>
        <v>25</v>
      </c>
      <c r="T1480" s="75">
        <f t="shared" si="1194"/>
        <v>8</v>
      </c>
      <c r="U1480" s="30">
        <f t="shared" si="1194"/>
        <v>5</v>
      </c>
      <c r="V1480" s="30">
        <f t="shared" si="1194"/>
        <v>4</v>
      </c>
      <c r="W1480" s="30">
        <f t="shared" si="1194"/>
        <v>4</v>
      </c>
      <c r="X1480" s="66">
        <f t="shared" si="1194"/>
        <v>3</v>
      </c>
      <c r="Y1480" s="33">
        <f t="shared" si="1194"/>
        <v>24</v>
      </c>
      <c r="Z1480" s="77">
        <f>G1480+M1480+S1480+Y1480</f>
        <v>92</v>
      </c>
      <c r="AB1480" s="32" t="s">
        <v>14</v>
      </c>
      <c r="AC1480" s="29">
        <f t="shared" ref="AC1480:AZ1480" si="1195">AC1452-AC1479</f>
        <v>104</v>
      </c>
      <c r="AD1480" s="30">
        <f t="shared" si="1195"/>
        <v>75</v>
      </c>
      <c r="AE1480" s="30">
        <f t="shared" si="1195"/>
        <v>72</v>
      </c>
      <c r="AF1480" s="30">
        <f t="shared" si="1195"/>
        <v>48</v>
      </c>
      <c r="AG1480" s="31">
        <f t="shared" si="1195"/>
        <v>32</v>
      </c>
      <c r="AH1480" s="31">
        <f t="shared" si="1195"/>
        <v>331</v>
      </c>
      <c r="AI1480" s="29">
        <f t="shared" si="1195"/>
        <v>87</v>
      </c>
      <c r="AJ1480" s="30">
        <f t="shared" si="1195"/>
        <v>80</v>
      </c>
      <c r="AK1480" s="30">
        <f t="shared" si="1195"/>
        <v>87</v>
      </c>
      <c r="AL1480" s="30">
        <f t="shared" si="1195"/>
        <v>73</v>
      </c>
      <c r="AM1480" s="31">
        <f t="shared" si="1195"/>
        <v>85</v>
      </c>
      <c r="AN1480" s="66">
        <f t="shared" si="1195"/>
        <v>412</v>
      </c>
      <c r="AO1480" s="29">
        <f t="shared" si="1195"/>
        <v>143</v>
      </c>
      <c r="AP1480" s="30">
        <f t="shared" si="1195"/>
        <v>105</v>
      </c>
      <c r="AQ1480" s="30">
        <f t="shared" si="1195"/>
        <v>105</v>
      </c>
      <c r="AR1480" s="30">
        <f t="shared" si="1195"/>
        <v>121</v>
      </c>
      <c r="AS1480" s="66">
        <f t="shared" si="1195"/>
        <v>127</v>
      </c>
      <c r="AT1480" s="33">
        <f t="shared" si="1195"/>
        <v>601</v>
      </c>
      <c r="AU1480" s="75">
        <f t="shared" si="1195"/>
        <v>111</v>
      </c>
      <c r="AV1480" s="30">
        <f t="shared" si="1195"/>
        <v>58</v>
      </c>
      <c r="AW1480" s="30">
        <f t="shared" si="1195"/>
        <v>31</v>
      </c>
      <c r="AX1480" s="30">
        <f t="shared" si="1195"/>
        <v>25</v>
      </c>
      <c r="AY1480" s="66">
        <f t="shared" si="1195"/>
        <v>77</v>
      </c>
      <c r="AZ1480" s="33">
        <f t="shared" si="1195"/>
        <v>302</v>
      </c>
      <c r="BA1480" s="77">
        <f t="shared" si="1155"/>
        <v>1646</v>
      </c>
    </row>
    <row r="1483" spans="1:54" ht="19.5" thickBot="1" x14ac:dyDescent="0.25">
      <c r="A1483" s="1" t="s">
        <v>15</v>
      </c>
      <c r="AB1483" s="1" t="s">
        <v>16</v>
      </c>
    </row>
    <row r="1484" spans="1:54" ht="15" thickBot="1" x14ac:dyDescent="0.2">
      <c r="A1484" s="4"/>
      <c r="B1484" s="245" t="s">
        <v>17</v>
      </c>
      <c r="C1484" s="246"/>
      <c r="D1484" s="246"/>
      <c r="E1484" s="246"/>
      <c r="F1484" s="246"/>
      <c r="G1484" s="247"/>
      <c r="H1484" s="245" t="s">
        <v>18</v>
      </c>
      <c r="I1484" s="246"/>
      <c r="J1484" s="246"/>
      <c r="K1484" s="246"/>
      <c r="L1484" s="246"/>
      <c r="M1484" s="247"/>
      <c r="N1484" s="248" t="s">
        <v>27</v>
      </c>
      <c r="O1484" s="249"/>
      <c r="P1484" s="249"/>
      <c r="Q1484" s="249"/>
      <c r="R1484" s="249"/>
      <c r="S1484" s="250"/>
      <c r="T1484" s="248" t="s">
        <v>28</v>
      </c>
      <c r="U1484" s="249"/>
      <c r="V1484" s="249"/>
      <c r="W1484" s="249"/>
      <c r="X1484" s="249"/>
      <c r="Y1484" s="250"/>
      <c r="Z1484" s="251" t="s">
        <v>1</v>
      </c>
      <c r="AB1484" s="4"/>
      <c r="AC1484" s="253" t="s">
        <v>17</v>
      </c>
      <c r="AD1484" s="249"/>
      <c r="AE1484" s="249"/>
      <c r="AF1484" s="249"/>
      <c r="AG1484" s="249"/>
      <c r="AH1484" s="250"/>
      <c r="AI1484" s="248" t="s">
        <v>18</v>
      </c>
      <c r="AJ1484" s="249"/>
      <c r="AK1484" s="249"/>
      <c r="AL1484" s="249"/>
      <c r="AM1484" s="249"/>
      <c r="AN1484" s="250"/>
      <c r="AO1484" s="248" t="s">
        <v>27</v>
      </c>
      <c r="AP1484" s="249"/>
      <c r="AQ1484" s="249"/>
      <c r="AR1484" s="249"/>
      <c r="AS1484" s="249"/>
      <c r="AT1484" s="250"/>
      <c r="AU1484" s="248" t="s">
        <v>28</v>
      </c>
      <c r="AV1484" s="249"/>
      <c r="AW1484" s="249"/>
      <c r="AX1484" s="249"/>
      <c r="AY1484" s="249"/>
      <c r="AZ1484" s="250"/>
      <c r="BA1484" s="243" t="s">
        <v>1</v>
      </c>
    </row>
    <row r="1485" spans="1:54" ht="15" thickBot="1" x14ac:dyDescent="0.2">
      <c r="A1485" s="9" t="s">
        <v>2</v>
      </c>
      <c r="B1485" s="6" t="s">
        <v>3</v>
      </c>
      <c r="C1485" s="7" t="s">
        <v>4</v>
      </c>
      <c r="D1485" s="7" t="s">
        <v>5</v>
      </c>
      <c r="E1485" s="48" t="s">
        <v>20</v>
      </c>
      <c r="F1485" s="8" t="s">
        <v>21</v>
      </c>
      <c r="G1485" s="5" t="s">
        <v>6</v>
      </c>
      <c r="H1485" s="6" t="s">
        <v>3</v>
      </c>
      <c r="I1485" s="7" t="s">
        <v>4</v>
      </c>
      <c r="J1485" s="7" t="s">
        <v>5</v>
      </c>
      <c r="K1485" s="48" t="s">
        <v>20</v>
      </c>
      <c r="L1485" s="8" t="s">
        <v>21</v>
      </c>
      <c r="M1485" s="5" t="s">
        <v>6</v>
      </c>
      <c r="N1485" s="6" t="s">
        <v>3</v>
      </c>
      <c r="O1485" s="7" t="s">
        <v>4</v>
      </c>
      <c r="P1485" s="7" t="s">
        <v>5</v>
      </c>
      <c r="Q1485" s="48" t="s">
        <v>20</v>
      </c>
      <c r="R1485" s="8" t="s">
        <v>21</v>
      </c>
      <c r="S1485" s="5" t="s">
        <v>6</v>
      </c>
      <c r="T1485" s="7" t="s">
        <v>3</v>
      </c>
      <c r="U1485" s="7" t="s">
        <v>4</v>
      </c>
      <c r="V1485" s="7" t="s">
        <v>5</v>
      </c>
      <c r="W1485" s="48" t="s">
        <v>20</v>
      </c>
      <c r="X1485" s="109" t="s">
        <v>21</v>
      </c>
      <c r="Y1485" s="62" t="s">
        <v>6</v>
      </c>
      <c r="Z1485" s="252"/>
      <c r="AB1485" s="9" t="s">
        <v>2</v>
      </c>
      <c r="AC1485" s="6" t="s">
        <v>3</v>
      </c>
      <c r="AD1485" s="7" t="s">
        <v>4</v>
      </c>
      <c r="AE1485" s="7" t="s">
        <v>5</v>
      </c>
      <c r="AF1485" s="48" t="s">
        <v>20</v>
      </c>
      <c r="AG1485" s="8" t="s">
        <v>21</v>
      </c>
      <c r="AH1485" s="5" t="s">
        <v>6</v>
      </c>
      <c r="AI1485" s="6" t="s">
        <v>3</v>
      </c>
      <c r="AJ1485" s="7" t="s">
        <v>4</v>
      </c>
      <c r="AK1485" s="7" t="s">
        <v>5</v>
      </c>
      <c r="AL1485" s="48" t="s">
        <v>20</v>
      </c>
      <c r="AM1485" s="8" t="s">
        <v>21</v>
      </c>
      <c r="AN1485" s="5" t="s">
        <v>6</v>
      </c>
      <c r="AO1485" s="6" t="s">
        <v>3</v>
      </c>
      <c r="AP1485" s="7" t="s">
        <v>4</v>
      </c>
      <c r="AQ1485" s="7" t="s">
        <v>5</v>
      </c>
      <c r="AR1485" s="48" t="s">
        <v>20</v>
      </c>
      <c r="AS1485" s="8" t="s">
        <v>21</v>
      </c>
      <c r="AT1485" s="5" t="s">
        <v>6</v>
      </c>
      <c r="AU1485" s="7" t="s">
        <v>3</v>
      </c>
      <c r="AV1485" s="7" t="s">
        <v>4</v>
      </c>
      <c r="AW1485" s="7" t="s">
        <v>5</v>
      </c>
      <c r="AX1485" s="48" t="s">
        <v>20</v>
      </c>
      <c r="AY1485" s="109" t="s">
        <v>21</v>
      </c>
      <c r="AZ1485" s="62" t="s">
        <v>6</v>
      </c>
      <c r="BA1485" s="244"/>
    </row>
    <row r="1486" spans="1:54" ht="14.25" x14ac:dyDescent="0.15">
      <c r="A1486" s="103" t="s">
        <v>43</v>
      </c>
      <c r="B1486" s="104">
        <f>B1480</f>
        <v>4</v>
      </c>
      <c r="C1486" s="105">
        <f>C1480</f>
        <v>5</v>
      </c>
      <c r="D1486" s="105">
        <f>D1480</f>
        <v>4</v>
      </c>
      <c r="E1486" s="105">
        <f>E1480</f>
        <v>6</v>
      </c>
      <c r="F1486" s="105">
        <f>F1480</f>
        <v>1</v>
      </c>
      <c r="G1486" s="106">
        <f t="shared" ref="G1486" si="1196">SUM(B1486:F1486)</f>
        <v>20</v>
      </c>
      <c r="H1486" s="104">
        <f>H1480</f>
        <v>4</v>
      </c>
      <c r="I1486" s="105">
        <f>I1480</f>
        <v>2</v>
      </c>
      <c r="J1486" s="105">
        <f>J1480</f>
        <v>6</v>
      </c>
      <c r="K1486" s="105">
        <f>K1480</f>
        <v>6</v>
      </c>
      <c r="L1486" s="105">
        <f>L1480</f>
        <v>5</v>
      </c>
      <c r="M1486" s="107">
        <f t="shared" ref="M1486:M1488" si="1197">SUM(H1486:L1486)</f>
        <v>23</v>
      </c>
      <c r="N1486" s="104">
        <f>N1480</f>
        <v>6</v>
      </c>
      <c r="O1486" s="105">
        <f>O1480</f>
        <v>4</v>
      </c>
      <c r="P1486" s="105">
        <f>P1480</f>
        <v>3</v>
      </c>
      <c r="Q1486" s="105">
        <f>Q1480</f>
        <v>6</v>
      </c>
      <c r="R1486" s="105">
        <f>R1480</f>
        <v>6</v>
      </c>
      <c r="S1486" s="108">
        <f t="shared" ref="S1486:S1488" si="1198">SUM(N1486:R1486)</f>
        <v>25</v>
      </c>
      <c r="T1486" s="104">
        <f>T1480</f>
        <v>8</v>
      </c>
      <c r="U1486" s="105">
        <f>U1480</f>
        <v>5</v>
      </c>
      <c r="V1486" s="105">
        <f>V1480</f>
        <v>4</v>
      </c>
      <c r="W1486" s="105">
        <f>W1480</f>
        <v>4</v>
      </c>
      <c r="X1486" s="105">
        <f>X1480</f>
        <v>3</v>
      </c>
      <c r="Y1486" s="106">
        <f t="shared" ref="Y1486:Y1488" si="1199">SUM(T1486:X1486)</f>
        <v>24</v>
      </c>
      <c r="Z1486" s="106">
        <f t="shared" ref="Z1486:Z1515" si="1200">G1486+M1486+S1486+Y1486</f>
        <v>92</v>
      </c>
      <c r="AB1486" s="103" t="s">
        <v>43</v>
      </c>
      <c r="AC1486" s="104">
        <f>AC1480</f>
        <v>104</v>
      </c>
      <c r="AD1486" s="105">
        <f>AD1480</f>
        <v>75</v>
      </c>
      <c r="AE1486" s="105">
        <f>AE1480</f>
        <v>72</v>
      </c>
      <c r="AF1486" s="105">
        <f>AF1480</f>
        <v>48</v>
      </c>
      <c r="AG1486" s="105">
        <f>AG1480</f>
        <v>32</v>
      </c>
      <c r="AH1486" s="106">
        <f>SUM(AC1486:AG1486)</f>
        <v>331</v>
      </c>
      <c r="AI1486" s="104">
        <f>AI1480</f>
        <v>87</v>
      </c>
      <c r="AJ1486" s="105">
        <f>AJ1480</f>
        <v>80</v>
      </c>
      <c r="AK1486" s="105">
        <f>AK1480</f>
        <v>87</v>
      </c>
      <c r="AL1486" s="105">
        <f>AL1480</f>
        <v>73</v>
      </c>
      <c r="AM1486" s="105">
        <f>AM1480</f>
        <v>85</v>
      </c>
      <c r="AN1486" s="107">
        <f>SUM(AI1486:AM1486)</f>
        <v>412</v>
      </c>
      <c r="AO1486" s="104">
        <f>AO1480</f>
        <v>143</v>
      </c>
      <c r="AP1486" s="105">
        <f>AP1480</f>
        <v>105</v>
      </c>
      <c r="AQ1486" s="105">
        <f>AQ1480</f>
        <v>105</v>
      </c>
      <c r="AR1486" s="105">
        <f>AR1480</f>
        <v>121</v>
      </c>
      <c r="AS1486" s="105">
        <f>AS1480</f>
        <v>127</v>
      </c>
      <c r="AT1486" s="108">
        <f>SUM(AO1486:AS1486)</f>
        <v>601</v>
      </c>
      <c r="AU1486" s="104">
        <f>AU1480</f>
        <v>111</v>
      </c>
      <c r="AV1486" s="105">
        <f>AV1480</f>
        <v>58</v>
      </c>
      <c r="AW1486" s="105">
        <f>AW1480</f>
        <v>31</v>
      </c>
      <c r="AX1486" s="105">
        <f>AX1480</f>
        <v>25</v>
      </c>
      <c r="AY1486" s="105">
        <f>AY1480</f>
        <v>77</v>
      </c>
      <c r="AZ1486" s="106">
        <f>SUM(AU1486:AY1486)</f>
        <v>302</v>
      </c>
      <c r="BA1486" s="106">
        <f>AH1486+AN1486+AT1486+AZ1486</f>
        <v>1646</v>
      </c>
    </row>
    <row r="1487" spans="1:54" ht="14.25" x14ac:dyDescent="0.15">
      <c r="A1487" s="10" t="s">
        <v>181</v>
      </c>
      <c r="B1487" s="14"/>
      <c r="C1487" s="15"/>
      <c r="D1487" s="15"/>
      <c r="E1487" s="15"/>
      <c r="F1487" s="15">
        <v>5</v>
      </c>
      <c r="G1487" s="16">
        <f t="shared" ref="G1487" si="1201">SUM(B1487:F1487)</f>
        <v>5</v>
      </c>
      <c r="H1487" s="14">
        <v>3</v>
      </c>
      <c r="I1487" s="15">
        <v>3</v>
      </c>
      <c r="J1487" s="15"/>
      <c r="K1487" s="15"/>
      <c r="L1487" s="15"/>
      <c r="M1487" s="57">
        <f t="shared" si="1197"/>
        <v>6</v>
      </c>
      <c r="N1487" s="14"/>
      <c r="O1487" s="55"/>
      <c r="P1487" s="55">
        <v>3</v>
      </c>
      <c r="Q1487" s="55"/>
      <c r="R1487" s="67"/>
      <c r="S1487" s="24">
        <f t="shared" si="1198"/>
        <v>3</v>
      </c>
      <c r="T1487" s="15"/>
      <c r="U1487" s="55"/>
      <c r="V1487" s="55"/>
      <c r="W1487" s="55"/>
      <c r="X1487" s="67"/>
      <c r="Y1487" s="24">
        <f t="shared" si="1199"/>
        <v>0</v>
      </c>
      <c r="Z1487" s="24">
        <f t="shared" si="1200"/>
        <v>14</v>
      </c>
      <c r="AA1487" s="83">
        <v>45237</v>
      </c>
      <c r="AB1487" s="10" t="s">
        <v>181</v>
      </c>
      <c r="AC1487" s="14"/>
      <c r="AD1487" s="15"/>
      <c r="AE1487" s="15"/>
      <c r="AF1487" s="15"/>
      <c r="AG1487" s="15"/>
      <c r="AH1487" s="43">
        <f t="shared" ref="AH1487:AH1491" si="1202">SUM(AC1487:AG1487)</f>
        <v>0</v>
      </c>
      <c r="AI1487" s="14"/>
      <c r="AJ1487" s="15"/>
      <c r="AK1487" s="15"/>
      <c r="AL1487" s="15"/>
      <c r="AM1487" s="15"/>
      <c r="AN1487" s="43">
        <f t="shared" ref="AN1487:AN1491" si="1203">SUM(AI1487:AM1487)</f>
        <v>0</v>
      </c>
      <c r="AO1487" s="14"/>
      <c r="AP1487" s="55"/>
      <c r="AQ1487" s="55"/>
      <c r="AR1487" s="55"/>
      <c r="AS1487" s="67"/>
      <c r="AT1487" s="24">
        <f t="shared" ref="AT1487:AT1491" si="1204">SUM(AO1487:AS1487)</f>
        <v>0</v>
      </c>
      <c r="AU1487" s="15"/>
      <c r="AV1487" s="55"/>
      <c r="AW1487" s="55"/>
      <c r="AX1487" s="55"/>
      <c r="AY1487" s="67"/>
      <c r="AZ1487" s="24">
        <f t="shared" ref="AZ1487:AZ1491" si="1205">SUM(AU1487:AY1487)</f>
        <v>0</v>
      </c>
      <c r="BA1487" s="24">
        <f t="shared" ref="BA1487:BA1519" si="1206">AH1487+AN1487+AT1487+AZ1487</f>
        <v>0</v>
      </c>
    </row>
    <row r="1488" spans="1:54" ht="14.25" x14ac:dyDescent="0.15">
      <c r="A1488" s="10" t="s">
        <v>181</v>
      </c>
      <c r="B1488" s="14">
        <v>3</v>
      </c>
      <c r="C1488" s="15">
        <v>3</v>
      </c>
      <c r="D1488" s="15">
        <v>3</v>
      </c>
      <c r="E1488" s="15"/>
      <c r="F1488" s="15"/>
      <c r="G1488" s="16">
        <f t="shared" ref="G1488:G1517" si="1207">SUM(B1488:F1488)</f>
        <v>9</v>
      </c>
      <c r="H1488" s="14"/>
      <c r="I1488" s="15"/>
      <c r="J1488" s="15"/>
      <c r="K1488" s="15"/>
      <c r="L1488" s="15"/>
      <c r="M1488" s="57">
        <f t="shared" si="1197"/>
        <v>0</v>
      </c>
      <c r="N1488" s="14"/>
      <c r="O1488" s="55"/>
      <c r="P1488" s="55"/>
      <c r="Q1488" s="55"/>
      <c r="R1488" s="67"/>
      <c r="S1488" s="24">
        <f t="shared" si="1198"/>
        <v>0</v>
      </c>
      <c r="T1488" s="15"/>
      <c r="U1488" s="55"/>
      <c r="V1488" s="55"/>
      <c r="W1488" s="55"/>
      <c r="X1488" s="67"/>
      <c r="Y1488" s="24">
        <f t="shared" si="1199"/>
        <v>0</v>
      </c>
      <c r="Z1488" s="24">
        <f t="shared" si="1200"/>
        <v>9</v>
      </c>
      <c r="AA1488" s="83">
        <v>45240</v>
      </c>
      <c r="AB1488" s="10" t="s">
        <v>181</v>
      </c>
      <c r="AC1488" s="14"/>
      <c r="AD1488" s="15"/>
      <c r="AE1488" s="15"/>
      <c r="AF1488" s="15"/>
      <c r="AG1488" s="15"/>
      <c r="AH1488" s="43">
        <f t="shared" si="1202"/>
        <v>0</v>
      </c>
      <c r="AI1488" s="14"/>
      <c r="AJ1488" s="15"/>
      <c r="AK1488" s="15"/>
      <c r="AL1488" s="15"/>
      <c r="AM1488" s="15"/>
      <c r="AN1488" s="43">
        <f t="shared" si="1203"/>
        <v>0</v>
      </c>
      <c r="AO1488" s="14"/>
      <c r="AP1488" s="55"/>
      <c r="AQ1488" s="55"/>
      <c r="AR1488" s="55"/>
      <c r="AS1488" s="67"/>
      <c r="AT1488" s="24">
        <f t="shared" si="1204"/>
        <v>0</v>
      </c>
      <c r="AU1488" s="15"/>
      <c r="AV1488" s="55"/>
      <c r="AW1488" s="55"/>
      <c r="AX1488" s="55"/>
      <c r="AY1488" s="67"/>
      <c r="AZ1488" s="24">
        <f t="shared" si="1205"/>
        <v>0</v>
      </c>
      <c r="BA1488" s="24">
        <f t="shared" si="1206"/>
        <v>0</v>
      </c>
    </row>
    <row r="1489" spans="1:54" ht="14.25" x14ac:dyDescent="0.15">
      <c r="A1489" s="10" t="s">
        <v>181</v>
      </c>
      <c r="B1489" s="14"/>
      <c r="C1489" s="15"/>
      <c r="D1489" s="15"/>
      <c r="E1489" s="15"/>
      <c r="F1489" s="15"/>
      <c r="G1489" s="16">
        <f t="shared" si="1207"/>
        <v>0</v>
      </c>
      <c r="H1489" s="14"/>
      <c r="I1489" s="15"/>
      <c r="J1489" s="15"/>
      <c r="K1489" s="15"/>
      <c r="L1489" s="15"/>
      <c r="M1489" s="57">
        <f t="shared" ref="M1489:M1517" si="1208">SUM(H1489:L1489)</f>
        <v>0</v>
      </c>
      <c r="N1489" s="14"/>
      <c r="O1489" s="55">
        <v>3</v>
      </c>
      <c r="P1489" s="55"/>
      <c r="Q1489" s="55"/>
      <c r="R1489" s="67"/>
      <c r="S1489" s="24">
        <f t="shared" ref="S1489:S1515" si="1209">SUM(N1489:R1489)</f>
        <v>3</v>
      </c>
      <c r="T1489" s="15"/>
      <c r="U1489" s="55"/>
      <c r="V1489" s="55"/>
      <c r="W1489" s="55"/>
      <c r="X1489" s="67">
        <v>3</v>
      </c>
      <c r="Y1489" s="24">
        <f t="shared" ref="Y1489:Y1515" si="1210">SUM(T1489:X1489)</f>
        <v>3</v>
      </c>
      <c r="Z1489" s="24">
        <f t="shared" si="1200"/>
        <v>6</v>
      </c>
      <c r="AA1489" s="83">
        <v>45251</v>
      </c>
      <c r="AB1489" s="10" t="s">
        <v>181</v>
      </c>
      <c r="AC1489" s="14"/>
      <c r="AD1489" s="15"/>
      <c r="AE1489" s="15"/>
      <c r="AF1489" s="15"/>
      <c r="AG1489" s="15"/>
      <c r="AH1489" s="43">
        <f t="shared" si="1202"/>
        <v>0</v>
      </c>
      <c r="AI1489" s="14"/>
      <c r="AJ1489" s="15"/>
      <c r="AK1489" s="15"/>
      <c r="AL1489" s="15"/>
      <c r="AM1489" s="15"/>
      <c r="AN1489" s="43">
        <f t="shared" si="1203"/>
        <v>0</v>
      </c>
      <c r="AO1489" s="14"/>
      <c r="AP1489" s="55"/>
      <c r="AQ1489" s="55"/>
      <c r="AR1489" s="55"/>
      <c r="AS1489" s="67"/>
      <c r="AT1489" s="24">
        <f t="shared" si="1204"/>
        <v>0</v>
      </c>
      <c r="AU1489" s="15"/>
      <c r="AV1489" s="55"/>
      <c r="AW1489" s="55"/>
      <c r="AX1489" s="55"/>
      <c r="AY1489" s="67"/>
      <c r="AZ1489" s="24">
        <f t="shared" si="1205"/>
        <v>0</v>
      </c>
      <c r="BA1489" s="24">
        <f t="shared" si="1206"/>
        <v>0</v>
      </c>
    </row>
    <row r="1490" spans="1:54" ht="15" thickBot="1" x14ac:dyDescent="0.2">
      <c r="A1490" s="10" t="s">
        <v>181</v>
      </c>
      <c r="B1490" s="14">
        <v>3</v>
      </c>
      <c r="C1490" s="15"/>
      <c r="D1490" s="15"/>
      <c r="E1490" s="15"/>
      <c r="F1490" s="15"/>
      <c r="G1490" s="16">
        <f t="shared" si="1207"/>
        <v>3</v>
      </c>
      <c r="H1490" s="14"/>
      <c r="I1490" s="15">
        <v>3</v>
      </c>
      <c r="J1490" s="15"/>
      <c r="K1490" s="15"/>
      <c r="L1490" s="15"/>
      <c r="M1490" s="57">
        <f t="shared" si="1208"/>
        <v>3</v>
      </c>
      <c r="N1490" s="14"/>
      <c r="O1490" s="55"/>
      <c r="P1490" s="55"/>
      <c r="Q1490" s="55"/>
      <c r="R1490" s="67"/>
      <c r="S1490" s="24">
        <f t="shared" si="1209"/>
        <v>0</v>
      </c>
      <c r="T1490" s="15"/>
      <c r="U1490" s="55"/>
      <c r="V1490" s="55"/>
      <c r="W1490" s="55"/>
      <c r="X1490" s="67"/>
      <c r="Y1490" s="24">
        <f t="shared" si="1210"/>
        <v>0</v>
      </c>
      <c r="Z1490" s="24">
        <f t="shared" si="1200"/>
        <v>6</v>
      </c>
      <c r="AA1490" s="83">
        <v>45260</v>
      </c>
      <c r="AB1490" s="10" t="s">
        <v>181</v>
      </c>
      <c r="AC1490" s="14"/>
      <c r="AD1490" s="15"/>
      <c r="AE1490" s="15"/>
      <c r="AF1490" s="15"/>
      <c r="AG1490" s="15"/>
      <c r="AH1490" s="43">
        <f t="shared" si="1202"/>
        <v>0</v>
      </c>
      <c r="AI1490" s="14"/>
      <c r="AJ1490" s="15"/>
      <c r="AK1490" s="15"/>
      <c r="AL1490" s="15"/>
      <c r="AM1490" s="15"/>
      <c r="AN1490" s="43">
        <f t="shared" si="1203"/>
        <v>0</v>
      </c>
      <c r="AO1490" s="14"/>
      <c r="AP1490" s="55"/>
      <c r="AQ1490" s="55"/>
      <c r="AR1490" s="55"/>
      <c r="AS1490" s="67"/>
      <c r="AT1490" s="24">
        <f t="shared" si="1204"/>
        <v>0</v>
      </c>
      <c r="AU1490" s="15"/>
      <c r="AV1490" s="55"/>
      <c r="AW1490" s="55"/>
      <c r="AX1490" s="55"/>
      <c r="AY1490" s="67"/>
      <c r="AZ1490" s="24">
        <f t="shared" si="1205"/>
        <v>0</v>
      </c>
      <c r="BA1490" s="24">
        <f t="shared" si="1206"/>
        <v>0</v>
      </c>
    </row>
    <row r="1491" spans="1:54" ht="15" thickBot="1" x14ac:dyDescent="0.2">
      <c r="A1491" s="4" t="s">
        <v>12</v>
      </c>
      <c r="B1491" s="17">
        <f>SUM(B1486:B1490)</f>
        <v>10</v>
      </c>
      <c r="C1491" s="18">
        <f>SUM(C1486:C1490)</f>
        <v>8</v>
      </c>
      <c r="D1491" s="18">
        <f>SUM(D1486:D1490)</f>
        <v>7</v>
      </c>
      <c r="E1491" s="18">
        <f>SUM(E1486:E1490)</f>
        <v>6</v>
      </c>
      <c r="F1491" s="18">
        <f>SUM(F1486:F1490)</f>
        <v>6</v>
      </c>
      <c r="G1491" s="148">
        <f t="shared" si="1207"/>
        <v>37</v>
      </c>
      <c r="H1491" s="17">
        <f>SUM(H1486:H1490)</f>
        <v>7</v>
      </c>
      <c r="I1491" s="18">
        <f>SUM(I1486:I1490)</f>
        <v>8</v>
      </c>
      <c r="J1491" s="18">
        <f>SUM(J1486:J1490)</f>
        <v>6</v>
      </c>
      <c r="K1491" s="18">
        <f>SUM(K1486:K1490)</f>
        <v>6</v>
      </c>
      <c r="L1491" s="18">
        <f>SUM(L1486:L1490)</f>
        <v>5</v>
      </c>
      <c r="M1491" s="17">
        <f t="shared" si="1208"/>
        <v>32</v>
      </c>
      <c r="N1491" s="65">
        <f>SUM(N1486:N1490)</f>
        <v>6</v>
      </c>
      <c r="O1491" s="18">
        <f>SUM(O1486:O1490)</f>
        <v>7</v>
      </c>
      <c r="P1491" s="18">
        <f>SUM(P1486:P1490)</f>
        <v>6</v>
      </c>
      <c r="Q1491" s="18">
        <f>SUM(Q1486:Q1490)</f>
        <v>6</v>
      </c>
      <c r="R1491" s="70">
        <f>SUM(R1486:R1490)</f>
        <v>6</v>
      </c>
      <c r="S1491" s="49">
        <f t="shared" si="1209"/>
        <v>31</v>
      </c>
      <c r="T1491" s="74">
        <f>SUM(T1486:T1490)</f>
        <v>8</v>
      </c>
      <c r="U1491" s="18">
        <f>SUM(U1486:U1490)</f>
        <v>5</v>
      </c>
      <c r="V1491" s="18">
        <f>SUM(V1486:V1490)</f>
        <v>4</v>
      </c>
      <c r="W1491" s="18">
        <f>SUM(W1486:W1490)</f>
        <v>4</v>
      </c>
      <c r="X1491" s="70">
        <f>SUM(X1486:X1490)</f>
        <v>6</v>
      </c>
      <c r="Y1491" s="49">
        <f t="shared" si="1210"/>
        <v>27</v>
      </c>
      <c r="Z1491" s="33">
        <f t="shared" si="1200"/>
        <v>127</v>
      </c>
      <c r="AB1491" s="4" t="s">
        <v>12</v>
      </c>
      <c r="AC1491" s="17">
        <f>SUM(AC1486:AC1490)</f>
        <v>104</v>
      </c>
      <c r="AD1491" s="18">
        <f>SUM(AD1486:AD1490)</f>
        <v>75</v>
      </c>
      <c r="AE1491" s="18">
        <f>SUM(AE1486:AE1490)</f>
        <v>72</v>
      </c>
      <c r="AF1491" s="18">
        <f>SUM(AF1486:AF1490)</f>
        <v>48</v>
      </c>
      <c r="AG1491" s="18">
        <f>SUM(AG1486:AG1490)</f>
        <v>32</v>
      </c>
      <c r="AH1491" s="148">
        <f t="shared" si="1202"/>
        <v>331</v>
      </c>
      <c r="AI1491" s="17">
        <f>SUM(AI1486:AI1490)</f>
        <v>87</v>
      </c>
      <c r="AJ1491" s="18">
        <f>SUM(AJ1486:AJ1490)</f>
        <v>80</v>
      </c>
      <c r="AK1491" s="18">
        <f>SUM(AK1486:AK1490)</f>
        <v>87</v>
      </c>
      <c r="AL1491" s="18">
        <f>SUM(AL1486:AL1490)</f>
        <v>73</v>
      </c>
      <c r="AM1491" s="18">
        <f>SUM(AM1486:AM1490)</f>
        <v>85</v>
      </c>
      <c r="AN1491" s="148">
        <f t="shared" si="1203"/>
        <v>412</v>
      </c>
      <c r="AO1491" s="65">
        <f>SUM(AO1486:AO1490)</f>
        <v>143</v>
      </c>
      <c r="AP1491" s="18">
        <f>SUM(AP1486:AP1490)</f>
        <v>105</v>
      </c>
      <c r="AQ1491" s="18">
        <f>SUM(AQ1486:AQ1490)</f>
        <v>105</v>
      </c>
      <c r="AR1491" s="18">
        <f>SUM(AR1486:AR1490)</f>
        <v>121</v>
      </c>
      <c r="AS1491" s="70">
        <f>SUM(AS1486:AS1490)</f>
        <v>127</v>
      </c>
      <c r="AT1491" s="49">
        <f t="shared" si="1204"/>
        <v>601</v>
      </c>
      <c r="AU1491" s="74">
        <f>SUM(AU1486:AU1490)</f>
        <v>111</v>
      </c>
      <c r="AV1491" s="18">
        <f>SUM(AV1486:AV1490)</f>
        <v>58</v>
      </c>
      <c r="AW1491" s="18">
        <f>SUM(AW1486:AW1490)</f>
        <v>31</v>
      </c>
      <c r="AX1491" s="18">
        <f>SUM(AX1486:AX1490)</f>
        <v>25</v>
      </c>
      <c r="AY1491" s="70">
        <f>SUM(AY1486:AY1490)</f>
        <v>77</v>
      </c>
      <c r="AZ1491" s="49">
        <f t="shared" si="1205"/>
        <v>302</v>
      </c>
      <c r="BA1491" s="33">
        <f t="shared" si="1206"/>
        <v>1646</v>
      </c>
    </row>
    <row r="1492" spans="1:54" ht="14.25" x14ac:dyDescent="0.15">
      <c r="A1492" s="23" t="s">
        <v>438</v>
      </c>
      <c r="B1492" s="41"/>
      <c r="C1492" s="42"/>
      <c r="D1492" s="42"/>
      <c r="E1492" s="42"/>
      <c r="F1492" s="42"/>
      <c r="G1492" s="43">
        <f t="shared" ref="G1492:G1515" si="1211">SUM(B1492:F1492)</f>
        <v>0</v>
      </c>
      <c r="H1492" s="41"/>
      <c r="I1492" s="42"/>
      <c r="J1492" s="42"/>
      <c r="K1492" s="42"/>
      <c r="L1492" s="42"/>
      <c r="M1492" s="43">
        <f t="shared" ref="M1492:M1515" si="1212">SUM(H1492:L1492)</f>
        <v>0</v>
      </c>
      <c r="N1492" s="42"/>
      <c r="O1492" s="53"/>
      <c r="P1492" s="53"/>
      <c r="Q1492" s="53"/>
      <c r="R1492" s="72"/>
      <c r="S1492" s="24">
        <f t="shared" si="1209"/>
        <v>0</v>
      </c>
      <c r="T1492" s="42"/>
      <c r="U1492" s="53"/>
      <c r="V1492" s="53"/>
      <c r="W1492" s="53"/>
      <c r="X1492" s="72">
        <v>1</v>
      </c>
      <c r="Y1492" s="24">
        <f t="shared" si="1210"/>
        <v>1</v>
      </c>
      <c r="Z1492" s="24">
        <f t="shared" si="1200"/>
        <v>1</v>
      </c>
      <c r="AA1492" s="83">
        <v>45239</v>
      </c>
      <c r="AB1492" s="23" t="s">
        <v>126</v>
      </c>
      <c r="AC1492" s="38"/>
      <c r="AD1492" s="39"/>
      <c r="AE1492" s="39"/>
      <c r="AF1492" s="39"/>
      <c r="AG1492" s="39">
        <v>5</v>
      </c>
      <c r="AH1492" s="37">
        <f t="shared" ref="AH1492:AH1496" si="1213">SUM(AC1492:AG1492)</f>
        <v>5</v>
      </c>
      <c r="AI1492" s="38">
        <v>3</v>
      </c>
      <c r="AJ1492" s="39">
        <v>3</v>
      </c>
      <c r="AK1492" s="39"/>
      <c r="AL1492" s="39"/>
      <c r="AM1492" s="39"/>
      <c r="AN1492" s="37">
        <f t="shared" ref="AN1492" si="1214">SUM(AI1492:AM1492)</f>
        <v>6</v>
      </c>
      <c r="AO1492" s="39"/>
      <c r="AP1492" s="56"/>
      <c r="AQ1492" s="56">
        <v>3</v>
      </c>
      <c r="AR1492" s="56"/>
      <c r="AS1492" s="71"/>
      <c r="AT1492" s="16">
        <f t="shared" ref="AT1492" si="1215">SUM(AO1492:AS1492)</f>
        <v>3</v>
      </c>
      <c r="AU1492" s="39"/>
      <c r="AV1492" s="56"/>
      <c r="AW1492" s="56"/>
      <c r="AX1492" s="56"/>
      <c r="AY1492" s="71"/>
      <c r="AZ1492" s="16">
        <f t="shared" ref="AZ1492" si="1216">SUM(AU1492:AY1492)</f>
        <v>0</v>
      </c>
      <c r="BA1492" s="16">
        <f t="shared" si="1206"/>
        <v>14</v>
      </c>
      <c r="BB1492" s="83">
        <v>45237</v>
      </c>
    </row>
    <row r="1493" spans="1:54" ht="14.25" x14ac:dyDescent="0.15">
      <c r="A1493" s="23" t="s">
        <v>438</v>
      </c>
      <c r="B1493" s="41">
        <v>1</v>
      </c>
      <c r="C1493" s="42"/>
      <c r="D1493" s="42"/>
      <c r="E1493" s="42"/>
      <c r="F1493" s="42"/>
      <c r="G1493" s="43">
        <f t="shared" si="1211"/>
        <v>1</v>
      </c>
      <c r="H1493" s="41"/>
      <c r="I1493" s="42"/>
      <c r="J1493" s="42"/>
      <c r="K1493" s="42"/>
      <c r="L1493" s="42"/>
      <c r="M1493" s="43">
        <f t="shared" si="1212"/>
        <v>0</v>
      </c>
      <c r="N1493" s="42"/>
      <c r="O1493" s="53"/>
      <c r="P1493" s="53"/>
      <c r="Q1493" s="53"/>
      <c r="R1493" s="72"/>
      <c r="S1493" s="24">
        <f t="shared" si="1209"/>
        <v>0</v>
      </c>
      <c r="T1493" s="42"/>
      <c r="U1493" s="53"/>
      <c r="V1493" s="53"/>
      <c r="W1493" s="53"/>
      <c r="X1493" s="72"/>
      <c r="Y1493" s="24">
        <f t="shared" si="1210"/>
        <v>0</v>
      </c>
      <c r="Z1493" s="24">
        <f t="shared" si="1200"/>
        <v>1</v>
      </c>
      <c r="AA1493" s="83">
        <v>45240</v>
      </c>
      <c r="AB1493" s="23" t="s">
        <v>126</v>
      </c>
      <c r="AC1493" s="38">
        <v>3</v>
      </c>
      <c r="AD1493" s="39">
        <v>3</v>
      </c>
      <c r="AE1493" s="39">
        <v>3</v>
      </c>
      <c r="AF1493" s="39"/>
      <c r="AG1493" s="39"/>
      <c r="AH1493" s="37">
        <f t="shared" si="1213"/>
        <v>9</v>
      </c>
      <c r="AI1493" s="38"/>
      <c r="AJ1493" s="39"/>
      <c r="AK1493" s="39"/>
      <c r="AL1493" s="39"/>
      <c r="AM1493" s="39"/>
      <c r="AN1493" s="37">
        <f t="shared" ref="AN1493:AN1496" si="1217">SUM(AI1493:AM1493)</f>
        <v>0</v>
      </c>
      <c r="AO1493" s="39"/>
      <c r="AP1493" s="56"/>
      <c r="AQ1493" s="56"/>
      <c r="AR1493" s="56"/>
      <c r="AS1493" s="71"/>
      <c r="AT1493" s="16">
        <f t="shared" ref="AT1493:AT1496" si="1218">SUM(AO1493:AS1493)</f>
        <v>0</v>
      </c>
      <c r="AU1493" s="39"/>
      <c r="AV1493" s="56"/>
      <c r="AW1493" s="56"/>
      <c r="AX1493" s="56"/>
      <c r="AY1493" s="71"/>
      <c r="AZ1493" s="16">
        <f t="shared" ref="AZ1493:AZ1496" si="1219">SUM(AU1493:AY1493)</f>
        <v>0</v>
      </c>
      <c r="BA1493" s="16">
        <f t="shared" si="1206"/>
        <v>9</v>
      </c>
      <c r="BB1493" s="83">
        <v>45240</v>
      </c>
    </row>
    <row r="1494" spans="1:54" ht="14.25" x14ac:dyDescent="0.15">
      <c r="A1494" s="23" t="s">
        <v>48</v>
      </c>
      <c r="B1494" s="41">
        <v>1</v>
      </c>
      <c r="C1494" s="42">
        <v>1</v>
      </c>
      <c r="D1494" s="42"/>
      <c r="E1494" s="42"/>
      <c r="F1494" s="42"/>
      <c r="G1494" s="43">
        <f t="shared" si="1211"/>
        <v>2</v>
      </c>
      <c r="H1494" s="41"/>
      <c r="I1494" s="42"/>
      <c r="J1494" s="42"/>
      <c r="K1494" s="42"/>
      <c r="L1494" s="42"/>
      <c r="M1494" s="43">
        <f t="shared" si="1212"/>
        <v>0</v>
      </c>
      <c r="N1494" s="42"/>
      <c r="O1494" s="53"/>
      <c r="P1494" s="53"/>
      <c r="Q1494" s="53"/>
      <c r="R1494" s="72"/>
      <c r="S1494" s="24">
        <f t="shared" si="1209"/>
        <v>0</v>
      </c>
      <c r="T1494" s="42"/>
      <c r="U1494" s="53"/>
      <c r="V1494" s="53"/>
      <c r="W1494" s="53"/>
      <c r="X1494" s="72"/>
      <c r="Y1494" s="24">
        <f t="shared" si="1210"/>
        <v>0</v>
      </c>
      <c r="Z1494" s="24">
        <f t="shared" si="1200"/>
        <v>2</v>
      </c>
      <c r="AA1494" s="83">
        <v>45239</v>
      </c>
      <c r="AB1494" s="23" t="s">
        <v>126</v>
      </c>
      <c r="AC1494" s="38"/>
      <c r="AD1494" s="39"/>
      <c r="AE1494" s="39"/>
      <c r="AF1494" s="39"/>
      <c r="AG1494" s="39"/>
      <c r="AH1494" s="37">
        <f t="shared" si="1213"/>
        <v>0</v>
      </c>
      <c r="AI1494" s="38"/>
      <c r="AJ1494" s="39"/>
      <c r="AK1494" s="39"/>
      <c r="AL1494" s="39"/>
      <c r="AM1494" s="39"/>
      <c r="AN1494" s="37">
        <f t="shared" si="1217"/>
        <v>0</v>
      </c>
      <c r="AO1494" s="39"/>
      <c r="AP1494" s="56">
        <v>3</v>
      </c>
      <c r="AQ1494" s="56"/>
      <c r="AR1494" s="56"/>
      <c r="AS1494" s="71"/>
      <c r="AT1494" s="16">
        <f t="shared" si="1218"/>
        <v>3</v>
      </c>
      <c r="AU1494" s="39"/>
      <c r="AV1494" s="56"/>
      <c r="AW1494" s="56"/>
      <c r="AX1494" s="56"/>
      <c r="AY1494" s="71">
        <v>3</v>
      </c>
      <c r="AZ1494" s="16">
        <f t="shared" si="1219"/>
        <v>3</v>
      </c>
      <c r="BA1494" s="16">
        <f t="shared" si="1206"/>
        <v>6</v>
      </c>
      <c r="BB1494" s="83">
        <v>45251</v>
      </c>
    </row>
    <row r="1495" spans="1:54" ht="14.25" x14ac:dyDescent="0.15">
      <c r="A1495" s="23" t="s">
        <v>48</v>
      </c>
      <c r="B1495" s="41"/>
      <c r="C1495" s="42"/>
      <c r="D1495" s="42"/>
      <c r="E1495" s="42"/>
      <c r="F1495" s="42">
        <v>1</v>
      </c>
      <c r="G1495" s="43">
        <f t="shared" si="1211"/>
        <v>1</v>
      </c>
      <c r="H1495" s="41"/>
      <c r="I1495" s="42"/>
      <c r="J1495" s="42"/>
      <c r="K1495" s="42"/>
      <c r="L1495" s="42"/>
      <c r="M1495" s="43">
        <f t="shared" si="1212"/>
        <v>0</v>
      </c>
      <c r="N1495" s="42"/>
      <c r="O1495" s="53"/>
      <c r="P1495" s="53"/>
      <c r="Q1495" s="53"/>
      <c r="R1495" s="72"/>
      <c r="S1495" s="24">
        <f t="shared" si="1209"/>
        <v>0</v>
      </c>
      <c r="T1495" s="42"/>
      <c r="U1495" s="53"/>
      <c r="V1495" s="53"/>
      <c r="W1495" s="53"/>
      <c r="X1495" s="72"/>
      <c r="Y1495" s="24">
        <f t="shared" si="1210"/>
        <v>0</v>
      </c>
      <c r="Z1495" s="24">
        <f t="shared" si="1200"/>
        <v>1</v>
      </c>
      <c r="AA1495" s="83">
        <v>45240</v>
      </c>
      <c r="AB1495" s="23" t="s">
        <v>126</v>
      </c>
      <c r="AC1495" s="38">
        <v>3</v>
      </c>
      <c r="AD1495" s="39"/>
      <c r="AE1495" s="39"/>
      <c r="AF1495" s="39"/>
      <c r="AG1495" s="39"/>
      <c r="AH1495" s="37">
        <f t="shared" si="1213"/>
        <v>3</v>
      </c>
      <c r="AI1495" s="38"/>
      <c r="AJ1495" s="39">
        <v>3</v>
      </c>
      <c r="AK1495" s="39"/>
      <c r="AL1495" s="39"/>
      <c r="AM1495" s="39"/>
      <c r="AN1495" s="37">
        <f t="shared" si="1217"/>
        <v>3</v>
      </c>
      <c r="AO1495" s="39"/>
      <c r="AP1495" s="56"/>
      <c r="AQ1495" s="56"/>
      <c r="AR1495" s="56"/>
      <c r="AS1495" s="71"/>
      <c r="AT1495" s="16">
        <f t="shared" si="1218"/>
        <v>0</v>
      </c>
      <c r="AU1495" s="39"/>
      <c r="AV1495" s="56"/>
      <c r="AW1495" s="56"/>
      <c r="AX1495" s="56"/>
      <c r="AY1495" s="71"/>
      <c r="AZ1495" s="16">
        <f t="shared" si="1219"/>
        <v>0</v>
      </c>
      <c r="BA1495" s="16">
        <f t="shared" si="1206"/>
        <v>6</v>
      </c>
      <c r="BB1495" s="83">
        <v>45260</v>
      </c>
    </row>
    <row r="1496" spans="1:54" ht="14.25" x14ac:dyDescent="0.15">
      <c r="A1496" s="23" t="s">
        <v>48</v>
      </c>
      <c r="B1496" s="41"/>
      <c r="C1496" s="42"/>
      <c r="D1496" s="42"/>
      <c r="E1496" s="42"/>
      <c r="F1496" s="42"/>
      <c r="G1496" s="43">
        <f t="shared" si="1211"/>
        <v>0</v>
      </c>
      <c r="H1496" s="41"/>
      <c r="I1496" s="42">
        <v>1</v>
      </c>
      <c r="J1496" s="42"/>
      <c r="K1496" s="42"/>
      <c r="L1496" s="42"/>
      <c r="M1496" s="43">
        <f t="shared" si="1212"/>
        <v>1</v>
      </c>
      <c r="N1496" s="42"/>
      <c r="O1496" s="53"/>
      <c r="P1496" s="53"/>
      <c r="Q1496" s="53"/>
      <c r="R1496" s="72"/>
      <c r="S1496" s="24">
        <f t="shared" si="1209"/>
        <v>0</v>
      </c>
      <c r="T1496" s="42"/>
      <c r="U1496" s="53"/>
      <c r="V1496" s="53"/>
      <c r="W1496" s="53"/>
      <c r="X1496" s="72"/>
      <c r="Y1496" s="24">
        <f t="shared" si="1210"/>
        <v>0</v>
      </c>
      <c r="Z1496" s="24">
        <f t="shared" si="1200"/>
        <v>1</v>
      </c>
      <c r="AA1496" s="83">
        <v>45243</v>
      </c>
      <c r="AB1496" s="23" t="s">
        <v>126</v>
      </c>
      <c r="AC1496" s="38"/>
      <c r="AD1496" s="39"/>
      <c r="AE1496" s="39"/>
      <c r="AF1496" s="39">
        <v>2</v>
      </c>
      <c r="AG1496" s="39"/>
      <c r="AH1496" s="37">
        <f t="shared" si="1213"/>
        <v>2</v>
      </c>
      <c r="AI1496" s="38"/>
      <c r="AJ1496" s="39"/>
      <c r="AK1496" s="39">
        <v>2</v>
      </c>
      <c r="AL1496" s="39">
        <v>2</v>
      </c>
      <c r="AM1496" s="39">
        <v>2</v>
      </c>
      <c r="AN1496" s="37">
        <f t="shared" si="1217"/>
        <v>6</v>
      </c>
      <c r="AO1496" s="39"/>
      <c r="AP1496" s="56">
        <v>2</v>
      </c>
      <c r="AQ1496" s="56"/>
      <c r="AR1496" s="56"/>
      <c r="AS1496" s="71"/>
      <c r="AT1496" s="16">
        <f t="shared" si="1218"/>
        <v>2</v>
      </c>
      <c r="AU1496" s="39"/>
      <c r="AV1496" s="56"/>
      <c r="AW1496" s="56"/>
      <c r="AX1496" s="56"/>
      <c r="AY1496" s="71"/>
      <c r="AZ1496" s="16">
        <f t="shared" si="1219"/>
        <v>0</v>
      </c>
      <c r="BA1496" s="16">
        <f t="shared" si="1206"/>
        <v>10</v>
      </c>
      <c r="BB1496" s="83">
        <v>45265</v>
      </c>
    </row>
    <row r="1497" spans="1:54" ht="14.25" x14ac:dyDescent="0.15">
      <c r="A1497" s="23" t="s">
        <v>48</v>
      </c>
      <c r="B1497" s="41"/>
      <c r="C1497" s="42"/>
      <c r="D1497" s="42"/>
      <c r="E1497" s="42"/>
      <c r="F1497" s="42"/>
      <c r="G1497" s="43">
        <f t="shared" si="1211"/>
        <v>0</v>
      </c>
      <c r="H1497" s="41"/>
      <c r="I1497" s="42"/>
      <c r="J1497" s="42">
        <v>1</v>
      </c>
      <c r="K1497" s="42"/>
      <c r="L1497" s="42"/>
      <c r="M1497" s="43">
        <f t="shared" si="1212"/>
        <v>1</v>
      </c>
      <c r="N1497" s="42"/>
      <c r="O1497" s="53">
        <v>1</v>
      </c>
      <c r="P1497" s="53"/>
      <c r="Q1497" s="53"/>
      <c r="R1497" s="72"/>
      <c r="S1497" s="24">
        <f t="shared" si="1209"/>
        <v>1</v>
      </c>
      <c r="T1497" s="42"/>
      <c r="U1497" s="53"/>
      <c r="V1497" s="53"/>
      <c r="W1497" s="53"/>
      <c r="X1497" s="72"/>
      <c r="Y1497" s="24">
        <f t="shared" si="1210"/>
        <v>0</v>
      </c>
      <c r="Z1497" s="24">
        <f t="shared" si="1200"/>
        <v>2</v>
      </c>
      <c r="AA1497" s="83">
        <v>45244</v>
      </c>
      <c r="AB1497" s="23" t="s">
        <v>126</v>
      </c>
      <c r="AC1497" s="38"/>
      <c r="AD1497" s="39">
        <v>3</v>
      </c>
      <c r="AE1497" s="39"/>
      <c r="AF1497" s="39"/>
      <c r="AG1497" s="39">
        <v>3</v>
      </c>
      <c r="AH1497" s="37">
        <f t="shared" ref="AH1497" si="1220">SUM(AC1497:AG1497)</f>
        <v>6</v>
      </c>
      <c r="AI1497" s="38"/>
      <c r="AJ1497" s="39"/>
      <c r="AK1497" s="39"/>
      <c r="AL1497" s="39"/>
      <c r="AM1497" s="39"/>
      <c r="AN1497" s="37">
        <f t="shared" ref="AN1497" si="1221">SUM(AI1497:AM1497)</f>
        <v>0</v>
      </c>
      <c r="AO1497" s="39"/>
      <c r="AP1497" s="56"/>
      <c r="AQ1497" s="56"/>
      <c r="AR1497" s="56"/>
      <c r="AS1497" s="71"/>
      <c r="AT1497" s="16">
        <f t="shared" ref="AT1497" si="1222">SUM(AO1497:AS1497)</f>
        <v>0</v>
      </c>
      <c r="AU1497" s="39"/>
      <c r="AV1497" s="56"/>
      <c r="AW1497" s="56">
        <v>3</v>
      </c>
      <c r="AX1497" s="56"/>
      <c r="AY1497" s="71">
        <v>3</v>
      </c>
      <c r="AZ1497" s="16">
        <f t="shared" ref="AZ1497" si="1223">SUM(AU1497:AY1497)</f>
        <v>6</v>
      </c>
      <c r="BA1497" s="16">
        <f t="shared" si="1206"/>
        <v>12</v>
      </c>
      <c r="BB1497" s="83">
        <v>45286</v>
      </c>
    </row>
    <row r="1498" spans="1:54" ht="14.25" x14ac:dyDescent="0.15">
      <c r="A1498" s="23" t="s">
        <v>48</v>
      </c>
      <c r="B1498" s="41"/>
      <c r="C1498" s="42">
        <v>1</v>
      </c>
      <c r="D1498" s="42"/>
      <c r="E1498" s="42"/>
      <c r="F1498" s="42"/>
      <c r="G1498" s="43">
        <f t="shared" si="1211"/>
        <v>1</v>
      </c>
      <c r="H1498" s="41"/>
      <c r="I1498" s="42"/>
      <c r="J1498" s="42"/>
      <c r="K1498" s="42"/>
      <c r="L1498" s="42"/>
      <c r="M1498" s="43">
        <f t="shared" si="1212"/>
        <v>0</v>
      </c>
      <c r="N1498" s="42"/>
      <c r="O1498" s="53"/>
      <c r="P1498" s="53"/>
      <c r="Q1498" s="53"/>
      <c r="R1498" s="72"/>
      <c r="S1498" s="24">
        <f t="shared" si="1209"/>
        <v>0</v>
      </c>
      <c r="T1498" s="42"/>
      <c r="U1498" s="53"/>
      <c r="V1498" s="53"/>
      <c r="W1498" s="53"/>
      <c r="X1498" s="72"/>
      <c r="Y1498" s="24">
        <f t="shared" si="1210"/>
        <v>0</v>
      </c>
      <c r="Z1498" s="24">
        <f t="shared" si="1200"/>
        <v>1</v>
      </c>
      <c r="AA1498" s="83">
        <v>45245</v>
      </c>
      <c r="AB1498" s="23"/>
      <c r="AC1498" s="38"/>
      <c r="AD1498" s="39"/>
      <c r="AE1498" s="39"/>
      <c r="AF1498" s="39"/>
      <c r="AG1498" s="39"/>
      <c r="AH1498" s="37">
        <f t="shared" ref="AH1498" si="1224">SUM(AC1498:AG1498)</f>
        <v>0</v>
      </c>
      <c r="AI1498" s="38"/>
      <c r="AJ1498" s="39"/>
      <c r="AK1498" s="39"/>
      <c r="AL1498" s="39"/>
      <c r="AM1498" s="39"/>
      <c r="AN1498" s="37">
        <f t="shared" ref="AN1498" si="1225">SUM(AI1498:AM1498)</f>
        <v>0</v>
      </c>
      <c r="AO1498" s="39"/>
      <c r="AP1498" s="56"/>
      <c r="AQ1498" s="56"/>
      <c r="AR1498" s="56"/>
      <c r="AS1498" s="71"/>
      <c r="AT1498" s="16">
        <f t="shared" ref="AT1498" si="1226">SUM(AO1498:AS1498)</f>
        <v>0</v>
      </c>
      <c r="AU1498" s="39"/>
      <c r="AV1498" s="56"/>
      <c r="AW1498" s="56"/>
      <c r="AX1498" s="56"/>
      <c r="AY1498" s="71"/>
      <c r="AZ1498" s="16">
        <f t="shared" ref="AZ1498" si="1227">SUM(AU1498:AY1498)</f>
        <v>0</v>
      </c>
      <c r="BA1498" s="16">
        <f t="shared" si="1206"/>
        <v>0</v>
      </c>
      <c r="BB1498" s="128"/>
    </row>
    <row r="1499" spans="1:54" ht="14.25" x14ac:dyDescent="0.15">
      <c r="A1499" s="23" t="s">
        <v>48</v>
      </c>
      <c r="B1499" s="41"/>
      <c r="C1499" s="42"/>
      <c r="D1499" s="42"/>
      <c r="E1499" s="42">
        <v>1</v>
      </c>
      <c r="F1499" s="42"/>
      <c r="G1499" s="43">
        <f t="shared" si="1211"/>
        <v>1</v>
      </c>
      <c r="H1499" s="41"/>
      <c r="I1499" s="42"/>
      <c r="J1499" s="42"/>
      <c r="K1499" s="42"/>
      <c r="L1499" s="42"/>
      <c r="M1499" s="43">
        <f t="shared" si="1212"/>
        <v>0</v>
      </c>
      <c r="N1499" s="42"/>
      <c r="O1499" s="53"/>
      <c r="P1499" s="53"/>
      <c r="Q1499" s="53"/>
      <c r="R1499" s="72"/>
      <c r="S1499" s="24">
        <f t="shared" si="1209"/>
        <v>0</v>
      </c>
      <c r="T1499" s="42"/>
      <c r="U1499" s="53"/>
      <c r="V1499" s="53"/>
      <c r="W1499" s="53"/>
      <c r="X1499" s="72"/>
      <c r="Y1499" s="24">
        <f t="shared" si="1210"/>
        <v>0</v>
      </c>
      <c r="Z1499" s="24">
        <f t="shared" si="1200"/>
        <v>1</v>
      </c>
      <c r="AA1499" s="83">
        <v>45246</v>
      </c>
      <c r="AB1499" s="23"/>
      <c r="AC1499" s="38"/>
      <c r="AD1499" s="39"/>
      <c r="AE1499" s="39"/>
      <c r="AF1499" s="39"/>
      <c r="AG1499" s="39"/>
      <c r="AH1499" s="37">
        <f t="shared" ref="AH1499:AH1514" si="1228">SUM(AC1499:AG1499)</f>
        <v>0</v>
      </c>
      <c r="AI1499" s="38"/>
      <c r="AJ1499" s="39"/>
      <c r="AK1499" s="39"/>
      <c r="AL1499" s="39"/>
      <c r="AM1499" s="39"/>
      <c r="AN1499" s="37">
        <f t="shared" ref="AN1499:AN1514" si="1229">SUM(AI1499:AM1499)</f>
        <v>0</v>
      </c>
      <c r="AO1499" s="39"/>
      <c r="AP1499" s="56"/>
      <c r="AQ1499" s="56"/>
      <c r="AR1499" s="56"/>
      <c r="AS1499" s="71"/>
      <c r="AT1499" s="16">
        <f t="shared" ref="AT1499:AT1514" si="1230">SUM(AO1499:AS1499)</f>
        <v>0</v>
      </c>
      <c r="AU1499" s="39"/>
      <c r="AV1499" s="56"/>
      <c r="AW1499" s="56"/>
      <c r="AX1499" s="56"/>
      <c r="AY1499" s="71"/>
      <c r="AZ1499" s="16">
        <f t="shared" ref="AZ1499:AZ1514" si="1231">SUM(AU1499:AY1499)</f>
        <v>0</v>
      </c>
      <c r="BA1499" s="16">
        <f t="shared" si="1206"/>
        <v>0</v>
      </c>
      <c r="BB1499" s="128"/>
    </row>
    <row r="1500" spans="1:54" ht="14.25" x14ac:dyDescent="0.15">
      <c r="A1500" s="23" t="s">
        <v>48</v>
      </c>
      <c r="B1500" s="41"/>
      <c r="C1500" s="42"/>
      <c r="D1500" s="42"/>
      <c r="E1500" s="42"/>
      <c r="F1500" s="42"/>
      <c r="G1500" s="43">
        <f t="shared" si="1211"/>
        <v>0</v>
      </c>
      <c r="H1500" s="41"/>
      <c r="I1500" s="42">
        <v>1</v>
      </c>
      <c r="J1500" s="42"/>
      <c r="K1500" s="42"/>
      <c r="L1500" s="42"/>
      <c r="M1500" s="43">
        <f t="shared" si="1212"/>
        <v>1</v>
      </c>
      <c r="N1500" s="42"/>
      <c r="O1500" s="53"/>
      <c r="P1500" s="53"/>
      <c r="Q1500" s="53"/>
      <c r="R1500" s="72"/>
      <c r="S1500" s="24">
        <f t="shared" si="1209"/>
        <v>0</v>
      </c>
      <c r="T1500" s="42"/>
      <c r="U1500" s="53"/>
      <c r="V1500" s="53"/>
      <c r="W1500" s="53"/>
      <c r="X1500" s="72"/>
      <c r="Y1500" s="24">
        <f t="shared" si="1210"/>
        <v>0</v>
      </c>
      <c r="Z1500" s="24">
        <f t="shared" si="1200"/>
        <v>1</v>
      </c>
      <c r="AA1500" s="83">
        <v>45250</v>
      </c>
      <c r="AB1500" s="23"/>
      <c r="AC1500" s="38"/>
      <c r="AD1500" s="39"/>
      <c r="AE1500" s="39"/>
      <c r="AF1500" s="39"/>
      <c r="AG1500" s="39"/>
      <c r="AH1500" s="37">
        <f t="shared" si="1228"/>
        <v>0</v>
      </c>
      <c r="AI1500" s="38"/>
      <c r="AJ1500" s="39"/>
      <c r="AK1500" s="39"/>
      <c r="AL1500" s="39"/>
      <c r="AM1500" s="39"/>
      <c r="AN1500" s="37">
        <f t="shared" si="1229"/>
        <v>0</v>
      </c>
      <c r="AO1500" s="39"/>
      <c r="AP1500" s="56"/>
      <c r="AQ1500" s="56"/>
      <c r="AR1500" s="56"/>
      <c r="AS1500" s="71"/>
      <c r="AT1500" s="16">
        <f t="shared" si="1230"/>
        <v>0</v>
      </c>
      <c r="AU1500" s="39"/>
      <c r="AV1500" s="56"/>
      <c r="AW1500" s="56"/>
      <c r="AX1500" s="56"/>
      <c r="AY1500" s="71"/>
      <c r="AZ1500" s="16">
        <f t="shared" si="1231"/>
        <v>0</v>
      </c>
      <c r="BA1500" s="16">
        <f t="shared" si="1206"/>
        <v>0</v>
      </c>
      <c r="BB1500" s="128"/>
    </row>
    <row r="1501" spans="1:54" ht="14.25" x14ac:dyDescent="0.15">
      <c r="A1501" s="23" t="s">
        <v>438</v>
      </c>
      <c r="B1501" s="41">
        <v>1</v>
      </c>
      <c r="C1501" s="42"/>
      <c r="D1501" s="42"/>
      <c r="E1501" s="42"/>
      <c r="F1501" s="42"/>
      <c r="G1501" s="43">
        <f t="shared" si="1211"/>
        <v>1</v>
      </c>
      <c r="H1501" s="41"/>
      <c r="I1501" s="42"/>
      <c r="J1501" s="42"/>
      <c r="K1501" s="42"/>
      <c r="L1501" s="42"/>
      <c r="M1501" s="43">
        <f t="shared" si="1212"/>
        <v>0</v>
      </c>
      <c r="N1501" s="42"/>
      <c r="O1501" s="53"/>
      <c r="P1501" s="53"/>
      <c r="Q1501" s="53"/>
      <c r="R1501" s="72"/>
      <c r="S1501" s="24">
        <f t="shared" si="1209"/>
        <v>0</v>
      </c>
      <c r="T1501" s="42"/>
      <c r="U1501" s="53"/>
      <c r="V1501" s="53"/>
      <c r="W1501" s="53"/>
      <c r="X1501" s="72"/>
      <c r="Y1501" s="24">
        <f t="shared" si="1210"/>
        <v>0</v>
      </c>
      <c r="Z1501" s="24">
        <f t="shared" si="1200"/>
        <v>1</v>
      </c>
      <c r="AA1501" s="83">
        <v>45254</v>
      </c>
      <c r="AB1501" s="23"/>
      <c r="AC1501" s="38"/>
      <c r="AD1501" s="39"/>
      <c r="AE1501" s="39"/>
      <c r="AF1501" s="39"/>
      <c r="AG1501" s="39"/>
      <c r="AH1501" s="37">
        <f t="shared" si="1228"/>
        <v>0</v>
      </c>
      <c r="AI1501" s="38"/>
      <c r="AJ1501" s="39"/>
      <c r="AK1501" s="39"/>
      <c r="AL1501" s="39"/>
      <c r="AM1501" s="39"/>
      <c r="AN1501" s="37">
        <f t="shared" si="1229"/>
        <v>0</v>
      </c>
      <c r="AO1501" s="39"/>
      <c r="AP1501" s="56"/>
      <c r="AQ1501" s="56"/>
      <c r="AR1501" s="56"/>
      <c r="AS1501" s="71"/>
      <c r="AT1501" s="16">
        <f t="shared" si="1230"/>
        <v>0</v>
      </c>
      <c r="AU1501" s="39"/>
      <c r="AV1501" s="56"/>
      <c r="AW1501" s="56"/>
      <c r="AX1501" s="56"/>
      <c r="AY1501" s="71"/>
      <c r="AZ1501" s="16">
        <f t="shared" si="1231"/>
        <v>0</v>
      </c>
      <c r="BA1501" s="16">
        <f t="shared" si="1206"/>
        <v>0</v>
      </c>
      <c r="BB1501" s="128"/>
    </row>
    <row r="1502" spans="1:54" ht="14.25" x14ac:dyDescent="0.15">
      <c r="A1502" s="23" t="s">
        <v>48</v>
      </c>
      <c r="B1502" s="41"/>
      <c r="C1502" s="42"/>
      <c r="D1502" s="42"/>
      <c r="E1502" s="42"/>
      <c r="F1502" s="42"/>
      <c r="G1502" s="43">
        <f t="shared" si="1211"/>
        <v>0</v>
      </c>
      <c r="H1502" s="41"/>
      <c r="I1502" s="42"/>
      <c r="J1502" s="42"/>
      <c r="K1502" s="42">
        <v>1</v>
      </c>
      <c r="L1502" s="42"/>
      <c r="M1502" s="43">
        <f t="shared" si="1212"/>
        <v>1</v>
      </c>
      <c r="N1502" s="42"/>
      <c r="O1502" s="53"/>
      <c r="P1502" s="53"/>
      <c r="Q1502" s="53"/>
      <c r="R1502" s="72"/>
      <c r="S1502" s="24">
        <f t="shared" si="1209"/>
        <v>0</v>
      </c>
      <c r="T1502" s="42"/>
      <c r="U1502" s="53"/>
      <c r="V1502" s="53"/>
      <c r="W1502" s="53"/>
      <c r="X1502" s="72"/>
      <c r="Y1502" s="24">
        <f t="shared" si="1210"/>
        <v>0</v>
      </c>
      <c r="Z1502" s="24">
        <f t="shared" si="1200"/>
        <v>1</v>
      </c>
      <c r="AA1502" s="83">
        <v>45252</v>
      </c>
      <c r="AB1502" s="23"/>
      <c r="AC1502" s="38"/>
      <c r="AD1502" s="39"/>
      <c r="AE1502" s="39"/>
      <c r="AF1502" s="39"/>
      <c r="AG1502" s="39"/>
      <c r="AH1502" s="37">
        <f t="shared" si="1228"/>
        <v>0</v>
      </c>
      <c r="AI1502" s="38"/>
      <c r="AJ1502" s="39"/>
      <c r="AK1502" s="39"/>
      <c r="AL1502" s="39"/>
      <c r="AM1502" s="39"/>
      <c r="AN1502" s="37">
        <f t="shared" si="1229"/>
        <v>0</v>
      </c>
      <c r="AO1502" s="39"/>
      <c r="AP1502" s="56"/>
      <c r="AQ1502" s="56"/>
      <c r="AR1502" s="56"/>
      <c r="AS1502" s="71"/>
      <c r="AT1502" s="16">
        <f t="shared" si="1230"/>
        <v>0</v>
      </c>
      <c r="AU1502" s="39"/>
      <c r="AV1502" s="56"/>
      <c r="AW1502" s="56"/>
      <c r="AX1502" s="56"/>
      <c r="AY1502" s="71"/>
      <c r="AZ1502" s="16">
        <f t="shared" si="1231"/>
        <v>0</v>
      </c>
      <c r="BA1502" s="16">
        <f t="shared" si="1206"/>
        <v>0</v>
      </c>
      <c r="BB1502" s="128"/>
    </row>
    <row r="1503" spans="1:54" ht="14.25" x14ac:dyDescent="0.15">
      <c r="A1503" s="23" t="s">
        <v>48</v>
      </c>
      <c r="B1503" s="41"/>
      <c r="C1503" s="42"/>
      <c r="D1503" s="42"/>
      <c r="E1503" s="42"/>
      <c r="F1503" s="42"/>
      <c r="G1503" s="43">
        <f t="shared" si="1211"/>
        <v>0</v>
      </c>
      <c r="H1503" s="41"/>
      <c r="I1503" s="42"/>
      <c r="J1503" s="42">
        <v>1</v>
      </c>
      <c r="K1503" s="42"/>
      <c r="L1503" s="42"/>
      <c r="M1503" s="43">
        <f t="shared" si="1212"/>
        <v>1</v>
      </c>
      <c r="N1503" s="42"/>
      <c r="O1503" s="53">
        <v>1</v>
      </c>
      <c r="P1503" s="53"/>
      <c r="Q1503" s="53"/>
      <c r="R1503" s="72"/>
      <c r="S1503" s="24">
        <f t="shared" si="1209"/>
        <v>1</v>
      </c>
      <c r="T1503" s="42"/>
      <c r="U1503" s="53"/>
      <c r="V1503" s="53"/>
      <c r="W1503" s="53"/>
      <c r="X1503" s="72"/>
      <c r="Y1503" s="24">
        <f t="shared" si="1210"/>
        <v>0</v>
      </c>
      <c r="Z1503" s="24">
        <f t="shared" si="1200"/>
        <v>2</v>
      </c>
      <c r="AA1503" s="83">
        <v>45254</v>
      </c>
      <c r="AB1503" s="23"/>
      <c r="AC1503" s="38"/>
      <c r="AD1503" s="39"/>
      <c r="AE1503" s="39"/>
      <c r="AF1503" s="39"/>
      <c r="AG1503" s="39"/>
      <c r="AH1503" s="37">
        <f t="shared" si="1228"/>
        <v>0</v>
      </c>
      <c r="AI1503" s="38"/>
      <c r="AJ1503" s="39"/>
      <c r="AK1503" s="39"/>
      <c r="AL1503" s="39"/>
      <c r="AM1503" s="39"/>
      <c r="AN1503" s="37">
        <f t="shared" si="1229"/>
        <v>0</v>
      </c>
      <c r="AO1503" s="39"/>
      <c r="AP1503" s="56"/>
      <c r="AQ1503" s="56"/>
      <c r="AR1503" s="56"/>
      <c r="AS1503" s="71"/>
      <c r="AT1503" s="16">
        <f t="shared" si="1230"/>
        <v>0</v>
      </c>
      <c r="AU1503" s="39"/>
      <c r="AV1503" s="56"/>
      <c r="AW1503" s="56"/>
      <c r="AX1503" s="56"/>
      <c r="AY1503" s="71"/>
      <c r="AZ1503" s="16">
        <f t="shared" si="1231"/>
        <v>0</v>
      </c>
      <c r="BA1503" s="16">
        <f t="shared" si="1206"/>
        <v>0</v>
      </c>
      <c r="BB1503" s="128"/>
    </row>
    <row r="1504" spans="1:54" ht="14.25" x14ac:dyDescent="0.15">
      <c r="A1504" s="23" t="s">
        <v>48</v>
      </c>
      <c r="B1504" s="41">
        <v>1</v>
      </c>
      <c r="C1504" s="42"/>
      <c r="D1504" s="42"/>
      <c r="E1504" s="42"/>
      <c r="F1504" s="42"/>
      <c r="G1504" s="43">
        <f t="shared" si="1211"/>
        <v>1</v>
      </c>
      <c r="H1504" s="41"/>
      <c r="I1504" s="42">
        <v>2</v>
      </c>
      <c r="J1504" s="42"/>
      <c r="K1504" s="42"/>
      <c r="L1504" s="42"/>
      <c r="M1504" s="43">
        <f t="shared" si="1212"/>
        <v>2</v>
      </c>
      <c r="N1504" s="42"/>
      <c r="O1504" s="53"/>
      <c r="P1504" s="53"/>
      <c r="Q1504" s="53">
        <v>1</v>
      </c>
      <c r="R1504" s="72"/>
      <c r="S1504" s="24">
        <f t="shared" si="1209"/>
        <v>1</v>
      </c>
      <c r="T1504" s="42"/>
      <c r="U1504" s="53"/>
      <c r="V1504" s="53"/>
      <c r="W1504" s="53"/>
      <c r="X1504" s="72"/>
      <c r="Y1504" s="24">
        <f t="shared" si="1210"/>
        <v>0</v>
      </c>
      <c r="Z1504" s="24">
        <f t="shared" si="1200"/>
        <v>4</v>
      </c>
      <c r="AA1504" s="83">
        <v>45257</v>
      </c>
      <c r="AB1504" s="23"/>
      <c r="AC1504" s="38"/>
      <c r="AD1504" s="39"/>
      <c r="AE1504" s="39"/>
      <c r="AF1504" s="39"/>
      <c r="AG1504" s="39"/>
      <c r="AH1504" s="37">
        <f t="shared" si="1228"/>
        <v>0</v>
      </c>
      <c r="AI1504" s="38"/>
      <c r="AJ1504" s="39"/>
      <c r="AK1504" s="39"/>
      <c r="AL1504" s="39"/>
      <c r="AM1504" s="39"/>
      <c r="AN1504" s="37">
        <f t="shared" si="1229"/>
        <v>0</v>
      </c>
      <c r="AO1504" s="39"/>
      <c r="AP1504" s="56"/>
      <c r="AQ1504" s="56"/>
      <c r="AR1504" s="56"/>
      <c r="AS1504" s="71"/>
      <c r="AT1504" s="16">
        <f t="shared" si="1230"/>
        <v>0</v>
      </c>
      <c r="AU1504" s="39"/>
      <c r="AV1504" s="56"/>
      <c r="AW1504" s="56"/>
      <c r="AX1504" s="56"/>
      <c r="AY1504" s="71"/>
      <c r="AZ1504" s="16">
        <f t="shared" si="1231"/>
        <v>0</v>
      </c>
      <c r="BA1504" s="16">
        <f t="shared" si="1206"/>
        <v>0</v>
      </c>
      <c r="BB1504" s="128"/>
    </row>
    <row r="1505" spans="1:54" ht="14.25" x14ac:dyDescent="0.15">
      <c r="A1505" s="23" t="s">
        <v>438</v>
      </c>
      <c r="B1505" s="41"/>
      <c r="C1505" s="42"/>
      <c r="D1505" s="42"/>
      <c r="E1505" s="42"/>
      <c r="F1505" s="42"/>
      <c r="G1505" s="43">
        <f t="shared" si="1211"/>
        <v>0</v>
      </c>
      <c r="H1505" s="41"/>
      <c r="I1505" s="42"/>
      <c r="J1505" s="42"/>
      <c r="K1505" s="42"/>
      <c r="L1505" s="42"/>
      <c r="M1505" s="43">
        <f t="shared" si="1212"/>
        <v>0</v>
      </c>
      <c r="N1505" s="42">
        <v>1</v>
      </c>
      <c r="O1505" s="53"/>
      <c r="P1505" s="53"/>
      <c r="Q1505" s="53"/>
      <c r="R1505" s="72"/>
      <c r="S1505" s="24">
        <f t="shared" si="1209"/>
        <v>1</v>
      </c>
      <c r="T1505" s="42"/>
      <c r="U1505" s="53"/>
      <c r="V1505" s="53"/>
      <c r="W1505" s="53"/>
      <c r="X1505" s="72"/>
      <c r="Y1505" s="24">
        <f t="shared" si="1210"/>
        <v>0</v>
      </c>
      <c r="Z1505" s="24">
        <f t="shared" si="1200"/>
        <v>1</v>
      </c>
      <c r="AA1505" s="83">
        <v>45260</v>
      </c>
      <c r="AB1505" s="23"/>
      <c r="AC1505" s="38"/>
      <c r="AD1505" s="39"/>
      <c r="AE1505" s="39"/>
      <c r="AF1505" s="39"/>
      <c r="AG1505" s="39"/>
      <c r="AH1505" s="37">
        <f t="shared" si="1228"/>
        <v>0</v>
      </c>
      <c r="AI1505" s="38"/>
      <c r="AJ1505" s="39"/>
      <c r="AK1505" s="39"/>
      <c r="AL1505" s="39"/>
      <c r="AM1505" s="39"/>
      <c r="AN1505" s="37">
        <f t="shared" si="1229"/>
        <v>0</v>
      </c>
      <c r="AO1505" s="39"/>
      <c r="AP1505" s="56"/>
      <c r="AQ1505" s="56"/>
      <c r="AR1505" s="56"/>
      <c r="AS1505" s="71"/>
      <c r="AT1505" s="16">
        <f t="shared" si="1230"/>
        <v>0</v>
      </c>
      <c r="AU1505" s="39"/>
      <c r="AV1505" s="56"/>
      <c r="AW1505" s="56"/>
      <c r="AX1505" s="56"/>
      <c r="AY1505" s="71"/>
      <c r="AZ1505" s="16">
        <f t="shared" si="1231"/>
        <v>0</v>
      </c>
      <c r="BA1505" s="16">
        <f t="shared" si="1206"/>
        <v>0</v>
      </c>
    </row>
    <row r="1506" spans="1:54" ht="14.25" x14ac:dyDescent="0.15">
      <c r="A1506" s="23" t="s">
        <v>438</v>
      </c>
      <c r="B1506" s="41"/>
      <c r="C1506" s="42">
        <v>1</v>
      </c>
      <c r="D1506" s="42"/>
      <c r="E1506" s="42"/>
      <c r="F1506" s="42"/>
      <c r="G1506" s="43">
        <f t="shared" si="1211"/>
        <v>1</v>
      </c>
      <c r="H1506" s="41"/>
      <c r="I1506" s="42"/>
      <c r="J1506" s="42"/>
      <c r="K1506" s="42"/>
      <c r="L1506" s="42"/>
      <c r="M1506" s="43">
        <f t="shared" si="1212"/>
        <v>0</v>
      </c>
      <c r="N1506" s="42"/>
      <c r="O1506" s="53"/>
      <c r="P1506" s="53"/>
      <c r="Q1506" s="53"/>
      <c r="R1506" s="72"/>
      <c r="S1506" s="24">
        <f t="shared" si="1209"/>
        <v>0</v>
      </c>
      <c r="T1506" s="42"/>
      <c r="U1506" s="53"/>
      <c r="V1506" s="53"/>
      <c r="W1506" s="53"/>
      <c r="X1506" s="72"/>
      <c r="Y1506" s="24">
        <f t="shared" si="1210"/>
        <v>0</v>
      </c>
      <c r="Z1506" s="24">
        <f t="shared" si="1200"/>
        <v>1</v>
      </c>
      <c r="AA1506" s="83">
        <v>45261</v>
      </c>
      <c r="AB1506" s="23"/>
      <c r="AC1506" s="38"/>
      <c r="AD1506" s="39"/>
      <c r="AE1506" s="39"/>
      <c r="AF1506" s="39"/>
      <c r="AG1506" s="39"/>
      <c r="AH1506" s="37">
        <f t="shared" si="1228"/>
        <v>0</v>
      </c>
      <c r="AI1506" s="38"/>
      <c r="AJ1506" s="39"/>
      <c r="AK1506" s="39"/>
      <c r="AL1506" s="39"/>
      <c r="AM1506" s="39"/>
      <c r="AN1506" s="37">
        <f t="shared" si="1229"/>
        <v>0</v>
      </c>
      <c r="AO1506" s="39"/>
      <c r="AP1506" s="56"/>
      <c r="AQ1506" s="56"/>
      <c r="AR1506" s="56"/>
      <c r="AS1506" s="71"/>
      <c r="AT1506" s="16">
        <f t="shared" si="1230"/>
        <v>0</v>
      </c>
      <c r="AU1506" s="39"/>
      <c r="AV1506" s="56"/>
      <c r="AW1506" s="56"/>
      <c r="AX1506" s="56"/>
      <c r="AY1506" s="71"/>
      <c r="AZ1506" s="16">
        <f t="shared" si="1231"/>
        <v>0</v>
      </c>
      <c r="BA1506" s="16">
        <f t="shared" si="1206"/>
        <v>0</v>
      </c>
    </row>
    <row r="1507" spans="1:54" ht="14.25" x14ac:dyDescent="0.15">
      <c r="A1507" s="23" t="s">
        <v>48</v>
      </c>
      <c r="B1507" s="41"/>
      <c r="C1507" s="42"/>
      <c r="D1507" s="42"/>
      <c r="E1507" s="42"/>
      <c r="F1507" s="42"/>
      <c r="G1507" s="43">
        <f t="shared" si="1211"/>
        <v>0</v>
      </c>
      <c r="H1507" s="41"/>
      <c r="I1507" s="42"/>
      <c r="J1507" s="42"/>
      <c r="K1507" s="42"/>
      <c r="L1507" s="42">
        <v>1</v>
      </c>
      <c r="M1507" s="43">
        <f t="shared" si="1212"/>
        <v>1</v>
      </c>
      <c r="N1507" s="42"/>
      <c r="O1507" s="53"/>
      <c r="P1507" s="53"/>
      <c r="Q1507" s="53"/>
      <c r="R1507" s="72"/>
      <c r="S1507" s="24">
        <f t="shared" si="1209"/>
        <v>0</v>
      </c>
      <c r="T1507" s="42"/>
      <c r="U1507" s="53"/>
      <c r="V1507" s="53"/>
      <c r="W1507" s="53"/>
      <c r="X1507" s="72"/>
      <c r="Y1507" s="24">
        <f t="shared" si="1210"/>
        <v>0</v>
      </c>
      <c r="Z1507" s="24">
        <f t="shared" si="1200"/>
        <v>1</v>
      </c>
      <c r="AA1507" s="83">
        <v>45261</v>
      </c>
      <c r="AB1507" s="23"/>
      <c r="AC1507" s="38"/>
      <c r="AD1507" s="39"/>
      <c r="AE1507" s="39"/>
      <c r="AF1507" s="39"/>
      <c r="AG1507" s="39"/>
      <c r="AH1507" s="37">
        <f t="shared" si="1228"/>
        <v>0</v>
      </c>
      <c r="AI1507" s="38"/>
      <c r="AJ1507" s="39"/>
      <c r="AK1507" s="39"/>
      <c r="AL1507" s="39"/>
      <c r="AM1507" s="39"/>
      <c r="AN1507" s="37">
        <f t="shared" si="1229"/>
        <v>0</v>
      </c>
      <c r="AO1507" s="39"/>
      <c r="AP1507" s="56"/>
      <c r="AQ1507" s="56"/>
      <c r="AR1507" s="56"/>
      <c r="AS1507" s="71"/>
      <c r="AT1507" s="16">
        <f t="shared" si="1230"/>
        <v>0</v>
      </c>
      <c r="AU1507" s="39"/>
      <c r="AV1507" s="56"/>
      <c r="AW1507" s="56"/>
      <c r="AX1507" s="56"/>
      <c r="AY1507" s="71"/>
      <c r="AZ1507" s="16">
        <f t="shared" si="1231"/>
        <v>0</v>
      </c>
      <c r="BA1507" s="16">
        <f t="shared" si="1206"/>
        <v>0</v>
      </c>
    </row>
    <row r="1508" spans="1:54" ht="14.25" x14ac:dyDescent="0.15">
      <c r="A1508" s="23" t="s">
        <v>48</v>
      </c>
      <c r="B1508" s="41"/>
      <c r="C1508" s="42"/>
      <c r="D1508" s="42"/>
      <c r="E1508" s="42"/>
      <c r="F1508" s="42"/>
      <c r="G1508" s="43">
        <f t="shared" si="1211"/>
        <v>0</v>
      </c>
      <c r="H1508" s="41"/>
      <c r="I1508" s="42"/>
      <c r="J1508" s="42"/>
      <c r="K1508" s="42"/>
      <c r="L1508" s="42"/>
      <c r="M1508" s="43">
        <f t="shared" si="1212"/>
        <v>0</v>
      </c>
      <c r="N1508" s="42"/>
      <c r="O1508" s="53">
        <v>1</v>
      </c>
      <c r="P1508" s="53"/>
      <c r="Q1508" s="53"/>
      <c r="R1508" s="72"/>
      <c r="S1508" s="24">
        <f t="shared" si="1209"/>
        <v>1</v>
      </c>
      <c r="T1508" s="42"/>
      <c r="U1508" s="53"/>
      <c r="V1508" s="53"/>
      <c r="W1508" s="53"/>
      <c r="X1508" s="72"/>
      <c r="Y1508" s="24">
        <f t="shared" si="1210"/>
        <v>0</v>
      </c>
      <c r="Z1508" s="24">
        <f t="shared" si="1200"/>
        <v>1</v>
      </c>
      <c r="AA1508" s="83">
        <v>45262</v>
      </c>
      <c r="AB1508" s="23"/>
      <c r="AC1508" s="38"/>
      <c r="AD1508" s="39"/>
      <c r="AE1508" s="39"/>
      <c r="AF1508" s="39"/>
      <c r="AG1508" s="39"/>
      <c r="AH1508" s="37">
        <f t="shared" si="1228"/>
        <v>0</v>
      </c>
      <c r="AI1508" s="38"/>
      <c r="AJ1508" s="39"/>
      <c r="AK1508" s="39"/>
      <c r="AL1508" s="39"/>
      <c r="AM1508" s="39"/>
      <c r="AN1508" s="37">
        <f t="shared" si="1229"/>
        <v>0</v>
      </c>
      <c r="AO1508" s="39"/>
      <c r="AP1508" s="56"/>
      <c r="AQ1508" s="56"/>
      <c r="AR1508" s="56"/>
      <c r="AS1508" s="71"/>
      <c r="AT1508" s="16">
        <f t="shared" si="1230"/>
        <v>0</v>
      </c>
      <c r="AU1508" s="39"/>
      <c r="AV1508" s="56"/>
      <c r="AW1508" s="56"/>
      <c r="AX1508" s="56"/>
      <c r="AY1508" s="71"/>
      <c r="AZ1508" s="16">
        <f t="shared" si="1231"/>
        <v>0</v>
      </c>
      <c r="BA1508" s="16">
        <f t="shared" si="1206"/>
        <v>0</v>
      </c>
    </row>
    <row r="1509" spans="1:54" ht="14.25" x14ac:dyDescent="0.15">
      <c r="A1509" s="23" t="s">
        <v>438</v>
      </c>
      <c r="B1509" s="41"/>
      <c r="C1509" s="42"/>
      <c r="D1509" s="42"/>
      <c r="E1509" s="42"/>
      <c r="F1509" s="42"/>
      <c r="G1509" s="43">
        <f t="shared" si="1211"/>
        <v>0</v>
      </c>
      <c r="H1509" s="41"/>
      <c r="I1509" s="42"/>
      <c r="J1509" s="42"/>
      <c r="K1509" s="42"/>
      <c r="L1509" s="42"/>
      <c r="M1509" s="43">
        <f t="shared" si="1212"/>
        <v>0</v>
      </c>
      <c r="N1509" s="42"/>
      <c r="O1509" s="53">
        <v>1</v>
      </c>
      <c r="P1509" s="53"/>
      <c r="Q1509" s="53"/>
      <c r="R1509" s="72"/>
      <c r="S1509" s="24">
        <f t="shared" si="1209"/>
        <v>1</v>
      </c>
      <c r="T1509" s="42"/>
      <c r="U1509" s="53">
        <v>1</v>
      </c>
      <c r="V1509" s="53"/>
      <c r="W1509" s="53"/>
      <c r="X1509" s="72"/>
      <c r="Y1509" s="24">
        <f t="shared" si="1210"/>
        <v>1</v>
      </c>
      <c r="Z1509" s="24">
        <f t="shared" si="1200"/>
        <v>2</v>
      </c>
      <c r="AA1509" s="83">
        <v>45266</v>
      </c>
      <c r="AB1509" s="23"/>
      <c r="AC1509" s="38"/>
      <c r="AD1509" s="39"/>
      <c r="AE1509" s="39"/>
      <c r="AF1509" s="39"/>
      <c r="AG1509" s="39"/>
      <c r="AH1509" s="37">
        <f t="shared" si="1228"/>
        <v>0</v>
      </c>
      <c r="AI1509" s="38"/>
      <c r="AJ1509" s="39"/>
      <c r="AK1509" s="39"/>
      <c r="AL1509" s="39"/>
      <c r="AM1509" s="39"/>
      <c r="AN1509" s="37">
        <f t="shared" si="1229"/>
        <v>0</v>
      </c>
      <c r="AO1509" s="39"/>
      <c r="AP1509" s="56"/>
      <c r="AQ1509" s="56"/>
      <c r="AR1509" s="56"/>
      <c r="AS1509" s="71"/>
      <c r="AT1509" s="16">
        <f t="shared" si="1230"/>
        <v>0</v>
      </c>
      <c r="AU1509" s="39"/>
      <c r="AV1509" s="56"/>
      <c r="AW1509" s="56"/>
      <c r="AX1509" s="56"/>
      <c r="AY1509" s="71"/>
      <c r="AZ1509" s="16">
        <f t="shared" si="1231"/>
        <v>0</v>
      </c>
      <c r="BA1509" s="16">
        <f t="shared" si="1206"/>
        <v>0</v>
      </c>
    </row>
    <row r="1510" spans="1:54" ht="14.25" x14ac:dyDescent="0.15">
      <c r="A1510" s="23" t="s">
        <v>48</v>
      </c>
      <c r="B1510" s="41"/>
      <c r="C1510" s="42"/>
      <c r="D1510" s="42"/>
      <c r="E1510" s="42">
        <v>1</v>
      </c>
      <c r="F1510" s="42"/>
      <c r="G1510" s="43">
        <f t="shared" si="1211"/>
        <v>1</v>
      </c>
      <c r="H1510" s="41"/>
      <c r="I1510" s="42"/>
      <c r="J1510" s="42"/>
      <c r="K1510" s="42"/>
      <c r="L1510" s="42"/>
      <c r="M1510" s="43">
        <f t="shared" si="1212"/>
        <v>0</v>
      </c>
      <c r="N1510" s="42"/>
      <c r="O1510" s="53"/>
      <c r="P1510" s="53"/>
      <c r="Q1510" s="53"/>
      <c r="R1510" s="72"/>
      <c r="S1510" s="24">
        <f t="shared" si="1209"/>
        <v>0</v>
      </c>
      <c r="T1510" s="42"/>
      <c r="U1510" s="53"/>
      <c r="V1510" s="53"/>
      <c r="W1510" s="53"/>
      <c r="X1510" s="72"/>
      <c r="Y1510" s="24">
        <f t="shared" si="1210"/>
        <v>0</v>
      </c>
      <c r="Z1510" s="24">
        <f t="shared" si="1200"/>
        <v>1</v>
      </c>
      <c r="AA1510" s="83">
        <v>45264</v>
      </c>
      <c r="AB1510" s="23"/>
      <c r="AC1510" s="38"/>
      <c r="AD1510" s="39"/>
      <c r="AE1510" s="39"/>
      <c r="AF1510" s="39"/>
      <c r="AG1510" s="39"/>
      <c r="AH1510" s="37">
        <f t="shared" si="1228"/>
        <v>0</v>
      </c>
      <c r="AI1510" s="38"/>
      <c r="AJ1510" s="39"/>
      <c r="AK1510" s="39"/>
      <c r="AL1510" s="39"/>
      <c r="AM1510" s="39"/>
      <c r="AN1510" s="37">
        <f t="shared" si="1229"/>
        <v>0</v>
      </c>
      <c r="AO1510" s="39"/>
      <c r="AP1510" s="56"/>
      <c r="AQ1510" s="56"/>
      <c r="AR1510" s="56"/>
      <c r="AS1510" s="71"/>
      <c r="AT1510" s="16">
        <f t="shared" si="1230"/>
        <v>0</v>
      </c>
      <c r="AU1510" s="39"/>
      <c r="AV1510" s="56"/>
      <c r="AW1510" s="56"/>
      <c r="AX1510" s="56"/>
      <c r="AY1510" s="71"/>
      <c r="AZ1510" s="16">
        <f t="shared" si="1231"/>
        <v>0</v>
      </c>
      <c r="BA1510" s="16">
        <f t="shared" si="1206"/>
        <v>0</v>
      </c>
    </row>
    <row r="1511" spans="1:54" ht="14.25" x14ac:dyDescent="0.15">
      <c r="A1511" s="23" t="s">
        <v>636</v>
      </c>
      <c r="B1511" s="41"/>
      <c r="C1511" s="42"/>
      <c r="D1511" s="42"/>
      <c r="E1511" s="42">
        <v>-2</v>
      </c>
      <c r="F1511" s="42"/>
      <c r="G1511" s="43">
        <f t="shared" si="1211"/>
        <v>-2</v>
      </c>
      <c r="H1511" s="41"/>
      <c r="I1511" s="42"/>
      <c r="J1511" s="42">
        <v>-2</v>
      </c>
      <c r="K1511" s="42">
        <v>-2</v>
      </c>
      <c r="L1511" s="42">
        <v>-2</v>
      </c>
      <c r="M1511" s="43">
        <f t="shared" si="1212"/>
        <v>-6</v>
      </c>
      <c r="N1511" s="42"/>
      <c r="O1511" s="53">
        <v>-2</v>
      </c>
      <c r="P1511" s="53"/>
      <c r="Q1511" s="53"/>
      <c r="R1511" s="72"/>
      <c r="S1511" s="24">
        <f t="shared" si="1209"/>
        <v>-2</v>
      </c>
      <c r="T1511" s="42"/>
      <c r="U1511" s="53"/>
      <c r="V1511" s="53"/>
      <c r="W1511" s="53"/>
      <c r="X1511" s="72"/>
      <c r="Y1511" s="24">
        <f t="shared" si="1210"/>
        <v>0</v>
      </c>
      <c r="Z1511" s="24">
        <f t="shared" si="1200"/>
        <v>-10</v>
      </c>
      <c r="AA1511" s="83">
        <v>45265</v>
      </c>
      <c r="AB1511" s="23"/>
      <c r="AC1511" s="38"/>
      <c r="AD1511" s="39"/>
      <c r="AE1511" s="39"/>
      <c r="AF1511" s="39"/>
      <c r="AG1511" s="39"/>
      <c r="AH1511" s="37">
        <f t="shared" si="1228"/>
        <v>0</v>
      </c>
      <c r="AI1511" s="38"/>
      <c r="AJ1511" s="39"/>
      <c r="AK1511" s="39"/>
      <c r="AL1511" s="39"/>
      <c r="AM1511" s="39"/>
      <c r="AN1511" s="37">
        <f t="shared" si="1229"/>
        <v>0</v>
      </c>
      <c r="AO1511" s="39"/>
      <c r="AP1511" s="56"/>
      <c r="AQ1511" s="56"/>
      <c r="AR1511" s="56"/>
      <c r="AS1511" s="71"/>
      <c r="AT1511" s="16">
        <f t="shared" si="1230"/>
        <v>0</v>
      </c>
      <c r="AU1511" s="39"/>
      <c r="AV1511" s="56"/>
      <c r="AW1511" s="56"/>
      <c r="AX1511" s="56"/>
      <c r="AY1511" s="71"/>
      <c r="AZ1511" s="16">
        <f t="shared" si="1231"/>
        <v>0</v>
      </c>
      <c r="BA1511" s="16">
        <f t="shared" si="1206"/>
        <v>0</v>
      </c>
    </row>
    <row r="1512" spans="1:54" ht="14.25" x14ac:dyDescent="0.15">
      <c r="A1512" s="23" t="s">
        <v>48</v>
      </c>
      <c r="B1512" s="41"/>
      <c r="C1512" s="42"/>
      <c r="D1512" s="42"/>
      <c r="E1512" s="42"/>
      <c r="F1512" s="42">
        <v>1</v>
      </c>
      <c r="G1512" s="43">
        <f t="shared" si="1211"/>
        <v>1</v>
      </c>
      <c r="H1512" s="41"/>
      <c r="I1512" s="42"/>
      <c r="J1512" s="42"/>
      <c r="K1512" s="42"/>
      <c r="L1512" s="42"/>
      <c r="M1512" s="43">
        <f t="shared" si="1212"/>
        <v>0</v>
      </c>
      <c r="N1512" s="42"/>
      <c r="O1512" s="53"/>
      <c r="P1512" s="53"/>
      <c r="Q1512" s="53"/>
      <c r="R1512" s="72"/>
      <c r="S1512" s="24">
        <f t="shared" si="1209"/>
        <v>0</v>
      </c>
      <c r="T1512" s="42"/>
      <c r="U1512" s="53"/>
      <c r="V1512" s="53"/>
      <c r="W1512" s="53"/>
      <c r="X1512" s="72"/>
      <c r="Y1512" s="24">
        <f t="shared" si="1210"/>
        <v>0</v>
      </c>
      <c r="Z1512" s="24">
        <f t="shared" si="1200"/>
        <v>1</v>
      </c>
      <c r="AA1512" s="83">
        <v>45265</v>
      </c>
      <c r="AB1512" s="23"/>
      <c r="AC1512" s="38"/>
      <c r="AD1512" s="39"/>
      <c r="AE1512" s="39"/>
      <c r="AF1512" s="39"/>
      <c r="AG1512" s="39"/>
      <c r="AH1512" s="37">
        <f t="shared" si="1228"/>
        <v>0</v>
      </c>
      <c r="AI1512" s="38"/>
      <c r="AJ1512" s="39"/>
      <c r="AK1512" s="39"/>
      <c r="AL1512" s="39"/>
      <c r="AM1512" s="39"/>
      <c r="AN1512" s="37">
        <f t="shared" si="1229"/>
        <v>0</v>
      </c>
      <c r="AO1512" s="39"/>
      <c r="AP1512" s="56"/>
      <c r="AQ1512" s="56"/>
      <c r="AR1512" s="56"/>
      <c r="AS1512" s="71"/>
      <c r="AT1512" s="16">
        <f t="shared" si="1230"/>
        <v>0</v>
      </c>
      <c r="AU1512" s="39"/>
      <c r="AV1512" s="56"/>
      <c r="AW1512" s="56"/>
      <c r="AX1512" s="56"/>
      <c r="AY1512" s="71"/>
      <c r="AZ1512" s="16">
        <f t="shared" si="1231"/>
        <v>0</v>
      </c>
      <c r="BA1512" s="16">
        <f t="shared" si="1206"/>
        <v>0</v>
      </c>
    </row>
    <row r="1513" spans="1:54" ht="14.25" x14ac:dyDescent="0.15">
      <c r="A1513" s="23" t="s">
        <v>438</v>
      </c>
      <c r="B1513" s="41"/>
      <c r="C1513" s="42">
        <v>1</v>
      </c>
      <c r="D1513" s="42"/>
      <c r="E1513" s="42"/>
      <c r="F1513" s="42"/>
      <c r="G1513" s="43">
        <f t="shared" si="1211"/>
        <v>1</v>
      </c>
      <c r="H1513" s="41"/>
      <c r="I1513" s="42"/>
      <c r="J1513" s="42"/>
      <c r="K1513" s="42"/>
      <c r="L1513" s="42"/>
      <c r="M1513" s="43">
        <f t="shared" si="1212"/>
        <v>0</v>
      </c>
      <c r="N1513" s="42"/>
      <c r="O1513" s="53"/>
      <c r="P1513" s="53"/>
      <c r="Q1513" s="53"/>
      <c r="R1513" s="72"/>
      <c r="S1513" s="24">
        <f t="shared" si="1209"/>
        <v>0</v>
      </c>
      <c r="T1513" s="42"/>
      <c r="U1513" s="53"/>
      <c r="V1513" s="53"/>
      <c r="W1513" s="53"/>
      <c r="X1513" s="72"/>
      <c r="Y1513" s="24">
        <f t="shared" si="1210"/>
        <v>0</v>
      </c>
      <c r="Z1513" s="24">
        <f t="shared" si="1200"/>
        <v>1</v>
      </c>
      <c r="AA1513" s="83">
        <v>45273</v>
      </c>
      <c r="AB1513" s="23"/>
      <c r="AC1513" s="38"/>
      <c r="AD1513" s="39"/>
      <c r="AE1513" s="39"/>
      <c r="AF1513" s="39"/>
      <c r="AG1513" s="39"/>
      <c r="AH1513" s="37">
        <f t="shared" si="1228"/>
        <v>0</v>
      </c>
      <c r="AI1513" s="38"/>
      <c r="AJ1513" s="39"/>
      <c r="AK1513" s="39"/>
      <c r="AL1513" s="39"/>
      <c r="AM1513" s="39"/>
      <c r="AN1513" s="37">
        <f t="shared" si="1229"/>
        <v>0</v>
      </c>
      <c r="AO1513" s="39"/>
      <c r="AP1513" s="56"/>
      <c r="AQ1513" s="56"/>
      <c r="AR1513" s="56"/>
      <c r="AS1513" s="71"/>
      <c r="AT1513" s="16">
        <f t="shared" si="1230"/>
        <v>0</v>
      </c>
      <c r="AU1513" s="39"/>
      <c r="AV1513" s="56"/>
      <c r="AW1513" s="56"/>
      <c r="AX1513" s="56"/>
      <c r="AY1513" s="71"/>
      <c r="AZ1513" s="16">
        <f t="shared" si="1231"/>
        <v>0</v>
      </c>
      <c r="BA1513" s="16">
        <f t="shared" si="1206"/>
        <v>0</v>
      </c>
    </row>
    <row r="1514" spans="1:54" ht="14.25" x14ac:dyDescent="0.15">
      <c r="A1514" s="23" t="s">
        <v>48</v>
      </c>
      <c r="B1514" s="41"/>
      <c r="C1514" s="42"/>
      <c r="D1514" s="42"/>
      <c r="E1514" s="42">
        <v>1</v>
      </c>
      <c r="F1514" s="42"/>
      <c r="G1514" s="43">
        <f t="shared" si="1211"/>
        <v>1</v>
      </c>
      <c r="H1514" s="41"/>
      <c r="I1514" s="42"/>
      <c r="J1514" s="42"/>
      <c r="K1514" s="42"/>
      <c r="L1514" s="42"/>
      <c r="M1514" s="43">
        <f t="shared" si="1212"/>
        <v>0</v>
      </c>
      <c r="N1514" s="42"/>
      <c r="O1514" s="53"/>
      <c r="P1514" s="53"/>
      <c r="Q1514" s="53"/>
      <c r="R1514" s="72"/>
      <c r="S1514" s="24">
        <f t="shared" si="1209"/>
        <v>0</v>
      </c>
      <c r="T1514" s="42"/>
      <c r="U1514" s="53"/>
      <c r="V1514" s="53"/>
      <c r="W1514" s="53"/>
      <c r="X1514" s="72">
        <v>1</v>
      </c>
      <c r="Y1514" s="24">
        <f t="shared" si="1210"/>
        <v>1</v>
      </c>
      <c r="Z1514" s="24">
        <f t="shared" si="1200"/>
        <v>2</v>
      </c>
      <c r="AA1514" s="83">
        <v>45271</v>
      </c>
      <c r="AB1514" s="23"/>
      <c r="AC1514" s="38"/>
      <c r="AD1514" s="39"/>
      <c r="AE1514" s="39"/>
      <c r="AF1514" s="39"/>
      <c r="AG1514" s="39"/>
      <c r="AH1514" s="37">
        <f t="shared" si="1228"/>
        <v>0</v>
      </c>
      <c r="AI1514" s="38"/>
      <c r="AJ1514" s="39"/>
      <c r="AK1514" s="39"/>
      <c r="AL1514" s="39"/>
      <c r="AM1514" s="39"/>
      <c r="AN1514" s="37">
        <f t="shared" si="1229"/>
        <v>0</v>
      </c>
      <c r="AO1514" s="39"/>
      <c r="AP1514" s="56"/>
      <c r="AQ1514" s="56"/>
      <c r="AR1514" s="56"/>
      <c r="AS1514" s="71"/>
      <c r="AT1514" s="16">
        <f t="shared" si="1230"/>
        <v>0</v>
      </c>
      <c r="AU1514" s="39"/>
      <c r="AV1514" s="56"/>
      <c r="AW1514" s="56"/>
      <c r="AX1514" s="56"/>
      <c r="AY1514" s="71"/>
      <c r="AZ1514" s="16">
        <f t="shared" si="1231"/>
        <v>0</v>
      </c>
      <c r="BA1514" s="16">
        <f t="shared" si="1206"/>
        <v>0</v>
      </c>
    </row>
    <row r="1515" spans="1:54" ht="14.25" x14ac:dyDescent="0.15">
      <c r="A1515" s="23" t="s">
        <v>438</v>
      </c>
      <c r="B1515" s="41"/>
      <c r="C1515" s="42"/>
      <c r="D1515" s="42"/>
      <c r="E1515" s="42"/>
      <c r="F1515" s="42"/>
      <c r="G1515" s="43">
        <f t="shared" si="1211"/>
        <v>0</v>
      </c>
      <c r="H1515" s="41"/>
      <c r="I1515" s="42"/>
      <c r="J1515" s="42"/>
      <c r="K1515" s="42"/>
      <c r="L1515" s="42"/>
      <c r="M1515" s="43">
        <f t="shared" si="1212"/>
        <v>0</v>
      </c>
      <c r="N1515" s="42"/>
      <c r="O1515" s="53">
        <v>1</v>
      </c>
      <c r="P1515" s="53"/>
      <c r="Q1515" s="53"/>
      <c r="R1515" s="72"/>
      <c r="S1515" s="24">
        <f t="shared" si="1209"/>
        <v>1</v>
      </c>
      <c r="T1515" s="42"/>
      <c r="U1515" s="53"/>
      <c r="V1515" s="53"/>
      <c r="W1515" s="53"/>
      <c r="X1515" s="72"/>
      <c r="Y1515" s="24">
        <f t="shared" si="1210"/>
        <v>0</v>
      </c>
      <c r="Z1515" s="24">
        <f t="shared" si="1200"/>
        <v>1</v>
      </c>
      <c r="AA1515" s="83">
        <v>45274</v>
      </c>
      <c r="AB1515" s="23"/>
      <c r="AC1515" s="38"/>
      <c r="AD1515" s="39"/>
      <c r="AE1515" s="39"/>
      <c r="AF1515" s="39"/>
      <c r="AG1515" s="39"/>
      <c r="AH1515" s="37">
        <f t="shared" ref="AH1515:AH1516" si="1232">SUM(AC1515:AG1515)</f>
        <v>0</v>
      </c>
      <c r="AI1515" s="38"/>
      <c r="AJ1515" s="39"/>
      <c r="AK1515" s="39"/>
      <c r="AL1515" s="39"/>
      <c r="AM1515" s="39"/>
      <c r="AN1515" s="37">
        <f t="shared" ref="AN1515:AN1516" si="1233">SUM(AI1515:AM1515)</f>
        <v>0</v>
      </c>
      <c r="AO1515" s="39"/>
      <c r="AP1515" s="56"/>
      <c r="AQ1515" s="56"/>
      <c r="AR1515" s="56"/>
      <c r="AS1515" s="71"/>
      <c r="AT1515" s="16">
        <f t="shared" ref="AT1515:AT1516" si="1234">SUM(AO1515:AS1515)</f>
        <v>0</v>
      </c>
      <c r="AU1515" s="39"/>
      <c r="AV1515" s="56"/>
      <c r="AW1515" s="56"/>
      <c r="AX1515" s="56"/>
      <c r="AY1515" s="71"/>
      <c r="AZ1515" s="16">
        <f t="shared" ref="AZ1515:AZ1516" si="1235">SUM(AU1515:AY1515)</f>
        <v>0</v>
      </c>
      <c r="BA1515" s="16">
        <f t="shared" ref="BA1515:BA1517" si="1236">AH1515+AN1515+AT1515+AZ1515</f>
        <v>0</v>
      </c>
    </row>
    <row r="1516" spans="1:54" ht="14.25" x14ac:dyDescent="0.15">
      <c r="A1516" s="23" t="s">
        <v>48</v>
      </c>
      <c r="B1516" s="41"/>
      <c r="C1516" s="42"/>
      <c r="D1516" s="42"/>
      <c r="E1516" s="42"/>
      <c r="F1516" s="42"/>
      <c r="G1516" s="43">
        <f t="shared" si="1207"/>
        <v>0</v>
      </c>
      <c r="H1516" s="41"/>
      <c r="I1516" s="42"/>
      <c r="J1516" s="42"/>
      <c r="K1516" s="42"/>
      <c r="L1516" s="42"/>
      <c r="M1516" s="43">
        <f t="shared" si="1208"/>
        <v>0</v>
      </c>
      <c r="N1516" s="42"/>
      <c r="O1516" s="53"/>
      <c r="P1516" s="53"/>
      <c r="Q1516" s="53"/>
      <c r="R1516" s="72"/>
      <c r="S1516" s="24">
        <f>SUM(N1516:R1516)</f>
        <v>0</v>
      </c>
      <c r="T1516" s="42"/>
      <c r="U1516" s="53"/>
      <c r="V1516" s="53">
        <v>1</v>
      </c>
      <c r="W1516" s="53"/>
      <c r="X1516" s="72"/>
      <c r="Y1516" s="24">
        <f>SUM(T1516:X1516)</f>
        <v>1</v>
      </c>
      <c r="Z1516" s="24">
        <f>G1516+M1516+S1516+Y1516</f>
        <v>1</v>
      </c>
      <c r="AA1516" s="83">
        <v>45272</v>
      </c>
      <c r="AB1516" s="23"/>
      <c r="AC1516" s="38"/>
      <c r="AD1516" s="39"/>
      <c r="AE1516" s="39"/>
      <c r="AF1516" s="39"/>
      <c r="AG1516" s="39"/>
      <c r="AH1516" s="37">
        <f t="shared" si="1232"/>
        <v>0</v>
      </c>
      <c r="AI1516" s="38"/>
      <c r="AJ1516" s="39"/>
      <c r="AK1516" s="39"/>
      <c r="AL1516" s="39"/>
      <c r="AM1516" s="39"/>
      <c r="AN1516" s="37">
        <f t="shared" si="1233"/>
        <v>0</v>
      </c>
      <c r="AO1516" s="39"/>
      <c r="AP1516" s="56"/>
      <c r="AQ1516" s="56"/>
      <c r="AR1516" s="56"/>
      <c r="AS1516" s="71"/>
      <c r="AT1516" s="16">
        <f t="shared" si="1234"/>
        <v>0</v>
      </c>
      <c r="AU1516" s="39"/>
      <c r="AV1516" s="56"/>
      <c r="AW1516" s="56"/>
      <c r="AX1516" s="56"/>
      <c r="AY1516" s="71"/>
      <c r="AZ1516" s="16">
        <f t="shared" si="1235"/>
        <v>0</v>
      </c>
      <c r="BA1516" s="16">
        <f t="shared" si="1236"/>
        <v>0</v>
      </c>
    </row>
    <row r="1517" spans="1:54" ht="15" thickBot="1" x14ac:dyDescent="0.2">
      <c r="A1517" s="23" t="s">
        <v>438</v>
      </c>
      <c r="B1517" s="44"/>
      <c r="C1517" s="45"/>
      <c r="D1517" s="45"/>
      <c r="E1517" s="45"/>
      <c r="F1517" s="45"/>
      <c r="G1517" s="43">
        <f t="shared" si="1207"/>
        <v>0</v>
      </c>
      <c r="H1517" s="44"/>
      <c r="I1517" s="45"/>
      <c r="J1517" s="45"/>
      <c r="K1517" s="45"/>
      <c r="L1517" s="45"/>
      <c r="M1517" s="112">
        <f t="shared" si="1208"/>
        <v>0</v>
      </c>
      <c r="N1517" s="45"/>
      <c r="O1517" s="78"/>
      <c r="P1517" s="78"/>
      <c r="Q1517" s="78"/>
      <c r="R1517" s="79">
        <v>1</v>
      </c>
      <c r="S1517" s="113">
        <f>SUM(N1517:R1517)</f>
        <v>1</v>
      </c>
      <c r="T1517" s="45"/>
      <c r="U1517" s="78"/>
      <c r="V1517" s="78"/>
      <c r="W1517" s="78"/>
      <c r="X1517" s="79"/>
      <c r="Y1517" s="113">
        <f>SUM(T1517:X1517)</f>
        <v>0</v>
      </c>
      <c r="Z1517" s="82">
        <f>G1517+M1517+S1517+Y1517</f>
        <v>1</v>
      </c>
      <c r="AA1517" s="83">
        <v>45275</v>
      </c>
      <c r="AB1517" s="23" t="s">
        <v>635</v>
      </c>
      <c r="AC1517" s="38"/>
      <c r="AD1517" s="39"/>
      <c r="AE1517" s="39"/>
      <c r="AF1517" s="39"/>
      <c r="AG1517" s="39"/>
      <c r="AH1517" s="37">
        <f t="shared" ref="AH1517" si="1237">SUM(AC1517:AG1517)</f>
        <v>0</v>
      </c>
      <c r="AI1517" s="203"/>
      <c r="AJ1517" s="204"/>
      <c r="AK1517" s="204"/>
      <c r="AL1517" s="204"/>
      <c r="AM1517" s="204"/>
      <c r="AN1517" s="37">
        <f t="shared" ref="AN1517:AN1518" si="1238">SUM(AI1517:AM1517)</f>
        <v>0</v>
      </c>
      <c r="AO1517" s="39"/>
      <c r="AP1517" s="56"/>
      <c r="AQ1517" s="56"/>
      <c r="AR1517" s="56"/>
      <c r="AS1517" s="71"/>
      <c r="AT1517" s="16">
        <f t="shared" ref="AT1517:AT1518" si="1239">SUM(AO1517:AS1517)</f>
        <v>0</v>
      </c>
      <c r="AU1517" s="39"/>
      <c r="AV1517" s="56"/>
      <c r="AW1517" s="56"/>
      <c r="AX1517" s="56"/>
      <c r="AY1517" s="71"/>
      <c r="AZ1517" s="16">
        <f t="shared" ref="AZ1517:AZ1518" si="1240">SUM(AU1517:AY1517)</f>
        <v>0</v>
      </c>
      <c r="BA1517" s="16">
        <f t="shared" si="1236"/>
        <v>0</v>
      </c>
      <c r="BB1517" s="128" t="s">
        <v>634</v>
      </c>
    </row>
    <row r="1518" spans="1:54" ht="15" thickBot="1" x14ac:dyDescent="0.2">
      <c r="A1518" s="9" t="s">
        <v>13</v>
      </c>
      <c r="B1518" s="25">
        <f>SUM(B1492:B1517)</f>
        <v>4</v>
      </c>
      <c r="C1518" s="26">
        <f>SUM(C1492:C1517)</f>
        <v>4</v>
      </c>
      <c r="D1518" s="26">
        <f>SUM(D1492:D1517)</f>
        <v>0</v>
      </c>
      <c r="E1518" s="26">
        <f>SUM(E1492:E1517)</f>
        <v>1</v>
      </c>
      <c r="F1518" s="27">
        <f>SUM(F1492:F1517)</f>
        <v>2</v>
      </c>
      <c r="G1518" s="19">
        <f>SUM(B1518:F1518)</f>
        <v>11</v>
      </c>
      <c r="H1518" s="25">
        <f>SUM(H1492:H1517)</f>
        <v>0</v>
      </c>
      <c r="I1518" s="26">
        <f>SUM(I1492:I1517)</f>
        <v>4</v>
      </c>
      <c r="J1518" s="26">
        <f>SUM(J1492:J1517)</f>
        <v>0</v>
      </c>
      <c r="K1518" s="26">
        <f>SUM(K1492:K1517)</f>
        <v>-1</v>
      </c>
      <c r="L1518" s="27">
        <f>SUM(L1492:L1517)</f>
        <v>-1</v>
      </c>
      <c r="M1518" s="25">
        <f>SUM(H1518:L1518)</f>
        <v>2</v>
      </c>
      <c r="N1518" s="65">
        <f>SUM(N1492:N1517)</f>
        <v>1</v>
      </c>
      <c r="O1518" s="18">
        <f>SUM(O1492:O1517)</f>
        <v>3</v>
      </c>
      <c r="P1518" s="18">
        <f>SUM(P1492:P1517)</f>
        <v>0</v>
      </c>
      <c r="Q1518" s="18">
        <f>SUM(Q1492:Q1517)</f>
        <v>1</v>
      </c>
      <c r="R1518" s="70">
        <f>SUM(R1492:R1517)</f>
        <v>1</v>
      </c>
      <c r="S1518" s="49">
        <f>SUM(N1518:R1518)</f>
        <v>6</v>
      </c>
      <c r="T1518" s="74">
        <f>SUM(T1492:T1517)</f>
        <v>0</v>
      </c>
      <c r="U1518" s="18">
        <f>SUM(U1492:U1517)</f>
        <v>1</v>
      </c>
      <c r="V1518" s="18">
        <f>SUM(V1492:V1517)</f>
        <v>1</v>
      </c>
      <c r="W1518" s="18">
        <f>SUM(W1492:W1517)</f>
        <v>0</v>
      </c>
      <c r="X1518" s="70">
        <f>SUM(X1492:X1517)</f>
        <v>2</v>
      </c>
      <c r="Y1518" s="49">
        <f>SUM(T1518:X1518)</f>
        <v>4</v>
      </c>
      <c r="Z1518" s="137">
        <f>G1518+M1518+S1518+Y1518</f>
        <v>23</v>
      </c>
      <c r="AB1518" s="9" t="s">
        <v>13</v>
      </c>
      <c r="AC1518" s="25">
        <f>SUM(AC1492:AC1517)</f>
        <v>6</v>
      </c>
      <c r="AD1518" s="26">
        <f>SUM(AD1492:AD1517)</f>
        <v>6</v>
      </c>
      <c r="AE1518" s="26">
        <f>SUM(AE1492:AE1517)</f>
        <v>3</v>
      </c>
      <c r="AF1518" s="26">
        <f>SUM(AF1492:AF1517)</f>
        <v>2</v>
      </c>
      <c r="AG1518" s="27">
        <f>SUM(AG1492:AG1517)</f>
        <v>8</v>
      </c>
      <c r="AH1518" s="19">
        <f t="shared" ref="AH1518" si="1241">SUM(AC1518:AG1518)</f>
        <v>25</v>
      </c>
      <c r="AI1518" s="25">
        <f>SUM(AI1492:AI1517)</f>
        <v>3</v>
      </c>
      <c r="AJ1518" s="26">
        <f>SUM(AJ1492:AJ1517)</f>
        <v>6</v>
      </c>
      <c r="AK1518" s="26">
        <f>SUM(AK1492:AK1517)</f>
        <v>2</v>
      </c>
      <c r="AL1518" s="26">
        <f>SUM(AL1492:AL1517)</f>
        <v>2</v>
      </c>
      <c r="AM1518" s="27">
        <f>SUM(AM1492:AM1517)</f>
        <v>2</v>
      </c>
      <c r="AN1518" s="25">
        <f t="shared" si="1238"/>
        <v>15</v>
      </c>
      <c r="AO1518" s="65">
        <f>SUM(AO1492:AO1517)</f>
        <v>0</v>
      </c>
      <c r="AP1518" s="18">
        <f>SUM(AP1492:AP1517)</f>
        <v>5</v>
      </c>
      <c r="AQ1518" s="18">
        <f>SUM(AQ1492:AQ1517)</f>
        <v>3</v>
      </c>
      <c r="AR1518" s="18">
        <f>SUM(AR1492:AR1517)</f>
        <v>0</v>
      </c>
      <c r="AS1518" s="70">
        <f>SUM(AS1492:AS1517)</f>
        <v>0</v>
      </c>
      <c r="AT1518" s="49">
        <f t="shared" si="1239"/>
        <v>8</v>
      </c>
      <c r="AU1518" s="74">
        <f>SUM(AU1492:AU1517)</f>
        <v>0</v>
      </c>
      <c r="AV1518" s="18">
        <f>SUM(AV1492:AV1517)</f>
        <v>0</v>
      </c>
      <c r="AW1518" s="18">
        <f>SUM(AW1492:AW1517)</f>
        <v>3</v>
      </c>
      <c r="AX1518" s="18">
        <f>SUM(AX1492:AX1517)</f>
        <v>0</v>
      </c>
      <c r="AY1518" s="70">
        <f>SUM(AY1492:AY1517)</f>
        <v>6</v>
      </c>
      <c r="AZ1518" s="49">
        <f t="shared" si="1240"/>
        <v>9</v>
      </c>
      <c r="BA1518" s="77">
        <f t="shared" si="1206"/>
        <v>57</v>
      </c>
    </row>
    <row r="1519" spans="1:54" ht="15" thickBot="1" x14ac:dyDescent="0.2">
      <c r="A1519" s="32" t="s">
        <v>14</v>
      </c>
      <c r="B1519" s="29">
        <f t="shared" ref="B1519:Y1519" si="1242">B1491-B1518</f>
        <v>6</v>
      </c>
      <c r="C1519" s="30">
        <f t="shared" si="1242"/>
        <v>4</v>
      </c>
      <c r="D1519" s="30">
        <f t="shared" si="1242"/>
        <v>7</v>
      </c>
      <c r="E1519" s="30">
        <f t="shared" si="1242"/>
        <v>5</v>
      </c>
      <c r="F1519" s="31">
        <f t="shared" si="1242"/>
        <v>4</v>
      </c>
      <c r="G1519" s="31">
        <f t="shared" si="1242"/>
        <v>26</v>
      </c>
      <c r="H1519" s="29">
        <f t="shared" si="1242"/>
        <v>7</v>
      </c>
      <c r="I1519" s="30">
        <f t="shared" si="1242"/>
        <v>4</v>
      </c>
      <c r="J1519" s="30">
        <f t="shared" si="1242"/>
        <v>6</v>
      </c>
      <c r="K1519" s="30">
        <f t="shared" si="1242"/>
        <v>7</v>
      </c>
      <c r="L1519" s="31">
        <f t="shared" si="1242"/>
        <v>6</v>
      </c>
      <c r="M1519" s="66">
        <f t="shared" si="1242"/>
        <v>30</v>
      </c>
      <c r="N1519" s="29">
        <f t="shared" si="1242"/>
        <v>5</v>
      </c>
      <c r="O1519" s="30">
        <f t="shared" si="1242"/>
        <v>4</v>
      </c>
      <c r="P1519" s="30">
        <f t="shared" si="1242"/>
        <v>6</v>
      </c>
      <c r="Q1519" s="30">
        <f t="shared" si="1242"/>
        <v>5</v>
      </c>
      <c r="R1519" s="66">
        <f t="shared" si="1242"/>
        <v>5</v>
      </c>
      <c r="S1519" s="33">
        <f t="shared" si="1242"/>
        <v>25</v>
      </c>
      <c r="T1519" s="75">
        <f t="shared" si="1242"/>
        <v>8</v>
      </c>
      <c r="U1519" s="30">
        <f t="shared" si="1242"/>
        <v>4</v>
      </c>
      <c r="V1519" s="30">
        <f t="shared" si="1242"/>
        <v>3</v>
      </c>
      <c r="W1519" s="30">
        <f t="shared" si="1242"/>
        <v>4</v>
      </c>
      <c r="X1519" s="66">
        <f t="shared" si="1242"/>
        <v>4</v>
      </c>
      <c r="Y1519" s="33">
        <f t="shared" si="1242"/>
        <v>23</v>
      </c>
      <c r="Z1519" s="77">
        <f>G1519+M1519+S1519+Y1519</f>
        <v>104</v>
      </c>
      <c r="AB1519" s="32" t="s">
        <v>14</v>
      </c>
      <c r="AC1519" s="29">
        <f t="shared" ref="AC1519:AZ1519" si="1243">AC1491-AC1518</f>
        <v>98</v>
      </c>
      <c r="AD1519" s="30">
        <f t="shared" si="1243"/>
        <v>69</v>
      </c>
      <c r="AE1519" s="30">
        <f t="shared" si="1243"/>
        <v>69</v>
      </c>
      <c r="AF1519" s="30">
        <f t="shared" si="1243"/>
        <v>46</v>
      </c>
      <c r="AG1519" s="31">
        <f t="shared" si="1243"/>
        <v>24</v>
      </c>
      <c r="AH1519" s="31">
        <f t="shared" si="1243"/>
        <v>306</v>
      </c>
      <c r="AI1519" s="29">
        <f t="shared" si="1243"/>
        <v>84</v>
      </c>
      <c r="AJ1519" s="30">
        <f t="shared" si="1243"/>
        <v>74</v>
      </c>
      <c r="AK1519" s="30">
        <f t="shared" si="1243"/>
        <v>85</v>
      </c>
      <c r="AL1519" s="30">
        <f t="shared" si="1243"/>
        <v>71</v>
      </c>
      <c r="AM1519" s="31">
        <f t="shared" si="1243"/>
        <v>83</v>
      </c>
      <c r="AN1519" s="66">
        <f t="shared" si="1243"/>
        <v>397</v>
      </c>
      <c r="AO1519" s="29">
        <f t="shared" si="1243"/>
        <v>143</v>
      </c>
      <c r="AP1519" s="30">
        <f t="shared" si="1243"/>
        <v>100</v>
      </c>
      <c r="AQ1519" s="30">
        <f t="shared" si="1243"/>
        <v>102</v>
      </c>
      <c r="AR1519" s="30">
        <f t="shared" si="1243"/>
        <v>121</v>
      </c>
      <c r="AS1519" s="66">
        <f t="shared" si="1243"/>
        <v>127</v>
      </c>
      <c r="AT1519" s="33">
        <f t="shared" si="1243"/>
        <v>593</v>
      </c>
      <c r="AU1519" s="75">
        <f t="shared" si="1243"/>
        <v>111</v>
      </c>
      <c r="AV1519" s="30">
        <f t="shared" si="1243"/>
        <v>58</v>
      </c>
      <c r="AW1519" s="30">
        <f t="shared" si="1243"/>
        <v>28</v>
      </c>
      <c r="AX1519" s="30">
        <f t="shared" si="1243"/>
        <v>25</v>
      </c>
      <c r="AY1519" s="66">
        <f t="shared" si="1243"/>
        <v>71</v>
      </c>
      <c r="AZ1519" s="33">
        <f t="shared" si="1243"/>
        <v>293</v>
      </c>
      <c r="BA1519" s="77">
        <f t="shared" si="1206"/>
        <v>1589</v>
      </c>
    </row>
    <row r="1522" spans="1:54" ht="19.5" thickBot="1" x14ac:dyDescent="0.25">
      <c r="A1522" s="1" t="s">
        <v>15</v>
      </c>
      <c r="AB1522" s="1" t="s">
        <v>16</v>
      </c>
    </row>
    <row r="1523" spans="1:54" ht="15" thickBot="1" x14ac:dyDescent="0.2">
      <c r="A1523" s="4"/>
      <c r="B1523" s="245" t="s">
        <v>17</v>
      </c>
      <c r="C1523" s="246"/>
      <c r="D1523" s="246"/>
      <c r="E1523" s="246"/>
      <c r="F1523" s="246"/>
      <c r="G1523" s="247"/>
      <c r="H1523" s="245" t="s">
        <v>18</v>
      </c>
      <c r="I1523" s="246"/>
      <c r="J1523" s="246"/>
      <c r="K1523" s="246"/>
      <c r="L1523" s="246"/>
      <c r="M1523" s="247"/>
      <c r="N1523" s="248" t="s">
        <v>27</v>
      </c>
      <c r="O1523" s="249"/>
      <c r="P1523" s="249"/>
      <c r="Q1523" s="249"/>
      <c r="R1523" s="249"/>
      <c r="S1523" s="250"/>
      <c r="T1523" s="248" t="s">
        <v>28</v>
      </c>
      <c r="U1523" s="249"/>
      <c r="V1523" s="249"/>
      <c r="W1523" s="249"/>
      <c r="X1523" s="249"/>
      <c r="Y1523" s="250"/>
      <c r="Z1523" s="251" t="s">
        <v>1</v>
      </c>
      <c r="AB1523" s="4"/>
      <c r="AC1523" s="253" t="s">
        <v>17</v>
      </c>
      <c r="AD1523" s="249"/>
      <c r="AE1523" s="249"/>
      <c r="AF1523" s="249"/>
      <c r="AG1523" s="249"/>
      <c r="AH1523" s="250"/>
      <c r="AI1523" s="248" t="s">
        <v>18</v>
      </c>
      <c r="AJ1523" s="249"/>
      <c r="AK1523" s="249"/>
      <c r="AL1523" s="249"/>
      <c r="AM1523" s="249"/>
      <c r="AN1523" s="250"/>
      <c r="AO1523" s="248" t="s">
        <v>27</v>
      </c>
      <c r="AP1523" s="249"/>
      <c r="AQ1523" s="249"/>
      <c r="AR1523" s="249"/>
      <c r="AS1523" s="249"/>
      <c r="AT1523" s="250"/>
      <c r="AU1523" s="248" t="s">
        <v>28</v>
      </c>
      <c r="AV1523" s="249"/>
      <c r="AW1523" s="249"/>
      <c r="AX1523" s="249"/>
      <c r="AY1523" s="249"/>
      <c r="AZ1523" s="250"/>
      <c r="BA1523" s="243" t="s">
        <v>1</v>
      </c>
    </row>
    <row r="1524" spans="1:54" ht="15" thickBot="1" x14ac:dyDescent="0.2">
      <c r="A1524" s="9" t="s">
        <v>2</v>
      </c>
      <c r="B1524" s="6" t="s">
        <v>3</v>
      </c>
      <c r="C1524" s="7" t="s">
        <v>4</v>
      </c>
      <c r="D1524" s="7" t="s">
        <v>5</v>
      </c>
      <c r="E1524" s="48" t="s">
        <v>20</v>
      </c>
      <c r="F1524" s="8" t="s">
        <v>21</v>
      </c>
      <c r="G1524" s="5" t="s">
        <v>6</v>
      </c>
      <c r="H1524" s="6" t="s">
        <v>3</v>
      </c>
      <c r="I1524" s="7" t="s">
        <v>4</v>
      </c>
      <c r="J1524" s="7" t="s">
        <v>5</v>
      </c>
      <c r="K1524" s="48" t="s">
        <v>20</v>
      </c>
      <c r="L1524" s="8" t="s">
        <v>21</v>
      </c>
      <c r="M1524" s="5" t="s">
        <v>6</v>
      </c>
      <c r="N1524" s="6" t="s">
        <v>3</v>
      </c>
      <c r="O1524" s="7" t="s">
        <v>4</v>
      </c>
      <c r="P1524" s="7" t="s">
        <v>5</v>
      </c>
      <c r="Q1524" s="48" t="s">
        <v>20</v>
      </c>
      <c r="R1524" s="8" t="s">
        <v>21</v>
      </c>
      <c r="S1524" s="5" t="s">
        <v>6</v>
      </c>
      <c r="T1524" s="7" t="s">
        <v>3</v>
      </c>
      <c r="U1524" s="7" t="s">
        <v>4</v>
      </c>
      <c r="V1524" s="7" t="s">
        <v>5</v>
      </c>
      <c r="W1524" s="48" t="s">
        <v>20</v>
      </c>
      <c r="X1524" s="109" t="s">
        <v>21</v>
      </c>
      <c r="Y1524" s="62" t="s">
        <v>6</v>
      </c>
      <c r="Z1524" s="252"/>
      <c r="AB1524" s="9" t="s">
        <v>2</v>
      </c>
      <c r="AC1524" s="6" t="s">
        <v>3</v>
      </c>
      <c r="AD1524" s="7" t="s">
        <v>4</v>
      </c>
      <c r="AE1524" s="7" t="s">
        <v>5</v>
      </c>
      <c r="AF1524" s="48" t="s">
        <v>20</v>
      </c>
      <c r="AG1524" s="8" t="s">
        <v>21</v>
      </c>
      <c r="AH1524" s="5" t="s">
        <v>6</v>
      </c>
      <c r="AI1524" s="6" t="s">
        <v>3</v>
      </c>
      <c r="AJ1524" s="7" t="s">
        <v>4</v>
      </c>
      <c r="AK1524" s="7" t="s">
        <v>5</v>
      </c>
      <c r="AL1524" s="48" t="s">
        <v>20</v>
      </c>
      <c r="AM1524" s="8" t="s">
        <v>21</v>
      </c>
      <c r="AN1524" s="5" t="s">
        <v>6</v>
      </c>
      <c r="AO1524" s="6" t="s">
        <v>3</v>
      </c>
      <c r="AP1524" s="7" t="s">
        <v>4</v>
      </c>
      <c r="AQ1524" s="7" t="s">
        <v>5</v>
      </c>
      <c r="AR1524" s="48" t="s">
        <v>20</v>
      </c>
      <c r="AS1524" s="8" t="s">
        <v>21</v>
      </c>
      <c r="AT1524" s="5" t="s">
        <v>6</v>
      </c>
      <c r="AU1524" s="7" t="s">
        <v>3</v>
      </c>
      <c r="AV1524" s="7" t="s">
        <v>4</v>
      </c>
      <c r="AW1524" s="7" t="s">
        <v>5</v>
      </c>
      <c r="AX1524" s="48" t="s">
        <v>20</v>
      </c>
      <c r="AY1524" s="109" t="s">
        <v>21</v>
      </c>
      <c r="AZ1524" s="62" t="s">
        <v>6</v>
      </c>
      <c r="BA1524" s="244"/>
    </row>
    <row r="1525" spans="1:54" ht="14.25" x14ac:dyDescent="0.15">
      <c r="A1525" s="103" t="s">
        <v>43</v>
      </c>
      <c r="B1525" s="104">
        <f>B1519</f>
        <v>6</v>
      </c>
      <c r="C1525" s="105">
        <f>C1519</f>
        <v>4</v>
      </c>
      <c r="D1525" s="105">
        <f>D1519</f>
        <v>7</v>
      </c>
      <c r="E1525" s="105">
        <f>E1519</f>
        <v>5</v>
      </c>
      <c r="F1525" s="105">
        <f>F1519</f>
        <v>4</v>
      </c>
      <c r="G1525" s="106">
        <f t="shared" ref="G1525" si="1244">SUM(B1525:F1525)</f>
        <v>26</v>
      </c>
      <c r="H1525" s="104">
        <f>H1519</f>
        <v>7</v>
      </c>
      <c r="I1525" s="105">
        <f>I1519</f>
        <v>4</v>
      </c>
      <c r="J1525" s="105">
        <f>J1519</f>
        <v>6</v>
      </c>
      <c r="K1525" s="105">
        <f>K1519</f>
        <v>7</v>
      </c>
      <c r="L1525" s="105">
        <f>L1519</f>
        <v>6</v>
      </c>
      <c r="M1525" s="107">
        <f t="shared" ref="M1525:M1528" si="1245">SUM(H1525:L1525)</f>
        <v>30</v>
      </c>
      <c r="N1525" s="104">
        <f>N1519</f>
        <v>5</v>
      </c>
      <c r="O1525" s="105">
        <f>O1519</f>
        <v>4</v>
      </c>
      <c r="P1525" s="105">
        <f>P1519</f>
        <v>6</v>
      </c>
      <c r="Q1525" s="105">
        <f>Q1519</f>
        <v>5</v>
      </c>
      <c r="R1525" s="105">
        <f>R1519</f>
        <v>5</v>
      </c>
      <c r="S1525" s="108">
        <f t="shared" ref="S1525:S1528" si="1246">SUM(N1525:R1525)</f>
        <v>25</v>
      </c>
      <c r="T1525" s="104">
        <f>T1519</f>
        <v>8</v>
      </c>
      <c r="U1525" s="105">
        <f>U1519</f>
        <v>4</v>
      </c>
      <c r="V1525" s="105">
        <f>V1519</f>
        <v>3</v>
      </c>
      <c r="W1525" s="105">
        <f>W1519</f>
        <v>4</v>
      </c>
      <c r="X1525" s="105">
        <f>X1519</f>
        <v>4</v>
      </c>
      <c r="Y1525" s="106">
        <f t="shared" ref="Y1525:Y1528" si="1247">SUM(T1525:X1525)</f>
        <v>23</v>
      </c>
      <c r="Z1525" s="106">
        <f t="shared" ref="Z1525:Z1554" si="1248">G1525+M1525+S1525+Y1525</f>
        <v>104</v>
      </c>
      <c r="AB1525" s="103" t="s">
        <v>43</v>
      </c>
      <c r="AC1525" s="104">
        <f>AC1519</f>
        <v>98</v>
      </c>
      <c r="AD1525" s="105">
        <f>AD1519</f>
        <v>69</v>
      </c>
      <c r="AE1525" s="105">
        <f>AE1519</f>
        <v>69</v>
      </c>
      <c r="AF1525" s="105">
        <f>AF1519</f>
        <v>46</v>
      </c>
      <c r="AG1525" s="105">
        <f>AG1519</f>
        <v>24</v>
      </c>
      <c r="AH1525" s="106">
        <f>SUM(AC1525:AG1525)</f>
        <v>306</v>
      </c>
      <c r="AI1525" s="104">
        <f>AI1519</f>
        <v>84</v>
      </c>
      <c r="AJ1525" s="105">
        <f>AJ1519</f>
        <v>74</v>
      </c>
      <c r="AK1525" s="105">
        <f>AK1519</f>
        <v>85</v>
      </c>
      <c r="AL1525" s="105">
        <f>AL1519</f>
        <v>71</v>
      </c>
      <c r="AM1525" s="105">
        <f>AM1519</f>
        <v>83</v>
      </c>
      <c r="AN1525" s="107">
        <f>SUM(AI1525:AM1525)</f>
        <v>397</v>
      </c>
      <c r="AO1525" s="104">
        <f>AO1519</f>
        <v>143</v>
      </c>
      <c r="AP1525" s="105">
        <f>AP1519</f>
        <v>100</v>
      </c>
      <c r="AQ1525" s="105">
        <f>AQ1519</f>
        <v>102</v>
      </c>
      <c r="AR1525" s="105">
        <f>AR1519</f>
        <v>121</v>
      </c>
      <c r="AS1525" s="105">
        <f>AS1519</f>
        <v>127</v>
      </c>
      <c r="AT1525" s="108">
        <f>SUM(AO1525:AS1525)</f>
        <v>593</v>
      </c>
      <c r="AU1525" s="104">
        <f>AU1519</f>
        <v>111</v>
      </c>
      <c r="AV1525" s="105">
        <f>AV1519</f>
        <v>58</v>
      </c>
      <c r="AW1525" s="105">
        <f>AW1519</f>
        <v>28</v>
      </c>
      <c r="AX1525" s="105">
        <f>AX1519</f>
        <v>25</v>
      </c>
      <c r="AY1525" s="105">
        <f>AY1519</f>
        <v>71</v>
      </c>
      <c r="AZ1525" s="106">
        <f>SUM(AU1525:AY1525)</f>
        <v>293</v>
      </c>
      <c r="BA1525" s="106">
        <f>AH1525+AN1525+AT1525+AZ1525</f>
        <v>1589</v>
      </c>
    </row>
    <row r="1526" spans="1:54" ht="14.25" x14ac:dyDescent="0.15">
      <c r="A1526" s="10" t="s">
        <v>181</v>
      </c>
      <c r="B1526" s="14"/>
      <c r="C1526" s="15">
        <v>3</v>
      </c>
      <c r="D1526" s="15"/>
      <c r="E1526" s="15"/>
      <c r="F1526" s="15">
        <v>3</v>
      </c>
      <c r="G1526" s="43">
        <f t="shared" ref="G1526:G1528" si="1249">SUM(B1526:F1526)</f>
        <v>6</v>
      </c>
      <c r="H1526" s="14"/>
      <c r="I1526" s="15"/>
      <c r="J1526" s="15"/>
      <c r="K1526" s="15"/>
      <c r="L1526" s="15"/>
      <c r="M1526" s="43">
        <f t="shared" si="1245"/>
        <v>0</v>
      </c>
      <c r="N1526" s="14"/>
      <c r="O1526" s="55"/>
      <c r="P1526" s="55"/>
      <c r="Q1526" s="55"/>
      <c r="R1526" s="67"/>
      <c r="S1526" s="24">
        <f t="shared" si="1246"/>
        <v>0</v>
      </c>
      <c r="T1526" s="15"/>
      <c r="U1526" s="55"/>
      <c r="V1526" s="55">
        <v>3</v>
      </c>
      <c r="W1526" s="55"/>
      <c r="X1526" s="67">
        <v>3</v>
      </c>
      <c r="Y1526" s="24">
        <f t="shared" si="1247"/>
        <v>6</v>
      </c>
      <c r="Z1526" s="24">
        <f t="shared" si="1248"/>
        <v>12</v>
      </c>
      <c r="AA1526" s="83">
        <v>45286</v>
      </c>
      <c r="AB1526" s="10" t="s">
        <v>181</v>
      </c>
      <c r="AC1526" s="14"/>
      <c r="AD1526" s="15"/>
      <c r="AE1526" s="15"/>
      <c r="AF1526" s="15"/>
      <c r="AG1526" s="15"/>
      <c r="AH1526" s="43">
        <f t="shared" ref="AH1526:AH1530" si="1250">SUM(AC1526:AG1526)</f>
        <v>0</v>
      </c>
      <c r="AI1526" s="14"/>
      <c r="AJ1526" s="15"/>
      <c r="AK1526" s="15"/>
      <c r="AL1526" s="15"/>
      <c r="AM1526" s="15"/>
      <c r="AN1526" s="43">
        <f t="shared" ref="AN1526:AN1530" si="1251">SUM(AI1526:AM1526)</f>
        <v>0</v>
      </c>
      <c r="AO1526" s="14"/>
      <c r="AP1526" s="55"/>
      <c r="AQ1526" s="55"/>
      <c r="AR1526" s="55"/>
      <c r="AS1526" s="67"/>
      <c r="AT1526" s="24">
        <f t="shared" ref="AT1526:AT1530" si="1252">SUM(AO1526:AS1526)</f>
        <v>0</v>
      </c>
      <c r="AU1526" s="15"/>
      <c r="AV1526" s="55"/>
      <c r="AW1526" s="55"/>
      <c r="AX1526" s="55"/>
      <c r="AY1526" s="67"/>
      <c r="AZ1526" s="24">
        <f t="shared" ref="AZ1526:AZ1530" si="1253">SUM(AU1526:AY1526)</f>
        <v>0</v>
      </c>
      <c r="BA1526" s="24">
        <f t="shared" ref="BA1526:BA1558" si="1254">AH1526+AN1526+AT1526+AZ1526</f>
        <v>0</v>
      </c>
    </row>
    <row r="1527" spans="1:54" ht="14.25" x14ac:dyDescent="0.15">
      <c r="A1527" s="10" t="s">
        <v>181</v>
      </c>
      <c r="B1527" s="14"/>
      <c r="C1527" s="15"/>
      <c r="D1527" s="15"/>
      <c r="E1527" s="15"/>
      <c r="F1527" s="15"/>
      <c r="G1527" s="43">
        <f t="shared" si="1249"/>
        <v>0</v>
      </c>
      <c r="H1527" s="14"/>
      <c r="I1527" s="15"/>
      <c r="J1527" s="15"/>
      <c r="K1527" s="15"/>
      <c r="L1527" s="15"/>
      <c r="M1527" s="43">
        <f t="shared" si="1245"/>
        <v>0</v>
      </c>
      <c r="N1527" s="14"/>
      <c r="O1527" s="55"/>
      <c r="P1527" s="55"/>
      <c r="Q1527" s="55">
        <v>3</v>
      </c>
      <c r="R1527" s="67"/>
      <c r="S1527" s="24">
        <f t="shared" si="1246"/>
        <v>3</v>
      </c>
      <c r="T1527" s="15"/>
      <c r="U1527" s="55"/>
      <c r="V1527" s="55"/>
      <c r="W1527" s="55"/>
      <c r="X1527" s="67"/>
      <c r="Y1527" s="24">
        <f>SUM(T1527:X1527)</f>
        <v>0</v>
      </c>
      <c r="Z1527" s="24">
        <f>G1527+M1527+S1527+Y1527</f>
        <v>3</v>
      </c>
      <c r="AA1527" s="83">
        <v>45306</v>
      </c>
      <c r="AB1527" s="10" t="s">
        <v>181</v>
      </c>
      <c r="AC1527" s="14"/>
      <c r="AD1527" s="15"/>
      <c r="AE1527" s="15"/>
      <c r="AF1527" s="15"/>
      <c r="AG1527" s="15"/>
      <c r="AH1527" s="43">
        <f t="shared" si="1250"/>
        <v>0</v>
      </c>
      <c r="AI1527" s="14"/>
      <c r="AJ1527" s="15"/>
      <c r="AK1527" s="15"/>
      <c r="AL1527" s="15"/>
      <c r="AM1527" s="15"/>
      <c r="AN1527" s="43">
        <f t="shared" si="1251"/>
        <v>0</v>
      </c>
      <c r="AO1527" s="14"/>
      <c r="AP1527" s="55"/>
      <c r="AQ1527" s="55"/>
      <c r="AR1527" s="55"/>
      <c r="AS1527" s="67"/>
      <c r="AT1527" s="24">
        <f t="shared" si="1252"/>
        <v>0</v>
      </c>
      <c r="AU1527" s="15"/>
      <c r="AV1527" s="55"/>
      <c r="AW1527" s="55"/>
      <c r="AX1527" s="55"/>
      <c r="AY1527" s="67"/>
      <c r="AZ1527" s="24">
        <f t="shared" si="1253"/>
        <v>0</v>
      </c>
      <c r="BA1527" s="24">
        <f t="shared" si="1254"/>
        <v>0</v>
      </c>
    </row>
    <row r="1528" spans="1:54" ht="14.25" x14ac:dyDescent="0.15">
      <c r="A1528" s="10" t="s">
        <v>181</v>
      </c>
      <c r="B1528" s="14"/>
      <c r="C1528" s="15"/>
      <c r="D1528" s="15"/>
      <c r="E1528" s="15"/>
      <c r="F1528" s="15"/>
      <c r="G1528" s="43">
        <f t="shared" si="1249"/>
        <v>0</v>
      </c>
      <c r="H1528" s="14"/>
      <c r="I1528" s="15"/>
      <c r="J1528" s="15"/>
      <c r="K1528" s="15"/>
      <c r="L1528" s="15"/>
      <c r="M1528" s="43">
        <f t="shared" si="1245"/>
        <v>0</v>
      </c>
      <c r="N1528" s="14"/>
      <c r="O1528" s="55"/>
      <c r="P1528" s="55"/>
      <c r="Q1528" s="55"/>
      <c r="R1528" s="67"/>
      <c r="S1528" s="24">
        <f t="shared" si="1246"/>
        <v>0</v>
      </c>
      <c r="T1528" s="15"/>
      <c r="U1528" s="55"/>
      <c r="V1528" s="55"/>
      <c r="W1528" s="55"/>
      <c r="X1528" s="67"/>
      <c r="Y1528" s="24">
        <f t="shared" si="1247"/>
        <v>0</v>
      </c>
      <c r="Z1528" s="24">
        <f t="shared" si="1248"/>
        <v>0</v>
      </c>
      <c r="AA1528" s="83"/>
      <c r="AB1528" s="10" t="s">
        <v>181</v>
      </c>
      <c r="AC1528" s="14"/>
      <c r="AD1528" s="15"/>
      <c r="AE1528" s="15"/>
      <c r="AF1528" s="15"/>
      <c r="AG1528" s="15"/>
      <c r="AH1528" s="43">
        <f t="shared" si="1250"/>
        <v>0</v>
      </c>
      <c r="AI1528" s="14"/>
      <c r="AJ1528" s="15"/>
      <c r="AK1528" s="15"/>
      <c r="AL1528" s="15"/>
      <c r="AM1528" s="15"/>
      <c r="AN1528" s="43">
        <f t="shared" si="1251"/>
        <v>0</v>
      </c>
      <c r="AO1528" s="14"/>
      <c r="AP1528" s="55"/>
      <c r="AQ1528" s="55"/>
      <c r="AR1528" s="55"/>
      <c r="AS1528" s="67"/>
      <c r="AT1528" s="24">
        <f t="shared" si="1252"/>
        <v>0</v>
      </c>
      <c r="AU1528" s="15"/>
      <c r="AV1528" s="55"/>
      <c r="AW1528" s="55"/>
      <c r="AX1528" s="55"/>
      <c r="AY1528" s="67"/>
      <c r="AZ1528" s="24">
        <f t="shared" si="1253"/>
        <v>0</v>
      </c>
      <c r="BA1528" s="24">
        <f t="shared" si="1254"/>
        <v>0</v>
      </c>
    </row>
    <row r="1529" spans="1:54" ht="15" thickBot="1" x14ac:dyDescent="0.2">
      <c r="A1529" s="10" t="s">
        <v>616</v>
      </c>
      <c r="B1529" s="14"/>
      <c r="C1529" s="15"/>
      <c r="D1529" s="15"/>
      <c r="E1529" s="15">
        <v>-1</v>
      </c>
      <c r="F1529" s="15">
        <v>-1</v>
      </c>
      <c r="G1529" s="43">
        <f t="shared" ref="G1529" si="1255">SUM(B1529:F1529)</f>
        <v>-2</v>
      </c>
      <c r="H1529" s="14"/>
      <c r="I1529" s="15"/>
      <c r="J1529" s="15"/>
      <c r="K1529" s="15">
        <v>-2</v>
      </c>
      <c r="L1529" s="15">
        <v>2</v>
      </c>
      <c r="M1529" s="43">
        <f t="shared" ref="M1529" si="1256">SUM(H1529:L1529)</f>
        <v>0</v>
      </c>
      <c r="N1529" s="14"/>
      <c r="O1529" s="55"/>
      <c r="P1529" s="55"/>
      <c r="Q1529" s="55">
        <v>1</v>
      </c>
      <c r="R1529" s="67">
        <v>-1</v>
      </c>
      <c r="S1529" s="24">
        <f t="shared" ref="S1529" si="1257">SUM(N1529:R1529)</f>
        <v>0</v>
      </c>
      <c r="T1529" s="15"/>
      <c r="U1529" s="55"/>
      <c r="V1529" s="55"/>
      <c r="W1529" s="55">
        <v>-1</v>
      </c>
      <c r="X1529" s="67">
        <v>1</v>
      </c>
      <c r="Y1529" s="24">
        <f t="shared" ref="Y1529" si="1258">SUM(T1529:X1529)</f>
        <v>0</v>
      </c>
      <c r="Z1529" s="24">
        <f>G1529+M1529+S1529+Y1529</f>
        <v>-2</v>
      </c>
      <c r="AA1529" s="83"/>
      <c r="AB1529" s="10" t="s">
        <v>181</v>
      </c>
      <c r="AC1529" s="14"/>
      <c r="AD1529" s="15"/>
      <c r="AE1529" s="15"/>
      <c r="AF1529" s="15"/>
      <c r="AG1529" s="15"/>
      <c r="AH1529" s="43">
        <f t="shared" si="1250"/>
        <v>0</v>
      </c>
      <c r="AI1529" s="14"/>
      <c r="AJ1529" s="15"/>
      <c r="AK1529" s="15"/>
      <c r="AL1529" s="15"/>
      <c r="AM1529" s="15"/>
      <c r="AN1529" s="43">
        <f t="shared" si="1251"/>
        <v>0</v>
      </c>
      <c r="AO1529" s="14"/>
      <c r="AP1529" s="55"/>
      <c r="AQ1529" s="55"/>
      <c r="AR1529" s="55"/>
      <c r="AS1529" s="67"/>
      <c r="AT1529" s="24">
        <f t="shared" si="1252"/>
        <v>0</v>
      </c>
      <c r="AU1529" s="15"/>
      <c r="AV1529" s="55"/>
      <c r="AW1529" s="55"/>
      <c r="AX1529" s="55"/>
      <c r="AY1529" s="67"/>
      <c r="AZ1529" s="24">
        <f t="shared" si="1253"/>
        <v>0</v>
      </c>
      <c r="BA1529" s="24">
        <f t="shared" si="1254"/>
        <v>0</v>
      </c>
    </row>
    <row r="1530" spans="1:54" ht="15" thickBot="1" x14ac:dyDescent="0.2">
      <c r="A1530" s="4" t="s">
        <v>12</v>
      </c>
      <c r="B1530" s="17">
        <f>SUM(B1525:B1529)</f>
        <v>6</v>
      </c>
      <c r="C1530" s="18">
        <f>SUM(C1525:C1529)</f>
        <v>7</v>
      </c>
      <c r="D1530" s="18">
        <f>SUM(D1525:D1529)</f>
        <v>7</v>
      </c>
      <c r="E1530" s="18">
        <f>SUM(E1525:E1529)</f>
        <v>4</v>
      </c>
      <c r="F1530" s="18">
        <f>SUM(F1525:F1529)</f>
        <v>6</v>
      </c>
      <c r="G1530" s="148">
        <f t="shared" ref="G1530:G1556" si="1259">SUM(B1530:F1530)</f>
        <v>30</v>
      </c>
      <c r="H1530" s="17">
        <f>SUM(H1525:H1529)</f>
        <v>7</v>
      </c>
      <c r="I1530" s="18">
        <f>SUM(I1525:I1529)</f>
        <v>4</v>
      </c>
      <c r="J1530" s="18">
        <f>SUM(J1525:J1529)</f>
        <v>6</v>
      </c>
      <c r="K1530" s="18">
        <f>SUM(K1525:K1529)</f>
        <v>5</v>
      </c>
      <c r="L1530" s="18">
        <f>SUM(L1525:L1529)</f>
        <v>8</v>
      </c>
      <c r="M1530" s="17">
        <f t="shared" ref="M1530:M1556" si="1260">SUM(H1530:L1530)</f>
        <v>30</v>
      </c>
      <c r="N1530" s="65">
        <f>SUM(N1525:N1529)</f>
        <v>5</v>
      </c>
      <c r="O1530" s="18">
        <f>SUM(O1525:O1529)</f>
        <v>4</v>
      </c>
      <c r="P1530" s="18">
        <f>SUM(P1525:P1529)</f>
        <v>6</v>
      </c>
      <c r="Q1530" s="18">
        <f>SUM(Q1525:Q1529)</f>
        <v>9</v>
      </c>
      <c r="R1530" s="70">
        <f>SUM(R1525:R1529)</f>
        <v>4</v>
      </c>
      <c r="S1530" s="49">
        <f t="shared" ref="S1530:S1554" si="1261">SUM(N1530:R1530)</f>
        <v>28</v>
      </c>
      <c r="T1530" s="74">
        <f>SUM(T1525:T1529)</f>
        <v>8</v>
      </c>
      <c r="U1530" s="18">
        <f>SUM(U1525:U1529)</f>
        <v>4</v>
      </c>
      <c r="V1530" s="18">
        <f>SUM(V1525:V1529)</f>
        <v>6</v>
      </c>
      <c r="W1530" s="18">
        <f>SUM(W1525:W1529)</f>
        <v>3</v>
      </c>
      <c r="X1530" s="70">
        <f>SUM(X1525:X1529)</f>
        <v>8</v>
      </c>
      <c r="Y1530" s="49">
        <f t="shared" ref="Y1530:Y1554" si="1262">SUM(T1530:X1530)</f>
        <v>29</v>
      </c>
      <c r="Z1530" s="33">
        <f t="shared" si="1248"/>
        <v>117</v>
      </c>
      <c r="AB1530" s="4" t="s">
        <v>12</v>
      </c>
      <c r="AC1530" s="17">
        <f>SUM(AC1525:AC1529)</f>
        <v>98</v>
      </c>
      <c r="AD1530" s="18">
        <f>SUM(AD1525:AD1529)</f>
        <v>69</v>
      </c>
      <c r="AE1530" s="18">
        <f>SUM(AE1525:AE1529)</f>
        <v>69</v>
      </c>
      <c r="AF1530" s="18">
        <f>SUM(AF1525:AF1529)</f>
        <v>46</v>
      </c>
      <c r="AG1530" s="18">
        <f>SUM(AG1525:AG1529)</f>
        <v>24</v>
      </c>
      <c r="AH1530" s="148">
        <f t="shared" si="1250"/>
        <v>306</v>
      </c>
      <c r="AI1530" s="17">
        <f>SUM(AI1525:AI1529)</f>
        <v>84</v>
      </c>
      <c r="AJ1530" s="18">
        <f>SUM(AJ1525:AJ1529)</f>
        <v>74</v>
      </c>
      <c r="AK1530" s="18">
        <f>SUM(AK1525:AK1529)</f>
        <v>85</v>
      </c>
      <c r="AL1530" s="18">
        <f>SUM(AL1525:AL1529)</f>
        <v>71</v>
      </c>
      <c r="AM1530" s="18">
        <f>SUM(AM1525:AM1529)</f>
        <v>83</v>
      </c>
      <c r="AN1530" s="148">
        <f t="shared" si="1251"/>
        <v>397</v>
      </c>
      <c r="AO1530" s="65">
        <f>SUM(AO1525:AO1529)</f>
        <v>143</v>
      </c>
      <c r="AP1530" s="18">
        <f>SUM(AP1525:AP1529)</f>
        <v>100</v>
      </c>
      <c r="AQ1530" s="18">
        <f>SUM(AQ1525:AQ1529)</f>
        <v>102</v>
      </c>
      <c r="AR1530" s="18">
        <f>SUM(AR1525:AR1529)</f>
        <v>121</v>
      </c>
      <c r="AS1530" s="70">
        <f>SUM(AS1525:AS1529)</f>
        <v>127</v>
      </c>
      <c r="AT1530" s="49">
        <f t="shared" si="1252"/>
        <v>593</v>
      </c>
      <c r="AU1530" s="74">
        <f>SUM(AU1525:AU1529)</f>
        <v>111</v>
      </c>
      <c r="AV1530" s="18">
        <f>SUM(AV1525:AV1529)</f>
        <v>58</v>
      </c>
      <c r="AW1530" s="18">
        <f>SUM(AW1525:AW1529)</f>
        <v>28</v>
      </c>
      <c r="AX1530" s="18">
        <f>SUM(AX1525:AX1529)</f>
        <v>25</v>
      </c>
      <c r="AY1530" s="70">
        <f>SUM(AY1525:AY1529)</f>
        <v>71</v>
      </c>
      <c r="AZ1530" s="49">
        <f t="shared" si="1253"/>
        <v>293</v>
      </c>
      <c r="BA1530" s="33">
        <f t="shared" si="1254"/>
        <v>1589</v>
      </c>
    </row>
    <row r="1531" spans="1:54" ht="14.25" x14ac:dyDescent="0.15">
      <c r="A1531" s="23" t="s">
        <v>438</v>
      </c>
      <c r="B1531" s="41"/>
      <c r="C1531" s="42"/>
      <c r="D1531" s="42"/>
      <c r="E1531" s="42"/>
      <c r="F1531" s="42">
        <v>1</v>
      </c>
      <c r="G1531" s="43">
        <f t="shared" ref="G1531:G1554" si="1263">SUM(B1531:F1531)</f>
        <v>1</v>
      </c>
      <c r="H1531" s="41"/>
      <c r="I1531" s="42"/>
      <c r="J1531" s="42"/>
      <c r="K1531" s="42"/>
      <c r="L1531" s="42"/>
      <c r="M1531" s="43">
        <f t="shared" ref="M1531:M1554" si="1264">SUM(H1531:L1531)</f>
        <v>0</v>
      </c>
      <c r="N1531" s="42"/>
      <c r="O1531" s="53"/>
      <c r="P1531" s="53"/>
      <c r="Q1531" s="53"/>
      <c r="R1531" s="72"/>
      <c r="S1531" s="24">
        <f t="shared" si="1261"/>
        <v>0</v>
      </c>
      <c r="T1531" s="42"/>
      <c r="U1531" s="53"/>
      <c r="V1531" s="53"/>
      <c r="W1531" s="53"/>
      <c r="X1531" s="72"/>
      <c r="Y1531" s="24">
        <f t="shared" si="1262"/>
        <v>0</v>
      </c>
      <c r="Z1531" s="24">
        <f t="shared" si="1248"/>
        <v>1</v>
      </c>
      <c r="AA1531" s="83">
        <v>45275</v>
      </c>
      <c r="AB1531" s="23" t="s">
        <v>641</v>
      </c>
      <c r="AC1531" s="38"/>
      <c r="AD1531" s="39"/>
      <c r="AE1531" s="39"/>
      <c r="AF1531" s="39">
        <v>1</v>
      </c>
      <c r="AG1531" s="39"/>
      <c r="AH1531" s="37">
        <f t="shared" ref="AH1531:AH1540" si="1265">SUM(AC1531:AG1531)</f>
        <v>1</v>
      </c>
      <c r="AI1531" s="38"/>
      <c r="AJ1531" s="39"/>
      <c r="AK1531" s="39"/>
      <c r="AL1531" s="39"/>
      <c r="AM1531" s="39"/>
      <c r="AN1531" s="37">
        <f t="shared" ref="AN1531:AN1540" si="1266">SUM(AI1531:AM1531)</f>
        <v>0</v>
      </c>
      <c r="AO1531" s="39"/>
      <c r="AP1531" s="56"/>
      <c r="AQ1531" s="56"/>
      <c r="AR1531" s="56">
        <v>1</v>
      </c>
      <c r="AS1531" s="71"/>
      <c r="AT1531" s="16">
        <f t="shared" ref="AT1531:AT1540" si="1267">SUM(AO1531:AS1531)</f>
        <v>1</v>
      </c>
      <c r="AU1531" s="39"/>
      <c r="AV1531" s="56"/>
      <c r="AW1531" s="56"/>
      <c r="AX1531" s="56">
        <v>1</v>
      </c>
      <c r="AY1531" s="71"/>
      <c r="AZ1531" s="16">
        <f t="shared" ref="AZ1531:AZ1540" si="1268">SUM(AU1531:AY1531)</f>
        <v>1</v>
      </c>
      <c r="BA1531" s="16">
        <f t="shared" ref="BA1531:BA1540" si="1269">AH1531+AN1531+AT1531+AZ1531</f>
        <v>3</v>
      </c>
      <c r="BB1531" s="83">
        <v>45302</v>
      </c>
    </row>
    <row r="1532" spans="1:54" ht="14.25" x14ac:dyDescent="0.15">
      <c r="A1532" s="23" t="s">
        <v>48</v>
      </c>
      <c r="B1532" s="41">
        <v>1</v>
      </c>
      <c r="C1532" s="42"/>
      <c r="D1532" s="42"/>
      <c r="E1532" s="42"/>
      <c r="F1532" s="42"/>
      <c r="G1532" s="43">
        <f t="shared" si="1263"/>
        <v>1</v>
      </c>
      <c r="H1532" s="41"/>
      <c r="I1532" s="42"/>
      <c r="J1532" s="42"/>
      <c r="K1532" s="42"/>
      <c r="L1532" s="42"/>
      <c r="M1532" s="43">
        <f t="shared" si="1264"/>
        <v>0</v>
      </c>
      <c r="N1532" s="42"/>
      <c r="O1532" s="53"/>
      <c r="P1532" s="53"/>
      <c r="Q1532" s="53"/>
      <c r="R1532" s="72"/>
      <c r="S1532" s="24">
        <f t="shared" si="1261"/>
        <v>0</v>
      </c>
      <c r="T1532" s="42"/>
      <c r="U1532" s="53"/>
      <c r="V1532" s="53"/>
      <c r="W1532" s="53"/>
      <c r="X1532" s="72"/>
      <c r="Y1532" s="24">
        <f t="shared" si="1262"/>
        <v>0</v>
      </c>
      <c r="Z1532" s="24">
        <f t="shared" si="1248"/>
        <v>1</v>
      </c>
      <c r="AA1532" s="83">
        <v>45275</v>
      </c>
      <c r="AB1532" s="23" t="s">
        <v>643</v>
      </c>
      <c r="AC1532" s="38"/>
      <c r="AD1532" s="39"/>
      <c r="AE1532" s="39"/>
      <c r="AF1532" s="39"/>
      <c r="AG1532" s="39"/>
      <c r="AH1532" s="37">
        <f t="shared" ref="AH1532" si="1270">SUM(AC1532:AG1532)</f>
        <v>0</v>
      </c>
      <c r="AI1532" s="38"/>
      <c r="AJ1532" s="39"/>
      <c r="AK1532" s="39"/>
      <c r="AL1532" s="39"/>
      <c r="AM1532" s="39"/>
      <c r="AN1532" s="37">
        <f t="shared" si="1266"/>
        <v>0</v>
      </c>
      <c r="AO1532" s="39"/>
      <c r="AP1532" s="56"/>
      <c r="AQ1532" s="56"/>
      <c r="AR1532" s="56">
        <v>3</v>
      </c>
      <c r="AS1532" s="71"/>
      <c r="AT1532" s="16">
        <f t="shared" si="1267"/>
        <v>3</v>
      </c>
      <c r="AU1532" s="39"/>
      <c r="AV1532" s="56"/>
      <c r="AW1532" s="56"/>
      <c r="AX1532" s="56"/>
      <c r="AY1532" s="71"/>
      <c r="AZ1532" s="16">
        <f>SUM(AU1532:AY1532)</f>
        <v>0</v>
      </c>
      <c r="BA1532" s="16">
        <f>AH1532+AN1532+AT1532+AZ1532</f>
        <v>3</v>
      </c>
      <c r="BB1532" s="83">
        <v>45306</v>
      </c>
    </row>
    <row r="1533" spans="1:54" ht="14.25" x14ac:dyDescent="0.15">
      <c r="A1533" s="23" t="s">
        <v>48</v>
      </c>
      <c r="B1533" s="41"/>
      <c r="C1533" s="42"/>
      <c r="D1533" s="42"/>
      <c r="E1533" s="42"/>
      <c r="F1533" s="42"/>
      <c r="G1533" s="43">
        <f t="shared" si="1263"/>
        <v>0</v>
      </c>
      <c r="H1533" s="41"/>
      <c r="I1533" s="42"/>
      <c r="J1533" s="42"/>
      <c r="K1533" s="42"/>
      <c r="L1533" s="42">
        <v>1</v>
      </c>
      <c r="M1533" s="43">
        <f t="shared" si="1264"/>
        <v>1</v>
      </c>
      <c r="N1533" s="42"/>
      <c r="O1533" s="53"/>
      <c r="P1533" s="53"/>
      <c r="Q1533" s="53"/>
      <c r="R1533" s="72"/>
      <c r="S1533" s="24">
        <f t="shared" si="1261"/>
        <v>0</v>
      </c>
      <c r="T1533" s="42"/>
      <c r="U1533" s="53"/>
      <c r="V1533" s="53"/>
      <c r="W1533" s="53"/>
      <c r="X1533" s="72"/>
      <c r="Y1533" s="24">
        <f t="shared" si="1262"/>
        <v>0</v>
      </c>
      <c r="Z1533" s="24">
        <f t="shared" si="1248"/>
        <v>1</v>
      </c>
      <c r="AA1533" s="83">
        <v>45276</v>
      </c>
      <c r="AB1533" s="23" t="s">
        <v>126</v>
      </c>
      <c r="AC1533" s="38">
        <v>2</v>
      </c>
      <c r="AD1533" s="39"/>
      <c r="AE1533" s="39"/>
      <c r="AF1533" s="39"/>
      <c r="AG1533" s="39">
        <v>2</v>
      </c>
      <c r="AH1533" s="37">
        <f t="shared" ref="AH1533" si="1271">SUM(AC1533:AG1533)</f>
        <v>4</v>
      </c>
      <c r="AI1533" s="38"/>
      <c r="AJ1533" s="39"/>
      <c r="AK1533" s="39">
        <v>2</v>
      </c>
      <c r="AL1533" s="39"/>
      <c r="AM1533" s="39"/>
      <c r="AN1533" s="37">
        <f t="shared" ref="AN1533" si="1272">SUM(AI1533:AM1533)</f>
        <v>2</v>
      </c>
      <c r="AO1533" s="39"/>
      <c r="AP1533" s="56">
        <v>2</v>
      </c>
      <c r="AQ1533" s="56"/>
      <c r="AR1533" s="56"/>
      <c r="AS1533" s="71"/>
      <c r="AT1533" s="16">
        <f t="shared" ref="AT1533" si="1273">SUM(AO1533:AS1533)</f>
        <v>2</v>
      </c>
      <c r="AU1533" s="39"/>
      <c r="AV1533" s="56"/>
      <c r="AW1533" s="56"/>
      <c r="AX1533" s="56">
        <v>2</v>
      </c>
      <c r="AY1533" s="71">
        <v>2</v>
      </c>
      <c r="AZ1533" s="16">
        <f t="shared" ref="AZ1533" si="1274">SUM(AU1533:AY1533)</f>
        <v>4</v>
      </c>
      <c r="BA1533" s="16">
        <f t="shared" ref="BA1533" si="1275">AH1533+AN1533+AT1533+AZ1533</f>
        <v>12</v>
      </c>
      <c r="BB1533" s="83">
        <v>45323</v>
      </c>
    </row>
    <row r="1534" spans="1:54" ht="14.25" x14ac:dyDescent="0.15">
      <c r="A1534" s="23" t="s">
        <v>438</v>
      </c>
      <c r="B1534" s="41"/>
      <c r="C1534" s="42"/>
      <c r="D1534" s="42"/>
      <c r="E1534" s="42"/>
      <c r="F1534" s="42"/>
      <c r="G1534" s="43">
        <f t="shared" si="1263"/>
        <v>0</v>
      </c>
      <c r="H1534" s="41"/>
      <c r="I1534" s="42"/>
      <c r="J1534" s="42"/>
      <c r="K1534" s="42"/>
      <c r="L1534" s="42"/>
      <c r="M1534" s="43">
        <f t="shared" si="1264"/>
        <v>0</v>
      </c>
      <c r="N1534" s="42"/>
      <c r="O1534" s="53"/>
      <c r="P1534" s="53"/>
      <c r="Q1534" s="53"/>
      <c r="R1534" s="72"/>
      <c r="S1534" s="24">
        <f t="shared" si="1261"/>
        <v>0</v>
      </c>
      <c r="T1534" s="42"/>
      <c r="U1534" s="53"/>
      <c r="V1534" s="53">
        <v>1</v>
      </c>
      <c r="W1534" s="53"/>
      <c r="X1534" s="72"/>
      <c r="Y1534" s="24">
        <f t="shared" si="1262"/>
        <v>1</v>
      </c>
      <c r="Z1534" s="24">
        <f t="shared" si="1248"/>
        <v>1</v>
      </c>
      <c r="AA1534" s="83">
        <v>45282</v>
      </c>
      <c r="AB1534" s="23"/>
      <c r="AC1534" s="38"/>
      <c r="AD1534" s="39"/>
      <c r="AE1534" s="39"/>
      <c r="AF1534" s="39"/>
      <c r="AG1534" s="39"/>
      <c r="AH1534" s="37">
        <f t="shared" si="1265"/>
        <v>0</v>
      </c>
      <c r="AI1534" s="38"/>
      <c r="AJ1534" s="39"/>
      <c r="AK1534" s="39"/>
      <c r="AL1534" s="39"/>
      <c r="AM1534" s="39"/>
      <c r="AN1534" s="37">
        <f t="shared" si="1266"/>
        <v>0</v>
      </c>
      <c r="AO1534" s="39"/>
      <c r="AP1534" s="56"/>
      <c r="AQ1534" s="56"/>
      <c r="AR1534" s="56"/>
      <c r="AS1534" s="71"/>
      <c r="AT1534" s="16">
        <f t="shared" si="1267"/>
        <v>0</v>
      </c>
      <c r="AU1534" s="39"/>
      <c r="AV1534" s="56"/>
      <c r="AW1534" s="56"/>
      <c r="AX1534" s="56"/>
      <c r="AY1534" s="71"/>
      <c r="AZ1534" s="16">
        <f t="shared" si="1268"/>
        <v>0</v>
      </c>
      <c r="BA1534" s="16">
        <f t="shared" si="1269"/>
        <v>0</v>
      </c>
      <c r="BB1534" s="128"/>
    </row>
    <row r="1535" spans="1:54" ht="14.25" x14ac:dyDescent="0.15">
      <c r="A1535" s="23" t="s">
        <v>48</v>
      </c>
      <c r="B1535" s="41"/>
      <c r="C1535" s="42"/>
      <c r="D1535" s="42"/>
      <c r="E1535" s="42"/>
      <c r="F1535" s="42"/>
      <c r="G1535" s="43">
        <f t="shared" si="1263"/>
        <v>0</v>
      </c>
      <c r="H1535" s="41"/>
      <c r="I1535" s="42"/>
      <c r="J1535" s="42"/>
      <c r="K1535" s="42"/>
      <c r="L1535" s="42"/>
      <c r="M1535" s="43">
        <f t="shared" si="1264"/>
        <v>0</v>
      </c>
      <c r="N1535" s="42"/>
      <c r="O1535" s="53"/>
      <c r="P1535" s="53"/>
      <c r="Q1535" s="53"/>
      <c r="R1535" s="72"/>
      <c r="S1535" s="24">
        <f t="shared" si="1261"/>
        <v>0</v>
      </c>
      <c r="T1535" s="42"/>
      <c r="U1535" s="53"/>
      <c r="V1535" s="53"/>
      <c r="W1535" s="53"/>
      <c r="X1535" s="72">
        <v>1</v>
      </c>
      <c r="Y1535" s="24">
        <f t="shared" si="1262"/>
        <v>1</v>
      </c>
      <c r="Z1535" s="24">
        <f t="shared" si="1248"/>
        <v>1</v>
      </c>
      <c r="AA1535" s="83">
        <v>45280</v>
      </c>
      <c r="AB1535" s="23"/>
      <c r="AC1535" s="38"/>
      <c r="AD1535" s="39"/>
      <c r="AE1535" s="39"/>
      <c r="AF1535" s="39"/>
      <c r="AG1535" s="39"/>
      <c r="AH1535" s="37">
        <f t="shared" si="1265"/>
        <v>0</v>
      </c>
      <c r="AI1535" s="38"/>
      <c r="AJ1535" s="39"/>
      <c r="AK1535" s="39"/>
      <c r="AL1535" s="39"/>
      <c r="AM1535" s="39"/>
      <c r="AN1535" s="37">
        <f t="shared" si="1266"/>
        <v>0</v>
      </c>
      <c r="AO1535" s="39"/>
      <c r="AP1535" s="56"/>
      <c r="AQ1535" s="56"/>
      <c r="AR1535" s="56"/>
      <c r="AS1535" s="71"/>
      <c r="AT1535" s="16">
        <f t="shared" si="1267"/>
        <v>0</v>
      </c>
      <c r="AU1535" s="39"/>
      <c r="AV1535" s="56"/>
      <c r="AW1535" s="56"/>
      <c r="AX1535" s="56"/>
      <c r="AY1535" s="71"/>
      <c r="AZ1535" s="16">
        <f t="shared" si="1268"/>
        <v>0</v>
      </c>
      <c r="BA1535" s="16">
        <f t="shared" si="1269"/>
        <v>0</v>
      </c>
      <c r="BB1535" s="128"/>
    </row>
    <row r="1536" spans="1:54" ht="14.25" x14ac:dyDescent="0.15">
      <c r="A1536" s="23" t="s">
        <v>438</v>
      </c>
      <c r="B1536" s="41"/>
      <c r="C1536" s="42"/>
      <c r="D1536" s="42"/>
      <c r="E1536" s="42"/>
      <c r="F1536" s="42"/>
      <c r="G1536" s="43">
        <f t="shared" si="1263"/>
        <v>0</v>
      </c>
      <c r="H1536" s="41"/>
      <c r="I1536" s="42"/>
      <c r="J1536" s="42"/>
      <c r="K1536" s="42"/>
      <c r="L1536" s="42"/>
      <c r="M1536" s="43">
        <f t="shared" si="1264"/>
        <v>0</v>
      </c>
      <c r="N1536" s="42"/>
      <c r="O1536" s="53"/>
      <c r="P1536" s="53"/>
      <c r="Q1536" s="53"/>
      <c r="R1536" s="72"/>
      <c r="S1536" s="24">
        <f t="shared" si="1261"/>
        <v>0</v>
      </c>
      <c r="T1536" s="42"/>
      <c r="U1536" s="53"/>
      <c r="V1536" s="53"/>
      <c r="W1536" s="53"/>
      <c r="X1536" s="72">
        <v>1</v>
      </c>
      <c r="Y1536" s="24">
        <f t="shared" si="1262"/>
        <v>1</v>
      </c>
      <c r="Z1536" s="24">
        <f t="shared" si="1248"/>
        <v>1</v>
      </c>
      <c r="AA1536" s="83">
        <v>45282</v>
      </c>
      <c r="AB1536" s="23"/>
      <c r="AC1536" s="38"/>
      <c r="AD1536" s="39"/>
      <c r="AE1536" s="39"/>
      <c r="AF1536" s="39"/>
      <c r="AG1536" s="39"/>
      <c r="AH1536" s="37">
        <f t="shared" si="1265"/>
        <v>0</v>
      </c>
      <c r="AI1536" s="38"/>
      <c r="AJ1536" s="39"/>
      <c r="AK1536" s="39"/>
      <c r="AL1536" s="39"/>
      <c r="AM1536" s="39"/>
      <c r="AN1536" s="37">
        <f t="shared" si="1266"/>
        <v>0</v>
      </c>
      <c r="AO1536" s="39"/>
      <c r="AP1536" s="56"/>
      <c r="AQ1536" s="56"/>
      <c r="AR1536" s="56"/>
      <c r="AS1536" s="71"/>
      <c r="AT1536" s="16">
        <f t="shared" si="1267"/>
        <v>0</v>
      </c>
      <c r="AU1536" s="39"/>
      <c r="AV1536" s="56"/>
      <c r="AW1536" s="56"/>
      <c r="AX1536" s="56"/>
      <c r="AY1536" s="71"/>
      <c r="AZ1536" s="16">
        <f t="shared" si="1268"/>
        <v>0</v>
      </c>
      <c r="BA1536" s="16">
        <f t="shared" si="1269"/>
        <v>0</v>
      </c>
      <c r="BB1536" s="128"/>
    </row>
    <row r="1537" spans="1:53" ht="14.25" x14ac:dyDescent="0.15">
      <c r="A1537" s="23" t="s">
        <v>438</v>
      </c>
      <c r="B1537" s="41"/>
      <c r="C1537" s="42"/>
      <c r="D1537" s="42"/>
      <c r="E1537" s="42"/>
      <c r="F1537" s="42"/>
      <c r="G1537" s="43">
        <f t="shared" si="1263"/>
        <v>0</v>
      </c>
      <c r="H1537" s="41"/>
      <c r="I1537" s="42"/>
      <c r="J1537" s="42"/>
      <c r="K1537" s="42"/>
      <c r="L1537" s="42"/>
      <c r="M1537" s="43">
        <f t="shared" si="1264"/>
        <v>0</v>
      </c>
      <c r="N1537" s="42"/>
      <c r="O1537" s="53"/>
      <c r="P1537" s="53">
        <v>1</v>
      </c>
      <c r="Q1537" s="53"/>
      <c r="R1537" s="72"/>
      <c r="S1537" s="24">
        <f t="shared" si="1261"/>
        <v>1</v>
      </c>
      <c r="T1537" s="42"/>
      <c r="U1537" s="53"/>
      <c r="V1537" s="53"/>
      <c r="W1537" s="53"/>
      <c r="X1537" s="72"/>
      <c r="Y1537" s="24">
        <f t="shared" si="1262"/>
        <v>0</v>
      </c>
      <c r="Z1537" s="24">
        <f t="shared" si="1248"/>
        <v>1</v>
      </c>
      <c r="AA1537" s="83">
        <v>45288</v>
      </c>
      <c r="AB1537" s="23"/>
      <c r="AC1537" s="38"/>
      <c r="AD1537" s="39"/>
      <c r="AE1537" s="39"/>
      <c r="AF1537" s="39"/>
      <c r="AG1537" s="39"/>
      <c r="AH1537" s="37">
        <f t="shared" si="1265"/>
        <v>0</v>
      </c>
      <c r="AI1537" s="38"/>
      <c r="AJ1537" s="39"/>
      <c r="AK1537" s="39"/>
      <c r="AL1537" s="39"/>
      <c r="AM1537" s="39"/>
      <c r="AN1537" s="37">
        <f t="shared" si="1266"/>
        <v>0</v>
      </c>
      <c r="AO1537" s="39"/>
      <c r="AP1537" s="56"/>
      <c r="AQ1537" s="56"/>
      <c r="AR1537" s="56"/>
      <c r="AS1537" s="71"/>
      <c r="AT1537" s="16">
        <f t="shared" si="1267"/>
        <v>0</v>
      </c>
      <c r="AU1537" s="39"/>
      <c r="AV1537" s="56"/>
      <c r="AW1537" s="56"/>
      <c r="AX1537" s="56"/>
      <c r="AY1537" s="71"/>
      <c r="AZ1537" s="16">
        <f t="shared" si="1268"/>
        <v>0</v>
      </c>
      <c r="BA1537" s="16">
        <f t="shared" si="1269"/>
        <v>0</v>
      </c>
    </row>
    <row r="1538" spans="1:53" ht="14.25" x14ac:dyDescent="0.15">
      <c r="A1538" s="23" t="s">
        <v>48</v>
      </c>
      <c r="B1538" s="41"/>
      <c r="C1538" s="42"/>
      <c r="D1538" s="42"/>
      <c r="E1538" s="42"/>
      <c r="F1538" s="42"/>
      <c r="G1538" s="43">
        <f t="shared" si="1263"/>
        <v>0</v>
      </c>
      <c r="H1538" s="41"/>
      <c r="I1538" s="42"/>
      <c r="J1538" s="42"/>
      <c r="K1538" s="42"/>
      <c r="L1538" s="42"/>
      <c r="M1538" s="43">
        <f t="shared" si="1264"/>
        <v>0</v>
      </c>
      <c r="N1538" s="42"/>
      <c r="O1538" s="53"/>
      <c r="P1538" s="53"/>
      <c r="Q1538" s="53"/>
      <c r="R1538" s="72"/>
      <c r="S1538" s="24">
        <f t="shared" si="1261"/>
        <v>0</v>
      </c>
      <c r="T1538" s="42">
        <v>1</v>
      </c>
      <c r="U1538" s="53"/>
      <c r="V1538" s="53"/>
      <c r="W1538" s="53"/>
      <c r="X1538" s="72"/>
      <c r="Y1538" s="24">
        <f t="shared" si="1262"/>
        <v>1</v>
      </c>
      <c r="Z1538" s="24">
        <f t="shared" si="1248"/>
        <v>1</v>
      </c>
      <c r="AA1538" s="83">
        <v>45286</v>
      </c>
      <c r="AB1538" s="23"/>
      <c r="AC1538" s="38"/>
      <c r="AD1538" s="39"/>
      <c r="AE1538" s="39"/>
      <c r="AF1538" s="39"/>
      <c r="AG1538" s="39"/>
      <c r="AH1538" s="37">
        <f t="shared" si="1265"/>
        <v>0</v>
      </c>
      <c r="AI1538" s="38"/>
      <c r="AJ1538" s="39"/>
      <c r="AK1538" s="39"/>
      <c r="AL1538" s="39"/>
      <c r="AM1538" s="39"/>
      <c r="AN1538" s="37">
        <f t="shared" si="1266"/>
        <v>0</v>
      </c>
      <c r="AO1538" s="39"/>
      <c r="AP1538" s="56"/>
      <c r="AQ1538" s="56"/>
      <c r="AR1538" s="56"/>
      <c r="AS1538" s="71"/>
      <c r="AT1538" s="16">
        <f t="shared" si="1267"/>
        <v>0</v>
      </c>
      <c r="AU1538" s="39"/>
      <c r="AV1538" s="56"/>
      <c r="AW1538" s="56"/>
      <c r="AX1538" s="56"/>
      <c r="AY1538" s="71"/>
      <c r="AZ1538" s="16">
        <f t="shared" si="1268"/>
        <v>0</v>
      </c>
      <c r="BA1538" s="16">
        <f t="shared" si="1269"/>
        <v>0</v>
      </c>
    </row>
    <row r="1539" spans="1:53" ht="14.25" x14ac:dyDescent="0.15">
      <c r="A1539" s="23" t="s">
        <v>438</v>
      </c>
      <c r="B1539" s="41"/>
      <c r="C1539" s="42"/>
      <c r="D1539" s="42"/>
      <c r="E1539" s="42"/>
      <c r="F1539" s="42"/>
      <c r="G1539" s="43">
        <f t="shared" si="1263"/>
        <v>0</v>
      </c>
      <c r="H1539" s="41"/>
      <c r="I1539" s="42"/>
      <c r="J1539" s="42"/>
      <c r="K1539" s="42"/>
      <c r="L1539" s="42"/>
      <c r="M1539" s="43">
        <f t="shared" si="1264"/>
        <v>0</v>
      </c>
      <c r="N1539" s="42"/>
      <c r="O1539" s="53"/>
      <c r="P1539" s="53"/>
      <c r="Q1539" s="53">
        <v>1</v>
      </c>
      <c r="R1539" s="72"/>
      <c r="S1539" s="24">
        <f t="shared" si="1261"/>
        <v>1</v>
      </c>
      <c r="T1539" s="42"/>
      <c r="U1539" s="53"/>
      <c r="V1539" s="53"/>
      <c r="W1539" s="53"/>
      <c r="X1539" s="72"/>
      <c r="Y1539" s="24">
        <f t="shared" si="1262"/>
        <v>0</v>
      </c>
      <c r="Z1539" s="24">
        <f t="shared" si="1248"/>
        <v>1</v>
      </c>
      <c r="AA1539" s="83">
        <v>45288</v>
      </c>
      <c r="AB1539" s="23"/>
      <c r="AC1539" s="38"/>
      <c r="AD1539" s="39"/>
      <c r="AE1539" s="39"/>
      <c r="AF1539" s="39"/>
      <c r="AG1539" s="39"/>
      <c r="AH1539" s="37">
        <f t="shared" si="1265"/>
        <v>0</v>
      </c>
      <c r="AI1539" s="38"/>
      <c r="AJ1539" s="39"/>
      <c r="AK1539" s="39"/>
      <c r="AL1539" s="39"/>
      <c r="AM1539" s="39"/>
      <c r="AN1539" s="37">
        <f t="shared" si="1266"/>
        <v>0</v>
      </c>
      <c r="AO1539" s="39"/>
      <c r="AP1539" s="56"/>
      <c r="AQ1539" s="56"/>
      <c r="AR1539" s="56"/>
      <c r="AS1539" s="71"/>
      <c r="AT1539" s="16">
        <f t="shared" si="1267"/>
        <v>0</v>
      </c>
      <c r="AU1539" s="39"/>
      <c r="AV1539" s="56"/>
      <c r="AW1539" s="56"/>
      <c r="AX1539" s="56"/>
      <c r="AY1539" s="71"/>
      <c r="AZ1539" s="16">
        <f t="shared" si="1268"/>
        <v>0</v>
      </c>
      <c r="BA1539" s="16">
        <f t="shared" si="1269"/>
        <v>0</v>
      </c>
    </row>
    <row r="1540" spans="1:53" ht="14.25" x14ac:dyDescent="0.15">
      <c r="A1540" s="23" t="s">
        <v>48</v>
      </c>
      <c r="B1540" s="41"/>
      <c r="C1540" s="42"/>
      <c r="D1540" s="42"/>
      <c r="E1540" s="42"/>
      <c r="F1540" s="42"/>
      <c r="G1540" s="43">
        <f t="shared" si="1263"/>
        <v>0</v>
      </c>
      <c r="H1540" s="41"/>
      <c r="I1540" s="42"/>
      <c r="J1540" s="42"/>
      <c r="K1540" s="42">
        <v>1</v>
      </c>
      <c r="L1540" s="42"/>
      <c r="M1540" s="43">
        <f t="shared" si="1264"/>
        <v>1</v>
      </c>
      <c r="N1540" s="42"/>
      <c r="O1540" s="53"/>
      <c r="P1540" s="53"/>
      <c r="Q1540" s="53"/>
      <c r="R1540" s="72"/>
      <c r="S1540" s="24">
        <f t="shared" si="1261"/>
        <v>0</v>
      </c>
      <c r="T1540" s="42"/>
      <c r="U1540" s="53"/>
      <c r="V1540" s="53"/>
      <c r="W1540" s="53"/>
      <c r="X1540" s="72"/>
      <c r="Y1540" s="24">
        <f t="shared" si="1262"/>
        <v>0</v>
      </c>
      <c r="Z1540" s="24">
        <f t="shared" si="1248"/>
        <v>1</v>
      </c>
      <c r="AA1540" s="83">
        <v>45287</v>
      </c>
      <c r="AB1540" s="23"/>
      <c r="AC1540" s="38"/>
      <c r="AD1540" s="39"/>
      <c r="AE1540" s="39"/>
      <c r="AF1540" s="39"/>
      <c r="AG1540" s="39"/>
      <c r="AH1540" s="37">
        <f t="shared" si="1265"/>
        <v>0</v>
      </c>
      <c r="AI1540" s="38"/>
      <c r="AJ1540" s="39"/>
      <c r="AK1540" s="39"/>
      <c r="AL1540" s="39"/>
      <c r="AM1540" s="39"/>
      <c r="AN1540" s="37">
        <f t="shared" si="1266"/>
        <v>0</v>
      </c>
      <c r="AO1540" s="39"/>
      <c r="AP1540" s="56"/>
      <c r="AQ1540" s="56"/>
      <c r="AR1540" s="56"/>
      <c r="AS1540" s="71"/>
      <c r="AT1540" s="16">
        <f t="shared" si="1267"/>
        <v>0</v>
      </c>
      <c r="AU1540" s="39"/>
      <c r="AV1540" s="56"/>
      <c r="AW1540" s="56"/>
      <c r="AX1540" s="56"/>
      <c r="AY1540" s="71"/>
      <c r="AZ1540" s="16">
        <f t="shared" si="1268"/>
        <v>0</v>
      </c>
      <c r="BA1540" s="16">
        <f t="shared" si="1269"/>
        <v>0</v>
      </c>
    </row>
    <row r="1541" spans="1:53" ht="14.25" x14ac:dyDescent="0.15">
      <c r="A1541" s="23" t="s">
        <v>48</v>
      </c>
      <c r="B1541" s="41">
        <v>1</v>
      </c>
      <c r="C1541" s="42"/>
      <c r="D1541" s="42"/>
      <c r="E1541" s="42"/>
      <c r="F1541" s="42"/>
      <c r="G1541" s="43">
        <f t="shared" si="1263"/>
        <v>1</v>
      </c>
      <c r="H1541" s="41"/>
      <c r="I1541" s="42"/>
      <c r="J1541" s="42"/>
      <c r="K1541" s="42"/>
      <c r="L1541" s="42"/>
      <c r="M1541" s="43">
        <f t="shared" si="1264"/>
        <v>0</v>
      </c>
      <c r="N1541" s="42"/>
      <c r="O1541" s="53"/>
      <c r="P1541" s="53"/>
      <c r="Q1541" s="53"/>
      <c r="R1541" s="72"/>
      <c r="S1541" s="24">
        <f t="shared" si="1261"/>
        <v>0</v>
      </c>
      <c r="T1541" s="42"/>
      <c r="U1541" s="53"/>
      <c r="V1541" s="53"/>
      <c r="W1541" s="53"/>
      <c r="X1541" s="72"/>
      <c r="Y1541" s="24">
        <f t="shared" si="1262"/>
        <v>0</v>
      </c>
      <c r="Z1541" s="24">
        <f t="shared" si="1248"/>
        <v>1</v>
      </c>
      <c r="AA1541" s="83">
        <v>45288</v>
      </c>
      <c r="AB1541" s="23"/>
      <c r="AC1541" s="38"/>
      <c r="AD1541" s="39"/>
      <c r="AE1541" s="39"/>
      <c r="AF1541" s="39"/>
      <c r="AG1541" s="39"/>
      <c r="AH1541" s="37">
        <f t="shared" ref="AH1541:AH1552" si="1276">SUM(AC1541:AG1541)</f>
        <v>0</v>
      </c>
      <c r="AI1541" s="38"/>
      <c r="AJ1541" s="39"/>
      <c r="AK1541" s="39"/>
      <c r="AL1541" s="39"/>
      <c r="AM1541" s="39"/>
      <c r="AN1541" s="37">
        <f t="shared" ref="AN1541:AN1552" si="1277">SUM(AI1541:AM1541)</f>
        <v>0</v>
      </c>
      <c r="AO1541" s="39"/>
      <c r="AP1541" s="56"/>
      <c r="AQ1541" s="56"/>
      <c r="AR1541" s="56"/>
      <c r="AS1541" s="71"/>
      <c r="AT1541" s="16">
        <f t="shared" ref="AT1541:AT1552" si="1278">SUM(AO1541:AS1541)</f>
        <v>0</v>
      </c>
      <c r="AU1541" s="39"/>
      <c r="AV1541" s="56"/>
      <c r="AW1541" s="56"/>
      <c r="AX1541" s="56"/>
      <c r="AY1541" s="71"/>
      <c r="AZ1541" s="16">
        <f t="shared" ref="AZ1541:AZ1552" si="1279">SUM(AU1541:AY1541)</f>
        <v>0</v>
      </c>
      <c r="BA1541" s="16">
        <f t="shared" si="1254"/>
        <v>0</v>
      </c>
    </row>
    <row r="1542" spans="1:53" ht="14.25" x14ac:dyDescent="0.15">
      <c r="A1542" s="23" t="s">
        <v>48</v>
      </c>
      <c r="B1542" s="41"/>
      <c r="C1542" s="42"/>
      <c r="D1542" s="42"/>
      <c r="E1542" s="42"/>
      <c r="F1542" s="42"/>
      <c r="G1542" s="43">
        <f t="shared" si="1263"/>
        <v>0</v>
      </c>
      <c r="H1542" s="41"/>
      <c r="I1542" s="42"/>
      <c r="J1542" s="42">
        <v>1</v>
      </c>
      <c r="K1542" s="42"/>
      <c r="L1542" s="42"/>
      <c r="M1542" s="43">
        <f t="shared" si="1264"/>
        <v>1</v>
      </c>
      <c r="N1542" s="42"/>
      <c r="O1542" s="53"/>
      <c r="P1542" s="53"/>
      <c r="Q1542" s="53"/>
      <c r="R1542" s="72"/>
      <c r="S1542" s="24">
        <f t="shared" si="1261"/>
        <v>0</v>
      </c>
      <c r="T1542" s="42"/>
      <c r="U1542" s="53"/>
      <c r="V1542" s="53"/>
      <c r="W1542" s="53"/>
      <c r="X1542" s="72"/>
      <c r="Y1542" s="24">
        <f t="shared" si="1262"/>
        <v>0</v>
      </c>
      <c r="Z1542" s="24">
        <f t="shared" si="1248"/>
        <v>1</v>
      </c>
      <c r="AA1542" s="83">
        <v>45296</v>
      </c>
      <c r="AB1542" s="23"/>
      <c r="AC1542" s="38"/>
      <c r="AD1542" s="39"/>
      <c r="AE1542" s="39"/>
      <c r="AF1542" s="39"/>
      <c r="AG1542" s="39"/>
      <c r="AH1542" s="37">
        <f t="shared" si="1276"/>
        <v>0</v>
      </c>
      <c r="AI1542" s="38"/>
      <c r="AJ1542" s="39"/>
      <c r="AK1542" s="39"/>
      <c r="AL1542" s="39"/>
      <c r="AM1542" s="39"/>
      <c r="AN1542" s="37">
        <f t="shared" si="1277"/>
        <v>0</v>
      </c>
      <c r="AO1542" s="39"/>
      <c r="AP1542" s="56"/>
      <c r="AQ1542" s="56"/>
      <c r="AR1542" s="56"/>
      <c r="AS1542" s="71"/>
      <c r="AT1542" s="16">
        <f t="shared" si="1278"/>
        <v>0</v>
      </c>
      <c r="AU1542" s="39"/>
      <c r="AV1542" s="56"/>
      <c r="AW1542" s="56"/>
      <c r="AX1542" s="56"/>
      <c r="AY1542" s="71"/>
      <c r="AZ1542" s="16">
        <f t="shared" si="1279"/>
        <v>0</v>
      </c>
      <c r="BA1542" s="16">
        <f t="shared" si="1254"/>
        <v>0</v>
      </c>
    </row>
    <row r="1543" spans="1:53" ht="14.25" x14ac:dyDescent="0.15">
      <c r="A1543" s="23" t="s">
        <v>48</v>
      </c>
      <c r="B1543" s="41"/>
      <c r="C1543" s="42">
        <v>1</v>
      </c>
      <c r="D1543" s="42"/>
      <c r="E1543" s="42"/>
      <c r="F1543" s="42"/>
      <c r="G1543" s="43">
        <f t="shared" si="1263"/>
        <v>1</v>
      </c>
      <c r="H1543" s="41"/>
      <c r="I1543" s="42"/>
      <c r="J1543" s="42"/>
      <c r="K1543" s="42"/>
      <c r="L1543" s="42"/>
      <c r="M1543" s="43">
        <f t="shared" si="1264"/>
        <v>0</v>
      </c>
      <c r="N1543" s="42"/>
      <c r="O1543" s="53"/>
      <c r="P1543" s="53"/>
      <c r="Q1543" s="53"/>
      <c r="R1543" s="72"/>
      <c r="S1543" s="24">
        <f t="shared" si="1261"/>
        <v>0</v>
      </c>
      <c r="T1543" s="42"/>
      <c r="U1543" s="53"/>
      <c r="V1543" s="53"/>
      <c r="W1543" s="53"/>
      <c r="X1543" s="72"/>
      <c r="Y1543" s="24">
        <f t="shared" si="1262"/>
        <v>0</v>
      </c>
      <c r="Z1543" s="24">
        <f t="shared" si="1248"/>
        <v>1</v>
      </c>
      <c r="AA1543" s="83">
        <v>45300</v>
      </c>
      <c r="AB1543" s="23"/>
      <c r="AC1543" s="38"/>
      <c r="AD1543" s="39"/>
      <c r="AE1543" s="39"/>
      <c r="AF1543" s="39"/>
      <c r="AG1543" s="39"/>
      <c r="AH1543" s="37">
        <f t="shared" si="1276"/>
        <v>0</v>
      </c>
      <c r="AI1543" s="38"/>
      <c r="AJ1543" s="39"/>
      <c r="AK1543" s="39"/>
      <c r="AL1543" s="39"/>
      <c r="AM1543" s="39"/>
      <c r="AN1543" s="37">
        <f t="shared" si="1277"/>
        <v>0</v>
      </c>
      <c r="AO1543" s="39"/>
      <c r="AP1543" s="56"/>
      <c r="AQ1543" s="56"/>
      <c r="AR1543" s="56"/>
      <c r="AS1543" s="71"/>
      <c r="AT1543" s="16">
        <f t="shared" si="1278"/>
        <v>0</v>
      </c>
      <c r="AU1543" s="39"/>
      <c r="AV1543" s="56"/>
      <c r="AW1543" s="56"/>
      <c r="AX1543" s="56"/>
      <c r="AY1543" s="71"/>
      <c r="AZ1543" s="16">
        <f t="shared" si="1279"/>
        <v>0</v>
      </c>
      <c r="BA1543" s="16">
        <f t="shared" si="1254"/>
        <v>0</v>
      </c>
    </row>
    <row r="1544" spans="1:53" ht="14.25" x14ac:dyDescent="0.15">
      <c r="A1544" s="23" t="s">
        <v>434</v>
      </c>
      <c r="B1544" s="41"/>
      <c r="C1544" s="42"/>
      <c r="D1544" s="42">
        <v>1</v>
      </c>
      <c r="E1544" s="42"/>
      <c r="F1544" s="42"/>
      <c r="G1544" s="43">
        <f t="shared" si="1263"/>
        <v>1</v>
      </c>
      <c r="H1544" s="41"/>
      <c r="I1544" s="42"/>
      <c r="J1544" s="42"/>
      <c r="K1544" s="42"/>
      <c r="L1544" s="42"/>
      <c r="M1544" s="43">
        <f t="shared" si="1264"/>
        <v>0</v>
      </c>
      <c r="N1544" s="42"/>
      <c r="O1544" s="53"/>
      <c r="P1544" s="53"/>
      <c r="Q1544" s="53">
        <v>1</v>
      </c>
      <c r="R1544" s="72"/>
      <c r="S1544" s="24">
        <f t="shared" si="1261"/>
        <v>1</v>
      </c>
      <c r="T1544" s="42"/>
      <c r="U1544" s="53"/>
      <c r="V1544" s="53"/>
      <c r="W1544" s="53"/>
      <c r="X1544" s="72"/>
      <c r="Y1544" s="24">
        <f t="shared" si="1262"/>
        <v>0</v>
      </c>
      <c r="Z1544" s="24">
        <f t="shared" si="1248"/>
        <v>2</v>
      </c>
      <c r="AA1544" s="83">
        <v>45303</v>
      </c>
      <c r="AB1544" s="23"/>
      <c r="AC1544" s="38"/>
      <c r="AD1544" s="39"/>
      <c r="AE1544" s="39"/>
      <c r="AF1544" s="39"/>
      <c r="AG1544" s="39"/>
      <c r="AH1544" s="37">
        <f t="shared" si="1276"/>
        <v>0</v>
      </c>
      <c r="AI1544" s="38"/>
      <c r="AJ1544" s="39"/>
      <c r="AK1544" s="39"/>
      <c r="AL1544" s="39"/>
      <c r="AM1544" s="39"/>
      <c r="AN1544" s="37">
        <f t="shared" si="1277"/>
        <v>0</v>
      </c>
      <c r="AO1544" s="39"/>
      <c r="AP1544" s="56"/>
      <c r="AQ1544" s="56"/>
      <c r="AR1544" s="56"/>
      <c r="AS1544" s="71"/>
      <c r="AT1544" s="16">
        <f t="shared" si="1278"/>
        <v>0</v>
      </c>
      <c r="AU1544" s="39"/>
      <c r="AV1544" s="56"/>
      <c r="AW1544" s="56"/>
      <c r="AX1544" s="56"/>
      <c r="AY1544" s="71"/>
      <c r="AZ1544" s="16">
        <f t="shared" si="1279"/>
        <v>0</v>
      </c>
      <c r="BA1544" s="16">
        <f t="shared" si="1254"/>
        <v>0</v>
      </c>
    </row>
    <row r="1545" spans="1:53" ht="14.25" x14ac:dyDescent="0.15">
      <c r="A1545" s="23" t="s">
        <v>48</v>
      </c>
      <c r="B1545" s="41"/>
      <c r="C1545" s="42"/>
      <c r="D1545" s="42"/>
      <c r="E1545" s="42"/>
      <c r="F1545" s="42"/>
      <c r="G1545" s="43">
        <f t="shared" si="1263"/>
        <v>0</v>
      </c>
      <c r="H1545" s="41"/>
      <c r="I1545" s="42"/>
      <c r="J1545" s="42">
        <v>1</v>
      </c>
      <c r="K1545" s="42"/>
      <c r="L1545" s="42"/>
      <c r="M1545" s="43">
        <f t="shared" si="1264"/>
        <v>1</v>
      </c>
      <c r="N1545" s="42"/>
      <c r="O1545" s="53"/>
      <c r="P1545" s="53"/>
      <c r="Q1545" s="53">
        <v>1</v>
      </c>
      <c r="R1545" s="72">
        <v>1</v>
      </c>
      <c r="S1545" s="24">
        <f t="shared" si="1261"/>
        <v>2</v>
      </c>
      <c r="T1545" s="42"/>
      <c r="U1545" s="53"/>
      <c r="V1545" s="53"/>
      <c r="W1545" s="53"/>
      <c r="X1545" s="72"/>
      <c r="Y1545" s="24">
        <f t="shared" si="1262"/>
        <v>0</v>
      </c>
      <c r="Z1545" s="24">
        <f t="shared" si="1248"/>
        <v>3</v>
      </c>
      <c r="AA1545" s="83">
        <v>45302</v>
      </c>
      <c r="AB1545" s="23"/>
      <c r="AC1545" s="38"/>
      <c r="AD1545" s="39"/>
      <c r="AE1545" s="39"/>
      <c r="AF1545" s="39"/>
      <c r="AG1545" s="39"/>
      <c r="AH1545" s="37">
        <f t="shared" si="1276"/>
        <v>0</v>
      </c>
      <c r="AI1545" s="38"/>
      <c r="AJ1545" s="39"/>
      <c r="AK1545" s="39"/>
      <c r="AL1545" s="39"/>
      <c r="AM1545" s="39"/>
      <c r="AN1545" s="37">
        <f t="shared" si="1277"/>
        <v>0</v>
      </c>
      <c r="AO1545" s="39"/>
      <c r="AP1545" s="56"/>
      <c r="AQ1545" s="56"/>
      <c r="AR1545" s="56"/>
      <c r="AS1545" s="71"/>
      <c r="AT1545" s="16">
        <f t="shared" si="1278"/>
        <v>0</v>
      </c>
      <c r="AU1545" s="39"/>
      <c r="AV1545" s="56"/>
      <c r="AW1545" s="56"/>
      <c r="AX1545" s="56"/>
      <c r="AY1545" s="71"/>
      <c r="AZ1545" s="16">
        <f t="shared" si="1279"/>
        <v>0</v>
      </c>
      <c r="BA1545" s="16">
        <f t="shared" si="1254"/>
        <v>0</v>
      </c>
    </row>
    <row r="1546" spans="1:53" ht="14.25" x14ac:dyDescent="0.15">
      <c r="A1546" s="23" t="s">
        <v>434</v>
      </c>
      <c r="B1546" s="41"/>
      <c r="C1546" s="42"/>
      <c r="D1546" s="42"/>
      <c r="E1546" s="42"/>
      <c r="F1546" s="42"/>
      <c r="G1546" s="43">
        <f t="shared" si="1263"/>
        <v>0</v>
      </c>
      <c r="H1546" s="41"/>
      <c r="I1546" s="42"/>
      <c r="J1546" s="42"/>
      <c r="K1546" s="42"/>
      <c r="L1546" s="42"/>
      <c r="M1546" s="43">
        <f t="shared" si="1264"/>
        <v>0</v>
      </c>
      <c r="N1546" s="42"/>
      <c r="O1546" s="53"/>
      <c r="P1546" s="53"/>
      <c r="Q1546" s="53"/>
      <c r="R1546" s="72"/>
      <c r="S1546" s="24">
        <f t="shared" si="1261"/>
        <v>0</v>
      </c>
      <c r="T1546" s="42">
        <v>1</v>
      </c>
      <c r="U1546" s="53"/>
      <c r="V1546" s="53"/>
      <c r="W1546" s="53"/>
      <c r="X1546" s="72"/>
      <c r="Y1546" s="24">
        <f t="shared" si="1262"/>
        <v>1</v>
      </c>
      <c r="Z1546" s="24">
        <f t="shared" si="1248"/>
        <v>1</v>
      </c>
      <c r="AA1546" s="83">
        <v>45306</v>
      </c>
      <c r="AB1546" s="23"/>
      <c r="AC1546" s="38"/>
      <c r="AD1546" s="39"/>
      <c r="AE1546" s="39"/>
      <c r="AF1546" s="39"/>
      <c r="AG1546" s="39"/>
      <c r="AH1546" s="37">
        <f t="shared" si="1276"/>
        <v>0</v>
      </c>
      <c r="AI1546" s="38"/>
      <c r="AJ1546" s="39"/>
      <c r="AK1546" s="39"/>
      <c r="AL1546" s="39"/>
      <c r="AM1546" s="39"/>
      <c r="AN1546" s="37">
        <f t="shared" si="1277"/>
        <v>0</v>
      </c>
      <c r="AO1546" s="39"/>
      <c r="AP1546" s="56"/>
      <c r="AQ1546" s="56"/>
      <c r="AR1546" s="56"/>
      <c r="AS1546" s="71"/>
      <c r="AT1546" s="16">
        <f t="shared" si="1278"/>
        <v>0</v>
      </c>
      <c r="AU1546" s="39"/>
      <c r="AV1546" s="56"/>
      <c r="AW1546" s="56"/>
      <c r="AX1546" s="56"/>
      <c r="AY1546" s="71"/>
      <c r="AZ1546" s="16">
        <f t="shared" si="1279"/>
        <v>0</v>
      </c>
      <c r="BA1546" s="16">
        <f t="shared" si="1254"/>
        <v>0</v>
      </c>
    </row>
    <row r="1547" spans="1:53" ht="14.25" x14ac:dyDescent="0.15">
      <c r="A1547" s="23" t="s">
        <v>434</v>
      </c>
      <c r="B1547" s="41"/>
      <c r="C1547" s="42"/>
      <c r="D1547" s="42"/>
      <c r="E1547" s="42"/>
      <c r="F1547" s="42"/>
      <c r="G1547" s="43">
        <f t="shared" si="1263"/>
        <v>0</v>
      </c>
      <c r="H1547" s="41"/>
      <c r="I1547" s="42"/>
      <c r="J1547" s="42"/>
      <c r="K1547" s="42"/>
      <c r="L1547" s="42"/>
      <c r="M1547" s="43">
        <f t="shared" si="1264"/>
        <v>0</v>
      </c>
      <c r="N1547" s="42"/>
      <c r="O1547" s="53">
        <v>1</v>
      </c>
      <c r="P1547" s="53"/>
      <c r="Q1547" s="53"/>
      <c r="R1547" s="72"/>
      <c r="S1547" s="24">
        <f t="shared" si="1261"/>
        <v>1</v>
      </c>
      <c r="T1547" s="42">
        <v>1</v>
      </c>
      <c r="U1547" s="53"/>
      <c r="V1547" s="53"/>
      <c r="W1547" s="53"/>
      <c r="X1547" s="72"/>
      <c r="Y1547" s="24">
        <f t="shared" si="1262"/>
        <v>1</v>
      </c>
      <c r="Z1547" s="24">
        <f t="shared" si="1248"/>
        <v>2</v>
      </c>
      <c r="AA1547" s="83">
        <v>45308</v>
      </c>
      <c r="AB1547" s="23"/>
      <c r="AC1547" s="38"/>
      <c r="AD1547" s="39"/>
      <c r="AE1547" s="39"/>
      <c r="AF1547" s="39"/>
      <c r="AG1547" s="39"/>
      <c r="AH1547" s="37">
        <f t="shared" si="1276"/>
        <v>0</v>
      </c>
      <c r="AI1547" s="38"/>
      <c r="AJ1547" s="39"/>
      <c r="AK1547" s="39"/>
      <c r="AL1547" s="39"/>
      <c r="AM1547" s="39"/>
      <c r="AN1547" s="37">
        <f t="shared" si="1277"/>
        <v>0</v>
      </c>
      <c r="AO1547" s="39"/>
      <c r="AP1547" s="56"/>
      <c r="AQ1547" s="56"/>
      <c r="AR1547" s="56"/>
      <c r="AS1547" s="71"/>
      <c r="AT1547" s="16">
        <f t="shared" si="1278"/>
        <v>0</v>
      </c>
      <c r="AU1547" s="39"/>
      <c r="AV1547" s="56"/>
      <c r="AW1547" s="56"/>
      <c r="AX1547" s="56"/>
      <c r="AY1547" s="71"/>
      <c r="AZ1547" s="16">
        <f t="shared" si="1279"/>
        <v>0</v>
      </c>
      <c r="BA1547" s="16">
        <f t="shared" si="1254"/>
        <v>0</v>
      </c>
    </row>
    <row r="1548" spans="1:53" ht="14.25" x14ac:dyDescent="0.15">
      <c r="A1548" s="23" t="s">
        <v>48</v>
      </c>
      <c r="B1548" s="41"/>
      <c r="C1548" s="42"/>
      <c r="D1548" s="42"/>
      <c r="E1548" s="42"/>
      <c r="F1548" s="42"/>
      <c r="G1548" s="43">
        <f t="shared" si="1263"/>
        <v>0</v>
      </c>
      <c r="H1548" s="41">
        <v>1</v>
      </c>
      <c r="I1548" s="42"/>
      <c r="J1548" s="42"/>
      <c r="K1548" s="42"/>
      <c r="L1548" s="42"/>
      <c r="M1548" s="43">
        <f t="shared" si="1264"/>
        <v>1</v>
      </c>
      <c r="N1548" s="42"/>
      <c r="O1548" s="53"/>
      <c r="P1548" s="53"/>
      <c r="Q1548" s="53"/>
      <c r="R1548" s="72"/>
      <c r="S1548" s="24">
        <f t="shared" si="1261"/>
        <v>0</v>
      </c>
      <c r="T1548" s="42"/>
      <c r="U1548" s="53"/>
      <c r="V1548" s="53"/>
      <c r="W1548" s="53"/>
      <c r="X1548" s="72"/>
      <c r="Y1548" s="24">
        <f t="shared" si="1262"/>
        <v>0</v>
      </c>
      <c r="Z1548" s="24">
        <f t="shared" si="1248"/>
        <v>1</v>
      </c>
      <c r="AA1548" s="83">
        <v>45306</v>
      </c>
      <c r="AB1548" s="23"/>
      <c r="AC1548" s="38"/>
      <c r="AD1548" s="39"/>
      <c r="AE1548" s="39"/>
      <c r="AF1548" s="39"/>
      <c r="AG1548" s="39"/>
      <c r="AH1548" s="37">
        <f t="shared" si="1276"/>
        <v>0</v>
      </c>
      <c r="AI1548" s="38"/>
      <c r="AJ1548" s="39"/>
      <c r="AK1548" s="39"/>
      <c r="AL1548" s="39"/>
      <c r="AM1548" s="39"/>
      <c r="AN1548" s="37">
        <f t="shared" si="1277"/>
        <v>0</v>
      </c>
      <c r="AO1548" s="39"/>
      <c r="AP1548" s="56"/>
      <c r="AQ1548" s="56"/>
      <c r="AR1548" s="56"/>
      <c r="AS1548" s="71"/>
      <c r="AT1548" s="16">
        <f t="shared" si="1278"/>
        <v>0</v>
      </c>
      <c r="AU1548" s="39"/>
      <c r="AV1548" s="56"/>
      <c r="AW1548" s="56"/>
      <c r="AX1548" s="56"/>
      <c r="AY1548" s="71"/>
      <c r="AZ1548" s="16">
        <f t="shared" si="1279"/>
        <v>0</v>
      </c>
      <c r="BA1548" s="16">
        <f t="shared" si="1254"/>
        <v>0</v>
      </c>
    </row>
    <row r="1549" spans="1:53" ht="14.25" x14ac:dyDescent="0.15">
      <c r="A1549" s="23" t="s">
        <v>592</v>
      </c>
      <c r="B1549" s="41"/>
      <c r="C1549" s="42"/>
      <c r="D1549" s="42"/>
      <c r="E1549" s="42">
        <v>-1</v>
      </c>
      <c r="F1549" s="42">
        <v>1</v>
      </c>
      <c r="G1549" s="43">
        <f t="shared" si="1263"/>
        <v>0</v>
      </c>
      <c r="H1549" s="41"/>
      <c r="I1549" s="42"/>
      <c r="J1549" s="42"/>
      <c r="K1549" s="42"/>
      <c r="L1549" s="42"/>
      <c r="M1549" s="43">
        <f t="shared" si="1264"/>
        <v>0</v>
      </c>
      <c r="N1549" s="42"/>
      <c r="O1549" s="53"/>
      <c r="P1549" s="53"/>
      <c r="Q1549" s="53"/>
      <c r="R1549" s="72"/>
      <c r="S1549" s="24">
        <f t="shared" si="1261"/>
        <v>0</v>
      </c>
      <c r="T1549" s="42"/>
      <c r="U1549" s="53"/>
      <c r="V1549" s="53"/>
      <c r="W1549" s="53"/>
      <c r="X1549" s="72"/>
      <c r="Y1549" s="24">
        <f t="shared" si="1262"/>
        <v>0</v>
      </c>
      <c r="Z1549" s="24">
        <f t="shared" si="1248"/>
        <v>0</v>
      </c>
      <c r="AA1549" s="83">
        <v>45306</v>
      </c>
      <c r="AB1549" s="23"/>
      <c r="AC1549" s="38"/>
      <c r="AD1549" s="39"/>
      <c r="AE1549" s="39"/>
      <c r="AF1549" s="39"/>
      <c r="AG1549" s="39"/>
      <c r="AH1549" s="37">
        <f t="shared" si="1276"/>
        <v>0</v>
      </c>
      <c r="AI1549" s="38"/>
      <c r="AJ1549" s="39"/>
      <c r="AK1549" s="39"/>
      <c r="AL1549" s="39"/>
      <c r="AM1549" s="39"/>
      <c r="AN1549" s="37">
        <f t="shared" si="1277"/>
        <v>0</v>
      </c>
      <c r="AO1549" s="39"/>
      <c r="AP1549" s="56"/>
      <c r="AQ1549" s="56"/>
      <c r="AR1549" s="56"/>
      <c r="AS1549" s="71"/>
      <c r="AT1549" s="16">
        <f t="shared" si="1278"/>
        <v>0</v>
      </c>
      <c r="AU1549" s="39"/>
      <c r="AV1549" s="56"/>
      <c r="AW1549" s="56"/>
      <c r="AX1549" s="56"/>
      <c r="AY1549" s="71"/>
      <c r="AZ1549" s="16">
        <f t="shared" si="1279"/>
        <v>0</v>
      </c>
      <c r="BA1549" s="16">
        <f t="shared" si="1254"/>
        <v>0</v>
      </c>
    </row>
    <row r="1550" spans="1:53" ht="14.25" x14ac:dyDescent="0.15">
      <c r="A1550" s="23" t="s">
        <v>48</v>
      </c>
      <c r="B1550" s="41"/>
      <c r="C1550" s="42"/>
      <c r="D1550" s="42"/>
      <c r="E1550" s="42"/>
      <c r="F1550" s="42">
        <v>2</v>
      </c>
      <c r="G1550" s="43">
        <f t="shared" si="1263"/>
        <v>2</v>
      </c>
      <c r="H1550" s="41"/>
      <c r="I1550" s="42"/>
      <c r="J1550" s="42"/>
      <c r="K1550" s="42"/>
      <c r="L1550" s="42"/>
      <c r="M1550" s="43">
        <f t="shared" si="1264"/>
        <v>0</v>
      </c>
      <c r="N1550" s="42"/>
      <c r="O1550" s="53"/>
      <c r="P1550" s="53"/>
      <c r="Q1550" s="53"/>
      <c r="R1550" s="72"/>
      <c r="S1550" s="24">
        <f t="shared" si="1261"/>
        <v>0</v>
      </c>
      <c r="T1550" s="42"/>
      <c r="U1550" s="53"/>
      <c r="V1550" s="53"/>
      <c r="W1550" s="53"/>
      <c r="X1550" s="72"/>
      <c r="Y1550" s="24">
        <f t="shared" si="1262"/>
        <v>0</v>
      </c>
      <c r="Z1550" s="24">
        <f t="shared" si="1248"/>
        <v>2</v>
      </c>
      <c r="AA1550" s="83">
        <v>45307</v>
      </c>
      <c r="AB1550" s="23"/>
      <c r="AC1550" s="38"/>
      <c r="AD1550" s="39"/>
      <c r="AE1550" s="39"/>
      <c r="AF1550" s="39"/>
      <c r="AG1550" s="39"/>
      <c r="AH1550" s="37">
        <f t="shared" si="1276"/>
        <v>0</v>
      </c>
      <c r="AI1550" s="38"/>
      <c r="AJ1550" s="39"/>
      <c r="AK1550" s="39"/>
      <c r="AL1550" s="39"/>
      <c r="AM1550" s="39"/>
      <c r="AN1550" s="37">
        <f t="shared" si="1277"/>
        <v>0</v>
      </c>
      <c r="AO1550" s="39"/>
      <c r="AP1550" s="56"/>
      <c r="AQ1550" s="56"/>
      <c r="AR1550" s="56"/>
      <c r="AS1550" s="71"/>
      <c r="AT1550" s="16">
        <f t="shared" si="1278"/>
        <v>0</v>
      </c>
      <c r="AU1550" s="39"/>
      <c r="AV1550" s="56"/>
      <c r="AW1550" s="56"/>
      <c r="AX1550" s="56"/>
      <c r="AY1550" s="71"/>
      <c r="AZ1550" s="16">
        <f t="shared" si="1279"/>
        <v>0</v>
      </c>
      <c r="BA1550" s="16">
        <f t="shared" si="1254"/>
        <v>0</v>
      </c>
    </row>
    <row r="1551" spans="1:53" ht="14.25" x14ac:dyDescent="0.15">
      <c r="A1551" s="23" t="s">
        <v>48</v>
      </c>
      <c r="B1551" s="41"/>
      <c r="C1551" s="42"/>
      <c r="D1551" s="42"/>
      <c r="E1551" s="42"/>
      <c r="F1551" s="42"/>
      <c r="G1551" s="43">
        <f t="shared" si="1263"/>
        <v>0</v>
      </c>
      <c r="H1551" s="41">
        <v>1</v>
      </c>
      <c r="I1551" s="42"/>
      <c r="J1551" s="42"/>
      <c r="K1551" s="42"/>
      <c r="L1551" s="42"/>
      <c r="M1551" s="43">
        <f t="shared" si="1264"/>
        <v>1</v>
      </c>
      <c r="N1551" s="42"/>
      <c r="O1551" s="53"/>
      <c r="P1551" s="53"/>
      <c r="Q1551" s="53"/>
      <c r="R1551" s="72"/>
      <c r="S1551" s="24">
        <f t="shared" si="1261"/>
        <v>0</v>
      </c>
      <c r="T1551" s="42"/>
      <c r="U1551" s="53"/>
      <c r="V1551" s="53"/>
      <c r="W1551" s="53"/>
      <c r="X1551" s="72"/>
      <c r="Y1551" s="24">
        <f t="shared" si="1262"/>
        <v>0</v>
      </c>
      <c r="Z1551" s="24">
        <f t="shared" si="1248"/>
        <v>1</v>
      </c>
      <c r="AA1551" s="83">
        <v>45310</v>
      </c>
      <c r="AB1551" s="23"/>
      <c r="AC1551" s="38"/>
      <c r="AD1551" s="39"/>
      <c r="AE1551" s="39"/>
      <c r="AF1551" s="39"/>
      <c r="AG1551" s="39"/>
      <c r="AH1551" s="37">
        <f t="shared" si="1276"/>
        <v>0</v>
      </c>
      <c r="AI1551" s="38"/>
      <c r="AJ1551" s="39"/>
      <c r="AK1551" s="39"/>
      <c r="AL1551" s="39"/>
      <c r="AM1551" s="39"/>
      <c r="AN1551" s="37">
        <f t="shared" si="1277"/>
        <v>0</v>
      </c>
      <c r="AO1551" s="39"/>
      <c r="AP1551" s="56"/>
      <c r="AQ1551" s="56"/>
      <c r="AR1551" s="56"/>
      <c r="AS1551" s="71"/>
      <c r="AT1551" s="16">
        <f t="shared" si="1278"/>
        <v>0</v>
      </c>
      <c r="AU1551" s="39"/>
      <c r="AV1551" s="56"/>
      <c r="AW1551" s="56"/>
      <c r="AX1551" s="56"/>
      <c r="AY1551" s="71"/>
      <c r="AZ1551" s="16">
        <f t="shared" si="1279"/>
        <v>0</v>
      </c>
      <c r="BA1551" s="16">
        <f t="shared" si="1254"/>
        <v>0</v>
      </c>
    </row>
    <row r="1552" spans="1:53" ht="14.25" x14ac:dyDescent="0.15">
      <c r="A1552" s="23" t="s">
        <v>434</v>
      </c>
      <c r="B1552" s="41"/>
      <c r="C1552" s="42">
        <v>1</v>
      </c>
      <c r="D1552" s="42"/>
      <c r="E1552" s="42"/>
      <c r="F1552" s="42"/>
      <c r="G1552" s="43">
        <f t="shared" si="1263"/>
        <v>1</v>
      </c>
      <c r="H1552" s="41"/>
      <c r="I1552" s="42"/>
      <c r="J1552" s="42"/>
      <c r="K1552" s="42"/>
      <c r="L1552" s="42"/>
      <c r="M1552" s="43">
        <f t="shared" si="1264"/>
        <v>0</v>
      </c>
      <c r="N1552" s="42"/>
      <c r="O1552" s="53"/>
      <c r="P1552" s="53"/>
      <c r="Q1552" s="53"/>
      <c r="R1552" s="72"/>
      <c r="S1552" s="24">
        <f t="shared" si="1261"/>
        <v>0</v>
      </c>
      <c r="T1552" s="42"/>
      <c r="U1552" s="53"/>
      <c r="V1552" s="53"/>
      <c r="W1552" s="53">
        <v>1</v>
      </c>
      <c r="X1552" s="72">
        <v>1</v>
      </c>
      <c r="Y1552" s="24">
        <f t="shared" si="1262"/>
        <v>2</v>
      </c>
      <c r="Z1552" s="24">
        <f t="shared" si="1248"/>
        <v>3</v>
      </c>
      <c r="AA1552" s="83">
        <v>45320</v>
      </c>
      <c r="AB1552" s="23"/>
      <c r="AC1552" s="38"/>
      <c r="AD1552" s="39"/>
      <c r="AE1552" s="39"/>
      <c r="AF1552" s="39"/>
      <c r="AG1552" s="39"/>
      <c r="AH1552" s="37">
        <f t="shared" si="1276"/>
        <v>0</v>
      </c>
      <c r="AI1552" s="38"/>
      <c r="AJ1552" s="39"/>
      <c r="AK1552" s="39"/>
      <c r="AL1552" s="39"/>
      <c r="AM1552" s="39"/>
      <c r="AN1552" s="37">
        <f t="shared" si="1277"/>
        <v>0</v>
      </c>
      <c r="AO1552" s="39"/>
      <c r="AP1552" s="56"/>
      <c r="AQ1552" s="56"/>
      <c r="AR1552" s="56"/>
      <c r="AS1552" s="71"/>
      <c r="AT1552" s="16">
        <f t="shared" si="1278"/>
        <v>0</v>
      </c>
      <c r="AU1552" s="39"/>
      <c r="AV1552" s="56"/>
      <c r="AW1552" s="56"/>
      <c r="AX1552" s="56"/>
      <c r="AY1552" s="71"/>
      <c r="AZ1552" s="16">
        <f t="shared" si="1279"/>
        <v>0</v>
      </c>
      <c r="BA1552" s="16">
        <f t="shared" si="1254"/>
        <v>0</v>
      </c>
    </row>
    <row r="1553" spans="1:54" ht="14.25" x14ac:dyDescent="0.15">
      <c r="A1553" s="23" t="s">
        <v>48</v>
      </c>
      <c r="B1553" s="41"/>
      <c r="C1553" s="42"/>
      <c r="D1553" s="42"/>
      <c r="E1553" s="42">
        <v>2</v>
      </c>
      <c r="F1553" s="42"/>
      <c r="G1553" s="43">
        <f t="shared" si="1263"/>
        <v>2</v>
      </c>
      <c r="H1553" s="41"/>
      <c r="I1553" s="42"/>
      <c r="J1553" s="42"/>
      <c r="K1553" s="42"/>
      <c r="L1553" s="42"/>
      <c r="M1553" s="43">
        <f t="shared" si="1264"/>
        <v>0</v>
      </c>
      <c r="N1553" s="42"/>
      <c r="O1553" s="53"/>
      <c r="P1553" s="53"/>
      <c r="Q1553" s="53"/>
      <c r="R1553" s="72"/>
      <c r="S1553" s="24">
        <f t="shared" si="1261"/>
        <v>0</v>
      </c>
      <c r="T1553" s="42"/>
      <c r="U1553" s="53"/>
      <c r="V1553" s="53"/>
      <c r="W1553" s="53"/>
      <c r="X1553" s="72"/>
      <c r="Y1553" s="24">
        <f t="shared" si="1262"/>
        <v>0</v>
      </c>
      <c r="Z1553" s="24">
        <f t="shared" si="1248"/>
        <v>2</v>
      </c>
      <c r="AA1553" s="83">
        <v>45317</v>
      </c>
      <c r="AB1553" s="23"/>
      <c r="AC1553" s="38"/>
      <c r="AD1553" s="39"/>
      <c r="AE1553" s="39"/>
      <c r="AF1553" s="39"/>
      <c r="AG1553" s="39"/>
      <c r="AH1553" s="37">
        <f t="shared" ref="AH1553:AH1554" si="1280">SUM(AC1553:AG1553)</f>
        <v>0</v>
      </c>
      <c r="AI1553" s="38"/>
      <c r="AJ1553" s="39"/>
      <c r="AK1553" s="39"/>
      <c r="AL1553" s="39"/>
      <c r="AM1553" s="39"/>
      <c r="AN1553" s="37">
        <f t="shared" ref="AN1553:AN1554" si="1281">SUM(AI1553:AM1553)</f>
        <v>0</v>
      </c>
      <c r="AO1553" s="39"/>
      <c r="AP1553" s="56"/>
      <c r="AQ1553" s="56"/>
      <c r="AR1553" s="56"/>
      <c r="AS1553" s="71"/>
      <c r="AT1553" s="16">
        <f t="shared" ref="AT1553:AT1554" si="1282">SUM(AO1553:AS1553)</f>
        <v>0</v>
      </c>
      <c r="AU1553" s="39"/>
      <c r="AV1553" s="56"/>
      <c r="AW1553" s="56"/>
      <c r="AX1553" s="56"/>
      <c r="AY1553" s="71"/>
      <c r="AZ1553" s="16">
        <f t="shared" ref="AZ1553:AZ1554" si="1283">SUM(AU1553:AY1553)</f>
        <v>0</v>
      </c>
      <c r="BA1553" s="16">
        <f t="shared" ref="BA1553:BA1554" si="1284">AH1553+AN1553+AT1553+AZ1553</f>
        <v>0</v>
      </c>
    </row>
    <row r="1554" spans="1:54" ht="14.25" x14ac:dyDescent="0.15">
      <c r="A1554" s="23" t="s">
        <v>434</v>
      </c>
      <c r="B1554" s="41">
        <v>1</v>
      </c>
      <c r="C1554" s="42"/>
      <c r="D1554" s="42"/>
      <c r="E1554" s="42"/>
      <c r="F1554" s="42"/>
      <c r="G1554" s="43">
        <f t="shared" si="1263"/>
        <v>1</v>
      </c>
      <c r="H1554" s="41"/>
      <c r="I1554" s="42"/>
      <c r="J1554" s="42"/>
      <c r="K1554" s="42"/>
      <c r="L1554" s="42"/>
      <c r="M1554" s="43">
        <f t="shared" si="1264"/>
        <v>0</v>
      </c>
      <c r="N1554" s="42"/>
      <c r="O1554" s="53"/>
      <c r="P1554" s="53"/>
      <c r="Q1554" s="53"/>
      <c r="R1554" s="72"/>
      <c r="S1554" s="24">
        <f t="shared" si="1261"/>
        <v>0</v>
      </c>
      <c r="T1554" s="42"/>
      <c r="U1554" s="53"/>
      <c r="V1554" s="53"/>
      <c r="W1554" s="53"/>
      <c r="X1554" s="72"/>
      <c r="Y1554" s="24">
        <f t="shared" si="1262"/>
        <v>0</v>
      </c>
      <c r="Z1554" s="24">
        <f t="shared" si="1248"/>
        <v>1</v>
      </c>
      <c r="AA1554" s="83">
        <v>45322</v>
      </c>
      <c r="AB1554" s="23"/>
      <c r="AC1554" s="38"/>
      <c r="AD1554" s="39"/>
      <c r="AE1554" s="39"/>
      <c r="AF1554" s="39"/>
      <c r="AG1554" s="39"/>
      <c r="AH1554" s="37">
        <f t="shared" si="1280"/>
        <v>0</v>
      </c>
      <c r="AI1554" s="38"/>
      <c r="AJ1554" s="39"/>
      <c r="AK1554" s="39"/>
      <c r="AL1554" s="39"/>
      <c r="AM1554" s="39"/>
      <c r="AN1554" s="37">
        <f t="shared" si="1281"/>
        <v>0</v>
      </c>
      <c r="AO1554" s="39"/>
      <c r="AP1554" s="56"/>
      <c r="AQ1554" s="56"/>
      <c r="AR1554" s="56"/>
      <c r="AS1554" s="71"/>
      <c r="AT1554" s="16">
        <f t="shared" si="1282"/>
        <v>0</v>
      </c>
      <c r="AU1554" s="39"/>
      <c r="AV1554" s="56"/>
      <c r="AW1554" s="56"/>
      <c r="AX1554" s="56"/>
      <c r="AY1554" s="71"/>
      <c r="AZ1554" s="16">
        <f t="shared" si="1283"/>
        <v>0</v>
      </c>
      <c r="BA1554" s="16">
        <f t="shared" si="1284"/>
        <v>0</v>
      </c>
    </row>
    <row r="1555" spans="1:54" ht="14.25" x14ac:dyDescent="0.15">
      <c r="A1555" s="23" t="s">
        <v>48</v>
      </c>
      <c r="B1555" s="41"/>
      <c r="C1555" s="42"/>
      <c r="D1555" s="42"/>
      <c r="E1555" s="42"/>
      <c r="F1555" s="42"/>
      <c r="G1555" s="43">
        <f t="shared" si="1259"/>
        <v>0</v>
      </c>
      <c r="H1555" s="41"/>
      <c r="I1555" s="42"/>
      <c r="J1555" s="42"/>
      <c r="K1555" s="42"/>
      <c r="L1555" s="42"/>
      <c r="M1555" s="43">
        <f t="shared" si="1260"/>
        <v>0</v>
      </c>
      <c r="N1555" s="42"/>
      <c r="O1555" s="53">
        <v>1</v>
      </c>
      <c r="P1555" s="53"/>
      <c r="Q1555" s="53"/>
      <c r="R1555" s="72"/>
      <c r="S1555" s="24">
        <f>SUM(N1555:R1555)</f>
        <v>1</v>
      </c>
      <c r="T1555" s="42">
        <v>1</v>
      </c>
      <c r="U1555" s="53"/>
      <c r="V1555" s="53"/>
      <c r="W1555" s="53"/>
      <c r="X1555" s="72">
        <v>1</v>
      </c>
      <c r="Y1555" s="24">
        <f>SUM(T1555:X1555)</f>
        <v>2</v>
      </c>
      <c r="Z1555" s="24">
        <f>G1555+M1555+S1555+Y1555</f>
        <v>3</v>
      </c>
      <c r="AA1555" s="83">
        <v>45320</v>
      </c>
      <c r="AB1555" s="23" t="s">
        <v>632</v>
      </c>
      <c r="AC1555" s="38"/>
      <c r="AD1555" s="39"/>
      <c r="AE1555" s="39"/>
      <c r="AF1555" s="39"/>
      <c r="AG1555" s="39"/>
      <c r="AH1555" s="37">
        <f t="shared" ref="AH1555" si="1285">SUM(AC1555:AG1555)</f>
        <v>0</v>
      </c>
      <c r="AI1555" s="203"/>
      <c r="AJ1555" s="204"/>
      <c r="AK1555" s="204"/>
      <c r="AL1555" s="204"/>
      <c r="AM1555" s="204"/>
      <c r="AN1555" s="37">
        <f t="shared" ref="AN1555" si="1286">SUM(AI1555:AM1555)</f>
        <v>0</v>
      </c>
      <c r="AO1555" s="39"/>
      <c r="AP1555" s="56"/>
      <c r="AQ1555" s="56"/>
      <c r="AR1555" s="56"/>
      <c r="AS1555" s="71"/>
      <c r="AT1555" s="16">
        <f t="shared" ref="AT1555" si="1287">SUM(AO1555:AS1555)</f>
        <v>0</v>
      </c>
      <c r="AU1555" s="39"/>
      <c r="AV1555" s="56"/>
      <c r="AW1555" s="56"/>
      <c r="AX1555" s="56"/>
      <c r="AY1555" s="71"/>
      <c r="AZ1555" s="16">
        <f t="shared" ref="AZ1555" si="1288">SUM(AU1555:AY1555)</f>
        <v>0</v>
      </c>
      <c r="BA1555" s="16">
        <f t="shared" ref="BA1555:BA1556" si="1289">AH1555+AN1555+AT1555+AZ1555</f>
        <v>0</v>
      </c>
      <c r="BB1555" s="128" t="s">
        <v>633</v>
      </c>
    </row>
    <row r="1556" spans="1:54" ht="15" thickBot="1" x14ac:dyDescent="0.2">
      <c r="A1556" s="23" t="s">
        <v>434</v>
      </c>
      <c r="B1556" s="44"/>
      <c r="C1556" s="45">
        <v>1</v>
      </c>
      <c r="D1556" s="45">
        <v>1</v>
      </c>
      <c r="E1556" s="45"/>
      <c r="F1556" s="45"/>
      <c r="G1556" s="43">
        <f t="shared" si="1259"/>
        <v>2</v>
      </c>
      <c r="H1556" s="44"/>
      <c r="I1556" s="45"/>
      <c r="J1556" s="45"/>
      <c r="K1556" s="45"/>
      <c r="L1556" s="45"/>
      <c r="M1556" s="112">
        <f t="shared" si="1260"/>
        <v>0</v>
      </c>
      <c r="N1556" s="45"/>
      <c r="O1556" s="78"/>
      <c r="P1556" s="78"/>
      <c r="Q1556" s="78"/>
      <c r="R1556" s="79"/>
      <c r="S1556" s="113">
        <f>SUM(N1556:R1556)</f>
        <v>0</v>
      </c>
      <c r="T1556" s="45"/>
      <c r="U1556" s="78"/>
      <c r="V1556" s="78">
        <v>1</v>
      </c>
      <c r="W1556" s="78"/>
      <c r="X1556" s="79">
        <v>1</v>
      </c>
      <c r="Y1556" s="113">
        <f>SUM(T1556:X1556)</f>
        <v>2</v>
      </c>
      <c r="Z1556" s="82">
        <f>G1556+M1556+S1556+Y1556</f>
        <v>4</v>
      </c>
      <c r="AA1556" s="83">
        <v>45323</v>
      </c>
      <c r="AB1556" s="23" t="s">
        <v>637</v>
      </c>
      <c r="AC1556" s="38"/>
      <c r="AD1556" s="39"/>
      <c r="AE1556" s="39"/>
      <c r="AF1556" s="39"/>
      <c r="AG1556" s="39"/>
      <c r="AH1556" s="37">
        <f t="shared" ref="AH1556" si="1290">SUM(AC1556:AG1556)</f>
        <v>0</v>
      </c>
      <c r="AI1556" s="38"/>
      <c r="AJ1556" s="39"/>
      <c r="AK1556" s="39"/>
      <c r="AL1556" s="39"/>
      <c r="AM1556" s="39"/>
      <c r="AN1556" s="37">
        <f t="shared" ref="AN1556" si="1291">SUM(AI1556:AM1556)</f>
        <v>0</v>
      </c>
      <c r="AO1556" s="39"/>
      <c r="AP1556" s="56"/>
      <c r="AQ1556" s="56"/>
      <c r="AR1556" s="56"/>
      <c r="AS1556" s="71"/>
      <c r="AT1556" s="16">
        <f t="shared" ref="AT1556" si="1292">SUM(AO1556:AS1556)</f>
        <v>0</v>
      </c>
      <c r="AU1556" s="39"/>
      <c r="AV1556" s="56"/>
      <c r="AW1556" s="56"/>
      <c r="AX1556" s="56"/>
      <c r="AY1556" s="71"/>
      <c r="AZ1556" s="16">
        <f t="shared" ref="AZ1556" si="1293">SUM(AU1556:AY1556)</f>
        <v>0</v>
      </c>
      <c r="BA1556" s="16">
        <f t="shared" si="1289"/>
        <v>0</v>
      </c>
      <c r="BB1556" s="128" t="s">
        <v>638</v>
      </c>
    </row>
    <row r="1557" spans="1:54" ht="15" thickBot="1" x14ac:dyDescent="0.2">
      <c r="A1557" s="9" t="s">
        <v>13</v>
      </c>
      <c r="B1557" s="25">
        <f>SUM(B1531:B1556)</f>
        <v>3</v>
      </c>
      <c r="C1557" s="26">
        <f>SUM(C1531:C1556)</f>
        <v>3</v>
      </c>
      <c r="D1557" s="26">
        <f>SUM(D1531:D1556)</f>
        <v>2</v>
      </c>
      <c r="E1557" s="26">
        <f>SUM(E1531:E1556)</f>
        <v>1</v>
      </c>
      <c r="F1557" s="27">
        <f>SUM(F1531:F1556)</f>
        <v>4</v>
      </c>
      <c r="G1557" s="19">
        <f>SUM(B1557:F1557)</f>
        <v>13</v>
      </c>
      <c r="H1557" s="25">
        <f>SUM(H1531:H1556)</f>
        <v>2</v>
      </c>
      <c r="I1557" s="26">
        <f>SUM(I1531:I1556)</f>
        <v>0</v>
      </c>
      <c r="J1557" s="26">
        <f>SUM(J1531:J1556)</f>
        <v>2</v>
      </c>
      <c r="K1557" s="26">
        <f>SUM(K1531:K1556)</f>
        <v>1</v>
      </c>
      <c r="L1557" s="27">
        <f>SUM(L1531:L1556)</f>
        <v>1</v>
      </c>
      <c r="M1557" s="25">
        <f>SUM(H1557:L1557)</f>
        <v>6</v>
      </c>
      <c r="N1557" s="65">
        <f>SUM(N1531:N1556)</f>
        <v>0</v>
      </c>
      <c r="O1557" s="18">
        <f>SUM(O1531:O1556)</f>
        <v>2</v>
      </c>
      <c r="P1557" s="18">
        <f>SUM(P1531:P1556)</f>
        <v>1</v>
      </c>
      <c r="Q1557" s="18">
        <f>SUM(Q1531:Q1556)</f>
        <v>3</v>
      </c>
      <c r="R1557" s="70">
        <f>SUM(R1531:R1556)</f>
        <v>1</v>
      </c>
      <c r="S1557" s="49">
        <f>SUM(N1557:R1557)</f>
        <v>7</v>
      </c>
      <c r="T1557" s="74">
        <f>SUM(T1531:T1556)</f>
        <v>4</v>
      </c>
      <c r="U1557" s="18">
        <f>SUM(U1531:U1556)</f>
        <v>0</v>
      </c>
      <c r="V1557" s="18">
        <f>SUM(V1531:V1556)</f>
        <v>2</v>
      </c>
      <c r="W1557" s="18">
        <f>SUM(W1531:W1556)</f>
        <v>1</v>
      </c>
      <c r="X1557" s="70">
        <f>SUM(X1531:X1556)</f>
        <v>5</v>
      </c>
      <c r="Y1557" s="49">
        <f>SUM(T1557:X1557)</f>
        <v>12</v>
      </c>
      <c r="Z1557" s="137">
        <f>G1557+M1557+S1557+Y1557</f>
        <v>38</v>
      </c>
      <c r="AB1557" s="9" t="s">
        <v>13</v>
      </c>
      <c r="AC1557" s="25">
        <f>SUM(AC1531:AC1556)</f>
        <v>2</v>
      </c>
      <c r="AD1557" s="26">
        <f>SUM(AD1531:AD1556)</f>
        <v>0</v>
      </c>
      <c r="AE1557" s="26">
        <f>SUM(AE1531:AE1556)</f>
        <v>0</v>
      </c>
      <c r="AF1557" s="26">
        <f>SUM(AF1531:AF1556)</f>
        <v>1</v>
      </c>
      <c r="AG1557" s="27">
        <f>SUM(AG1531:AG1556)</f>
        <v>2</v>
      </c>
      <c r="AH1557" s="19">
        <f t="shared" ref="AH1557" si="1294">SUM(AC1557:AG1557)</f>
        <v>5</v>
      </c>
      <c r="AI1557" s="25">
        <f>SUM(AI1531:AI1556)</f>
        <v>0</v>
      </c>
      <c r="AJ1557" s="26">
        <f>SUM(AJ1531:AJ1556)</f>
        <v>0</v>
      </c>
      <c r="AK1557" s="26">
        <f>SUM(AK1531:AK1556)</f>
        <v>2</v>
      </c>
      <c r="AL1557" s="26">
        <f>SUM(AL1531:AL1556)</f>
        <v>0</v>
      </c>
      <c r="AM1557" s="27">
        <f>SUM(AM1531:AM1556)</f>
        <v>0</v>
      </c>
      <c r="AN1557" s="25">
        <f t="shared" ref="AN1557" si="1295">SUM(AI1557:AM1557)</f>
        <v>2</v>
      </c>
      <c r="AO1557" s="65">
        <f>SUM(AO1531:AO1556)</f>
        <v>0</v>
      </c>
      <c r="AP1557" s="18">
        <f>SUM(AP1531:AP1556)</f>
        <v>2</v>
      </c>
      <c r="AQ1557" s="18">
        <f>SUM(AQ1531:AQ1556)</f>
        <v>0</v>
      </c>
      <c r="AR1557" s="18">
        <f>SUM(AR1531:AR1556)</f>
        <v>4</v>
      </c>
      <c r="AS1557" s="70">
        <f>SUM(AS1531:AS1556)</f>
        <v>0</v>
      </c>
      <c r="AT1557" s="49">
        <f t="shared" ref="AT1557" si="1296">SUM(AO1557:AS1557)</f>
        <v>6</v>
      </c>
      <c r="AU1557" s="74">
        <f>SUM(AU1531:AU1556)</f>
        <v>0</v>
      </c>
      <c r="AV1557" s="18">
        <f>SUM(AV1531:AV1556)</f>
        <v>0</v>
      </c>
      <c r="AW1557" s="18">
        <f>SUM(AW1531:AW1556)</f>
        <v>0</v>
      </c>
      <c r="AX1557" s="18">
        <f>SUM(AX1531:AX1556)</f>
        <v>3</v>
      </c>
      <c r="AY1557" s="70">
        <f>SUM(AY1531:AY1556)</f>
        <v>2</v>
      </c>
      <c r="AZ1557" s="49">
        <f t="shared" ref="AZ1557" si="1297">SUM(AU1557:AY1557)</f>
        <v>5</v>
      </c>
      <c r="BA1557" s="77">
        <f t="shared" si="1254"/>
        <v>18</v>
      </c>
    </row>
    <row r="1558" spans="1:54" ht="15" thickBot="1" x14ac:dyDescent="0.2">
      <c r="A1558" s="32" t="s">
        <v>14</v>
      </c>
      <c r="B1558" s="29">
        <f t="shared" ref="B1558:Y1558" si="1298">B1530-B1557</f>
        <v>3</v>
      </c>
      <c r="C1558" s="30">
        <f t="shared" si="1298"/>
        <v>4</v>
      </c>
      <c r="D1558" s="30">
        <f t="shared" si="1298"/>
        <v>5</v>
      </c>
      <c r="E1558" s="30">
        <f t="shared" si="1298"/>
        <v>3</v>
      </c>
      <c r="F1558" s="31">
        <f t="shared" si="1298"/>
        <v>2</v>
      </c>
      <c r="G1558" s="31">
        <f t="shared" si="1298"/>
        <v>17</v>
      </c>
      <c r="H1558" s="29">
        <f t="shared" si="1298"/>
        <v>5</v>
      </c>
      <c r="I1558" s="30">
        <f t="shared" si="1298"/>
        <v>4</v>
      </c>
      <c r="J1558" s="30">
        <f t="shared" si="1298"/>
        <v>4</v>
      </c>
      <c r="K1558" s="30">
        <f t="shared" si="1298"/>
        <v>4</v>
      </c>
      <c r="L1558" s="31">
        <f t="shared" si="1298"/>
        <v>7</v>
      </c>
      <c r="M1558" s="66">
        <f t="shared" si="1298"/>
        <v>24</v>
      </c>
      <c r="N1558" s="29">
        <f t="shared" si="1298"/>
        <v>5</v>
      </c>
      <c r="O1558" s="30">
        <f t="shared" si="1298"/>
        <v>2</v>
      </c>
      <c r="P1558" s="30">
        <f t="shared" si="1298"/>
        <v>5</v>
      </c>
      <c r="Q1558" s="30">
        <f t="shared" si="1298"/>
        <v>6</v>
      </c>
      <c r="R1558" s="66">
        <f t="shared" si="1298"/>
        <v>3</v>
      </c>
      <c r="S1558" s="33">
        <f t="shared" si="1298"/>
        <v>21</v>
      </c>
      <c r="T1558" s="75">
        <f t="shared" si="1298"/>
        <v>4</v>
      </c>
      <c r="U1558" s="30">
        <f t="shared" si="1298"/>
        <v>4</v>
      </c>
      <c r="V1558" s="30">
        <f t="shared" si="1298"/>
        <v>4</v>
      </c>
      <c r="W1558" s="30">
        <f t="shared" si="1298"/>
        <v>2</v>
      </c>
      <c r="X1558" s="66">
        <f t="shared" si="1298"/>
        <v>3</v>
      </c>
      <c r="Y1558" s="33">
        <f t="shared" si="1298"/>
        <v>17</v>
      </c>
      <c r="Z1558" s="77">
        <f>G1558+M1558+S1558+Y1558</f>
        <v>79</v>
      </c>
      <c r="AB1558" s="32" t="s">
        <v>14</v>
      </c>
      <c r="AC1558" s="29">
        <f t="shared" ref="AC1558:AZ1558" si="1299">AC1530-AC1557</f>
        <v>96</v>
      </c>
      <c r="AD1558" s="30">
        <f t="shared" si="1299"/>
        <v>69</v>
      </c>
      <c r="AE1558" s="30">
        <f t="shared" si="1299"/>
        <v>69</v>
      </c>
      <c r="AF1558" s="30">
        <f t="shared" si="1299"/>
        <v>45</v>
      </c>
      <c r="AG1558" s="31">
        <f t="shared" si="1299"/>
        <v>22</v>
      </c>
      <c r="AH1558" s="31">
        <f t="shared" si="1299"/>
        <v>301</v>
      </c>
      <c r="AI1558" s="29">
        <f t="shared" si="1299"/>
        <v>84</v>
      </c>
      <c r="AJ1558" s="30">
        <f t="shared" si="1299"/>
        <v>74</v>
      </c>
      <c r="AK1558" s="30">
        <f t="shared" si="1299"/>
        <v>83</v>
      </c>
      <c r="AL1558" s="30">
        <f t="shared" si="1299"/>
        <v>71</v>
      </c>
      <c r="AM1558" s="31">
        <f t="shared" si="1299"/>
        <v>83</v>
      </c>
      <c r="AN1558" s="66">
        <f t="shared" si="1299"/>
        <v>395</v>
      </c>
      <c r="AO1558" s="29">
        <f t="shared" si="1299"/>
        <v>143</v>
      </c>
      <c r="AP1558" s="30">
        <f t="shared" si="1299"/>
        <v>98</v>
      </c>
      <c r="AQ1558" s="30">
        <f t="shared" si="1299"/>
        <v>102</v>
      </c>
      <c r="AR1558" s="30">
        <f t="shared" si="1299"/>
        <v>117</v>
      </c>
      <c r="AS1558" s="66">
        <f t="shared" si="1299"/>
        <v>127</v>
      </c>
      <c r="AT1558" s="33">
        <f t="shared" si="1299"/>
        <v>587</v>
      </c>
      <c r="AU1558" s="75">
        <f t="shared" si="1299"/>
        <v>111</v>
      </c>
      <c r="AV1558" s="30">
        <f t="shared" si="1299"/>
        <v>58</v>
      </c>
      <c r="AW1558" s="30">
        <f t="shared" si="1299"/>
        <v>28</v>
      </c>
      <c r="AX1558" s="30">
        <f t="shared" si="1299"/>
        <v>22</v>
      </c>
      <c r="AY1558" s="66">
        <f t="shared" si="1299"/>
        <v>69</v>
      </c>
      <c r="AZ1558" s="33">
        <f t="shared" si="1299"/>
        <v>288</v>
      </c>
      <c r="BA1558" s="77">
        <f t="shared" si="1254"/>
        <v>1571</v>
      </c>
    </row>
    <row r="1561" spans="1:54" ht="19.5" thickBot="1" x14ac:dyDescent="0.25">
      <c r="A1561" s="1" t="s">
        <v>15</v>
      </c>
      <c r="AB1561" s="1" t="s">
        <v>16</v>
      </c>
    </row>
    <row r="1562" spans="1:54" ht="15" thickBot="1" x14ac:dyDescent="0.2">
      <c r="A1562" s="4"/>
      <c r="B1562" s="245" t="s">
        <v>17</v>
      </c>
      <c r="C1562" s="246"/>
      <c r="D1562" s="246"/>
      <c r="E1562" s="246"/>
      <c r="F1562" s="246"/>
      <c r="G1562" s="247"/>
      <c r="H1562" s="245" t="s">
        <v>18</v>
      </c>
      <c r="I1562" s="246"/>
      <c r="J1562" s="246"/>
      <c r="K1562" s="246"/>
      <c r="L1562" s="246"/>
      <c r="M1562" s="247"/>
      <c r="N1562" s="248" t="s">
        <v>27</v>
      </c>
      <c r="O1562" s="249"/>
      <c r="P1562" s="249"/>
      <c r="Q1562" s="249"/>
      <c r="R1562" s="249"/>
      <c r="S1562" s="250"/>
      <c r="T1562" s="248" t="s">
        <v>28</v>
      </c>
      <c r="U1562" s="249"/>
      <c r="V1562" s="249"/>
      <c r="W1562" s="249"/>
      <c r="X1562" s="249"/>
      <c r="Y1562" s="250"/>
      <c r="Z1562" s="251" t="s">
        <v>1</v>
      </c>
      <c r="AB1562" s="4"/>
      <c r="AC1562" s="253" t="s">
        <v>17</v>
      </c>
      <c r="AD1562" s="249"/>
      <c r="AE1562" s="249"/>
      <c r="AF1562" s="249"/>
      <c r="AG1562" s="249"/>
      <c r="AH1562" s="250"/>
      <c r="AI1562" s="248" t="s">
        <v>18</v>
      </c>
      <c r="AJ1562" s="249"/>
      <c r="AK1562" s="249"/>
      <c r="AL1562" s="249"/>
      <c r="AM1562" s="249"/>
      <c r="AN1562" s="250"/>
      <c r="AO1562" s="248" t="s">
        <v>27</v>
      </c>
      <c r="AP1562" s="249"/>
      <c r="AQ1562" s="249"/>
      <c r="AR1562" s="249"/>
      <c r="AS1562" s="249"/>
      <c r="AT1562" s="250"/>
      <c r="AU1562" s="248" t="s">
        <v>28</v>
      </c>
      <c r="AV1562" s="249"/>
      <c r="AW1562" s="249"/>
      <c r="AX1562" s="249"/>
      <c r="AY1562" s="249"/>
      <c r="AZ1562" s="250"/>
      <c r="BA1562" s="243" t="s">
        <v>1</v>
      </c>
    </row>
    <row r="1563" spans="1:54" ht="15" thickBot="1" x14ac:dyDescent="0.2">
      <c r="A1563" s="9" t="s">
        <v>2</v>
      </c>
      <c r="B1563" s="6" t="s">
        <v>3</v>
      </c>
      <c r="C1563" s="7" t="s">
        <v>4</v>
      </c>
      <c r="D1563" s="7" t="s">
        <v>5</v>
      </c>
      <c r="E1563" s="48" t="s">
        <v>20</v>
      </c>
      <c r="F1563" s="8" t="s">
        <v>21</v>
      </c>
      <c r="G1563" s="5" t="s">
        <v>6</v>
      </c>
      <c r="H1563" s="6" t="s">
        <v>3</v>
      </c>
      <c r="I1563" s="7" t="s">
        <v>4</v>
      </c>
      <c r="J1563" s="7" t="s">
        <v>5</v>
      </c>
      <c r="K1563" s="48" t="s">
        <v>20</v>
      </c>
      <c r="L1563" s="8" t="s">
        <v>21</v>
      </c>
      <c r="M1563" s="5" t="s">
        <v>6</v>
      </c>
      <c r="N1563" s="6" t="s">
        <v>3</v>
      </c>
      <c r="O1563" s="7" t="s">
        <v>4</v>
      </c>
      <c r="P1563" s="7" t="s">
        <v>5</v>
      </c>
      <c r="Q1563" s="48" t="s">
        <v>20</v>
      </c>
      <c r="R1563" s="8" t="s">
        <v>21</v>
      </c>
      <c r="S1563" s="5" t="s">
        <v>6</v>
      </c>
      <c r="T1563" s="7" t="s">
        <v>3</v>
      </c>
      <c r="U1563" s="7" t="s">
        <v>4</v>
      </c>
      <c r="V1563" s="7" t="s">
        <v>5</v>
      </c>
      <c r="W1563" s="48" t="s">
        <v>20</v>
      </c>
      <c r="X1563" s="109" t="s">
        <v>21</v>
      </c>
      <c r="Y1563" s="62" t="s">
        <v>6</v>
      </c>
      <c r="Z1563" s="252"/>
      <c r="AB1563" s="9" t="s">
        <v>2</v>
      </c>
      <c r="AC1563" s="6" t="s">
        <v>3</v>
      </c>
      <c r="AD1563" s="7" t="s">
        <v>4</v>
      </c>
      <c r="AE1563" s="7" t="s">
        <v>5</v>
      </c>
      <c r="AF1563" s="48" t="s">
        <v>20</v>
      </c>
      <c r="AG1563" s="8" t="s">
        <v>21</v>
      </c>
      <c r="AH1563" s="5" t="s">
        <v>6</v>
      </c>
      <c r="AI1563" s="6" t="s">
        <v>3</v>
      </c>
      <c r="AJ1563" s="7" t="s">
        <v>4</v>
      </c>
      <c r="AK1563" s="7" t="s">
        <v>5</v>
      </c>
      <c r="AL1563" s="48" t="s">
        <v>20</v>
      </c>
      <c r="AM1563" s="8" t="s">
        <v>21</v>
      </c>
      <c r="AN1563" s="5" t="s">
        <v>6</v>
      </c>
      <c r="AO1563" s="6" t="s">
        <v>3</v>
      </c>
      <c r="AP1563" s="7" t="s">
        <v>4</v>
      </c>
      <c r="AQ1563" s="7" t="s">
        <v>5</v>
      </c>
      <c r="AR1563" s="48" t="s">
        <v>20</v>
      </c>
      <c r="AS1563" s="8" t="s">
        <v>21</v>
      </c>
      <c r="AT1563" s="5" t="s">
        <v>6</v>
      </c>
      <c r="AU1563" s="7" t="s">
        <v>3</v>
      </c>
      <c r="AV1563" s="7" t="s">
        <v>4</v>
      </c>
      <c r="AW1563" s="7" t="s">
        <v>5</v>
      </c>
      <c r="AX1563" s="48" t="s">
        <v>20</v>
      </c>
      <c r="AY1563" s="109" t="s">
        <v>21</v>
      </c>
      <c r="AZ1563" s="62" t="s">
        <v>6</v>
      </c>
      <c r="BA1563" s="244"/>
    </row>
    <row r="1564" spans="1:54" ht="14.25" x14ac:dyDescent="0.15">
      <c r="A1564" s="103" t="s">
        <v>43</v>
      </c>
      <c r="B1564" s="104">
        <f>B1558</f>
        <v>3</v>
      </c>
      <c r="C1564" s="105">
        <f>C1558</f>
        <v>4</v>
      </c>
      <c r="D1564" s="105">
        <f>D1558</f>
        <v>5</v>
      </c>
      <c r="E1564" s="105">
        <f>E1558</f>
        <v>3</v>
      </c>
      <c r="F1564" s="105">
        <f>F1558</f>
        <v>2</v>
      </c>
      <c r="G1564" s="106">
        <f t="shared" ref="G1564" si="1300">SUM(B1564:F1564)</f>
        <v>17</v>
      </c>
      <c r="H1564" s="104">
        <f>H1558</f>
        <v>5</v>
      </c>
      <c r="I1564" s="105">
        <f>I1558</f>
        <v>4</v>
      </c>
      <c r="J1564" s="105">
        <f>J1558</f>
        <v>4</v>
      </c>
      <c r="K1564" s="105">
        <f>K1558</f>
        <v>4</v>
      </c>
      <c r="L1564" s="105">
        <f>L1558</f>
        <v>7</v>
      </c>
      <c r="M1564" s="107">
        <f t="shared" ref="M1564:M1594" si="1301">SUM(H1564:L1564)</f>
        <v>24</v>
      </c>
      <c r="N1564" s="104">
        <f>N1558</f>
        <v>5</v>
      </c>
      <c r="O1564" s="105">
        <f>O1558</f>
        <v>2</v>
      </c>
      <c r="P1564" s="105">
        <f>P1558</f>
        <v>5</v>
      </c>
      <c r="Q1564" s="105">
        <f>Q1558</f>
        <v>6</v>
      </c>
      <c r="R1564" s="105">
        <f>R1558</f>
        <v>3</v>
      </c>
      <c r="S1564" s="108">
        <f t="shared" ref="S1564:S1593" si="1302">SUM(N1564:R1564)</f>
        <v>21</v>
      </c>
      <c r="T1564" s="104">
        <f>T1558</f>
        <v>4</v>
      </c>
      <c r="U1564" s="105">
        <f>U1558</f>
        <v>4</v>
      </c>
      <c r="V1564" s="105">
        <f>V1558</f>
        <v>4</v>
      </c>
      <c r="W1564" s="105">
        <f>W1558</f>
        <v>2</v>
      </c>
      <c r="X1564" s="105">
        <f>X1558</f>
        <v>3</v>
      </c>
      <c r="Y1564" s="106">
        <f t="shared" ref="Y1564:Y1565" si="1303">SUM(T1564:X1564)</f>
        <v>17</v>
      </c>
      <c r="Z1564" s="106">
        <f t="shared" ref="Z1564:Z1566" si="1304">G1564+M1564+S1564+Y1564</f>
        <v>79</v>
      </c>
      <c r="AB1564" s="103" t="s">
        <v>43</v>
      </c>
      <c r="AC1564" s="104">
        <f>AC1558</f>
        <v>96</v>
      </c>
      <c r="AD1564" s="105">
        <f>AD1558</f>
        <v>69</v>
      </c>
      <c r="AE1564" s="105">
        <f>AE1558</f>
        <v>69</v>
      </c>
      <c r="AF1564" s="105">
        <f>AF1558</f>
        <v>45</v>
      </c>
      <c r="AG1564" s="105">
        <f>AG1558</f>
        <v>22</v>
      </c>
      <c r="AH1564" s="106">
        <f>SUM(AC1564:AG1564)</f>
        <v>301</v>
      </c>
      <c r="AI1564" s="104">
        <f>AI1558</f>
        <v>84</v>
      </c>
      <c r="AJ1564" s="105">
        <f>AJ1558</f>
        <v>74</v>
      </c>
      <c r="AK1564" s="105">
        <f>AK1558</f>
        <v>83</v>
      </c>
      <c r="AL1564" s="105">
        <f>AL1558</f>
        <v>71</v>
      </c>
      <c r="AM1564" s="105">
        <f>AM1558</f>
        <v>83</v>
      </c>
      <c r="AN1564" s="107">
        <f>SUM(AI1564:AM1564)</f>
        <v>395</v>
      </c>
      <c r="AO1564" s="104">
        <f>AO1558</f>
        <v>143</v>
      </c>
      <c r="AP1564" s="105">
        <f>AP1558</f>
        <v>98</v>
      </c>
      <c r="AQ1564" s="105">
        <f>AQ1558</f>
        <v>102</v>
      </c>
      <c r="AR1564" s="105">
        <f>AR1558</f>
        <v>117</v>
      </c>
      <c r="AS1564" s="105">
        <f>AS1558</f>
        <v>127</v>
      </c>
      <c r="AT1564" s="108">
        <f>SUM(AO1564:AS1564)</f>
        <v>587</v>
      </c>
      <c r="AU1564" s="104">
        <f>AU1558</f>
        <v>111</v>
      </c>
      <c r="AV1564" s="105">
        <f>AV1558</f>
        <v>58</v>
      </c>
      <c r="AW1564" s="105">
        <f>AW1558</f>
        <v>28</v>
      </c>
      <c r="AX1564" s="105">
        <f>AX1558</f>
        <v>22</v>
      </c>
      <c r="AY1564" s="105">
        <f>AY1558</f>
        <v>69</v>
      </c>
      <c r="AZ1564" s="106">
        <f>SUM(AU1564:AY1564)</f>
        <v>288</v>
      </c>
      <c r="BA1564" s="106">
        <f>AH1564+AN1564+AT1564+AZ1564</f>
        <v>1571</v>
      </c>
    </row>
    <row r="1565" spans="1:54" ht="14.25" x14ac:dyDescent="0.15">
      <c r="A1565" s="10" t="s">
        <v>181</v>
      </c>
      <c r="B1565" s="14">
        <v>2</v>
      </c>
      <c r="C1565" s="15">
        <v>2</v>
      </c>
      <c r="D1565" s="15"/>
      <c r="E1565" s="15"/>
      <c r="F1565" s="15">
        <v>2</v>
      </c>
      <c r="G1565" s="43">
        <f t="shared" ref="G1565" si="1305">SUM(B1565:F1565)</f>
        <v>6</v>
      </c>
      <c r="H1565" s="14"/>
      <c r="I1565" s="15"/>
      <c r="J1565" s="15">
        <v>2</v>
      </c>
      <c r="K1565" s="15"/>
      <c r="L1565" s="15"/>
      <c r="M1565" s="43">
        <f t="shared" ref="M1565:M1567" si="1306">SUM(H1565:L1565)</f>
        <v>2</v>
      </c>
      <c r="N1565" s="14"/>
      <c r="O1565" s="55">
        <v>4</v>
      </c>
      <c r="P1565" s="55">
        <v>2</v>
      </c>
      <c r="Q1565" s="55"/>
      <c r="R1565" s="67"/>
      <c r="S1565" s="24">
        <f t="shared" ref="S1565:S1567" si="1307">SUM(N1565:R1565)</f>
        <v>6</v>
      </c>
      <c r="T1565" s="15"/>
      <c r="U1565" s="55"/>
      <c r="V1565" s="55"/>
      <c r="W1565" s="55">
        <v>4</v>
      </c>
      <c r="X1565" s="67">
        <v>2</v>
      </c>
      <c r="Y1565" s="24">
        <f t="shared" si="1303"/>
        <v>6</v>
      </c>
      <c r="Z1565" s="24">
        <f t="shared" si="1304"/>
        <v>20</v>
      </c>
      <c r="AA1565" s="83">
        <v>45323</v>
      </c>
      <c r="AB1565" s="10" t="s">
        <v>181</v>
      </c>
      <c r="AC1565" s="14"/>
      <c r="AD1565" s="15"/>
      <c r="AE1565" s="15"/>
      <c r="AF1565" s="15"/>
      <c r="AG1565" s="15"/>
      <c r="AH1565" s="43">
        <f t="shared" ref="AH1565:AH1569" si="1308">SUM(AC1565:AG1565)</f>
        <v>0</v>
      </c>
      <c r="AI1565" s="14"/>
      <c r="AJ1565" s="15"/>
      <c r="AK1565" s="15"/>
      <c r="AL1565" s="15"/>
      <c r="AM1565" s="15"/>
      <c r="AN1565" s="43">
        <f t="shared" ref="AN1565:AN1569" si="1309">SUM(AI1565:AM1565)</f>
        <v>0</v>
      </c>
      <c r="AO1565" s="14"/>
      <c r="AP1565" s="55"/>
      <c r="AQ1565" s="55"/>
      <c r="AR1565" s="55"/>
      <c r="AS1565" s="67"/>
      <c r="AT1565" s="24">
        <f t="shared" ref="AT1565:AT1569" si="1310">SUM(AO1565:AS1565)</f>
        <v>0</v>
      </c>
      <c r="AU1565" s="15"/>
      <c r="AV1565" s="55"/>
      <c r="AW1565" s="55"/>
      <c r="AX1565" s="55"/>
      <c r="AY1565" s="67"/>
      <c r="AZ1565" s="24">
        <f t="shared" ref="AZ1565:AZ1579" si="1311">SUM(AU1565:AY1565)</f>
        <v>0</v>
      </c>
      <c r="BA1565" s="24">
        <f t="shared" ref="BA1565:BA1579" si="1312">AH1565+AN1565+AT1565+AZ1565</f>
        <v>0</v>
      </c>
    </row>
    <row r="1566" spans="1:54" ht="14.25" x14ac:dyDescent="0.15">
      <c r="A1566" s="10" t="s">
        <v>77</v>
      </c>
      <c r="B1566" s="14"/>
      <c r="C1566" s="15"/>
      <c r="D1566" s="15">
        <v>1</v>
      </c>
      <c r="E1566" s="15"/>
      <c r="F1566" s="15"/>
      <c r="G1566" s="43">
        <f t="shared" ref="G1566:G1567" si="1313">SUM(B1566:F1566)</f>
        <v>1</v>
      </c>
      <c r="H1566" s="14"/>
      <c r="I1566" s="15"/>
      <c r="J1566" s="15"/>
      <c r="K1566" s="15"/>
      <c r="L1566" s="15"/>
      <c r="M1566" s="43">
        <f t="shared" si="1306"/>
        <v>0</v>
      </c>
      <c r="N1566" s="14"/>
      <c r="O1566" s="55"/>
      <c r="P1566" s="55"/>
      <c r="Q1566" s="55"/>
      <c r="R1566" s="67"/>
      <c r="S1566" s="24">
        <f t="shared" si="1307"/>
        <v>0</v>
      </c>
      <c r="T1566" s="15"/>
      <c r="U1566" s="55"/>
      <c r="V1566" s="55"/>
      <c r="W1566" s="55"/>
      <c r="X1566" s="67"/>
      <c r="Y1566" s="24">
        <f t="shared" ref="Y1566:Y1567" si="1314">SUM(T1566:X1566)</f>
        <v>0</v>
      </c>
      <c r="Z1566" s="24">
        <f t="shared" si="1304"/>
        <v>1</v>
      </c>
      <c r="AA1566" s="83">
        <v>45331</v>
      </c>
      <c r="AB1566" s="10" t="s">
        <v>181</v>
      </c>
      <c r="AC1566" s="14"/>
      <c r="AD1566" s="15"/>
      <c r="AE1566" s="15"/>
      <c r="AF1566" s="15"/>
      <c r="AG1566" s="15"/>
      <c r="AH1566" s="43">
        <f t="shared" si="1308"/>
        <v>0</v>
      </c>
      <c r="AI1566" s="14"/>
      <c r="AJ1566" s="15"/>
      <c r="AK1566" s="15"/>
      <c r="AL1566" s="15"/>
      <c r="AM1566" s="15"/>
      <c r="AN1566" s="43">
        <f t="shared" si="1309"/>
        <v>0</v>
      </c>
      <c r="AO1566" s="14"/>
      <c r="AP1566" s="55"/>
      <c r="AQ1566" s="55"/>
      <c r="AR1566" s="55"/>
      <c r="AS1566" s="67"/>
      <c r="AT1566" s="24">
        <f t="shared" si="1310"/>
        <v>0</v>
      </c>
      <c r="AU1566" s="15"/>
      <c r="AV1566" s="55"/>
      <c r="AW1566" s="55"/>
      <c r="AX1566" s="55"/>
      <c r="AY1566" s="67"/>
      <c r="AZ1566" s="24">
        <f t="shared" si="1311"/>
        <v>0</v>
      </c>
      <c r="BA1566" s="24">
        <f t="shared" si="1312"/>
        <v>0</v>
      </c>
    </row>
    <row r="1567" spans="1:54" ht="14.25" x14ac:dyDescent="0.15">
      <c r="A1567" s="10" t="s">
        <v>181</v>
      </c>
      <c r="B1567" s="14"/>
      <c r="C1567" s="15">
        <v>3</v>
      </c>
      <c r="D1567" s="15"/>
      <c r="E1567" s="15">
        <v>5</v>
      </c>
      <c r="F1567" s="15">
        <v>3</v>
      </c>
      <c r="G1567" s="43">
        <f t="shared" si="1313"/>
        <v>11</v>
      </c>
      <c r="H1567" s="14"/>
      <c r="I1567" s="15"/>
      <c r="J1567" s="15"/>
      <c r="K1567" s="15"/>
      <c r="L1567" s="15"/>
      <c r="M1567" s="43">
        <f t="shared" si="1306"/>
        <v>0</v>
      </c>
      <c r="N1567" s="14"/>
      <c r="O1567" s="55"/>
      <c r="P1567" s="55"/>
      <c r="Q1567" s="55"/>
      <c r="R1567" s="67"/>
      <c r="S1567" s="24">
        <f t="shared" si="1307"/>
        <v>0</v>
      </c>
      <c r="T1567" s="15"/>
      <c r="U1567" s="55"/>
      <c r="V1567" s="55">
        <v>3</v>
      </c>
      <c r="W1567" s="55"/>
      <c r="X1567" s="67"/>
      <c r="Y1567" s="24">
        <f t="shared" si="1314"/>
        <v>3</v>
      </c>
      <c r="Z1567" s="24">
        <f>G1567+M1567+S1567+Y1567</f>
        <v>14</v>
      </c>
      <c r="AA1567" s="83">
        <v>45339</v>
      </c>
      <c r="AB1567" s="10" t="s">
        <v>181</v>
      </c>
      <c r="AC1567" s="14"/>
      <c r="AD1567" s="15"/>
      <c r="AE1567" s="15"/>
      <c r="AF1567" s="15"/>
      <c r="AG1567" s="15"/>
      <c r="AH1567" s="43">
        <f t="shared" si="1308"/>
        <v>0</v>
      </c>
      <c r="AI1567" s="14"/>
      <c r="AJ1567" s="15"/>
      <c r="AK1567" s="15"/>
      <c r="AL1567" s="15"/>
      <c r="AM1567" s="15"/>
      <c r="AN1567" s="43">
        <f t="shared" si="1309"/>
        <v>0</v>
      </c>
      <c r="AO1567" s="14"/>
      <c r="AP1567" s="55"/>
      <c r="AQ1567" s="55"/>
      <c r="AR1567" s="55"/>
      <c r="AS1567" s="67"/>
      <c r="AT1567" s="24">
        <f t="shared" si="1310"/>
        <v>0</v>
      </c>
      <c r="AU1567" s="15"/>
      <c r="AV1567" s="55"/>
      <c r="AW1567" s="55"/>
      <c r="AX1567" s="55"/>
      <c r="AY1567" s="67"/>
      <c r="AZ1567" s="24">
        <f t="shared" si="1311"/>
        <v>0</v>
      </c>
      <c r="BA1567" s="24">
        <f t="shared" si="1312"/>
        <v>0</v>
      </c>
    </row>
    <row r="1568" spans="1:54" ht="15" thickBot="1" x14ac:dyDescent="0.2">
      <c r="A1568" s="10" t="s">
        <v>77</v>
      </c>
      <c r="B1568" s="14"/>
      <c r="C1568" s="15"/>
      <c r="D1568" s="15"/>
      <c r="E1568" s="15"/>
      <c r="F1568" s="15">
        <v>1</v>
      </c>
      <c r="G1568" s="43">
        <f t="shared" ref="G1568" si="1315">SUM(B1568:F1568)</f>
        <v>1</v>
      </c>
      <c r="H1568" s="14"/>
      <c r="I1568" s="15"/>
      <c r="J1568" s="15"/>
      <c r="K1568" s="15"/>
      <c r="L1568" s="15"/>
      <c r="M1568" s="43">
        <f t="shared" si="1301"/>
        <v>0</v>
      </c>
      <c r="N1568" s="14"/>
      <c r="O1568" s="55"/>
      <c r="P1568" s="55"/>
      <c r="Q1568" s="55"/>
      <c r="R1568" s="67"/>
      <c r="S1568" s="24">
        <f t="shared" si="1302"/>
        <v>0</v>
      </c>
      <c r="T1568" s="15"/>
      <c r="U1568" s="55"/>
      <c r="V1568" s="55"/>
      <c r="W1568" s="55"/>
      <c r="X1568" s="67"/>
      <c r="Y1568" s="24">
        <f t="shared" ref="Y1568:Y1593" si="1316">SUM(T1568:X1568)</f>
        <v>0</v>
      </c>
      <c r="Z1568" s="24">
        <f>G1568+M1568+S1568+Y1568</f>
        <v>1</v>
      </c>
      <c r="AA1568" s="83">
        <v>45359</v>
      </c>
      <c r="AB1568" s="10" t="s">
        <v>181</v>
      </c>
      <c r="AC1568" s="14"/>
      <c r="AD1568" s="15"/>
      <c r="AE1568" s="15"/>
      <c r="AF1568" s="15"/>
      <c r="AG1568" s="15"/>
      <c r="AH1568" s="43">
        <f t="shared" ref="AH1568" si="1317">SUM(AC1568:AG1568)</f>
        <v>0</v>
      </c>
      <c r="AI1568" s="14"/>
      <c r="AJ1568" s="15"/>
      <c r="AK1568" s="15"/>
      <c r="AL1568" s="15"/>
      <c r="AM1568" s="15"/>
      <c r="AN1568" s="43">
        <f t="shared" ref="AN1568" si="1318">SUM(AI1568:AM1568)</f>
        <v>0</v>
      </c>
      <c r="AO1568" s="14"/>
      <c r="AP1568" s="55"/>
      <c r="AQ1568" s="55"/>
      <c r="AR1568" s="55"/>
      <c r="AS1568" s="67"/>
      <c r="AT1568" s="24">
        <f t="shared" ref="AT1568" si="1319">SUM(AO1568:AS1568)</f>
        <v>0</v>
      </c>
      <c r="AU1568" s="15"/>
      <c r="AV1568" s="55"/>
      <c r="AW1568" s="55"/>
      <c r="AX1568" s="55"/>
      <c r="AY1568" s="67"/>
      <c r="AZ1568" s="24">
        <f t="shared" ref="AZ1568" si="1320">SUM(AU1568:AY1568)</f>
        <v>0</v>
      </c>
      <c r="BA1568" s="24">
        <f t="shared" ref="BA1568" si="1321">AH1568+AN1568+AT1568+AZ1568</f>
        <v>0</v>
      </c>
    </row>
    <row r="1569" spans="1:54" ht="15" thickBot="1" x14ac:dyDescent="0.2">
      <c r="A1569" s="4" t="s">
        <v>12</v>
      </c>
      <c r="B1569" s="17">
        <f>SUM(B1564:B1568)</f>
        <v>5</v>
      </c>
      <c r="C1569" s="18">
        <f>SUM(C1564:C1568)</f>
        <v>9</v>
      </c>
      <c r="D1569" s="18">
        <f>SUM(D1564:D1568)</f>
        <v>6</v>
      </c>
      <c r="E1569" s="18">
        <f>SUM(E1564:E1568)</f>
        <v>8</v>
      </c>
      <c r="F1569" s="18">
        <f>SUM(F1564:F1568)</f>
        <v>8</v>
      </c>
      <c r="G1569" s="148">
        <f t="shared" ref="G1569:G1594" si="1322">SUM(B1569:F1569)</f>
        <v>36</v>
      </c>
      <c r="H1569" s="17">
        <f>SUM(H1564:H1568)</f>
        <v>5</v>
      </c>
      <c r="I1569" s="18">
        <f>SUM(I1564:I1568)</f>
        <v>4</v>
      </c>
      <c r="J1569" s="18">
        <f>SUM(J1564:J1568)</f>
        <v>6</v>
      </c>
      <c r="K1569" s="18">
        <f>SUM(K1564:K1568)</f>
        <v>4</v>
      </c>
      <c r="L1569" s="18">
        <f>SUM(L1564:L1568)</f>
        <v>7</v>
      </c>
      <c r="M1569" s="17">
        <f t="shared" si="1301"/>
        <v>26</v>
      </c>
      <c r="N1569" s="65">
        <f>SUM(N1564:N1568)</f>
        <v>5</v>
      </c>
      <c r="O1569" s="18">
        <f>SUM(O1564:O1568)</f>
        <v>6</v>
      </c>
      <c r="P1569" s="18">
        <f>SUM(P1564:P1568)</f>
        <v>7</v>
      </c>
      <c r="Q1569" s="18">
        <f>SUM(Q1564:Q1568)</f>
        <v>6</v>
      </c>
      <c r="R1569" s="70">
        <f>SUM(R1564:R1568)</f>
        <v>3</v>
      </c>
      <c r="S1569" s="49">
        <f t="shared" si="1302"/>
        <v>27</v>
      </c>
      <c r="T1569" s="74">
        <f>SUM(T1564:T1568)</f>
        <v>4</v>
      </c>
      <c r="U1569" s="18">
        <f>SUM(U1564:U1568)</f>
        <v>4</v>
      </c>
      <c r="V1569" s="18">
        <f>SUM(V1564:V1568)</f>
        <v>7</v>
      </c>
      <c r="W1569" s="18">
        <f>SUM(W1564:W1568)</f>
        <v>6</v>
      </c>
      <c r="X1569" s="70">
        <f>SUM(X1564:X1568)</f>
        <v>5</v>
      </c>
      <c r="Y1569" s="49">
        <f t="shared" si="1316"/>
        <v>26</v>
      </c>
      <c r="Z1569" s="33">
        <f t="shared" ref="Z1569:Z1593" si="1323">G1569+M1569+S1569+Y1569</f>
        <v>115</v>
      </c>
      <c r="AB1569" s="4" t="s">
        <v>12</v>
      </c>
      <c r="AC1569" s="17">
        <f>SUM(AC1564:AC1568)</f>
        <v>96</v>
      </c>
      <c r="AD1569" s="18">
        <f>SUM(AD1564:AD1568)</f>
        <v>69</v>
      </c>
      <c r="AE1569" s="18">
        <f>SUM(AE1564:AE1568)</f>
        <v>69</v>
      </c>
      <c r="AF1569" s="18">
        <f>SUM(AF1564:AF1568)</f>
        <v>45</v>
      </c>
      <c r="AG1569" s="18">
        <f>SUM(AG1564:AG1568)</f>
        <v>22</v>
      </c>
      <c r="AH1569" s="148">
        <f t="shared" si="1308"/>
        <v>301</v>
      </c>
      <c r="AI1569" s="17">
        <f>SUM(AI1564:AI1568)</f>
        <v>84</v>
      </c>
      <c r="AJ1569" s="18">
        <f>SUM(AJ1564:AJ1568)</f>
        <v>74</v>
      </c>
      <c r="AK1569" s="18">
        <f>SUM(AK1564:AK1568)</f>
        <v>83</v>
      </c>
      <c r="AL1569" s="18">
        <f>SUM(AL1564:AL1568)</f>
        <v>71</v>
      </c>
      <c r="AM1569" s="18">
        <f>SUM(AM1564:AM1568)</f>
        <v>83</v>
      </c>
      <c r="AN1569" s="148">
        <f t="shared" si="1309"/>
        <v>395</v>
      </c>
      <c r="AO1569" s="65">
        <f>SUM(AO1564:AO1568)</f>
        <v>143</v>
      </c>
      <c r="AP1569" s="18">
        <f>SUM(AP1564:AP1568)</f>
        <v>98</v>
      </c>
      <c r="AQ1569" s="18">
        <f>SUM(AQ1564:AQ1568)</f>
        <v>102</v>
      </c>
      <c r="AR1569" s="18">
        <f>SUM(AR1564:AR1568)</f>
        <v>117</v>
      </c>
      <c r="AS1569" s="70">
        <f>SUM(AS1564:AS1568)</f>
        <v>127</v>
      </c>
      <c r="AT1569" s="49">
        <f t="shared" si="1310"/>
        <v>587</v>
      </c>
      <c r="AU1569" s="74">
        <f>SUM(AU1564:AU1568)</f>
        <v>111</v>
      </c>
      <c r="AV1569" s="18">
        <f>SUM(AV1564:AV1568)</f>
        <v>58</v>
      </c>
      <c r="AW1569" s="18">
        <f>SUM(AW1564:AW1568)</f>
        <v>28</v>
      </c>
      <c r="AX1569" s="18">
        <f>SUM(AX1564:AX1568)</f>
        <v>22</v>
      </c>
      <c r="AY1569" s="70">
        <f>SUM(AY1564:AY1568)</f>
        <v>69</v>
      </c>
      <c r="AZ1569" s="49">
        <f t="shared" si="1311"/>
        <v>288</v>
      </c>
      <c r="BA1569" s="33">
        <f t="shared" si="1312"/>
        <v>1571</v>
      </c>
    </row>
    <row r="1570" spans="1:54" ht="14.25" x14ac:dyDescent="0.15">
      <c r="A1570" s="23" t="s">
        <v>48</v>
      </c>
      <c r="B1570" s="41"/>
      <c r="C1570" s="42"/>
      <c r="D1570" s="42"/>
      <c r="E1570" s="42"/>
      <c r="F1570" s="42"/>
      <c r="G1570" s="43">
        <f t="shared" ref="G1570:G1593" si="1324">SUM(B1570:F1570)</f>
        <v>0</v>
      </c>
      <c r="H1570" s="41"/>
      <c r="I1570" s="42"/>
      <c r="J1570" s="42">
        <v>1</v>
      </c>
      <c r="K1570" s="42"/>
      <c r="L1570" s="42"/>
      <c r="M1570" s="43">
        <f t="shared" ref="M1570:M1593" si="1325">SUM(H1570:L1570)</f>
        <v>1</v>
      </c>
      <c r="N1570" s="42"/>
      <c r="O1570" s="53"/>
      <c r="P1570" s="53"/>
      <c r="Q1570" s="53"/>
      <c r="R1570" s="72"/>
      <c r="S1570" s="24">
        <f t="shared" si="1302"/>
        <v>0</v>
      </c>
      <c r="T1570" s="42"/>
      <c r="U1570" s="53"/>
      <c r="V1570" s="53"/>
      <c r="W1570" s="53"/>
      <c r="X1570" s="72"/>
      <c r="Y1570" s="24">
        <f t="shared" si="1316"/>
        <v>0</v>
      </c>
      <c r="Z1570" s="24">
        <f t="shared" si="1323"/>
        <v>1</v>
      </c>
      <c r="AA1570" s="83">
        <v>45321</v>
      </c>
      <c r="AB1570" s="23" t="s">
        <v>126</v>
      </c>
      <c r="AC1570" s="38"/>
      <c r="AD1570" s="39">
        <v>2</v>
      </c>
      <c r="AE1570" s="39"/>
      <c r="AF1570" s="39"/>
      <c r="AG1570" s="39"/>
      <c r="AH1570" s="37">
        <f t="shared" ref="AH1570:AH1572" si="1326">SUM(AC1570:AG1570)</f>
        <v>2</v>
      </c>
      <c r="AI1570" s="38"/>
      <c r="AJ1570" s="39"/>
      <c r="AK1570" s="39"/>
      <c r="AL1570" s="39"/>
      <c r="AM1570" s="39">
        <v>2</v>
      </c>
      <c r="AN1570" s="37">
        <f t="shared" ref="AN1570:AN1572" si="1327">SUM(AI1570:AM1570)</f>
        <v>2</v>
      </c>
      <c r="AO1570" s="39"/>
      <c r="AP1570" s="56">
        <v>2</v>
      </c>
      <c r="AQ1570" s="56">
        <v>2</v>
      </c>
      <c r="AR1570" s="56"/>
      <c r="AS1570" s="71"/>
      <c r="AT1570" s="16">
        <f t="shared" ref="AT1570:AT1572" si="1328">SUM(AO1570:AS1570)</f>
        <v>4</v>
      </c>
      <c r="AU1570" s="39"/>
      <c r="AV1570" s="56"/>
      <c r="AW1570" s="56"/>
      <c r="AX1570" s="56">
        <v>2</v>
      </c>
      <c r="AY1570" s="71"/>
      <c r="AZ1570" s="16">
        <f t="shared" ref="AZ1570" si="1329">SUM(AU1570:AY1570)</f>
        <v>2</v>
      </c>
      <c r="BA1570" s="16">
        <f t="shared" ref="BA1570" si="1330">AH1570+AN1570+AT1570+AZ1570</f>
        <v>10</v>
      </c>
      <c r="BB1570" s="83">
        <v>45330</v>
      </c>
    </row>
    <row r="1571" spans="1:54" ht="14.25" x14ac:dyDescent="0.15">
      <c r="A1571" s="23" t="s">
        <v>434</v>
      </c>
      <c r="B1571" s="41"/>
      <c r="C1571" s="42"/>
      <c r="D1571" s="42"/>
      <c r="E1571" s="42"/>
      <c r="F1571" s="42"/>
      <c r="G1571" s="43">
        <f t="shared" si="1324"/>
        <v>0</v>
      </c>
      <c r="H1571" s="41"/>
      <c r="I1571" s="42"/>
      <c r="J1571" s="42"/>
      <c r="K1571" s="42"/>
      <c r="L1571" s="42"/>
      <c r="M1571" s="43">
        <f t="shared" si="1325"/>
        <v>0</v>
      </c>
      <c r="N1571" s="42"/>
      <c r="O1571" s="53"/>
      <c r="P1571" s="53"/>
      <c r="Q1571" s="53"/>
      <c r="R1571" s="72"/>
      <c r="S1571" s="24">
        <f t="shared" si="1302"/>
        <v>0</v>
      </c>
      <c r="T1571" s="42"/>
      <c r="U1571" s="53"/>
      <c r="V1571" s="53"/>
      <c r="W1571" s="53">
        <v>1</v>
      </c>
      <c r="X1571" s="72"/>
      <c r="Y1571" s="24">
        <f t="shared" si="1316"/>
        <v>1</v>
      </c>
      <c r="Z1571" s="24">
        <f t="shared" si="1323"/>
        <v>1</v>
      </c>
      <c r="AA1571" s="83">
        <v>45324</v>
      </c>
      <c r="AB1571" s="23" t="s">
        <v>126</v>
      </c>
      <c r="AC1571" s="38"/>
      <c r="AD1571" s="39">
        <v>3</v>
      </c>
      <c r="AE1571" s="39"/>
      <c r="AF1571" s="39">
        <v>5</v>
      </c>
      <c r="AG1571" s="39">
        <v>3</v>
      </c>
      <c r="AH1571" s="37">
        <f t="shared" si="1326"/>
        <v>11</v>
      </c>
      <c r="AI1571" s="38"/>
      <c r="AJ1571" s="39"/>
      <c r="AK1571" s="39"/>
      <c r="AL1571" s="39"/>
      <c r="AM1571" s="39"/>
      <c r="AN1571" s="37">
        <f t="shared" si="1327"/>
        <v>0</v>
      </c>
      <c r="AO1571" s="39"/>
      <c r="AP1571" s="56"/>
      <c r="AQ1571" s="56"/>
      <c r="AR1571" s="56"/>
      <c r="AS1571" s="71"/>
      <c r="AT1571" s="16">
        <f t="shared" si="1328"/>
        <v>0</v>
      </c>
      <c r="AU1571" s="39"/>
      <c r="AV1571" s="56"/>
      <c r="AW1571" s="56">
        <v>3</v>
      </c>
      <c r="AX1571" s="56"/>
      <c r="AY1571" s="71"/>
      <c r="AZ1571" s="16">
        <f t="shared" ref="AZ1571" si="1331">SUM(AU1571:AY1571)</f>
        <v>3</v>
      </c>
      <c r="BA1571" s="16">
        <f>AH1571+AN1571+AT1571+AZ1571</f>
        <v>14</v>
      </c>
      <c r="BB1571" s="83">
        <v>45339</v>
      </c>
    </row>
    <row r="1572" spans="1:54" ht="14.25" x14ac:dyDescent="0.15">
      <c r="A1572" s="23" t="s">
        <v>434</v>
      </c>
      <c r="B1572" s="41"/>
      <c r="C1572" s="42"/>
      <c r="D1572" s="42"/>
      <c r="E1572" s="42"/>
      <c r="F1572" s="42"/>
      <c r="G1572" s="43">
        <f t="shared" si="1324"/>
        <v>0</v>
      </c>
      <c r="H1572" s="41"/>
      <c r="I1572" s="42"/>
      <c r="J1572" s="42"/>
      <c r="K1572" s="42"/>
      <c r="L1572" s="42"/>
      <c r="M1572" s="43">
        <f t="shared" si="1325"/>
        <v>0</v>
      </c>
      <c r="N1572" s="42"/>
      <c r="O1572" s="53">
        <v>1</v>
      </c>
      <c r="P1572" s="53"/>
      <c r="Q1572" s="53"/>
      <c r="R1572" s="72"/>
      <c r="S1572" s="24">
        <f t="shared" si="1302"/>
        <v>1</v>
      </c>
      <c r="T1572" s="42"/>
      <c r="U1572" s="53"/>
      <c r="V1572" s="53"/>
      <c r="W1572" s="53"/>
      <c r="X1572" s="72"/>
      <c r="Y1572" s="24">
        <f t="shared" si="1316"/>
        <v>0</v>
      </c>
      <c r="Z1572" s="24">
        <f t="shared" si="1323"/>
        <v>1</v>
      </c>
      <c r="AA1572" s="83">
        <v>45324</v>
      </c>
      <c r="AB1572" s="23"/>
      <c r="AC1572" s="38"/>
      <c r="AD1572" s="39"/>
      <c r="AE1572" s="39"/>
      <c r="AF1572" s="39"/>
      <c r="AG1572" s="39"/>
      <c r="AH1572" s="37">
        <f t="shared" si="1326"/>
        <v>0</v>
      </c>
      <c r="AI1572" s="38"/>
      <c r="AJ1572" s="39"/>
      <c r="AK1572" s="39"/>
      <c r="AL1572" s="39"/>
      <c r="AM1572" s="39"/>
      <c r="AN1572" s="37">
        <f t="shared" si="1327"/>
        <v>0</v>
      </c>
      <c r="AO1572" s="39"/>
      <c r="AP1572" s="56"/>
      <c r="AQ1572" s="56"/>
      <c r="AR1572" s="56"/>
      <c r="AS1572" s="71"/>
      <c r="AT1572" s="16">
        <f t="shared" si="1328"/>
        <v>0</v>
      </c>
      <c r="AU1572" s="39"/>
      <c r="AV1572" s="56"/>
      <c r="AW1572" s="56"/>
      <c r="AX1572" s="56"/>
      <c r="AY1572" s="71"/>
      <c r="AZ1572" s="16">
        <f t="shared" ref="AZ1572" si="1332">SUM(AU1572:AY1572)</f>
        <v>0</v>
      </c>
      <c r="BA1572" s="16">
        <f t="shared" ref="BA1572" si="1333">AH1572+AN1572+AT1572+AZ1572</f>
        <v>0</v>
      </c>
    </row>
    <row r="1573" spans="1:54" ht="14.25" x14ac:dyDescent="0.15">
      <c r="A1573" s="23" t="s">
        <v>592</v>
      </c>
      <c r="B1573" s="41"/>
      <c r="C1573" s="42"/>
      <c r="D1573" s="42"/>
      <c r="E1573" s="42"/>
      <c r="F1573" s="42"/>
      <c r="G1573" s="43">
        <f t="shared" si="1324"/>
        <v>0</v>
      </c>
      <c r="H1573" s="41"/>
      <c r="I1573" s="42"/>
      <c r="J1573" s="42"/>
      <c r="K1573" s="42"/>
      <c r="L1573" s="42"/>
      <c r="M1573" s="43">
        <f t="shared" si="1325"/>
        <v>0</v>
      </c>
      <c r="N1573" s="42"/>
      <c r="O1573" s="53"/>
      <c r="P1573" s="53"/>
      <c r="Q1573" s="53">
        <v>1</v>
      </c>
      <c r="R1573" s="72">
        <v>-1</v>
      </c>
      <c r="S1573" s="24">
        <f t="shared" si="1302"/>
        <v>0</v>
      </c>
      <c r="T1573" s="42"/>
      <c r="U1573" s="53"/>
      <c r="V1573" s="53"/>
      <c r="W1573" s="53"/>
      <c r="X1573" s="72"/>
      <c r="Y1573" s="24">
        <f t="shared" si="1316"/>
        <v>0</v>
      </c>
      <c r="Z1573" s="24">
        <f t="shared" si="1323"/>
        <v>0</v>
      </c>
      <c r="AA1573" s="83">
        <v>45323</v>
      </c>
      <c r="AB1573" s="23"/>
      <c r="AC1573" s="38"/>
      <c r="AD1573" s="39"/>
      <c r="AE1573" s="39"/>
      <c r="AF1573" s="39"/>
      <c r="AG1573" s="39"/>
      <c r="AH1573" s="37">
        <f t="shared" ref="AH1573:AH1580" si="1334">SUM(AC1573:AG1573)</f>
        <v>0</v>
      </c>
      <c r="AI1573" s="38"/>
      <c r="AJ1573" s="39"/>
      <c r="AK1573" s="39"/>
      <c r="AL1573" s="39"/>
      <c r="AM1573" s="39"/>
      <c r="AN1573" s="37">
        <f t="shared" ref="AN1573:AN1582" si="1335">SUM(AI1573:AM1573)</f>
        <v>0</v>
      </c>
      <c r="AO1573" s="39"/>
      <c r="AP1573" s="56"/>
      <c r="AQ1573" s="56"/>
      <c r="AR1573" s="56"/>
      <c r="AS1573" s="71"/>
      <c r="AT1573" s="16">
        <f t="shared" ref="AT1573:AT1582" si="1336">SUM(AO1573:AS1573)</f>
        <v>0</v>
      </c>
      <c r="AU1573" s="39"/>
      <c r="AV1573" s="56"/>
      <c r="AW1573" s="56"/>
      <c r="AX1573" s="56"/>
      <c r="AY1573" s="71"/>
      <c r="AZ1573" s="16">
        <f t="shared" si="1311"/>
        <v>0</v>
      </c>
      <c r="BA1573" s="16">
        <f t="shared" si="1312"/>
        <v>0</v>
      </c>
    </row>
    <row r="1574" spans="1:54" ht="14.25" x14ac:dyDescent="0.15">
      <c r="A1574" s="23" t="s">
        <v>434</v>
      </c>
      <c r="B1574" s="41"/>
      <c r="C1574" s="42"/>
      <c r="D1574" s="42"/>
      <c r="E1574" s="42"/>
      <c r="F1574" s="42">
        <v>1</v>
      </c>
      <c r="G1574" s="43">
        <f t="shared" si="1324"/>
        <v>1</v>
      </c>
      <c r="H1574" s="41"/>
      <c r="I1574" s="42"/>
      <c r="J1574" s="42"/>
      <c r="K1574" s="42"/>
      <c r="L1574" s="42"/>
      <c r="M1574" s="43">
        <f t="shared" si="1325"/>
        <v>0</v>
      </c>
      <c r="N1574" s="42"/>
      <c r="O1574" s="53"/>
      <c r="P1574" s="53"/>
      <c r="Q1574" s="53"/>
      <c r="R1574" s="72"/>
      <c r="S1574" s="24">
        <f t="shared" si="1302"/>
        <v>0</v>
      </c>
      <c r="T1574" s="42"/>
      <c r="U1574" s="53"/>
      <c r="V1574" s="53"/>
      <c r="W1574" s="53">
        <v>1</v>
      </c>
      <c r="X1574" s="72"/>
      <c r="Y1574" s="24">
        <f t="shared" si="1316"/>
        <v>1</v>
      </c>
      <c r="Z1574" s="24">
        <f t="shared" si="1323"/>
        <v>2</v>
      </c>
      <c r="AA1574" s="83">
        <v>45327</v>
      </c>
      <c r="AB1574" s="23"/>
      <c r="AC1574" s="38"/>
      <c r="AD1574" s="39"/>
      <c r="AE1574" s="39"/>
      <c r="AF1574" s="39"/>
      <c r="AG1574" s="39"/>
      <c r="AH1574" s="37">
        <f t="shared" si="1334"/>
        <v>0</v>
      </c>
      <c r="AI1574" s="38"/>
      <c r="AJ1574" s="39"/>
      <c r="AK1574" s="39"/>
      <c r="AL1574" s="39"/>
      <c r="AM1574" s="39"/>
      <c r="AN1574" s="37">
        <f t="shared" si="1335"/>
        <v>0</v>
      </c>
      <c r="AO1574" s="39"/>
      <c r="AP1574" s="56"/>
      <c r="AQ1574" s="56"/>
      <c r="AR1574" s="56"/>
      <c r="AS1574" s="71"/>
      <c r="AT1574" s="16">
        <f t="shared" si="1336"/>
        <v>0</v>
      </c>
      <c r="AU1574" s="39"/>
      <c r="AV1574" s="56"/>
      <c r="AW1574" s="56"/>
      <c r="AX1574" s="56"/>
      <c r="AY1574" s="71"/>
      <c r="AZ1574" s="16">
        <f t="shared" si="1311"/>
        <v>0</v>
      </c>
      <c r="BA1574" s="16">
        <f t="shared" si="1312"/>
        <v>0</v>
      </c>
    </row>
    <row r="1575" spans="1:54" ht="14.25" x14ac:dyDescent="0.15">
      <c r="A1575" s="23" t="s">
        <v>434</v>
      </c>
      <c r="B1575" s="41"/>
      <c r="C1575" s="42"/>
      <c r="D1575" s="42"/>
      <c r="E1575" s="42"/>
      <c r="F1575" s="42"/>
      <c r="G1575" s="43">
        <f t="shared" si="1324"/>
        <v>0</v>
      </c>
      <c r="H1575" s="41"/>
      <c r="I1575" s="42"/>
      <c r="J1575" s="42"/>
      <c r="K1575" s="42"/>
      <c r="L1575" s="42"/>
      <c r="M1575" s="43">
        <f t="shared" si="1325"/>
        <v>0</v>
      </c>
      <c r="N1575" s="42"/>
      <c r="O1575" s="53"/>
      <c r="P1575" s="53">
        <v>2</v>
      </c>
      <c r="Q1575" s="53"/>
      <c r="R1575" s="72"/>
      <c r="S1575" s="24">
        <f t="shared" si="1302"/>
        <v>2</v>
      </c>
      <c r="T1575" s="42"/>
      <c r="U1575" s="53"/>
      <c r="V1575" s="53"/>
      <c r="W1575" s="53"/>
      <c r="X1575" s="72"/>
      <c r="Y1575" s="24">
        <f t="shared" si="1316"/>
        <v>0</v>
      </c>
      <c r="Z1575" s="24">
        <f t="shared" si="1323"/>
        <v>2</v>
      </c>
      <c r="AA1575" s="83">
        <v>45329</v>
      </c>
      <c r="AB1575" s="23"/>
      <c r="AC1575" s="38"/>
      <c r="AD1575" s="39"/>
      <c r="AE1575" s="39"/>
      <c r="AF1575" s="39"/>
      <c r="AG1575" s="39"/>
      <c r="AH1575" s="37">
        <f t="shared" si="1334"/>
        <v>0</v>
      </c>
      <c r="AI1575" s="38"/>
      <c r="AJ1575" s="39"/>
      <c r="AK1575" s="39"/>
      <c r="AL1575" s="39"/>
      <c r="AM1575" s="39"/>
      <c r="AN1575" s="37">
        <f t="shared" si="1335"/>
        <v>0</v>
      </c>
      <c r="AO1575" s="39"/>
      <c r="AP1575" s="56"/>
      <c r="AQ1575" s="56"/>
      <c r="AR1575" s="56"/>
      <c r="AS1575" s="71"/>
      <c r="AT1575" s="16">
        <f t="shared" si="1336"/>
        <v>0</v>
      </c>
      <c r="AU1575" s="39"/>
      <c r="AV1575" s="56"/>
      <c r="AW1575" s="56"/>
      <c r="AX1575" s="56"/>
      <c r="AY1575" s="71"/>
      <c r="AZ1575" s="16">
        <f t="shared" si="1311"/>
        <v>0</v>
      </c>
      <c r="BA1575" s="16">
        <f t="shared" si="1312"/>
        <v>0</v>
      </c>
    </row>
    <row r="1576" spans="1:54" ht="14.25" x14ac:dyDescent="0.15">
      <c r="A1576" s="23" t="s">
        <v>48</v>
      </c>
      <c r="B1576" s="41"/>
      <c r="C1576" s="42">
        <v>1</v>
      </c>
      <c r="D1576" s="42"/>
      <c r="E1576" s="42"/>
      <c r="F1576" s="42"/>
      <c r="G1576" s="43">
        <f t="shared" si="1324"/>
        <v>1</v>
      </c>
      <c r="H1576" s="41"/>
      <c r="I1576" s="42"/>
      <c r="J1576" s="42"/>
      <c r="K1576" s="42"/>
      <c r="L1576" s="42">
        <v>1</v>
      </c>
      <c r="M1576" s="43">
        <f t="shared" si="1325"/>
        <v>1</v>
      </c>
      <c r="N1576" s="42"/>
      <c r="O1576" s="53"/>
      <c r="P1576" s="53"/>
      <c r="Q1576" s="53"/>
      <c r="R1576" s="72"/>
      <c r="S1576" s="24">
        <f t="shared" si="1302"/>
        <v>0</v>
      </c>
      <c r="T1576" s="42"/>
      <c r="U1576" s="53"/>
      <c r="V1576" s="53"/>
      <c r="W1576" s="53">
        <v>1</v>
      </c>
      <c r="X1576" s="72"/>
      <c r="Y1576" s="24">
        <f t="shared" si="1316"/>
        <v>1</v>
      </c>
      <c r="Z1576" s="24">
        <f t="shared" si="1323"/>
        <v>3</v>
      </c>
      <c r="AA1576" s="83">
        <v>45327</v>
      </c>
      <c r="AB1576" s="23"/>
      <c r="AC1576" s="38"/>
      <c r="AD1576" s="39"/>
      <c r="AE1576" s="39"/>
      <c r="AF1576" s="39"/>
      <c r="AG1576" s="39"/>
      <c r="AH1576" s="37">
        <f t="shared" si="1334"/>
        <v>0</v>
      </c>
      <c r="AI1576" s="38"/>
      <c r="AJ1576" s="39"/>
      <c r="AK1576" s="39"/>
      <c r="AL1576" s="39"/>
      <c r="AM1576" s="39"/>
      <c r="AN1576" s="37">
        <f t="shared" si="1335"/>
        <v>0</v>
      </c>
      <c r="AO1576" s="39"/>
      <c r="AP1576" s="56"/>
      <c r="AQ1576" s="56"/>
      <c r="AR1576" s="56"/>
      <c r="AS1576" s="71"/>
      <c r="AT1576" s="16">
        <f t="shared" si="1336"/>
        <v>0</v>
      </c>
      <c r="AU1576" s="39"/>
      <c r="AV1576" s="56"/>
      <c r="AW1576" s="56"/>
      <c r="AX1576" s="56"/>
      <c r="AY1576" s="71"/>
      <c r="AZ1576" s="16">
        <f t="shared" si="1311"/>
        <v>0</v>
      </c>
      <c r="BA1576" s="16">
        <f t="shared" si="1312"/>
        <v>0</v>
      </c>
    </row>
    <row r="1577" spans="1:54" ht="14.25" x14ac:dyDescent="0.15">
      <c r="A1577" s="23" t="s">
        <v>434</v>
      </c>
      <c r="B1577" s="41"/>
      <c r="C1577" s="42">
        <v>1</v>
      </c>
      <c r="D1577" s="42">
        <v>1</v>
      </c>
      <c r="E1577" s="42"/>
      <c r="F1577" s="42"/>
      <c r="G1577" s="43">
        <f t="shared" si="1324"/>
        <v>2</v>
      </c>
      <c r="H1577" s="41"/>
      <c r="I1577" s="42"/>
      <c r="J1577" s="42"/>
      <c r="K1577" s="42"/>
      <c r="L1577" s="42"/>
      <c r="M1577" s="43">
        <f t="shared" si="1325"/>
        <v>0</v>
      </c>
      <c r="N1577" s="42"/>
      <c r="O1577" s="53"/>
      <c r="P1577" s="53"/>
      <c r="Q1577" s="53"/>
      <c r="R1577" s="72"/>
      <c r="S1577" s="24">
        <f t="shared" si="1302"/>
        <v>0</v>
      </c>
      <c r="T1577" s="42"/>
      <c r="U1577" s="53"/>
      <c r="V1577" s="53"/>
      <c r="W1577" s="53"/>
      <c r="X1577" s="72"/>
      <c r="Y1577" s="24">
        <f t="shared" si="1316"/>
        <v>0</v>
      </c>
      <c r="Z1577" s="24">
        <f t="shared" si="1323"/>
        <v>2</v>
      </c>
      <c r="AA1577" s="83">
        <v>45330</v>
      </c>
      <c r="AB1577" s="23"/>
      <c r="AC1577" s="38"/>
      <c r="AD1577" s="39"/>
      <c r="AE1577" s="39"/>
      <c r="AF1577" s="39"/>
      <c r="AG1577" s="39"/>
      <c r="AH1577" s="37">
        <f t="shared" si="1334"/>
        <v>0</v>
      </c>
      <c r="AI1577" s="38"/>
      <c r="AJ1577" s="39"/>
      <c r="AK1577" s="39"/>
      <c r="AL1577" s="39"/>
      <c r="AM1577" s="39"/>
      <c r="AN1577" s="37">
        <f t="shared" si="1335"/>
        <v>0</v>
      </c>
      <c r="AO1577" s="39"/>
      <c r="AP1577" s="56"/>
      <c r="AQ1577" s="56"/>
      <c r="AR1577" s="56"/>
      <c r="AS1577" s="71"/>
      <c r="AT1577" s="16">
        <f t="shared" si="1336"/>
        <v>0</v>
      </c>
      <c r="AU1577" s="39"/>
      <c r="AV1577" s="56"/>
      <c r="AW1577" s="56"/>
      <c r="AX1577" s="56"/>
      <c r="AY1577" s="71"/>
      <c r="AZ1577" s="16">
        <f t="shared" si="1311"/>
        <v>0</v>
      </c>
      <c r="BA1577" s="16">
        <f t="shared" si="1312"/>
        <v>0</v>
      </c>
    </row>
    <row r="1578" spans="1:54" ht="14.25" x14ac:dyDescent="0.15">
      <c r="A1578" s="23" t="s">
        <v>434</v>
      </c>
      <c r="B1578" s="41"/>
      <c r="C1578" s="42"/>
      <c r="D1578" s="42"/>
      <c r="E1578" s="42"/>
      <c r="F1578" s="42"/>
      <c r="G1578" s="43">
        <f t="shared" si="1324"/>
        <v>0</v>
      </c>
      <c r="H1578" s="41"/>
      <c r="I1578" s="42"/>
      <c r="J1578" s="42"/>
      <c r="K1578" s="42"/>
      <c r="L1578" s="42">
        <v>1</v>
      </c>
      <c r="M1578" s="43">
        <f t="shared" si="1325"/>
        <v>1</v>
      </c>
      <c r="N1578" s="42"/>
      <c r="O1578" s="53"/>
      <c r="P1578" s="53"/>
      <c r="Q1578" s="53"/>
      <c r="R1578" s="72"/>
      <c r="S1578" s="24">
        <f t="shared" si="1302"/>
        <v>0</v>
      </c>
      <c r="T1578" s="42"/>
      <c r="U1578" s="53"/>
      <c r="V1578" s="53"/>
      <c r="W1578" s="53"/>
      <c r="X1578" s="72"/>
      <c r="Y1578" s="24">
        <f t="shared" si="1316"/>
        <v>0</v>
      </c>
      <c r="Z1578" s="24">
        <f t="shared" si="1323"/>
        <v>1</v>
      </c>
      <c r="AA1578" s="83">
        <v>45331</v>
      </c>
      <c r="AB1578" s="23"/>
      <c r="AC1578" s="38"/>
      <c r="AD1578" s="39"/>
      <c r="AE1578" s="39"/>
      <c r="AF1578" s="39"/>
      <c r="AG1578" s="39"/>
      <c r="AH1578" s="37">
        <f t="shared" si="1334"/>
        <v>0</v>
      </c>
      <c r="AI1578" s="38"/>
      <c r="AJ1578" s="39"/>
      <c r="AK1578" s="39"/>
      <c r="AL1578" s="39"/>
      <c r="AM1578" s="39"/>
      <c r="AN1578" s="37">
        <f t="shared" si="1335"/>
        <v>0</v>
      </c>
      <c r="AO1578" s="39"/>
      <c r="AP1578" s="56"/>
      <c r="AQ1578" s="56"/>
      <c r="AR1578" s="56"/>
      <c r="AS1578" s="71"/>
      <c r="AT1578" s="16">
        <f t="shared" si="1336"/>
        <v>0</v>
      </c>
      <c r="AU1578" s="39"/>
      <c r="AV1578" s="56"/>
      <c r="AW1578" s="56"/>
      <c r="AX1578" s="56"/>
      <c r="AY1578" s="71"/>
      <c r="AZ1578" s="16">
        <f t="shared" si="1311"/>
        <v>0</v>
      </c>
      <c r="BA1578" s="16">
        <f t="shared" si="1312"/>
        <v>0</v>
      </c>
    </row>
    <row r="1579" spans="1:54" ht="14.25" x14ac:dyDescent="0.15">
      <c r="A1579" s="23" t="s">
        <v>434</v>
      </c>
      <c r="B1579" s="41"/>
      <c r="C1579" s="42"/>
      <c r="D1579" s="42"/>
      <c r="E1579" s="42"/>
      <c r="F1579" s="42">
        <v>1</v>
      </c>
      <c r="G1579" s="43">
        <f t="shared" si="1324"/>
        <v>1</v>
      </c>
      <c r="H1579" s="41"/>
      <c r="I1579" s="42"/>
      <c r="J1579" s="42"/>
      <c r="K1579" s="42"/>
      <c r="L1579" s="42"/>
      <c r="M1579" s="43">
        <f t="shared" si="1325"/>
        <v>0</v>
      </c>
      <c r="N1579" s="42"/>
      <c r="O1579" s="53"/>
      <c r="P1579" s="53"/>
      <c r="Q1579" s="53"/>
      <c r="R1579" s="72"/>
      <c r="S1579" s="24">
        <f t="shared" si="1302"/>
        <v>0</v>
      </c>
      <c r="T1579" s="42"/>
      <c r="U1579" s="53"/>
      <c r="V1579" s="53"/>
      <c r="W1579" s="53"/>
      <c r="X1579" s="72"/>
      <c r="Y1579" s="24">
        <f t="shared" si="1316"/>
        <v>0</v>
      </c>
      <c r="Z1579" s="24">
        <f t="shared" si="1323"/>
        <v>1</v>
      </c>
      <c r="AA1579" s="83">
        <v>45335</v>
      </c>
      <c r="AB1579" s="23"/>
      <c r="AC1579" s="38"/>
      <c r="AD1579" s="39"/>
      <c r="AE1579" s="39"/>
      <c r="AF1579" s="39"/>
      <c r="AG1579" s="39"/>
      <c r="AH1579" s="37">
        <f t="shared" si="1334"/>
        <v>0</v>
      </c>
      <c r="AI1579" s="38"/>
      <c r="AJ1579" s="39"/>
      <c r="AK1579" s="39"/>
      <c r="AL1579" s="39"/>
      <c r="AM1579" s="39"/>
      <c r="AN1579" s="37">
        <f t="shared" si="1335"/>
        <v>0</v>
      </c>
      <c r="AO1579" s="39"/>
      <c r="AP1579" s="56"/>
      <c r="AQ1579" s="56"/>
      <c r="AR1579" s="56"/>
      <c r="AS1579" s="71"/>
      <c r="AT1579" s="16">
        <f t="shared" si="1336"/>
        <v>0</v>
      </c>
      <c r="AU1579" s="39"/>
      <c r="AV1579" s="56"/>
      <c r="AW1579" s="56"/>
      <c r="AX1579" s="56"/>
      <c r="AY1579" s="71"/>
      <c r="AZ1579" s="16">
        <f t="shared" si="1311"/>
        <v>0</v>
      </c>
      <c r="BA1579" s="16">
        <f t="shared" si="1312"/>
        <v>0</v>
      </c>
    </row>
    <row r="1580" spans="1:54" ht="14.25" x14ac:dyDescent="0.15">
      <c r="A1580" s="23" t="s">
        <v>434</v>
      </c>
      <c r="B1580" s="41"/>
      <c r="C1580" s="42"/>
      <c r="D1580" s="42"/>
      <c r="E1580" s="42">
        <v>1</v>
      </c>
      <c r="F1580" s="42"/>
      <c r="G1580" s="43">
        <f t="shared" si="1324"/>
        <v>1</v>
      </c>
      <c r="H1580" s="41"/>
      <c r="I1580" s="42"/>
      <c r="J1580" s="42"/>
      <c r="K1580" s="42"/>
      <c r="L1580" s="42"/>
      <c r="M1580" s="43">
        <f t="shared" si="1325"/>
        <v>0</v>
      </c>
      <c r="N1580" s="42"/>
      <c r="O1580" s="53"/>
      <c r="P1580" s="53"/>
      <c r="Q1580" s="53"/>
      <c r="R1580" s="72"/>
      <c r="S1580" s="24">
        <f t="shared" si="1302"/>
        <v>0</v>
      </c>
      <c r="T1580" s="42"/>
      <c r="U1580" s="53"/>
      <c r="V1580" s="53">
        <v>1</v>
      </c>
      <c r="W1580" s="53"/>
      <c r="X1580" s="72"/>
      <c r="Y1580" s="24">
        <f t="shared" si="1316"/>
        <v>1</v>
      </c>
      <c r="Z1580" s="24">
        <f t="shared" si="1323"/>
        <v>2</v>
      </c>
      <c r="AA1580" s="83">
        <v>45337</v>
      </c>
      <c r="AB1580" s="23"/>
      <c r="AC1580" s="38"/>
      <c r="AD1580" s="39"/>
      <c r="AE1580" s="39"/>
      <c r="AF1580" s="39"/>
      <c r="AG1580" s="39"/>
      <c r="AH1580" s="37">
        <f t="shared" si="1334"/>
        <v>0</v>
      </c>
      <c r="AI1580" s="38"/>
      <c r="AJ1580" s="39"/>
      <c r="AK1580" s="39"/>
      <c r="AL1580" s="39"/>
      <c r="AM1580" s="39"/>
      <c r="AN1580" s="37">
        <f t="shared" si="1335"/>
        <v>0</v>
      </c>
      <c r="AO1580" s="39"/>
      <c r="AP1580" s="56"/>
      <c r="AQ1580" s="56"/>
      <c r="AR1580" s="56"/>
      <c r="AS1580" s="71"/>
      <c r="AT1580" s="16">
        <f t="shared" si="1336"/>
        <v>0</v>
      </c>
      <c r="AU1580" s="39"/>
      <c r="AV1580" s="56"/>
      <c r="AW1580" s="56"/>
      <c r="AX1580" s="56"/>
      <c r="AY1580" s="71"/>
      <c r="AZ1580" s="16">
        <f t="shared" ref="AZ1580" si="1337">SUM(AU1580:AY1580)</f>
        <v>0</v>
      </c>
      <c r="BA1580" s="16">
        <f t="shared" ref="BA1580:BA1597" si="1338">AH1580+AN1580+AT1580+AZ1580</f>
        <v>0</v>
      </c>
    </row>
    <row r="1581" spans="1:54" ht="14.25" x14ac:dyDescent="0.15">
      <c r="A1581" s="23" t="s">
        <v>48</v>
      </c>
      <c r="B1581" s="41">
        <v>1</v>
      </c>
      <c r="C1581" s="42">
        <v>1</v>
      </c>
      <c r="D1581" s="42">
        <v>1</v>
      </c>
      <c r="E1581" s="42">
        <v>1</v>
      </c>
      <c r="F1581" s="42"/>
      <c r="G1581" s="43">
        <f t="shared" si="1324"/>
        <v>4</v>
      </c>
      <c r="H1581" s="41"/>
      <c r="I1581" s="42"/>
      <c r="J1581" s="42"/>
      <c r="K1581" s="42"/>
      <c r="L1581" s="42"/>
      <c r="M1581" s="43">
        <f t="shared" si="1325"/>
        <v>0</v>
      </c>
      <c r="N1581" s="42"/>
      <c r="O1581" s="53"/>
      <c r="P1581" s="53"/>
      <c r="Q1581" s="53"/>
      <c r="R1581" s="72"/>
      <c r="S1581" s="24">
        <f t="shared" si="1302"/>
        <v>0</v>
      </c>
      <c r="T1581" s="42"/>
      <c r="U1581" s="53"/>
      <c r="V1581" s="53"/>
      <c r="W1581" s="53"/>
      <c r="X1581" s="72"/>
      <c r="Y1581" s="24">
        <f t="shared" si="1316"/>
        <v>0</v>
      </c>
      <c r="Z1581" s="24">
        <f t="shared" si="1323"/>
        <v>4</v>
      </c>
      <c r="AA1581" s="83">
        <v>45335</v>
      </c>
      <c r="AB1581" s="23"/>
      <c r="AC1581" s="38"/>
      <c r="AD1581" s="39"/>
      <c r="AE1581" s="39"/>
      <c r="AF1581" s="39"/>
      <c r="AG1581" s="39"/>
      <c r="AH1581" s="37">
        <f t="shared" ref="AH1581:AH1590" si="1339">SUM(AC1581:AG1581)</f>
        <v>0</v>
      </c>
      <c r="AI1581" s="38"/>
      <c r="AJ1581" s="39"/>
      <c r="AK1581" s="39"/>
      <c r="AL1581" s="39"/>
      <c r="AM1581" s="39"/>
      <c r="AN1581" s="37">
        <f t="shared" si="1335"/>
        <v>0</v>
      </c>
      <c r="AO1581" s="39"/>
      <c r="AP1581" s="56"/>
      <c r="AQ1581" s="56"/>
      <c r="AR1581" s="56"/>
      <c r="AS1581" s="71"/>
      <c r="AT1581" s="16">
        <f t="shared" si="1336"/>
        <v>0</v>
      </c>
      <c r="AU1581" s="39"/>
      <c r="AV1581" s="56"/>
      <c r="AW1581" s="56"/>
      <c r="AX1581" s="56"/>
      <c r="AY1581" s="71"/>
      <c r="AZ1581" s="16">
        <f t="shared" ref="AZ1581:AZ1590" si="1340">SUM(AU1581:AY1581)</f>
        <v>0</v>
      </c>
      <c r="BA1581" s="16">
        <f t="shared" ref="BA1581:BA1590" si="1341">AH1581+AN1581+AT1581+AZ1581</f>
        <v>0</v>
      </c>
    </row>
    <row r="1582" spans="1:54" ht="14.25" x14ac:dyDescent="0.15">
      <c r="A1582" s="23" t="s">
        <v>434</v>
      </c>
      <c r="B1582" s="41"/>
      <c r="C1582" s="42"/>
      <c r="D1582" s="42"/>
      <c r="E1582" s="42">
        <v>1</v>
      </c>
      <c r="F1582" s="42"/>
      <c r="G1582" s="43">
        <f t="shared" si="1324"/>
        <v>1</v>
      </c>
      <c r="H1582" s="41">
        <v>1</v>
      </c>
      <c r="I1582" s="42"/>
      <c r="J1582" s="42"/>
      <c r="K1582" s="42"/>
      <c r="L1582" s="42"/>
      <c r="M1582" s="43">
        <f t="shared" si="1325"/>
        <v>1</v>
      </c>
      <c r="N1582" s="42"/>
      <c r="O1582" s="53"/>
      <c r="P1582" s="53"/>
      <c r="Q1582" s="53"/>
      <c r="R1582" s="72"/>
      <c r="S1582" s="24">
        <f t="shared" si="1302"/>
        <v>0</v>
      </c>
      <c r="T1582" s="42"/>
      <c r="U1582" s="53"/>
      <c r="V1582" s="53"/>
      <c r="W1582" s="53"/>
      <c r="X1582" s="72"/>
      <c r="Y1582" s="24">
        <f t="shared" si="1316"/>
        <v>0</v>
      </c>
      <c r="Z1582" s="24">
        <f t="shared" si="1323"/>
        <v>2</v>
      </c>
      <c r="AA1582" s="83">
        <v>45338</v>
      </c>
      <c r="AB1582" s="23"/>
      <c r="AC1582" s="38"/>
      <c r="AD1582" s="39"/>
      <c r="AE1582" s="39"/>
      <c r="AF1582" s="39"/>
      <c r="AG1582" s="39"/>
      <c r="AH1582" s="37">
        <f t="shared" si="1339"/>
        <v>0</v>
      </c>
      <c r="AI1582" s="38"/>
      <c r="AJ1582" s="39"/>
      <c r="AK1582" s="39"/>
      <c r="AL1582" s="39"/>
      <c r="AM1582" s="39"/>
      <c r="AN1582" s="37">
        <f t="shared" si="1335"/>
        <v>0</v>
      </c>
      <c r="AO1582" s="39"/>
      <c r="AP1582" s="56"/>
      <c r="AQ1582" s="56"/>
      <c r="AR1582" s="56"/>
      <c r="AS1582" s="71"/>
      <c r="AT1582" s="16">
        <f t="shared" si="1336"/>
        <v>0</v>
      </c>
      <c r="AU1582" s="39"/>
      <c r="AV1582" s="56"/>
      <c r="AW1582" s="56"/>
      <c r="AX1582" s="56"/>
      <c r="AY1582" s="71"/>
      <c r="AZ1582" s="16">
        <f t="shared" si="1340"/>
        <v>0</v>
      </c>
      <c r="BA1582" s="16">
        <f t="shared" si="1341"/>
        <v>0</v>
      </c>
    </row>
    <row r="1583" spans="1:54" ht="14.25" x14ac:dyDescent="0.15">
      <c r="A1583" s="23" t="s">
        <v>48</v>
      </c>
      <c r="B1583" s="41"/>
      <c r="C1583" s="42"/>
      <c r="D1583" s="42"/>
      <c r="E1583" s="42"/>
      <c r="F1583" s="42"/>
      <c r="G1583" s="43">
        <f t="shared" si="1324"/>
        <v>0</v>
      </c>
      <c r="H1583" s="41"/>
      <c r="I1583" s="42"/>
      <c r="J1583" s="42"/>
      <c r="K1583" s="42"/>
      <c r="L1583" s="42"/>
      <c r="M1583" s="43">
        <f t="shared" si="1325"/>
        <v>0</v>
      </c>
      <c r="N1583" s="42"/>
      <c r="O1583" s="53"/>
      <c r="P1583" s="53"/>
      <c r="Q1583" s="53"/>
      <c r="R1583" s="72">
        <v>1</v>
      </c>
      <c r="S1583" s="24">
        <f t="shared" si="1302"/>
        <v>1</v>
      </c>
      <c r="T1583" s="42"/>
      <c r="U1583" s="53"/>
      <c r="V1583" s="53"/>
      <c r="W1583" s="53"/>
      <c r="X1583" s="72"/>
      <c r="Y1583" s="24">
        <f t="shared" si="1316"/>
        <v>0</v>
      </c>
      <c r="Z1583" s="24">
        <f t="shared" si="1323"/>
        <v>1</v>
      </c>
      <c r="AA1583" s="83">
        <v>45336</v>
      </c>
      <c r="AB1583" s="23"/>
      <c r="AC1583" s="38"/>
      <c r="AD1583" s="39"/>
      <c r="AE1583" s="39"/>
      <c r="AF1583" s="39"/>
      <c r="AG1583" s="39"/>
      <c r="AH1583" s="37">
        <f t="shared" si="1339"/>
        <v>0</v>
      </c>
      <c r="AI1583" s="38"/>
      <c r="AJ1583" s="39"/>
      <c r="AK1583" s="39"/>
      <c r="AL1583" s="39"/>
      <c r="AM1583" s="39"/>
      <c r="AN1583" s="37">
        <f t="shared" ref="AN1583:AN1590" si="1342">SUM(AI1583:AM1583)</f>
        <v>0</v>
      </c>
      <c r="AO1583" s="39"/>
      <c r="AP1583" s="56"/>
      <c r="AQ1583" s="56"/>
      <c r="AR1583" s="56"/>
      <c r="AS1583" s="71"/>
      <c r="AT1583" s="16">
        <f t="shared" ref="AT1583:AT1590" si="1343">SUM(AO1583:AS1583)</f>
        <v>0</v>
      </c>
      <c r="AU1583" s="39"/>
      <c r="AV1583" s="56"/>
      <c r="AW1583" s="56"/>
      <c r="AX1583" s="56"/>
      <c r="AY1583" s="71"/>
      <c r="AZ1583" s="16">
        <f t="shared" si="1340"/>
        <v>0</v>
      </c>
      <c r="BA1583" s="16">
        <f t="shared" si="1341"/>
        <v>0</v>
      </c>
    </row>
    <row r="1584" spans="1:54" ht="14.25" x14ac:dyDescent="0.15">
      <c r="A1584" s="23" t="s">
        <v>434</v>
      </c>
      <c r="B1584" s="41"/>
      <c r="C1584" s="42"/>
      <c r="D1584" s="42"/>
      <c r="E1584" s="42"/>
      <c r="F1584" s="42"/>
      <c r="G1584" s="43">
        <f t="shared" si="1324"/>
        <v>0</v>
      </c>
      <c r="H1584" s="41">
        <v>1</v>
      </c>
      <c r="I1584" s="42"/>
      <c r="J1584" s="42"/>
      <c r="K1584" s="42"/>
      <c r="L1584" s="42"/>
      <c r="M1584" s="43">
        <f t="shared" si="1325"/>
        <v>1</v>
      </c>
      <c r="N1584" s="42"/>
      <c r="O1584" s="53"/>
      <c r="P1584" s="53"/>
      <c r="Q1584" s="53"/>
      <c r="R1584" s="72"/>
      <c r="S1584" s="24">
        <f t="shared" si="1302"/>
        <v>0</v>
      </c>
      <c r="T1584" s="42"/>
      <c r="U1584" s="53"/>
      <c r="V1584" s="53"/>
      <c r="W1584" s="53"/>
      <c r="X1584" s="72"/>
      <c r="Y1584" s="24">
        <f t="shared" si="1316"/>
        <v>0</v>
      </c>
      <c r="Z1584" s="24">
        <f t="shared" si="1323"/>
        <v>1</v>
      </c>
      <c r="AA1584" s="83">
        <v>45343</v>
      </c>
      <c r="AB1584" s="23"/>
      <c r="AC1584" s="38"/>
      <c r="AD1584" s="39"/>
      <c r="AE1584" s="39"/>
      <c r="AF1584" s="39"/>
      <c r="AG1584" s="39"/>
      <c r="AH1584" s="37">
        <f t="shared" si="1339"/>
        <v>0</v>
      </c>
      <c r="AI1584" s="38"/>
      <c r="AJ1584" s="39"/>
      <c r="AK1584" s="39"/>
      <c r="AL1584" s="39"/>
      <c r="AM1584" s="39"/>
      <c r="AN1584" s="37">
        <f t="shared" si="1342"/>
        <v>0</v>
      </c>
      <c r="AO1584" s="39"/>
      <c r="AP1584" s="56"/>
      <c r="AQ1584" s="56"/>
      <c r="AR1584" s="56"/>
      <c r="AS1584" s="71"/>
      <c r="AT1584" s="16">
        <f t="shared" si="1343"/>
        <v>0</v>
      </c>
      <c r="AU1584" s="39"/>
      <c r="AV1584" s="56"/>
      <c r="AW1584" s="56"/>
      <c r="AX1584" s="56"/>
      <c r="AY1584" s="71"/>
      <c r="AZ1584" s="16">
        <f t="shared" si="1340"/>
        <v>0</v>
      </c>
      <c r="BA1584" s="16">
        <f t="shared" si="1341"/>
        <v>0</v>
      </c>
    </row>
    <row r="1585" spans="1:54" ht="14.25" x14ac:dyDescent="0.15">
      <c r="A1585" s="23" t="s">
        <v>434</v>
      </c>
      <c r="B1585" s="41"/>
      <c r="C1585" s="42"/>
      <c r="D1585" s="42"/>
      <c r="E1585" s="42"/>
      <c r="F1585" s="42"/>
      <c r="G1585" s="43">
        <f t="shared" si="1324"/>
        <v>0</v>
      </c>
      <c r="H1585" s="41"/>
      <c r="I1585" s="42"/>
      <c r="J1585" s="42"/>
      <c r="K1585" s="42"/>
      <c r="L1585" s="42"/>
      <c r="M1585" s="43">
        <f t="shared" si="1325"/>
        <v>0</v>
      </c>
      <c r="N1585" s="42"/>
      <c r="O1585" s="53"/>
      <c r="P1585" s="53">
        <v>1</v>
      </c>
      <c r="Q1585" s="53"/>
      <c r="R1585" s="72"/>
      <c r="S1585" s="24">
        <f t="shared" si="1302"/>
        <v>1</v>
      </c>
      <c r="T1585" s="42"/>
      <c r="U1585" s="53"/>
      <c r="V1585" s="53"/>
      <c r="W1585" s="53"/>
      <c r="X1585" s="72"/>
      <c r="Y1585" s="24">
        <f t="shared" si="1316"/>
        <v>0</v>
      </c>
      <c r="Z1585" s="24">
        <f t="shared" si="1323"/>
        <v>1</v>
      </c>
      <c r="AA1585" s="83">
        <v>45344</v>
      </c>
      <c r="AB1585" s="23"/>
      <c r="AC1585" s="38"/>
      <c r="AD1585" s="39"/>
      <c r="AE1585" s="39"/>
      <c r="AF1585" s="39"/>
      <c r="AG1585" s="39"/>
      <c r="AH1585" s="37">
        <f t="shared" si="1339"/>
        <v>0</v>
      </c>
      <c r="AI1585" s="38"/>
      <c r="AJ1585" s="39"/>
      <c r="AK1585" s="39"/>
      <c r="AL1585" s="39"/>
      <c r="AM1585" s="39"/>
      <c r="AN1585" s="37">
        <f t="shared" si="1342"/>
        <v>0</v>
      </c>
      <c r="AO1585" s="39"/>
      <c r="AP1585" s="56"/>
      <c r="AQ1585" s="56"/>
      <c r="AR1585" s="56"/>
      <c r="AS1585" s="71"/>
      <c r="AT1585" s="16">
        <f t="shared" si="1343"/>
        <v>0</v>
      </c>
      <c r="AU1585" s="39"/>
      <c r="AV1585" s="56"/>
      <c r="AW1585" s="56"/>
      <c r="AX1585" s="56"/>
      <c r="AY1585" s="71"/>
      <c r="AZ1585" s="16">
        <f t="shared" si="1340"/>
        <v>0</v>
      </c>
      <c r="BA1585" s="16">
        <f t="shared" si="1341"/>
        <v>0</v>
      </c>
    </row>
    <row r="1586" spans="1:54" ht="14.25" x14ac:dyDescent="0.15">
      <c r="A1586" s="23" t="s">
        <v>48</v>
      </c>
      <c r="B1586" s="41"/>
      <c r="C1586" s="42"/>
      <c r="D1586" s="42"/>
      <c r="E1586" s="42"/>
      <c r="F1586" s="42"/>
      <c r="G1586" s="43">
        <f t="shared" si="1324"/>
        <v>0</v>
      </c>
      <c r="H1586" s="41"/>
      <c r="I1586" s="42"/>
      <c r="J1586" s="42"/>
      <c r="K1586" s="42"/>
      <c r="L1586" s="42"/>
      <c r="M1586" s="43">
        <f t="shared" si="1325"/>
        <v>0</v>
      </c>
      <c r="N1586" s="42"/>
      <c r="O1586" s="53">
        <v>1</v>
      </c>
      <c r="P1586" s="53"/>
      <c r="Q1586" s="53"/>
      <c r="R1586" s="72"/>
      <c r="S1586" s="24">
        <f t="shared" si="1302"/>
        <v>1</v>
      </c>
      <c r="T1586" s="42"/>
      <c r="U1586" s="53"/>
      <c r="V1586" s="53"/>
      <c r="W1586" s="53"/>
      <c r="X1586" s="72"/>
      <c r="Y1586" s="24">
        <f t="shared" si="1316"/>
        <v>0</v>
      </c>
      <c r="Z1586" s="24">
        <f t="shared" si="1323"/>
        <v>1</v>
      </c>
      <c r="AA1586" s="83">
        <v>45342</v>
      </c>
      <c r="AB1586" s="23"/>
      <c r="AC1586" s="38"/>
      <c r="AD1586" s="39"/>
      <c r="AE1586" s="39"/>
      <c r="AF1586" s="39"/>
      <c r="AG1586" s="39"/>
      <c r="AH1586" s="37">
        <f t="shared" si="1339"/>
        <v>0</v>
      </c>
      <c r="AI1586" s="38"/>
      <c r="AJ1586" s="39"/>
      <c r="AK1586" s="39"/>
      <c r="AL1586" s="39"/>
      <c r="AM1586" s="39"/>
      <c r="AN1586" s="37">
        <f t="shared" si="1342"/>
        <v>0</v>
      </c>
      <c r="AO1586" s="39"/>
      <c r="AP1586" s="56"/>
      <c r="AQ1586" s="56"/>
      <c r="AR1586" s="56"/>
      <c r="AS1586" s="71"/>
      <c r="AT1586" s="16">
        <f t="shared" si="1343"/>
        <v>0</v>
      </c>
      <c r="AU1586" s="39"/>
      <c r="AV1586" s="56"/>
      <c r="AW1586" s="56"/>
      <c r="AX1586" s="56"/>
      <c r="AY1586" s="71"/>
      <c r="AZ1586" s="16">
        <f t="shared" si="1340"/>
        <v>0</v>
      </c>
      <c r="BA1586" s="16">
        <f t="shared" si="1341"/>
        <v>0</v>
      </c>
    </row>
    <row r="1587" spans="1:54" ht="14.25" x14ac:dyDescent="0.15">
      <c r="A1587" s="23" t="s">
        <v>434</v>
      </c>
      <c r="B1587" s="41"/>
      <c r="C1587" s="42"/>
      <c r="D1587" s="42">
        <v>1</v>
      </c>
      <c r="E1587" s="42"/>
      <c r="F1587" s="42"/>
      <c r="G1587" s="43">
        <f t="shared" si="1324"/>
        <v>1</v>
      </c>
      <c r="H1587" s="41"/>
      <c r="I1587" s="42"/>
      <c r="J1587" s="42"/>
      <c r="K1587" s="42"/>
      <c r="L1587" s="42"/>
      <c r="M1587" s="43">
        <f t="shared" si="1325"/>
        <v>0</v>
      </c>
      <c r="N1587" s="42"/>
      <c r="O1587" s="53"/>
      <c r="P1587" s="53">
        <v>1</v>
      </c>
      <c r="Q1587" s="53"/>
      <c r="R1587" s="72"/>
      <c r="S1587" s="24">
        <f t="shared" si="1302"/>
        <v>1</v>
      </c>
      <c r="T1587" s="42"/>
      <c r="U1587" s="53"/>
      <c r="V1587" s="53">
        <v>1</v>
      </c>
      <c r="W1587" s="53"/>
      <c r="X1587" s="72"/>
      <c r="Y1587" s="24">
        <f t="shared" si="1316"/>
        <v>1</v>
      </c>
      <c r="Z1587" s="24">
        <f t="shared" si="1323"/>
        <v>3</v>
      </c>
      <c r="AA1587" s="83">
        <v>45344</v>
      </c>
      <c r="AB1587" s="23"/>
      <c r="AC1587" s="38"/>
      <c r="AD1587" s="39"/>
      <c r="AE1587" s="39"/>
      <c r="AF1587" s="39"/>
      <c r="AG1587" s="39"/>
      <c r="AH1587" s="37">
        <f t="shared" si="1339"/>
        <v>0</v>
      </c>
      <c r="AI1587" s="38"/>
      <c r="AJ1587" s="39"/>
      <c r="AK1587" s="39"/>
      <c r="AL1587" s="39"/>
      <c r="AM1587" s="39"/>
      <c r="AN1587" s="37">
        <f t="shared" si="1342"/>
        <v>0</v>
      </c>
      <c r="AO1587" s="39"/>
      <c r="AP1587" s="56"/>
      <c r="AQ1587" s="56"/>
      <c r="AR1587" s="56"/>
      <c r="AS1587" s="71"/>
      <c r="AT1587" s="16">
        <f t="shared" si="1343"/>
        <v>0</v>
      </c>
      <c r="AU1587" s="39"/>
      <c r="AV1587" s="56"/>
      <c r="AW1587" s="56"/>
      <c r="AX1587" s="56"/>
      <c r="AY1587" s="71"/>
      <c r="AZ1587" s="16">
        <f t="shared" si="1340"/>
        <v>0</v>
      </c>
      <c r="BA1587" s="16">
        <f t="shared" si="1341"/>
        <v>0</v>
      </c>
    </row>
    <row r="1588" spans="1:54" ht="14.25" x14ac:dyDescent="0.15">
      <c r="A1588" s="23" t="s">
        <v>48</v>
      </c>
      <c r="B1588" s="41"/>
      <c r="C1588" s="42"/>
      <c r="D1588" s="42"/>
      <c r="E1588" s="42"/>
      <c r="F1588" s="42"/>
      <c r="G1588" s="43">
        <f t="shared" si="1324"/>
        <v>0</v>
      </c>
      <c r="H1588" s="41"/>
      <c r="I1588" s="42"/>
      <c r="J1588" s="42"/>
      <c r="K1588" s="42"/>
      <c r="L1588" s="42"/>
      <c r="M1588" s="43">
        <f t="shared" si="1325"/>
        <v>0</v>
      </c>
      <c r="N1588" s="42"/>
      <c r="O1588" s="53"/>
      <c r="P1588" s="53"/>
      <c r="Q1588" s="53"/>
      <c r="R1588" s="72"/>
      <c r="S1588" s="24">
        <f t="shared" si="1302"/>
        <v>0</v>
      </c>
      <c r="T1588" s="42"/>
      <c r="U1588" s="53"/>
      <c r="V1588" s="53"/>
      <c r="W1588" s="53">
        <v>1</v>
      </c>
      <c r="X1588" s="72"/>
      <c r="Y1588" s="24">
        <f t="shared" si="1316"/>
        <v>1</v>
      </c>
      <c r="Z1588" s="24">
        <f t="shared" si="1323"/>
        <v>1</v>
      </c>
      <c r="AA1588" s="83">
        <v>45343</v>
      </c>
      <c r="AB1588" s="23"/>
      <c r="AC1588" s="38"/>
      <c r="AD1588" s="39"/>
      <c r="AE1588" s="39"/>
      <c r="AF1588" s="39"/>
      <c r="AG1588" s="39"/>
      <c r="AH1588" s="37">
        <f t="shared" si="1339"/>
        <v>0</v>
      </c>
      <c r="AI1588" s="38"/>
      <c r="AJ1588" s="39"/>
      <c r="AK1588" s="39"/>
      <c r="AL1588" s="39"/>
      <c r="AM1588" s="39"/>
      <c r="AN1588" s="37">
        <f t="shared" si="1342"/>
        <v>0</v>
      </c>
      <c r="AO1588" s="39"/>
      <c r="AP1588" s="56"/>
      <c r="AQ1588" s="56"/>
      <c r="AR1588" s="56"/>
      <c r="AS1588" s="71"/>
      <c r="AT1588" s="16">
        <f t="shared" si="1343"/>
        <v>0</v>
      </c>
      <c r="AU1588" s="39"/>
      <c r="AV1588" s="56"/>
      <c r="AW1588" s="56"/>
      <c r="AX1588" s="56"/>
      <c r="AY1588" s="71"/>
      <c r="AZ1588" s="16">
        <f t="shared" si="1340"/>
        <v>0</v>
      </c>
      <c r="BA1588" s="16">
        <f t="shared" si="1341"/>
        <v>0</v>
      </c>
    </row>
    <row r="1589" spans="1:54" ht="14.25" x14ac:dyDescent="0.15">
      <c r="A1589" s="23" t="s">
        <v>48</v>
      </c>
      <c r="B1589" s="41"/>
      <c r="C1589" s="42">
        <v>1</v>
      </c>
      <c r="D1589" s="42"/>
      <c r="E1589" s="42"/>
      <c r="F1589" s="42"/>
      <c r="G1589" s="43">
        <f t="shared" si="1324"/>
        <v>1</v>
      </c>
      <c r="H1589" s="41"/>
      <c r="I1589" s="42"/>
      <c r="J1589" s="42"/>
      <c r="K1589" s="42"/>
      <c r="L1589" s="42">
        <v>1</v>
      </c>
      <c r="M1589" s="43">
        <f t="shared" si="1325"/>
        <v>1</v>
      </c>
      <c r="N1589" s="42"/>
      <c r="O1589" s="53"/>
      <c r="P1589" s="53"/>
      <c r="Q1589" s="53"/>
      <c r="R1589" s="72"/>
      <c r="S1589" s="24">
        <f t="shared" si="1302"/>
        <v>0</v>
      </c>
      <c r="T1589" s="42"/>
      <c r="U1589" s="53"/>
      <c r="V1589" s="53"/>
      <c r="W1589" s="53"/>
      <c r="X1589" s="72"/>
      <c r="Y1589" s="24">
        <f t="shared" si="1316"/>
        <v>0</v>
      </c>
      <c r="Z1589" s="24">
        <f t="shared" si="1323"/>
        <v>2</v>
      </c>
      <c r="AA1589" s="83">
        <v>45348</v>
      </c>
      <c r="AB1589" s="23"/>
      <c r="AC1589" s="38"/>
      <c r="AD1589" s="39"/>
      <c r="AE1589" s="39"/>
      <c r="AF1589" s="39"/>
      <c r="AG1589" s="39"/>
      <c r="AH1589" s="37">
        <f t="shared" si="1339"/>
        <v>0</v>
      </c>
      <c r="AI1589" s="38"/>
      <c r="AJ1589" s="39"/>
      <c r="AK1589" s="39"/>
      <c r="AL1589" s="39"/>
      <c r="AM1589" s="39"/>
      <c r="AN1589" s="37">
        <f t="shared" si="1342"/>
        <v>0</v>
      </c>
      <c r="AO1589" s="39"/>
      <c r="AP1589" s="56"/>
      <c r="AQ1589" s="56"/>
      <c r="AR1589" s="56"/>
      <c r="AS1589" s="71"/>
      <c r="AT1589" s="16">
        <f t="shared" si="1343"/>
        <v>0</v>
      </c>
      <c r="AU1589" s="39"/>
      <c r="AV1589" s="56"/>
      <c r="AW1589" s="56"/>
      <c r="AX1589" s="56"/>
      <c r="AY1589" s="71"/>
      <c r="AZ1589" s="16">
        <f t="shared" si="1340"/>
        <v>0</v>
      </c>
      <c r="BA1589" s="16">
        <f t="shared" si="1341"/>
        <v>0</v>
      </c>
    </row>
    <row r="1590" spans="1:54" ht="14.25" x14ac:dyDescent="0.15">
      <c r="A1590" s="23" t="s">
        <v>434</v>
      </c>
      <c r="B1590" s="41"/>
      <c r="C1590" s="42"/>
      <c r="D1590" s="42"/>
      <c r="E1590" s="42">
        <v>1</v>
      </c>
      <c r="F1590" s="42"/>
      <c r="G1590" s="43">
        <f t="shared" si="1324"/>
        <v>1</v>
      </c>
      <c r="H1590" s="41"/>
      <c r="I1590" s="42"/>
      <c r="J1590" s="42"/>
      <c r="K1590" s="42"/>
      <c r="L1590" s="42"/>
      <c r="M1590" s="43">
        <f t="shared" si="1325"/>
        <v>0</v>
      </c>
      <c r="N1590" s="42"/>
      <c r="O1590" s="53"/>
      <c r="P1590" s="53"/>
      <c r="Q1590" s="53"/>
      <c r="R1590" s="72"/>
      <c r="S1590" s="24">
        <f t="shared" si="1302"/>
        <v>0</v>
      </c>
      <c r="T1590" s="42"/>
      <c r="U1590" s="53"/>
      <c r="V1590" s="53"/>
      <c r="W1590" s="53"/>
      <c r="X1590" s="72"/>
      <c r="Y1590" s="24">
        <f t="shared" si="1316"/>
        <v>0</v>
      </c>
      <c r="Z1590" s="24">
        <f t="shared" si="1323"/>
        <v>1</v>
      </c>
      <c r="AA1590" s="83">
        <v>45352</v>
      </c>
      <c r="AB1590" s="23"/>
      <c r="AC1590" s="38"/>
      <c r="AD1590" s="39"/>
      <c r="AE1590" s="39"/>
      <c r="AF1590" s="39"/>
      <c r="AG1590" s="39"/>
      <c r="AH1590" s="37">
        <f t="shared" si="1339"/>
        <v>0</v>
      </c>
      <c r="AI1590" s="38"/>
      <c r="AJ1590" s="39"/>
      <c r="AK1590" s="39"/>
      <c r="AL1590" s="39"/>
      <c r="AM1590" s="39"/>
      <c r="AN1590" s="37">
        <f t="shared" si="1342"/>
        <v>0</v>
      </c>
      <c r="AO1590" s="39"/>
      <c r="AP1590" s="56"/>
      <c r="AQ1590" s="56"/>
      <c r="AR1590" s="56"/>
      <c r="AS1590" s="71"/>
      <c r="AT1590" s="16">
        <f t="shared" si="1343"/>
        <v>0</v>
      </c>
      <c r="AU1590" s="39"/>
      <c r="AV1590" s="56"/>
      <c r="AW1590" s="56"/>
      <c r="AX1590" s="56"/>
      <c r="AY1590" s="71"/>
      <c r="AZ1590" s="16">
        <f t="shared" si="1340"/>
        <v>0</v>
      </c>
      <c r="BA1590" s="16">
        <f t="shared" si="1341"/>
        <v>0</v>
      </c>
    </row>
    <row r="1591" spans="1:54" ht="14.25" x14ac:dyDescent="0.15">
      <c r="A1591" s="23" t="s">
        <v>434</v>
      </c>
      <c r="B1591" s="41"/>
      <c r="C1591" s="42"/>
      <c r="D1591" s="42"/>
      <c r="E1591" s="42"/>
      <c r="F1591" s="42">
        <v>1</v>
      </c>
      <c r="G1591" s="43">
        <f t="shared" si="1324"/>
        <v>1</v>
      </c>
      <c r="H1591" s="41"/>
      <c r="I1591" s="42"/>
      <c r="J1591" s="42"/>
      <c r="K1591" s="42"/>
      <c r="L1591" s="42"/>
      <c r="M1591" s="43">
        <f t="shared" si="1325"/>
        <v>0</v>
      </c>
      <c r="N1591" s="42"/>
      <c r="O1591" s="53"/>
      <c r="P1591" s="53"/>
      <c r="Q1591" s="53"/>
      <c r="R1591" s="72"/>
      <c r="S1591" s="24">
        <f t="shared" si="1302"/>
        <v>0</v>
      </c>
      <c r="T1591" s="42"/>
      <c r="U1591" s="53"/>
      <c r="V1591" s="53"/>
      <c r="W1591" s="53"/>
      <c r="X1591" s="72"/>
      <c r="Y1591" s="24">
        <f t="shared" si="1316"/>
        <v>0</v>
      </c>
      <c r="Z1591" s="24">
        <f t="shared" si="1323"/>
        <v>1</v>
      </c>
      <c r="AA1591" s="83">
        <v>45355</v>
      </c>
      <c r="AB1591" s="23"/>
      <c r="AC1591" s="38"/>
      <c r="AD1591" s="39"/>
      <c r="AE1591" s="39"/>
      <c r="AF1591" s="39"/>
      <c r="AG1591" s="39"/>
      <c r="AH1591" s="37">
        <f t="shared" ref="AH1591:AH1593" si="1344">SUM(AC1591:AG1591)</f>
        <v>0</v>
      </c>
      <c r="AI1591" s="38"/>
      <c r="AJ1591" s="39"/>
      <c r="AK1591" s="39"/>
      <c r="AL1591" s="39"/>
      <c r="AM1591" s="39"/>
      <c r="AN1591" s="37">
        <f t="shared" ref="AN1591:AN1593" si="1345">SUM(AI1591:AM1591)</f>
        <v>0</v>
      </c>
      <c r="AO1591" s="39"/>
      <c r="AP1591" s="56"/>
      <c r="AQ1591" s="56"/>
      <c r="AR1591" s="56"/>
      <c r="AS1591" s="71"/>
      <c r="AT1591" s="16">
        <f t="shared" ref="AT1591:AT1593" si="1346">SUM(AO1591:AS1591)</f>
        <v>0</v>
      </c>
      <c r="AU1591" s="39"/>
      <c r="AV1591" s="56"/>
      <c r="AW1591" s="56"/>
      <c r="AX1591" s="56"/>
      <c r="AY1591" s="71"/>
      <c r="AZ1591" s="16">
        <f t="shared" ref="AZ1591:AZ1593" si="1347">SUM(AU1591:AY1591)</f>
        <v>0</v>
      </c>
      <c r="BA1591" s="16">
        <f t="shared" ref="BA1591:BA1593" si="1348">AH1591+AN1591+AT1591+AZ1591</f>
        <v>0</v>
      </c>
    </row>
    <row r="1592" spans="1:54" ht="14.25" x14ac:dyDescent="0.15">
      <c r="A1592" s="23" t="s">
        <v>434</v>
      </c>
      <c r="B1592" s="41"/>
      <c r="C1592" s="42"/>
      <c r="D1592" s="42">
        <v>1</v>
      </c>
      <c r="E1592" s="42"/>
      <c r="F1592" s="42"/>
      <c r="G1592" s="43">
        <f t="shared" si="1324"/>
        <v>1</v>
      </c>
      <c r="H1592" s="41"/>
      <c r="I1592" s="42"/>
      <c r="J1592" s="42"/>
      <c r="K1592" s="42"/>
      <c r="L1592" s="42"/>
      <c r="M1592" s="43">
        <f t="shared" si="1325"/>
        <v>0</v>
      </c>
      <c r="N1592" s="42"/>
      <c r="O1592" s="53"/>
      <c r="P1592" s="53"/>
      <c r="Q1592" s="53"/>
      <c r="R1592" s="72"/>
      <c r="S1592" s="24">
        <f t="shared" si="1302"/>
        <v>0</v>
      </c>
      <c r="T1592" s="42"/>
      <c r="U1592" s="53"/>
      <c r="V1592" s="53"/>
      <c r="W1592" s="53"/>
      <c r="X1592" s="72"/>
      <c r="Y1592" s="24">
        <f t="shared" si="1316"/>
        <v>0</v>
      </c>
      <c r="Z1592" s="24">
        <f t="shared" si="1323"/>
        <v>1</v>
      </c>
      <c r="AA1592" s="83">
        <v>45357</v>
      </c>
      <c r="AB1592" s="23"/>
      <c r="AC1592" s="38"/>
      <c r="AD1592" s="39"/>
      <c r="AE1592" s="39"/>
      <c r="AF1592" s="39"/>
      <c r="AG1592" s="39"/>
      <c r="AH1592" s="37">
        <f t="shared" si="1344"/>
        <v>0</v>
      </c>
      <c r="AI1592" s="38"/>
      <c r="AJ1592" s="39"/>
      <c r="AK1592" s="39"/>
      <c r="AL1592" s="39"/>
      <c r="AM1592" s="39"/>
      <c r="AN1592" s="37">
        <f t="shared" si="1345"/>
        <v>0</v>
      </c>
      <c r="AO1592" s="39"/>
      <c r="AP1592" s="56"/>
      <c r="AQ1592" s="56"/>
      <c r="AR1592" s="56"/>
      <c r="AS1592" s="71"/>
      <c r="AT1592" s="16">
        <f t="shared" si="1346"/>
        <v>0</v>
      </c>
      <c r="AU1592" s="39"/>
      <c r="AV1592" s="56"/>
      <c r="AW1592" s="56"/>
      <c r="AX1592" s="56"/>
      <c r="AY1592" s="71"/>
      <c r="AZ1592" s="16">
        <f t="shared" si="1347"/>
        <v>0</v>
      </c>
      <c r="BA1592" s="16">
        <f t="shared" si="1348"/>
        <v>0</v>
      </c>
    </row>
    <row r="1593" spans="1:54" ht="14.25" x14ac:dyDescent="0.15">
      <c r="A1593" s="23" t="s">
        <v>434</v>
      </c>
      <c r="B1593" s="41"/>
      <c r="C1593" s="42"/>
      <c r="D1593" s="42"/>
      <c r="E1593" s="42">
        <v>1</v>
      </c>
      <c r="F1593" s="42">
        <v>1</v>
      </c>
      <c r="G1593" s="43">
        <f t="shared" si="1324"/>
        <v>2</v>
      </c>
      <c r="H1593" s="41"/>
      <c r="I1593" s="42"/>
      <c r="J1593" s="42"/>
      <c r="K1593" s="42"/>
      <c r="L1593" s="42"/>
      <c r="M1593" s="43">
        <f t="shared" si="1325"/>
        <v>0</v>
      </c>
      <c r="N1593" s="42">
        <v>1</v>
      </c>
      <c r="O1593" s="53"/>
      <c r="P1593" s="53"/>
      <c r="Q1593" s="53"/>
      <c r="R1593" s="72"/>
      <c r="S1593" s="24">
        <f t="shared" si="1302"/>
        <v>1</v>
      </c>
      <c r="T1593" s="42"/>
      <c r="U1593" s="53"/>
      <c r="V1593" s="53"/>
      <c r="W1593" s="53"/>
      <c r="X1593" s="72"/>
      <c r="Y1593" s="24">
        <f t="shared" si="1316"/>
        <v>0</v>
      </c>
      <c r="Z1593" s="24">
        <f t="shared" si="1323"/>
        <v>3</v>
      </c>
      <c r="AA1593" s="83">
        <v>45358</v>
      </c>
      <c r="AB1593" s="23"/>
      <c r="AC1593" s="38"/>
      <c r="AD1593" s="39"/>
      <c r="AE1593" s="39"/>
      <c r="AF1593" s="39"/>
      <c r="AG1593" s="39"/>
      <c r="AH1593" s="37">
        <f t="shared" si="1344"/>
        <v>0</v>
      </c>
      <c r="AI1593" s="38"/>
      <c r="AJ1593" s="39"/>
      <c r="AK1593" s="39"/>
      <c r="AL1593" s="39"/>
      <c r="AM1593" s="39"/>
      <c r="AN1593" s="37">
        <f t="shared" si="1345"/>
        <v>0</v>
      </c>
      <c r="AO1593" s="39"/>
      <c r="AP1593" s="56"/>
      <c r="AQ1593" s="56"/>
      <c r="AR1593" s="56"/>
      <c r="AS1593" s="71"/>
      <c r="AT1593" s="16">
        <f t="shared" si="1346"/>
        <v>0</v>
      </c>
      <c r="AU1593" s="39"/>
      <c r="AV1593" s="56"/>
      <c r="AW1593" s="56"/>
      <c r="AX1593" s="56"/>
      <c r="AY1593" s="71"/>
      <c r="AZ1593" s="16">
        <f t="shared" si="1347"/>
        <v>0</v>
      </c>
      <c r="BA1593" s="16">
        <f t="shared" si="1348"/>
        <v>0</v>
      </c>
    </row>
    <row r="1594" spans="1:54" ht="14.25" x14ac:dyDescent="0.15">
      <c r="A1594" s="23" t="s">
        <v>434</v>
      </c>
      <c r="B1594" s="41"/>
      <c r="C1594" s="42"/>
      <c r="D1594" s="42"/>
      <c r="E1594" s="42"/>
      <c r="F1594" s="42">
        <v>1</v>
      </c>
      <c r="G1594" s="43">
        <f t="shared" si="1322"/>
        <v>1</v>
      </c>
      <c r="H1594" s="41"/>
      <c r="I1594" s="42"/>
      <c r="J1594" s="42"/>
      <c r="K1594" s="42"/>
      <c r="L1594" s="42"/>
      <c r="M1594" s="43">
        <f t="shared" si="1301"/>
        <v>0</v>
      </c>
      <c r="N1594" s="42"/>
      <c r="O1594" s="53"/>
      <c r="P1594" s="53"/>
      <c r="Q1594" s="53"/>
      <c r="R1594" s="72"/>
      <c r="S1594" s="24">
        <f>SUM(N1594:R1594)</f>
        <v>0</v>
      </c>
      <c r="T1594" s="42"/>
      <c r="U1594" s="53"/>
      <c r="V1594" s="53"/>
      <c r="W1594" s="53"/>
      <c r="X1594" s="72"/>
      <c r="Y1594" s="24">
        <f>SUM(T1594:X1594)</f>
        <v>0</v>
      </c>
      <c r="Z1594" s="24">
        <f>G1594+M1594+S1594+Y1594</f>
        <v>1</v>
      </c>
      <c r="AA1594" s="83">
        <v>45359</v>
      </c>
      <c r="AB1594" s="23" t="s">
        <v>639</v>
      </c>
      <c r="AC1594" s="38"/>
      <c r="AD1594" s="39"/>
      <c r="AE1594" s="39"/>
      <c r="AF1594" s="39"/>
      <c r="AG1594" s="39"/>
      <c r="AH1594" s="37">
        <f t="shared" ref="AH1594:AH1595" si="1349">SUM(AC1594:AG1594)</f>
        <v>0</v>
      </c>
      <c r="AI1594" s="38"/>
      <c r="AJ1594" s="39"/>
      <c r="AK1594" s="39"/>
      <c r="AL1594" s="39"/>
      <c r="AM1594" s="39"/>
      <c r="AN1594" s="37">
        <f t="shared" ref="AN1594:AN1595" si="1350">SUM(AI1594:AM1594)</f>
        <v>0</v>
      </c>
      <c r="AO1594" s="39"/>
      <c r="AP1594" s="56"/>
      <c r="AQ1594" s="56"/>
      <c r="AR1594" s="56"/>
      <c r="AS1594" s="71"/>
      <c r="AT1594" s="16">
        <f t="shared" ref="AT1594:AT1595" si="1351">SUM(AO1594:AS1594)</f>
        <v>0</v>
      </c>
      <c r="AU1594" s="39"/>
      <c r="AV1594" s="56"/>
      <c r="AW1594" s="56"/>
      <c r="AX1594" s="56"/>
      <c r="AY1594" s="71"/>
      <c r="AZ1594" s="16">
        <f t="shared" ref="AZ1594:AZ1595" si="1352">SUM(AU1594:AY1594)</f>
        <v>0</v>
      </c>
      <c r="BA1594" s="16">
        <f t="shared" ref="BA1594" si="1353">AH1594+AN1594+AT1594+AZ1594</f>
        <v>0</v>
      </c>
      <c r="BB1594" s="128" t="s">
        <v>640</v>
      </c>
    </row>
    <row r="1595" spans="1:54" ht="15" thickBot="1" x14ac:dyDescent="0.2">
      <c r="A1595" s="23" t="s">
        <v>434</v>
      </c>
      <c r="B1595" s="41"/>
      <c r="C1595" s="42"/>
      <c r="D1595" s="42">
        <v>1</v>
      </c>
      <c r="E1595" s="42"/>
      <c r="F1595" s="42">
        <v>2</v>
      </c>
      <c r="G1595" s="43">
        <f t="shared" ref="G1595" si="1354">SUM(B1595:F1595)</f>
        <v>3</v>
      </c>
      <c r="H1595" s="41"/>
      <c r="I1595" s="42"/>
      <c r="J1595" s="42"/>
      <c r="K1595" s="42"/>
      <c r="L1595" s="42"/>
      <c r="M1595" s="43">
        <f t="shared" ref="M1595" si="1355">SUM(H1595:L1595)</f>
        <v>0</v>
      </c>
      <c r="N1595" s="42"/>
      <c r="O1595" s="53"/>
      <c r="P1595" s="53"/>
      <c r="Q1595" s="53"/>
      <c r="R1595" s="72"/>
      <c r="S1595" s="24">
        <f>SUM(N1595:R1595)</f>
        <v>0</v>
      </c>
      <c r="T1595" s="42"/>
      <c r="U1595" s="53"/>
      <c r="V1595" s="53"/>
      <c r="W1595" s="53"/>
      <c r="X1595" s="72"/>
      <c r="Y1595" s="24">
        <f>SUM(T1595:X1595)</f>
        <v>0</v>
      </c>
      <c r="Z1595" s="24">
        <f>G1595+M1595+S1595+Y1595</f>
        <v>3</v>
      </c>
      <c r="AA1595" s="83">
        <v>45359</v>
      </c>
      <c r="AB1595" s="23" t="s">
        <v>642</v>
      </c>
      <c r="AC1595" s="38"/>
      <c r="AD1595" s="39"/>
      <c r="AE1595" s="39"/>
      <c r="AF1595" s="39"/>
      <c r="AG1595" s="39"/>
      <c r="AH1595" s="37">
        <f t="shared" si="1349"/>
        <v>0</v>
      </c>
      <c r="AI1595" s="38"/>
      <c r="AJ1595" s="39"/>
      <c r="AK1595" s="39"/>
      <c r="AL1595" s="39"/>
      <c r="AM1595" s="39"/>
      <c r="AN1595" s="37">
        <f t="shared" si="1350"/>
        <v>0</v>
      </c>
      <c r="AO1595" s="39"/>
      <c r="AP1595" s="56"/>
      <c r="AQ1595" s="56"/>
      <c r="AR1595" s="56"/>
      <c r="AS1595" s="71"/>
      <c r="AT1595" s="16">
        <f t="shared" si="1351"/>
        <v>0</v>
      </c>
      <c r="AU1595" s="39"/>
      <c r="AV1595" s="56"/>
      <c r="AW1595" s="56"/>
      <c r="AX1595" s="56"/>
      <c r="AY1595" s="71"/>
      <c r="AZ1595" s="16">
        <f t="shared" si="1352"/>
        <v>0</v>
      </c>
      <c r="BA1595" s="16">
        <f t="shared" ref="BA1595" si="1356">AH1595+AN1595+AT1595+AZ1595</f>
        <v>0</v>
      </c>
      <c r="BB1595" s="128" t="s">
        <v>576</v>
      </c>
    </row>
    <row r="1596" spans="1:54" ht="15" thickBot="1" x14ac:dyDescent="0.2">
      <c r="A1596" s="9" t="s">
        <v>13</v>
      </c>
      <c r="B1596" s="25">
        <f>SUM(B1570:B1595)</f>
        <v>1</v>
      </c>
      <c r="C1596" s="26">
        <f>SUM(C1570:C1595)</f>
        <v>4</v>
      </c>
      <c r="D1596" s="26">
        <f>SUM(D1570:D1595)</f>
        <v>5</v>
      </c>
      <c r="E1596" s="26">
        <f>SUM(E1570:E1595)</f>
        <v>5</v>
      </c>
      <c r="F1596" s="27">
        <f>SUM(F1570:F1595)</f>
        <v>7</v>
      </c>
      <c r="G1596" s="19">
        <f>SUM(B1596:F1596)</f>
        <v>22</v>
      </c>
      <c r="H1596" s="25">
        <f>SUM(H1570:H1595)</f>
        <v>2</v>
      </c>
      <c r="I1596" s="26">
        <f>SUM(I1570:I1595)</f>
        <v>0</v>
      </c>
      <c r="J1596" s="26">
        <f>SUM(J1570:J1595)</f>
        <v>1</v>
      </c>
      <c r="K1596" s="26">
        <f>SUM(K1570:K1595)</f>
        <v>0</v>
      </c>
      <c r="L1596" s="27">
        <f>SUM(L1570:L1595)</f>
        <v>3</v>
      </c>
      <c r="M1596" s="25">
        <f>SUM(H1596:L1596)</f>
        <v>6</v>
      </c>
      <c r="N1596" s="65">
        <f>SUM(N1570:N1595)</f>
        <v>1</v>
      </c>
      <c r="O1596" s="18">
        <f>SUM(O1570:O1595)</f>
        <v>2</v>
      </c>
      <c r="P1596" s="18">
        <f>SUM(P1570:P1595)</f>
        <v>4</v>
      </c>
      <c r="Q1596" s="18">
        <f>SUM(Q1570:Q1595)</f>
        <v>1</v>
      </c>
      <c r="R1596" s="70">
        <f>SUM(R1570:R1595)</f>
        <v>0</v>
      </c>
      <c r="S1596" s="49">
        <f>SUM(N1596:R1596)</f>
        <v>8</v>
      </c>
      <c r="T1596" s="74">
        <f>SUM(T1570:T1595)</f>
        <v>0</v>
      </c>
      <c r="U1596" s="18">
        <f>SUM(U1570:U1595)</f>
        <v>0</v>
      </c>
      <c r="V1596" s="18">
        <f>SUM(V1570:V1595)</f>
        <v>2</v>
      </c>
      <c r="W1596" s="18">
        <f>SUM(W1570:W1595)</f>
        <v>4</v>
      </c>
      <c r="X1596" s="70">
        <f>SUM(X1570:X1595)</f>
        <v>0</v>
      </c>
      <c r="Y1596" s="49">
        <f>SUM(T1596:X1596)</f>
        <v>6</v>
      </c>
      <c r="Z1596" s="137">
        <f>G1596+M1596+S1596+Y1596</f>
        <v>42</v>
      </c>
      <c r="AB1596" s="9" t="s">
        <v>13</v>
      </c>
      <c r="AC1596" s="25">
        <f>SUM(AC1570:AC1595)</f>
        <v>0</v>
      </c>
      <c r="AD1596" s="26">
        <f>SUM(AD1570:AD1595)</f>
        <v>5</v>
      </c>
      <c r="AE1596" s="26">
        <f>SUM(AE1570:AE1595)</f>
        <v>0</v>
      </c>
      <c r="AF1596" s="26">
        <f>SUM(AF1570:AF1595)</f>
        <v>5</v>
      </c>
      <c r="AG1596" s="27">
        <f>SUM(AG1570:AG1595)</f>
        <v>3</v>
      </c>
      <c r="AH1596" s="19">
        <f t="shared" ref="AH1596" si="1357">SUM(AC1596:AG1596)</f>
        <v>13</v>
      </c>
      <c r="AI1596" s="25">
        <f>SUM(AI1570:AI1595)</f>
        <v>0</v>
      </c>
      <c r="AJ1596" s="26">
        <f>SUM(AJ1570:AJ1595)</f>
        <v>0</v>
      </c>
      <c r="AK1596" s="26">
        <f>SUM(AK1570:AK1595)</f>
        <v>0</v>
      </c>
      <c r="AL1596" s="26">
        <f>SUM(AL1570:AL1595)</f>
        <v>0</v>
      </c>
      <c r="AM1596" s="27">
        <f>SUM(AM1570:AM1595)</f>
        <v>2</v>
      </c>
      <c r="AN1596" s="25">
        <f t="shared" ref="AN1596" si="1358">SUM(AI1596:AM1596)</f>
        <v>2</v>
      </c>
      <c r="AO1596" s="65">
        <f>SUM(AO1570:AO1595)</f>
        <v>0</v>
      </c>
      <c r="AP1596" s="18">
        <f>SUM(AP1570:AP1595)</f>
        <v>2</v>
      </c>
      <c r="AQ1596" s="18">
        <f>SUM(AQ1570:AQ1595)</f>
        <v>2</v>
      </c>
      <c r="AR1596" s="18">
        <f>SUM(AR1570:AR1595)</f>
        <v>0</v>
      </c>
      <c r="AS1596" s="70">
        <f>SUM(AS1570:AS1595)</f>
        <v>0</v>
      </c>
      <c r="AT1596" s="49">
        <f t="shared" ref="AT1596" si="1359">SUM(AO1596:AS1596)</f>
        <v>4</v>
      </c>
      <c r="AU1596" s="74">
        <f>SUM(AU1570:AU1595)</f>
        <v>0</v>
      </c>
      <c r="AV1596" s="18">
        <f>SUM(AV1570:AV1595)</f>
        <v>0</v>
      </c>
      <c r="AW1596" s="18">
        <f>SUM(AW1570:AW1595)</f>
        <v>3</v>
      </c>
      <c r="AX1596" s="18">
        <f>SUM(AX1570:AX1595)</f>
        <v>2</v>
      </c>
      <c r="AY1596" s="70">
        <f>SUM(AY1570:AY1595)</f>
        <v>0</v>
      </c>
      <c r="AZ1596" s="49">
        <f t="shared" ref="AZ1596" si="1360">SUM(AU1596:AY1596)</f>
        <v>5</v>
      </c>
      <c r="BA1596" s="77">
        <f t="shared" si="1338"/>
        <v>24</v>
      </c>
    </row>
    <row r="1597" spans="1:54" ht="15" thickBot="1" x14ac:dyDescent="0.2">
      <c r="A1597" s="32" t="s">
        <v>14</v>
      </c>
      <c r="B1597" s="29">
        <f t="shared" ref="B1597:Y1597" si="1361">B1569-B1596</f>
        <v>4</v>
      </c>
      <c r="C1597" s="30">
        <f t="shared" si="1361"/>
        <v>5</v>
      </c>
      <c r="D1597" s="30">
        <f t="shared" si="1361"/>
        <v>1</v>
      </c>
      <c r="E1597" s="30">
        <f t="shared" si="1361"/>
        <v>3</v>
      </c>
      <c r="F1597" s="31">
        <f t="shared" si="1361"/>
        <v>1</v>
      </c>
      <c r="G1597" s="31">
        <f t="shared" si="1361"/>
        <v>14</v>
      </c>
      <c r="H1597" s="29">
        <f t="shared" si="1361"/>
        <v>3</v>
      </c>
      <c r="I1597" s="30">
        <f t="shared" si="1361"/>
        <v>4</v>
      </c>
      <c r="J1597" s="30">
        <f t="shared" si="1361"/>
        <v>5</v>
      </c>
      <c r="K1597" s="30">
        <f t="shared" si="1361"/>
        <v>4</v>
      </c>
      <c r="L1597" s="31">
        <f t="shared" si="1361"/>
        <v>4</v>
      </c>
      <c r="M1597" s="66">
        <f t="shared" si="1361"/>
        <v>20</v>
      </c>
      <c r="N1597" s="29">
        <f t="shared" si="1361"/>
        <v>4</v>
      </c>
      <c r="O1597" s="30">
        <f t="shared" si="1361"/>
        <v>4</v>
      </c>
      <c r="P1597" s="30">
        <f t="shared" si="1361"/>
        <v>3</v>
      </c>
      <c r="Q1597" s="30">
        <f t="shared" si="1361"/>
        <v>5</v>
      </c>
      <c r="R1597" s="66">
        <f t="shared" si="1361"/>
        <v>3</v>
      </c>
      <c r="S1597" s="33">
        <f t="shared" si="1361"/>
        <v>19</v>
      </c>
      <c r="T1597" s="75">
        <f t="shared" si="1361"/>
        <v>4</v>
      </c>
      <c r="U1597" s="30">
        <f t="shared" si="1361"/>
        <v>4</v>
      </c>
      <c r="V1597" s="30">
        <f t="shared" si="1361"/>
        <v>5</v>
      </c>
      <c r="W1597" s="30">
        <f t="shared" si="1361"/>
        <v>2</v>
      </c>
      <c r="X1597" s="66">
        <f t="shared" si="1361"/>
        <v>5</v>
      </c>
      <c r="Y1597" s="33">
        <f t="shared" si="1361"/>
        <v>20</v>
      </c>
      <c r="Z1597" s="77">
        <f>G1597+M1597+S1597+Y1597</f>
        <v>73</v>
      </c>
      <c r="AB1597" s="32" t="s">
        <v>14</v>
      </c>
      <c r="AC1597" s="29">
        <f t="shared" ref="AC1597:AZ1597" si="1362">AC1569-AC1596</f>
        <v>96</v>
      </c>
      <c r="AD1597" s="30">
        <f t="shared" si="1362"/>
        <v>64</v>
      </c>
      <c r="AE1597" s="30">
        <f t="shared" si="1362"/>
        <v>69</v>
      </c>
      <c r="AF1597" s="30">
        <f t="shared" si="1362"/>
        <v>40</v>
      </c>
      <c r="AG1597" s="31">
        <f t="shared" si="1362"/>
        <v>19</v>
      </c>
      <c r="AH1597" s="31">
        <f t="shared" si="1362"/>
        <v>288</v>
      </c>
      <c r="AI1597" s="29">
        <f t="shared" si="1362"/>
        <v>84</v>
      </c>
      <c r="AJ1597" s="30">
        <f t="shared" si="1362"/>
        <v>74</v>
      </c>
      <c r="AK1597" s="30">
        <f t="shared" si="1362"/>
        <v>83</v>
      </c>
      <c r="AL1597" s="30">
        <f t="shared" si="1362"/>
        <v>71</v>
      </c>
      <c r="AM1597" s="31">
        <f t="shared" si="1362"/>
        <v>81</v>
      </c>
      <c r="AN1597" s="66">
        <f t="shared" si="1362"/>
        <v>393</v>
      </c>
      <c r="AO1597" s="29">
        <f t="shared" si="1362"/>
        <v>143</v>
      </c>
      <c r="AP1597" s="30">
        <f t="shared" si="1362"/>
        <v>96</v>
      </c>
      <c r="AQ1597" s="30">
        <f t="shared" si="1362"/>
        <v>100</v>
      </c>
      <c r="AR1597" s="30">
        <f t="shared" si="1362"/>
        <v>117</v>
      </c>
      <c r="AS1597" s="66">
        <f t="shared" si="1362"/>
        <v>127</v>
      </c>
      <c r="AT1597" s="33">
        <f t="shared" si="1362"/>
        <v>583</v>
      </c>
      <c r="AU1597" s="75">
        <f t="shared" si="1362"/>
        <v>111</v>
      </c>
      <c r="AV1597" s="30">
        <f t="shared" si="1362"/>
        <v>58</v>
      </c>
      <c r="AW1597" s="30">
        <f t="shared" si="1362"/>
        <v>25</v>
      </c>
      <c r="AX1597" s="30">
        <f t="shared" si="1362"/>
        <v>20</v>
      </c>
      <c r="AY1597" s="66">
        <f t="shared" si="1362"/>
        <v>69</v>
      </c>
      <c r="AZ1597" s="33">
        <f t="shared" si="1362"/>
        <v>283</v>
      </c>
      <c r="BA1597" s="77">
        <f t="shared" si="1338"/>
        <v>1547</v>
      </c>
    </row>
    <row r="1600" spans="1:54" ht="19.5" thickBot="1" x14ac:dyDescent="0.25">
      <c r="A1600" s="1" t="s">
        <v>15</v>
      </c>
      <c r="AB1600" s="1" t="s">
        <v>16</v>
      </c>
    </row>
    <row r="1601" spans="1:55" ht="15" thickBot="1" x14ac:dyDescent="0.2">
      <c r="A1601" s="4"/>
      <c r="B1601" s="245" t="s">
        <v>17</v>
      </c>
      <c r="C1601" s="246"/>
      <c r="D1601" s="246"/>
      <c r="E1601" s="246"/>
      <c r="F1601" s="246"/>
      <c r="G1601" s="247"/>
      <c r="H1601" s="245" t="s">
        <v>18</v>
      </c>
      <c r="I1601" s="246"/>
      <c r="J1601" s="246"/>
      <c r="K1601" s="246"/>
      <c r="L1601" s="246"/>
      <c r="M1601" s="247"/>
      <c r="N1601" s="248" t="s">
        <v>27</v>
      </c>
      <c r="O1601" s="249"/>
      <c r="P1601" s="249"/>
      <c r="Q1601" s="249"/>
      <c r="R1601" s="249"/>
      <c r="S1601" s="250"/>
      <c r="T1601" s="248" t="s">
        <v>28</v>
      </c>
      <c r="U1601" s="249"/>
      <c r="V1601" s="249"/>
      <c r="W1601" s="249"/>
      <c r="X1601" s="249"/>
      <c r="Y1601" s="250"/>
      <c r="Z1601" s="251" t="s">
        <v>1</v>
      </c>
      <c r="AB1601" s="4"/>
      <c r="AC1601" s="253" t="s">
        <v>17</v>
      </c>
      <c r="AD1601" s="249"/>
      <c r="AE1601" s="249"/>
      <c r="AF1601" s="249"/>
      <c r="AG1601" s="249"/>
      <c r="AH1601" s="250"/>
      <c r="AI1601" s="248" t="s">
        <v>18</v>
      </c>
      <c r="AJ1601" s="249"/>
      <c r="AK1601" s="249"/>
      <c r="AL1601" s="249"/>
      <c r="AM1601" s="249"/>
      <c r="AN1601" s="250"/>
      <c r="AO1601" s="248" t="s">
        <v>27</v>
      </c>
      <c r="AP1601" s="249"/>
      <c r="AQ1601" s="249"/>
      <c r="AR1601" s="249"/>
      <c r="AS1601" s="249"/>
      <c r="AT1601" s="250"/>
      <c r="AU1601" s="248" t="s">
        <v>28</v>
      </c>
      <c r="AV1601" s="249"/>
      <c r="AW1601" s="249"/>
      <c r="AX1601" s="249"/>
      <c r="AY1601" s="249"/>
      <c r="AZ1601" s="250"/>
      <c r="BA1601" s="243" t="s">
        <v>1</v>
      </c>
    </row>
    <row r="1602" spans="1:55" ht="15" thickBot="1" x14ac:dyDescent="0.2">
      <c r="A1602" s="9" t="s">
        <v>2</v>
      </c>
      <c r="B1602" s="6" t="s">
        <v>3</v>
      </c>
      <c r="C1602" s="7" t="s">
        <v>4</v>
      </c>
      <c r="D1602" s="7" t="s">
        <v>5</v>
      </c>
      <c r="E1602" s="48" t="s">
        <v>20</v>
      </c>
      <c r="F1602" s="8" t="s">
        <v>21</v>
      </c>
      <c r="G1602" s="5" t="s">
        <v>6</v>
      </c>
      <c r="H1602" s="6" t="s">
        <v>3</v>
      </c>
      <c r="I1602" s="7" t="s">
        <v>4</v>
      </c>
      <c r="J1602" s="7" t="s">
        <v>5</v>
      </c>
      <c r="K1602" s="48" t="s">
        <v>20</v>
      </c>
      <c r="L1602" s="8" t="s">
        <v>21</v>
      </c>
      <c r="M1602" s="5" t="s">
        <v>6</v>
      </c>
      <c r="N1602" s="6" t="s">
        <v>3</v>
      </c>
      <c r="O1602" s="7" t="s">
        <v>4</v>
      </c>
      <c r="P1602" s="7" t="s">
        <v>5</v>
      </c>
      <c r="Q1602" s="48" t="s">
        <v>20</v>
      </c>
      <c r="R1602" s="8" t="s">
        <v>21</v>
      </c>
      <c r="S1602" s="5" t="s">
        <v>6</v>
      </c>
      <c r="T1602" s="7" t="s">
        <v>3</v>
      </c>
      <c r="U1602" s="7" t="s">
        <v>4</v>
      </c>
      <c r="V1602" s="7" t="s">
        <v>5</v>
      </c>
      <c r="W1602" s="48" t="s">
        <v>20</v>
      </c>
      <c r="X1602" s="109" t="s">
        <v>21</v>
      </c>
      <c r="Y1602" s="62" t="s">
        <v>6</v>
      </c>
      <c r="Z1602" s="252"/>
      <c r="AB1602" s="9" t="s">
        <v>2</v>
      </c>
      <c r="AC1602" s="6" t="s">
        <v>3</v>
      </c>
      <c r="AD1602" s="7" t="s">
        <v>4</v>
      </c>
      <c r="AE1602" s="7" t="s">
        <v>5</v>
      </c>
      <c r="AF1602" s="48" t="s">
        <v>20</v>
      </c>
      <c r="AG1602" s="8" t="s">
        <v>21</v>
      </c>
      <c r="AH1602" s="5" t="s">
        <v>6</v>
      </c>
      <c r="AI1602" s="6" t="s">
        <v>3</v>
      </c>
      <c r="AJ1602" s="7" t="s">
        <v>4</v>
      </c>
      <c r="AK1602" s="7" t="s">
        <v>5</v>
      </c>
      <c r="AL1602" s="48" t="s">
        <v>20</v>
      </c>
      <c r="AM1602" s="8" t="s">
        <v>21</v>
      </c>
      <c r="AN1602" s="5" t="s">
        <v>6</v>
      </c>
      <c r="AO1602" s="6" t="s">
        <v>3</v>
      </c>
      <c r="AP1602" s="7" t="s">
        <v>4</v>
      </c>
      <c r="AQ1602" s="7" t="s">
        <v>5</v>
      </c>
      <c r="AR1602" s="48" t="s">
        <v>20</v>
      </c>
      <c r="AS1602" s="8" t="s">
        <v>21</v>
      </c>
      <c r="AT1602" s="5" t="s">
        <v>6</v>
      </c>
      <c r="AU1602" s="7" t="s">
        <v>3</v>
      </c>
      <c r="AV1602" s="7" t="s">
        <v>4</v>
      </c>
      <c r="AW1602" s="7" t="s">
        <v>5</v>
      </c>
      <c r="AX1602" s="48" t="s">
        <v>20</v>
      </c>
      <c r="AY1602" s="109" t="s">
        <v>21</v>
      </c>
      <c r="AZ1602" s="62" t="s">
        <v>6</v>
      </c>
      <c r="BA1602" s="244"/>
    </row>
    <row r="1603" spans="1:55" ht="14.25" x14ac:dyDescent="0.15">
      <c r="A1603" s="103" t="s">
        <v>43</v>
      </c>
      <c r="B1603" s="104">
        <f>B1597</f>
        <v>4</v>
      </c>
      <c r="C1603" s="105">
        <f>C1597</f>
        <v>5</v>
      </c>
      <c r="D1603" s="105">
        <f>D1597</f>
        <v>1</v>
      </c>
      <c r="E1603" s="105">
        <f>E1597</f>
        <v>3</v>
      </c>
      <c r="F1603" s="105">
        <f>F1597</f>
        <v>1</v>
      </c>
      <c r="G1603" s="106">
        <f t="shared" ref="G1603" si="1363">SUM(B1603:F1603)</f>
        <v>14</v>
      </c>
      <c r="H1603" s="104">
        <f>H1597</f>
        <v>3</v>
      </c>
      <c r="I1603" s="105">
        <f>I1597</f>
        <v>4</v>
      </c>
      <c r="J1603" s="105">
        <f>J1597</f>
        <v>5</v>
      </c>
      <c r="K1603" s="105">
        <f>K1597</f>
        <v>4</v>
      </c>
      <c r="L1603" s="105">
        <f>L1597</f>
        <v>4</v>
      </c>
      <c r="M1603" s="107">
        <f t="shared" ref="M1603:M1608" si="1364">SUM(H1603:L1603)</f>
        <v>20</v>
      </c>
      <c r="N1603" s="104">
        <f>N1597</f>
        <v>4</v>
      </c>
      <c r="O1603" s="105">
        <f>O1597</f>
        <v>4</v>
      </c>
      <c r="P1603" s="105">
        <f>P1597</f>
        <v>3</v>
      </c>
      <c r="Q1603" s="105">
        <f>Q1597</f>
        <v>5</v>
      </c>
      <c r="R1603" s="105">
        <f>R1597</f>
        <v>3</v>
      </c>
      <c r="S1603" s="108">
        <f t="shared" ref="S1603:S1632" si="1365">SUM(N1603:R1603)</f>
        <v>19</v>
      </c>
      <c r="T1603" s="104">
        <f>T1597</f>
        <v>4</v>
      </c>
      <c r="U1603" s="105">
        <f>U1597</f>
        <v>4</v>
      </c>
      <c r="V1603" s="105">
        <f>V1597</f>
        <v>5</v>
      </c>
      <c r="W1603" s="105">
        <f>W1597</f>
        <v>2</v>
      </c>
      <c r="X1603" s="105">
        <f>X1597</f>
        <v>5</v>
      </c>
      <c r="Y1603" s="106">
        <f t="shared" ref="Y1603:Y1604" si="1366">SUM(T1603:X1603)</f>
        <v>20</v>
      </c>
      <c r="Z1603" s="106">
        <f t="shared" ref="Z1603:Z1605" si="1367">G1603+M1603+S1603+Y1603</f>
        <v>73</v>
      </c>
      <c r="AB1603" s="103" t="s">
        <v>43</v>
      </c>
      <c r="AC1603" s="104">
        <f>AC1597</f>
        <v>96</v>
      </c>
      <c r="AD1603" s="105">
        <f>AD1597</f>
        <v>64</v>
      </c>
      <c r="AE1603" s="105">
        <f>AE1597</f>
        <v>69</v>
      </c>
      <c r="AF1603" s="105">
        <f>AF1597</f>
        <v>40</v>
      </c>
      <c r="AG1603" s="105">
        <f>AG1597</f>
        <v>19</v>
      </c>
      <c r="AH1603" s="106">
        <f>SUM(AC1603:AG1603)</f>
        <v>288</v>
      </c>
      <c r="AI1603" s="104">
        <f>AI1597</f>
        <v>84</v>
      </c>
      <c r="AJ1603" s="105">
        <f>AJ1597</f>
        <v>74</v>
      </c>
      <c r="AK1603" s="105">
        <f>AK1597</f>
        <v>83</v>
      </c>
      <c r="AL1603" s="105">
        <f>AL1597</f>
        <v>71</v>
      </c>
      <c r="AM1603" s="105">
        <f>AM1597</f>
        <v>81</v>
      </c>
      <c r="AN1603" s="107">
        <f>SUM(AI1603:AM1603)</f>
        <v>393</v>
      </c>
      <c r="AO1603" s="104">
        <f>AO1597</f>
        <v>143</v>
      </c>
      <c r="AP1603" s="105">
        <f>AP1597</f>
        <v>96</v>
      </c>
      <c r="AQ1603" s="105">
        <f>AQ1597</f>
        <v>100</v>
      </c>
      <c r="AR1603" s="105">
        <f>AR1597</f>
        <v>117</v>
      </c>
      <c r="AS1603" s="105">
        <f>AS1597</f>
        <v>127</v>
      </c>
      <c r="AT1603" s="108">
        <f>SUM(AO1603:AS1603)</f>
        <v>583</v>
      </c>
      <c r="AU1603" s="104">
        <f>AU1597</f>
        <v>111</v>
      </c>
      <c r="AV1603" s="105">
        <f>AV1597</f>
        <v>58</v>
      </c>
      <c r="AW1603" s="105">
        <f>AW1597</f>
        <v>25</v>
      </c>
      <c r="AX1603" s="105">
        <f>AX1597</f>
        <v>20</v>
      </c>
      <c r="AY1603" s="105">
        <f>AY1597</f>
        <v>69</v>
      </c>
      <c r="AZ1603" s="106">
        <f>SUM(AU1603:AY1603)</f>
        <v>283</v>
      </c>
      <c r="BA1603" s="106">
        <f>AH1603+AN1603+AT1603+AZ1603</f>
        <v>1547</v>
      </c>
    </row>
    <row r="1604" spans="1:55" ht="14.25" x14ac:dyDescent="0.15">
      <c r="A1604" s="10" t="s">
        <v>181</v>
      </c>
      <c r="B1604" s="14"/>
      <c r="C1604" s="15"/>
      <c r="D1604" s="15">
        <v>5</v>
      </c>
      <c r="E1604" s="15">
        <v>3</v>
      </c>
      <c r="F1604" s="15"/>
      <c r="G1604" s="43">
        <f t="shared" ref="G1604" si="1368">SUM(B1604:F1604)</f>
        <v>8</v>
      </c>
      <c r="H1604" s="14">
        <v>3</v>
      </c>
      <c r="I1604" s="15"/>
      <c r="J1604" s="15"/>
      <c r="K1604" s="15"/>
      <c r="L1604" s="15"/>
      <c r="M1604" s="43">
        <f t="shared" si="1364"/>
        <v>3</v>
      </c>
      <c r="N1604" s="14"/>
      <c r="O1604" s="55"/>
      <c r="P1604" s="55">
        <v>3</v>
      </c>
      <c r="Q1604" s="55"/>
      <c r="R1604" s="67">
        <v>3</v>
      </c>
      <c r="S1604" s="24">
        <f t="shared" si="1365"/>
        <v>6</v>
      </c>
      <c r="T1604" s="15"/>
      <c r="U1604" s="55"/>
      <c r="V1604" s="55"/>
      <c r="W1604" s="55"/>
      <c r="X1604" s="67"/>
      <c r="Y1604" s="24">
        <f t="shared" si="1366"/>
        <v>0</v>
      </c>
      <c r="Z1604" s="24">
        <f t="shared" si="1367"/>
        <v>17</v>
      </c>
      <c r="AA1604" s="83">
        <v>45362</v>
      </c>
      <c r="AB1604" s="10" t="s">
        <v>181</v>
      </c>
      <c r="AC1604" s="14"/>
      <c r="AD1604" s="15"/>
      <c r="AE1604" s="15"/>
      <c r="AF1604" s="15"/>
      <c r="AG1604" s="15"/>
      <c r="AH1604" s="43">
        <f t="shared" ref="AH1604:AH1608" si="1369">SUM(AC1604:AG1604)</f>
        <v>0</v>
      </c>
      <c r="AI1604" s="14"/>
      <c r="AJ1604" s="15"/>
      <c r="AK1604" s="15"/>
      <c r="AL1604" s="15"/>
      <c r="AM1604" s="15"/>
      <c r="AN1604" s="43">
        <f t="shared" ref="AN1604:AN1608" si="1370">SUM(AI1604:AM1604)</f>
        <v>0</v>
      </c>
      <c r="AO1604" s="14"/>
      <c r="AP1604" s="55"/>
      <c r="AQ1604" s="55"/>
      <c r="AR1604" s="55"/>
      <c r="AS1604" s="67"/>
      <c r="AT1604" s="24">
        <f t="shared" ref="AT1604:AT1608" si="1371">SUM(AO1604:AS1604)</f>
        <v>0</v>
      </c>
      <c r="AU1604" s="15"/>
      <c r="AV1604" s="55"/>
      <c r="AW1604" s="55"/>
      <c r="AX1604" s="55"/>
      <c r="AY1604" s="67"/>
      <c r="AZ1604" s="24">
        <f t="shared" ref="AZ1604:AZ1610" si="1372">SUM(AU1604:AY1604)</f>
        <v>0</v>
      </c>
      <c r="BA1604" s="24">
        <f t="shared" ref="BA1604:BA1611" si="1373">AH1604+AN1604+AT1604+AZ1604</f>
        <v>0</v>
      </c>
    </row>
    <row r="1605" spans="1:55" ht="14.25" x14ac:dyDescent="0.15">
      <c r="A1605" s="10" t="s">
        <v>181</v>
      </c>
      <c r="B1605" s="14">
        <v>3</v>
      </c>
      <c r="C1605" s="15">
        <v>3</v>
      </c>
      <c r="D1605" s="15"/>
      <c r="E1605" s="15"/>
      <c r="F1605" s="15"/>
      <c r="G1605" s="43">
        <f t="shared" ref="G1605:G1606" si="1374">SUM(B1605:F1605)</f>
        <v>6</v>
      </c>
      <c r="H1605" s="14"/>
      <c r="I1605" s="15"/>
      <c r="J1605" s="15"/>
      <c r="K1605" s="15"/>
      <c r="L1605" s="15">
        <v>5</v>
      </c>
      <c r="M1605" s="43">
        <f t="shared" si="1364"/>
        <v>5</v>
      </c>
      <c r="N1605" s="14"/>
      <c r="O1605" s="55"/>
      <c r="P1605" s="55"/>
      <c r="Q1605" s="55"/>
      <c r="R1605" s="67"/>
      <c r="S1605" s="24">
        <f t="shared" si="1365"/>
        <v>0</v>
      </c>
      <c r="T1605" s="15"/>
      <c r="U1605" s="55"/>
      <c r="V1605" s="55"/>
      <c r="W1605" s="55"/>
      <c r="X1605" s="67"/>
      <c r="Y1605" s="24">
        <f t="shared" ref="Y1605:Y1606" si="1375">SUM(T1605:X1605)</f>
        <v>0</v>
      </c>
      <c r="Z1605" s="24">
        <f t="shared" si="1367"/>
        <v>11</v>
      </c>
      <c r="AA1605" s="83">
        <v>45370</v>
      </c>
      <c r="AB1605" s="10" t="s">
        <v>181</v>
      </c>
      <c r="AC1605" s="14"/>
      <c r="AD1605" s="15"/>
      <c r="AE1605" s="15"/>
      <c r="AF1605" s="15"/>
      <c r="AG1605" s="15"/>
      <c r="AH1605" s="43">
        <f t="shared" si="1369"/>
        <v>0</v>
      </c>
      <c r="AI1605" s="14"/>
      <c r="AJ1605" s="15"/>
      <c r="AK1605" s="15"/>
      <c r="AL1605" s="15"/>
      <c r="AM1605" s="15"/>
      <c r="AN1605" s="43">
        <f t="shared" si="1370"/>
        <v>0</v>
      </c>
      <c r="AO1605" s="14"/>
      <c r="AP1605" s="55"/>
      <c r="AQ1605" s="55"/>
      <c r="AR1605" s="55"/>
      <c r="AS1605" s="67"/>
      <c r="AT1605" s="24">
        <f t="shared" si="1371"/>
        <v>0</v>
      </c>
      <c r="AU1605" s="15"/>
      <c r="AV1605" s="55"/>
      <c r="AW1605" s="55"/>
      <c r="AX1605" s="55"/>
      <c r="AY1605" s="67"/>
      <c r="AZ1605" s="24">
        <f t="shared" si="1372"/>
        <v>0</v>
      </c>
      <c r="BA1605" s="24">
        <f t="shared" si="1373"/>
        <v>0</v>
      </c>
    </row>
    <row r="1606" spans="1:55" ht="14.25" x14ac:dyDescent="0.15">
      <c r="A1606" s="10" t="s">
        <v>181</v>
      </c>
      <c r="B1606" s="14"/>
      <c r="C1606" s="15"/>
      <c r="D1606" s="15"/>
      <c r="E1606" s="15"/>
      <c r="F1606" s="15"/>
      <c r="G1606" s="43">
        <f t="shared" si="1374"/>
        <v>0</v>
      </c>
      <c r="H1606" s="14"/>
      <c r="I1606" s="15">
        <v>3</v>
      </c>
      <c r="J1606" s="15"/>
      <c r="K1606" s="15">
        <v>3</v>
      </c>
      <c r="L1606" s="15"/>
      <c r="M1606" s="43">
        <f t="shared" si="1364"/>
        <v>6</v>
      </c>
      <c r="N1606" s="14"/>
      <c r="O1606" s="55"/>
      <c r="P1606" s="55"/>
      <c r="Q1606" s="55"/>
      <c r="R1606" s="67"/>
      <c r="S1606" s="24">
        <f t="shared" si="1365"/>
        <v>0</v>
      </c>
      <c r="T1606" s="15"/>
      <c r="U1606" s="55"/>
      <c r="V1606" s="55"/>
      <c r="W1606" s="55"/>
      <c r="X1606" s="67"/>
      <c r="Y1606" s="24">
        <f t="shared" si="1375"/>
        <v>0</v>
      </c>
      <c r="Z1606" s="24">
        <f>G1606+M1606+S1606+Y1606</f>
        <v>6</v>
      </c>
      <c r="AA1606" s="83">
        <v>45372</v>
      </c>
      <c r="AB1606" s="10" t="s">
        <v>181</v>
      </c>
      <c r="AC1606" s="14"/>
      <c r="AD1606" s="15"/>
      <c r="AE1606" s="15"/>
      <c r="AF1606" s="15"/>
      <c r="AG1606" s="15"/>
      <c r="AH1606" s="43">
        <f t="shared" si="1369"/>
        <v>0</v>
      </c>
      <c r="AI1606" s="14"/>
      <c r="AJ1606" s="15"/>
      <c r="AK1606" s="15"/>
      <c r="AL1606" s="15"/>
      <c r="AM1606" s="15"/>
      <c r="AN1606" s="43">
        <f t="shared" si="1370"/>
        <v>0</v>
      </c>
      <c r="AO1606" s="14"/>
      <c r="AP1606" s="55"/>
      <c r="AQ1606" s="55"/>
      <c r="AR1606" s="55"/>
      <c r="AS1606" s="67"/>
      <c r="AT1606" s="24">
        <f t="shared" si="1371"/>
        <v>0</v>
      </c>
      <c r="AU1606" s="15"/>
      <c r="AV1606" s="55"/>
      <c r="AW1606" s="55"/>
      <c r="AX1606" s="55"/>
      <c r="AY1606" s="67"/>
      <c r="AZ1606" s="24">
        <f t="shared" si="1372"/>
        <v>0</v>
      </c>
      <c r="BA1606" s="24">
        <f t="shared" si="1373"/>
        <v>0</v>
      </c>
    </row>
    <row r="1607" spans="1:55" ht="15" thickBot="1" x14ac:dyDescent="0.2">
      <c r="A1607" s="10" t="s">
        <v>181</v>
      </c>
      <c r="B1607" s="14"/>
      <c r="C1607" s="15"/>
      <c r="D1607" s="15"/>
      <c r="E1607" s="15"/>
      <c r="F1607" s="15">
        <v>4</v>
      </c>
      <c r="G1607" s="43">
        <f t="shared" ref="G1607" si="1376">SUM(B1607:F1607)</f>
        <v>4</v>
      </c>
      <c r="H1607" s="14"/>
      <c r="I1607" s="15"/>
      <c r="J1607" s="15"/>
      <c r="K1607" s="15"/>
      <c r="L1607" s="15"/>
      <c r="M1607" s="43">
        <f t="shared" si="1364"/>
        <v>0</v>
      </c>
      <c r="N1607" s="14"/>
      <c r="O1607" s="55"/>
      <c r="P1607" s="55"/>
      <c r="Q1607" s="55"/>
      <c r="R1607" s="67"/>
      <c r="S1607" s="24">
        <f t="shared" si="1365"/>
        <v>0</v>
      </c>
      <c r="T1607" s="15"/>
      <c r="U1607" s="55"/>
      <c r="V1607" s="55"/>
      <c r="W1607" s="55">
        <v>4</v>
      </c>
      <c r="X1607" s="67"/>
      <c r="Y1607" s="24">
        <f t="shared" ref="Y1607:Y1632" si="1377">SUM(T1607:X1607)</f>
        <v>4</v>
      </c>
      <c r="Z1607" s="24">
        <f>G1607+M1607+S1607+Y1607</f>
        <v>8</v>
      </c>
      <c r="AA1607" s="83">
        <v>45376</v>
      </c>
      <c r="AB1607" s="10" t="s">
        <v>181</v>
      </c>
      <c r="AC1607" s="14"/>
      <c r="AD1607" s="15"/>
      <c r="AE1607" s="15"/>
      <c r="AF1607" s="15"/>
      <c r="AG1607" s="15"/>
      <c r="AH1607" s="43">
        <f t="shared" ref="AH1607" si="1378">SUM(AC1607:AG1607)</f>
        <v>0</v>
      </c>
      <c r="AI1607" s="14"/>
      <c r="AJ1607" s="15"/>
      <c r="AK1607" s="15"/>
      <c r="AL1607" s="15"/>
      <c r="AM1607" s="15"/>
      <c r="AN1607" s="43">
        <f t="shared" ref="AN1607" si="1379">SUM(AI1607:AM1607)</f>
        <v>0</v>
      </c>
      <c r="AO1607" s="14"/>
      <c r="AP1607" s="55"/>
      <c r="AQ1607" s="55"/>
      <c r="AR1607" s="55"/>
      <c r="AS1607" s="67"/>
      <c r="AT1607" s="24">
        <f t="shared" ref="AT1607" si="1380">SUM(AO1607:AS1607)</f>
        <v>0</v>
      </c>
      <c r="AU1607" s="15"/>
      <c r="AV1607" s="55"/>
      <c r="AW1607" s="55"/>
      <c r="AX1607" s="55"/>
      <c r="AY1607" s="67"/>
      <c r="AZ1607" s="24">
        <f t="shared" ref="AZ1607" si="1381">SUM(AU1607:AY1607)</f>
        <v>0</v>
      </c>
      <c r="BA1607" s="24">
        <f t="shared" ref="BA1607" si="1382">AH1607+AN1607+AT1607+AZ1607</f>
        <v>0</v>
      </c>
    </row>
    <row r="1608" spans="1:55" ht="15" thickBot="1" x14ac:dyDescent="0.2">
      <c r="A1608" s="4" t="s">
        <v>12</v>
      </c>
      <c r="B1608" s="17">
        <f>SUM(B1603:B1607)</f>
        <v>7</v>
      </c>
      <c r="C1608" s="18">
        <f>SUM(C1603:C1607)</f>
        <v>8</v>
      </c>
      <c r="D1608" s="18">
        <f>SUM(D1603:D1607)</f>
        <v>6</v>
      </c>
      <c r="E1608" s="18">
        <f>SUM(E1603:E1607)</f>
        <v>6</v>
      </c>
      <c r="F1608" s="18">
        <f>SUM(F1603:F1607)</f>
        <v>5</v>
      </c>
      <c r="G1608" s="148">
        <f t="shared" ref="G1608" si="1383">SUM(B1608:F1608)</f>
        <v>32</v>
      </c>
      <c r="H1608" s="17">
        <f>SUM(H1603:H1607)</f>
        <v>6</v>
      </c>
      <c r="I1608" s="18">
        <f>SUM(I1603:I1607)</f>
        <v>7</v>
      </c>
      <c r="J1608" s="18">
        <f>SUM(J1603:J1607)</f>
        <v>5</v>
      </c>
      <c r="K1608" s="18">
        <f>SUM(K1603:K1607)</f>
        <v>7</v>
      </c>
      <c r="L1608" s="18">
        <f>SUM(L1603:L1607)</f>
        <v>9</v>
      </c>
      <c r="M1608" s="17">
        <f t="shared" si="1364"/>
        <v>34</v>
      </c>
      <c r="N1608" s="65">
        <f>SUM(N1603:N1607)</f>
        <v>4</v>
      </c>
      <c r="O1608" s="18">
        <f>SUM(O1603:O1607)</f>
        <v>4</v>
      </c>
      <c r="P1608" s="18">
        <f>SUM(P1603:P1607)</f>
        <v>6</v>
      </c>
      <c r="Q1608" s="18">
        <f>SUM(Q1603:Q1607)</f>
        <v>5</v>
      </c>
      <c r="R1608" s="70">
        <f>SUM(R1603:R1607)</f>
        <v>6</v>
      </c>
      <c r="S1608" s="49">
        <f t="shared" si="1365"/>
        <v>25</v>
      </c>
      <c r="T1608" s="74">
        <f>SUM(T1603:T1607)</f>
        <v>4</v>
      </c>
      <c r="U1608" s="18">
        <f>SUM(U1603:U1607)</f>
        <v>4</v>
      </c>
      <c r="V1608" s="18">
        <f>SUM(V1603:V1607)</f>
        <v>5</v>
      </c>
      <c r="W1608" s="18">
        <f>SUM(W1603:W1607)</f>
        <v>6</v>
      </c>
      <c r="X1608" s="70">
        <f>SUM(X1603:X1607)</f>
        <v>5</v>
      </c>
      <c r="Y1608" s="49">
        <f t="shared" si="1377"/>
        <v>24</v>
      </c>
      <c r="Z1608" s="33">
        <f t="shared" ref="Z1608:Z1632" si="1384">G1608+M1608+S1608+Y1608</f>
        <v>115</v>
      </c>
      <c r="AB1608" s="4" t="s">
        <v>12</v>
      </c>
      <c r="AC1608" s="17">
        <f>SUM(AC1603:AC1607)</f>
        <v>96</v>
      </c>
      <c r="AD1608" s="18">
        <f>SUM(AD1603:AD1607)</f>
        <v>64</v>
      </c>
      <c r="AE1608" s="18">
        <f>SUM(AE1603:AE1607)</f>
        <v>69</v>
      </c>
      <c r="AF1608" s="18">
        <f>SUM(AF1603:AF1607)</f>
        <v>40</v>
      </c>
      <c r="AG1608" s="18">
        <f>SUM(AG1603:AG1607)</f>
        <v>19</v>
      </c>
      <c r="AH1608" s="148">
        <f t="shared" si="1369"/>
        <v>288</v>
      </c>
      <c r="AI1608" s="17">
        <f>SUM(AI1603:AI1607)</f>
        <v>84</v>
      </c>
      <c r="AJ1608" s="18">
        <f>SUM(AJ1603:AJ1607)</f>
        <v>74</v>
      </c>
      <c r="AK1608" s="18">
        <f>SUM(AK1603:AK1607)</f>
        <v>83</v>
      </c>
      <c r="AL1608" s="18">
        <f>SUM(AL1603:AL1607)</f>
        <v>71</v>
      </c>
      <c r="AM1608" s="18">
        <f>SUM(AM1603:AM1607)</f>
        <v>81</v>
      </c>
      <c r="AN1608" s="148">
        <f t="shared" si="1370"/>
        <v>393</v>
      </c>
      <c r="AO1608" s="65">
        <f>SUM(AO1603:AO1607)</f>
        <v>143</v>
      </c>
      <c r="AP1608" s="18">
        <f>SUM(AP1603:AP1607)</f>
        <v>96</v>
      </c>
      <c r="AQ1608" s="18">
        <f>SUM(AQ1603:AQ1607)</f>
        <v>100</v>
      </c>
      <c r="AR1608" s="18">
        <f>SUM(AR1603:AR1607)</f>
        <v>117</v>
      </c>
      <c r="AS1608" s="70">
        <f>SUM(AS1603:AS1607)</f>
        <v>127</v>
      </c>
      <c r="AT1608" s="49">
        <f t="shared" si="1371"/>
        <v>583</v>
      </c>
      <c r="AU1608" s="74">
        <f>SUM(AU1603:AU1607)</f>
        <v>111</v>
      </c>
      <c r="AV1608" s="18">
        <f>SUM(AV1603:AV1607)</f>
        <v>58</v>
      </c>
      <c r="AW1608" s="18">
        <f>SUM(AW1603:AW1607)</f>
        <v>25</v>
      </c>
      <c r="AX1608" s="18">
        <f>SUM(AX1603:AX1607)</f>
        <v>20</v>
      </c>
      <c r="AY1608" s="70">
        <f>SUM(AY1603:AY1607)</f>
        <v>69</v>
      </c>
      <c r="AZ1608" s="49">
        <f t="shared" si="1372"/>
        <v>283</v>
      </c>
      <c r="BA1608" s="33">
        <f t="shared" si="1373"/>
        <v>1547</v>
      </c>
    </row>
    <row r="1609" spans="1:55" ht="14.25" x14ac:dyDescent="0.15">
      <c r="A1609" s="23" t="s">
        <v>48</v>
      </c>
      <c r="B1609" s="41"/>
      <c r="C1609" s="42">
        <v>1</v>
      </c>
      <c r="D1609" s="42">
        <v>1</v>
      </c>
      <c r="E1609" s="42"/>
      <c r="F1609" s="42"/>
      <c r="G1609" s="43">
        <f t="shared" ref="G1609:G1632" si="1385">SUM(B1609:F1609)</f>
        <v>2</v>
      </c>
      <c r="H1609" s="41"/>
      <c r="I1609" s="42"/>
      <c r="J1609" s="42"/>
      <c r="K1609" s="42"/>
      <c r="L1609" s="42"/>
      <c r="M1609" s="43">
        <f t="shared" ref="M1609:M1632" si="1386">SUM(H1609:L1609)</f>
        <v>0</v>
      </c>
      <c r="N1609" s="42"/>
      <c r="O1609" s="53"/>
      <c r="P1609" s="53"/>
      <c r="Q1609" s="53"/>
      <c r="R1609" s="72"/>
      <c r="S1609" s="24">
        <f t="shared" si="1365"/>
        <v>0</v>
      </c>
      <c r="T1609" s="42"/>
      <c r="U1609" s="53"/>
      <c r="V1609" s="53"/>
      <c r="W1609" s="53"/>
      <c r="X1609" s="72"/>
      <c r="Y1609" s="24">
        <f t="shared" si="1377"/>
        <v>0</v>
      </c>
      <c r="Z1609" s="24">
        <f t="shared" si="1384"/>
        <v>2</v>
      </c>
      <c r="AA1609" s="83">
        <v>45362</v>
      </c>
      <c r="AB1609" s="205" t="s">
        <v>646</v>
      </c>
      <c r="AC1609" s="38">
        <v>3</v>
      </c>
      <c r="AD1609" s="39">
        <v>3</v>
      </c>
      <c r="AE1609" s="39">
        <v>2</v>
      </c>
      <c r="AF1609" s="39">
        <v>2</v>
      </c>
      <c r="AG1609" s="39"/>
      <c r="AH1609" s="37">
        <f t="shared" ref="AH1609:AH1626" si="1387">SUM(AC1609:AG1609)</f>
        <v>10</v>
      </c>
      <c r="AI1609" s="38">
        <v>3</v>
      </c>
      <c r="AJ1609" s="39">
        <v>3</v>
      </c>
      <c r="AK1609" s="39">
        <v>2</v>
      </c>
      <c r="AL1609" s="39">
        <v>2</v>
      </c>
      <c r="AM1609" s="39"/>
      <c r="AN1609" s="37">
        <f t="shared" ref="AN1609:AN1626" si="1388">SUM(AI1609:AM1609)</f>
        <v>10</v>
      </c>
      <c r="AO1609" s="39">
        <v>3</v>
      </c>
      <c r="AP1609" s="56">
        <v>3</v>
      </c>
      <c r="AQ1609" s="56">
        <v>2</v>
      </c>
      <c r="AR1609" s="56">
        <v>2</v>
      </c>
      <c r="AS1609" s="71"/>
      <c r="AT1609" s="16">
        <f t="shared" ref="AT1609:AT1626" si="1389">SUM(AO1609:AS1609)</f>
        <v>10</v>
      </c>
      <c r="AU1609" s="39">
        <v>3</v>
      </c>
      <c r="AV1609" s="56">
        <v>3</v>
      </c>
      <c r="AW1609" s="56">
        <v>2</v>
      </c>
      <c r="AX1609" s="56">
        <v>2</v>
      </c>
      <c r="AY1609" s="71"/>
      <c r="AZ1609" s="16">
        <f t="shared" si="1372"/>
        <v>10</v>
      </c>
      <c r="BA1609" s="16">
        <f t="shared" si="1373"/>
        <v>40</v>
      </c>
      <c r="BB1609" s="83">
        <v>45364</v>
      </c>
    </row>
    <row r="1610" spans="1:55" ht="14.25" x14ac:dyDescent="0.15">
      <c r="A1610" s="23" t="s">
        <v>434</v>
      </c>
      <c r="B1610" s="41"/>
      <c r="C1610" s="42"/>
      <c r="D1610" s="42"/>
      <c r="E1610" s="42"/>
      <c r="F1610" s="42"/>
      <c r="G1610" s="43">
        <f t="shared" si="1385"/>
        <v>0</v>
      </c>
      <c r="H1610" s="41"/>
      <c r="I1610" s="42"/>
      <c r="J1610" s="42"/>
      <c r="K1610" s="42"/>
      <c r="L1610" s="42"/>
      <c r="M1610" s="43">
        <f t="shared" si="1386"/>
        <v>0</v>
      </c>
      <c r="N1610" s="42"/>
      <c r="O1610" s="53"/>
      <c r="P1610" s="53"/>
      <c r="Q1610" s="53"/>
      <c r="R1610" s="72"/>
      <c r="S1610" s="24">
        <f t="shared" si="1365"/>
        <v>0</v>
      </c>
      <c r="T1610" s="42"/>
      <c r="U1610" s="53"/>
      <c r="V1610" s="53"/>
      <c r="W1610" s="53">
        <v>1</v>
      </c>
      <c r="X1610" s="72"/>
      <c r="Y1610" s="24">
        <f t="shared" si="1377"/>
        <v>1</v>
      </c>
      <c r="Z1610" s="24">
        <f t="shared" si="1384"/>
        <v>1</v>
      </c>
      <c r="AA1610" s="83">
        <v>45365</v>
      </c>
      <c r="AB1610" s="23" t="s">
        <v>126</v>
      </c>
      <c r="AC1610" s="38"/>
      <c r="AD1610" s="39"/>
      <c r="AE1610" s="39">
        <v>5</v>
      </c>
      <c r="AF1610" s="39">
        <v>3</v>
      </c>
      <c r="AG1610" s="39"/>
      <c r="AH1610" s="37">
        <f t="shared" ref="AH1610:AH1611" si="1390">SUM(AC1610:AG1610)</f>
        <v>8</v>
      </c>
      <c r="AI1610" s="38">
        <v>3</v>
      </c>
      <c r="AJ1610" s="39"/>
      <c r="AK1610" s="39"/>
      <c r="AL1610" s="39"/>
      <c r="AM1610" s="39"/>
      <c r="AN1610" s="37">
        <f t="shared" ref="AN1610" si="1391">SUM(AI1610:AM1610)</f>
        <v>3</v>
      </c>
      <c r="AO1610" s="39"/>
      <c r="AP1610" s="56"/>
      <c r="AQ1610" s="56">
        <v>3</v>
      </c>
      <c r="AR1610" s="56"/>
      <c r="AS1610" s="71">
        <v>3</v>
      </c>
      <c r="AT1610" s="16">
        <f t="shared" ref="AT1610" si="1392">SUM(AO1610:AS1610)</f>
        <v>6</v>
      </c>
      <c r="AU1610" s="39"/>
      <c r="AV1610" s="56"/>
      <c r="AW1610" s="56"/>
      <c r="AX1610" s="56"/>
      <c r="AY1610" s="71"/>
      <c r="AZ1610" s="16">
        <f t="shared" si="1372"/>
        <v>0</v>
      </c>
      <c r="BA1610" s="16">
        <f t="shared" si="1373"/>
        <v>17</v>
      </c>
      <c r="BB1610" s="83">
        <v>45362</v>
      </c>
      <c r="BC1610" s="111"/>
    </row>
    <row r="1611" spans="1:55" ht="14.25" x14ac:dyDescent="0.15">
      <c r="A1611" s="23" t="s">
        <v>48</v>
      </c>
      <c r="B1611" s="41"/>
      <c r="C1611" s="42"/>
      <c r="D1611" s="42"/>
      <c r="E1611" s="42"/>
      <c r="F1611" s="42"/>
      <c r="G1611" s="43">
        <f t="shared" si="1385"/>
        <v>0</v>
      </c>
      <c r="H1611" s="41"/>
      <c r="I1611" s="42"/>
      <c r="J1611" s="42"/>
      <c r="K1611" s="42"/>
      <c r="L1611" s="42">
        <v>1</v>
      </c>
      <c r="M1611" s="43">
        <f t="shared" si="1386"/>
        <v>1</v>
      </c>
      <c r="N1611" s="42"/>
      <c r="O1611" s="53"/>
      <c r="P1611" s="53"/>
      <c r="Q1611" s="53"/>
      <c r="R1611" s="72"/>
      <c r="S1611" s="24">
        <f t="shared" si="1365"/>
        <v>0</v>
      </c>
      <c r="T1611" s="42"/>
      <c r="U1611" s="53"/>
      <c r="V1611" s="53"/>
      <c r="W1611" s="53"/>
      <c r="X1611" s="72"/>
      <c r="Y1611" s="24">
        <f t="shared" si="1377"/>
        <v>0</v>
      </c>
      <c r="Z1611" s="24">
        <f t="shared" si="1384"/>
        <v>1</v>
      </c>
      <c r="AA1611" s="83">
        <v>45363</v>
      </c>
      <c r="AB1611" s="23" t="s">
        <v>126</v>
      </c>
      <c r="AC1611" s="38">
        <v>3</v>
      </c>
      <c r="AD1611" s="39">
        <v>3</v>
      </c>
      <c r="AE1611" s="39"/>
      <c r="AF1611" s="39"/>
      <c r="AG1611" s="39"/>
      <c r="AH1611" s="37">
        <f t="shared" si="1390"/>
        <v>6</v>
      </c>
      <c r="AI1611" s="38"/>
      <c r="AJ1611" s="39"/>
      <c r="AK1611" s="39"/>
      <c r="AL1611" s="39"/>
      <c r="AM1611" s="39">
        <v>5</v>
      </c>
      <c r="AN1611" s="37">
        <f t="shared" ref="AN1611" si="1393">SUM(AI1611:AM1611)</f>
        <v>5</v>
      </c>
      <c r="AO1611" s="39"/>
      <c r="AP1611" s="56"/>
      <c r="AQ1611" s="56"/>
      <c r="AR1611" s="56"/>
      <c r="AS1611" s="71"/>
      <c r="AT1611" s="16">
        <f t="shared" ref="AT1611" si="1394">SUM(AO1611:AS1611)</f>
        <v>0</v>
      </c>
      <c r="AU1611" s="39"/>
      <c r="AV1611" s="56"/>
      <c r="AW1611" s="56"/>
      <c r="AX1611" s="56"/>
      <c r="AY1611" s="71"/>
      <c r="AZ1611" s="16">
        <f t="shared" ref="AZ1611" si="1395">SUM(AU1611:AY1611)</f>
        <v>0</v>
      </c>
      <c r="BA1611" s="16">
        <f t="shared" si="1373"/>
        <v>11</v>
      </c>
      <c r="BB1611" s="83">
        <v>45370</v>
      </c>
      <c r="BC1611" s="111"/>
    </row>
    <row r="1612" spans="1:55" ht="14.25" x14ac:dyDescent="0.15">
      <c r="A1612" s="23" t="s">
        <v>48</v>
      </c>
      <c r="B1612" s="41"/>
      <c r="C1612" s="42">
        <v>1</v>
      </c>
      <c r="D1612" s="42"/>
      <c r="E1612" s="42"/>
      <c r="F1612" s="42"/>
      <c r="G1612" s="43">
        <f t="shared" si="1385"/>
        <v>1</v>
      </c>
      <c r="H1612" s="41"/>
      <c r="I1612" s="42"/>
      <c r="J1612" s="42"/>
      <c r="K1612" s="42"/>
      <c r="L1612" s="42">
        <v>2</v>
      </c>
      <c r="M1612" s="43">
        <f t="shared" si="1386"/>
        <v>2</v>
      </c>
      <c r="N1612" s="42"/>
      <c r="O1612" s="53"/>
      <c r="P1612" s="53"/>
      <c r="Q1612" s="53"/>
      <c r="R1612" s="72"/>
      <c r="S1612" s="24">
        <f t="shared" si="1365"/>
        <v>0</v>
      </c>
      <c r="T1612" s="42"/>
      <c r="U1612" s="53"/>
      <c r="V1612" s="53"/>
      <c r="W1612" s="53"/>
      <c r="X1612" s="72"/>
      <c r="Y1612" s="24">
        <f t="shared" si="1377"/>
        <v>0</v>
      </c>
      <c r="Z1612" s="24">
        <f t="shared" si="1384"/>
        <v>3</v>
      </c>
      <c r="AA1612" s="83">
        <v>45369</v>
      </c>
      <c r="AB1612" s="23" t="s">
        <v>126</v>
      </c>
      <c r="AC1612" s="38"/>
      <c r="AD1612" s="39"/>
      <c r="AE1612" s="39"/>
      <c r="AF1612" s="39"/>
      <c r="AG1612" s="39"/>
      <c r="AH1612" s="37">
        <f t="shared" si="1387"/>
        <v>0</v>
      </c>
      <c r="AI1612" s="38"/>
      <c r="AJ1612" s="39">
        <v>3</v>
      </c>
      <c r="AK1612" s="39"/>
      <c r="AL1612" s="39">
        <v>3</v>
      </c>
      <c r="AM1612" s="39"/>
      <c r="AN1612" s="37">
        <f t="shared" si="1388"/>
        <v>6</v>
      </c>
      <c r="AO1612" s="39"/>
      <c r="AP1612" s="56"/>
      <c r="AQ1612" s="56"/>
      <c r="AR1612" s="56"/>
      <c r="AS1612" s="71"/>
      <c r="AT1612" s="16">
        <f t="shared" si="1389"/>
        <v>0</v>
      </c>
      <c r="AU1612" s="39"/>
      <c r="AV1612" s="56"/>
      <c r="AW1612" s="56"/>
      <c r="AX1612" s="56"/>
      <c r="AY1612" s="71"/>
      <c r="AZ1612" s="16">
        <f t="shared" ref="AZ1612:AZ1617" si="1396">SUM(AU1612:AY1612)</f>
        <v>0</v>
      </c>
      <c r="BA1612" s="16">
        <f t="shared" ref="BA1612:BA1636" si="1397">AH1612+AN1612+AT1612+AZ1612</f>
        <v>6</v>
      </c>
      <c r="BB1612" s="83">
        <v>45372</v>
      </c>
      <c r="BC1612" s="111"/>
    </row>
    <row r="1613" spans="1:55" ht="14.25" x14ac:dyDescent="0.15">
      <c r="A1613" s="23" t="s">
        <v>434</v>
      </c>
      <c r="B1613" s="41"/>
      <c r="C1613" s="42"/>
      <c r="D1613" s="42"/>
      <c r="E1613" s="42">
        <v>1</v>
      </c>
      <c r="F1613" s="42"/>
      <c r="G1613" s="43">
        <f t="shared" si="1385"/>
        <v>1</v>
      </c>
      <c r="H1613" s="41"/>
      <c r="I1613" s="42"/>
      <c r="J1613" s="42"/>
      <c r="K1613" s="42"/>
      <c r="L1613" s="42"/>
      <c r="M1613" s="43">
        <f t="shared" si="1386"/>
        <v>0</v>
      </c>
      <c r="N1613" s="42"/>
      <c r="O1613" s="53"/>
      <c r="P1613" s="53"/>
      <c r="Q1613" s="53"/>
      <c r="R1613" s="72"/>
      <c r="S1613" s="24">
        <f t="shared" si="1365"/>
        <v>0</v>
      </c>
      <c r="T1613" s="42"/>
      <c r="U1613" s="53"/>
      <c r="V1613" s="53"/>
      <c r="W1613" s="53"/>
      <c r="X1613" s="72"/>
      <c r="Y1613" s="24">
        <f t="shared" si="1377"/>
        <v>0</v>
      </c>
      <c r="Z1613" s="24">
        <f t="shared" si="1384"/>
        <v>1</v>
      </c>
      <c r="AA1613" s="83">
        <v>45372</v>
      </c>
      <c r="AB1613" s="23" t="s">
        <v>126</v>
      </c>
      <c r="AC1613" s="38"/>
      <c r="AD1613" s="39"/>
      <c r="AE1613" s="39"/>
      <c r="AF1613" s="39"/>
      <c r="AG1613" s="39">
        <v>4</v>
      </c>
      <c r="AH1613" s="37">
        <f t="shared" ref="AH1613" si="1398">SUM(AC1613:AG1613)</f>
        <v>4</v>
      </c>
      <c r="AI1613" s="38"/>
      <c r="AJ1613" s="39"/>
      <c r="AK1613" s="39"/>
      <c r="AL1613" s="39"/>
      <c r="AM1613" s="39"/>
      <c r="AN1613" s="37">
        <f t="shared" ref="AN1613" si="1399">SUM(AI1613:AM1613)</f>
        <v>0</v>
      </c>
      <c r="AO1613" s="39"/>
      <c r="AP1613" s="56"/>
      <c r="AQ1613" s="56"/>
      <c r="AR1613" s="56"/>
      <c r="AS1613" s="71"/>
      <c r="AT1613" s="16">
        <f t="shared" ref="AT1613" si="1400">SUM(AO1613:AS1613)</f>
        <v>0</v>
      </c>
      <c r="AU1613" s="39"/>
      <c r="AV1613" s="56"/>
      <c r="AW1613" s="56"/>
      <c r="AX1613" s="56">
        <v>4</v>
      </c>
      <c r="AY1613" s="71"/>
      <c r="AZ1613" s="16">
        <f t="shared" ref="AZ1613" si="1401">SUM(AU1613:AY1613)</f>
        <v>4</v>
      </c>
      <c r="BA1613" s="16">
        <f>AH1613+AN1613+AT1613+AZ1613</f>
        <v>8</v>
      </c>
      <c r="BB1613" s="83">
        <v>45376</v>
      </c>
      <c r="BC1613" s="111"/>
    </row>
    <row r="1614" spans="1:55" ht="14.25" x14ac:dyDescent="0.15">
      <c r="A1614" s="23" t="s">
        <v>48</v>
      </c>
      <c r="B1614" s="41"/>
      <c r="C1614" s="42"/>
      <c r="D1614" s="42"/>
      <c r="E1614" s="42"/>
      <c r="F1614" s="42"/>
      <c r="G1614" s="43">
        <f t="shared" si="1385"/>
        <v>0</v>
      </c>
      <c r="H1614" s="41"/>
      <c r="I1614" s="42"/>
      <c r="J1614" s="42"/>
      <c r="K1614" s="42"/>
      <c r="L1614" s="42"/>
      <c r="M1614" s="43">
        <f t="shared" si="1386"/>
        <v>0</v>
      </c>
      <c r="N1614" s="42"/>
      <c r="O1614" s="53"/>
      <c r="P1614" s="53">
        <v>1</v>
      </c>
      <c r="Q1614" s="53"/>
      <c r="R1614" s="72"/>
      <c r="S1614" s="24">
        <f t="shared" si="1365"/>
        <v>1</v>
      </c>
      <c r="T1614" s="42"/>
      <c r="U1614" s="53"/>
      <c r="V1614" s="53"/>
      <c r="W1614" s="53"/>
      <c r="X1614" s="72"/>
      <c r="Y1614" s="24">
        <f t="shared" si="1377"/>
        <v>0</v>
      </c>
      <c r="Z1614" s="24">
        <f t="shared" si="1384"/>
        <v>1</v>
      </c>
      <c r="AA1614" s="83">
        <v>45370</v>
      </c>
      <c r="AB1614" s="205" t="s">
        <v>650</v>
      </c>
      <c r="AC1614" s="38"/>
      <c r="AD1614" s="39"/>
      <c r="AE1614" s="39"/>
      <c r="AF1614" s="39">
        <v>2</v>
      </c>
      <c r="AG1614" s="39"/>
      <c r="AH1614" s="37">
        <f t="shared" si="1387"/>
        <v>2</v>
      </c>
      <c r="AI1614" s="38"/>
      <c r="AJ1614" s="39"/>
      <c r="AK1614" s="39"/>
      <c r="AL1614" s="39"/>
      <c r="AM1614" s="39"/>
      <c r="AN1614" s="37">
        <f t="shared" si="1388"/>
        <v>0</v>
      </c>
      <c r="AO1614" s="39"/>
      <c r="AP1614" s="56"/>
      <c r="AQ1614" s="56"/>
      <c r="AR1614" s="56">
        <v>2</v>
      </c>
      <c r="AS1614" s="71"/>
      <c r="AT1614" s="16">
        <f t="shared" si="1389"/>
        <v>2</v>
      </c>
      <c r="AU1614" s="39"/>
      <c r="AV1614" s="56"/>
      <c r="AW1614" s="56"/>
      <c r="AX1614" s="56"/>
      <c r="AY1614" s="71"/>
      <c r="AZ1614" s="16">
        <f t="shared" si="1396"/>
        <v>0</v>
      </c>
      <c r="BA1614" s="16">
        <f t="shared" si="1397"/>
        <v>4</v>
      </c>
      <c r="BB1614" s="83">
        <v>45380</v>
      </c>
      <c r="BC1614" s="111"/>
    </row>
    <row r="1615" spans="1:55" ht="14.25" x14ac:dyDescent="0.15">
      <c r="A1615" s="23" t="s">
        <v>48</v>
      </c>
      <c r="B1615" s="41"/>
      <c r="C1615" s="42"/>
      <c r="D1615" s="42"/>
      <c r="E1615" s="42"/>
      <c r="F1615" s="42"/>
      <c r="G1615" s="43">
        <f t="shared" si="1385"/>
        <v>0</v>
      </c>
      <c r="H1615" s="41"/>
      <c r="I1615" s="42"/>
      <c r="J1615" s="42"/>
      <c r="K1615" s="42"/>
      <c r="L1615" s="42">
        <v>1</v>
      </c>
      <c r="M1615" s="43">
        <f t="shared" si="1386"/>
        <v>1</v>
      </c>
      <c r="N1615" s="42"/>
      <c r="O1615" s="53"/>
      <c r="P1615" s="53"/>
      <c r="Q1615" s="53"/>
      <c r="R1615" s="72"/>
      <c r="S1615" s="24">
        <f t="shared" si="1365"/>
        <v>0</v>
      </c>
      <c r="T1615" s="42"/>
      <c r="U1615" s="53"/>
      <c r="V1615" s="53"/>
      <c r="W1615" s="53"/>
      <c r="X1615" s="72"/>
      <c r="Y1615" s="24">
        <f t="shared" si="1377"/>
        <v>0</v>
      </c>
      <c r="Z1615" s="24">
        <f t="shared" si="1384"/>
        <v>1</v>
      </c>
      <c r="AA1615" s="83">
        <v>45372</v>
      </c>
      <c r="AB1615" s="23" t="s">
        <v>126</v>
      </c>
      <c r="AC1615" s="38"/>
      <c r="AD1615" s="39"/>
      <c r="AE1615" s="39"/>
      <c r="AF1615" s="39">
        <v>3</v>
      </c>
      <c r="AG1615" s="39"/>
      <c r="AH1615" s="37">
        <f t="shared" si="1387"/>
        <v>3</v>
      </c>
      <c r="AI1615" s="38"/>
      <c r="AJ1615" s="39"/>
      <c r="AK1615" s="39"/>
      <c r="AL1615" s="39"/>
      <c r="AM1615" s="39"/>
      <c r="AN1615" s="37">
        <f t="shared" si="1388"/>
        <v>0</v>
      </c>
      <c r="AO1615" s="39"/>
      <c r="AP1615" s="56">
        <v>3</v>
      </c>
      <c r="AQ1615" s="56"/>
      <c r="AR1615" s="56"/>
      <c r="AS1615" s="71"/>
      <c r="AT1615" s="16">
        <f t="shared" ref="AT1615" si="1402">SUM(AO1615:AS1615)</f>
        <v>3</v>
      </c>
      <c r="AU1615" s="39">
        <v>3</v>
      </c>
      <c r="AV1615" s="56"/>
      <c r="AW1615" s="56"/>
      <c r="AX1615" s="56"/>
      <c r="AY1615" s="71"/>
      <c r="AZ1615" s="16">
        <f t="shared" ref="AZ1615" si="1403">SUM(AU1615:AY1615)</f>
        <v>3</v>
      </c>
      <c r="BA1615" s="16">
        <f t="shared" si="1397"/>
        <v>9</v>
      </c>
      <c r="BB1615" s="83">
        <v>45381</v>
      </c>
      <c r="BC1615" s="111"/>
    </row>
    <row r="1616" spans="1:55" ht="14.25" x14ac:dyDescent="0.15">
      <c r="A1616" s="23" t="s">
        <v>434</v>
      </c>
      <c r="B1616" s="41"/>
      <c r="C1616" s="42"/>
      <c r="D1616" s="42"/>
      <c r="E1616" s="42"/>
      <c r="F1616" s="42">
        <v>1</v>
      </c>
      <c r="G1616" s="43">
        <f t="shared" si="1385"/>
        <v>1</v>
      </c>
      <c r="H1616" s="41"/>
      <c r="I1616" s="42"/>
      <c r="J1616" s="42"/>
      <c r="K1616" s="42"/>
      <c r="L1616" s="42"/>
      <c r="M1616" s="43">
        <f t="shared" si="1386"/>
        <v>0</v>
      </c>
      <c r="N1616" s="42"/>
      <c r="O1616" s="53"/>
      <c r="P1616" s="53"/>
      <c r="Q1616" s="53"/>
      <c r="R1616" s="72"/>
      <c r="S1616" s="24">
        <f t="shared" si="1365"/>
        <v>0</v>
      </c>
      <c r="T1616" s="42"/>
      <c r="U1616" s="53"/>
      <c r="V1616" s="53"/>
      <c r="W1616" s="53"/>
      <c r="X1616" s="72">
        <v>1</v>
      </c>
      <c r="Y1616" s="24">
        <f t="shared" si="1377"/>
        <v>1</v>
      </c>
      <c r="Z1616" s="24">
        <f t="shared" si="1384"/>
        <v>2</v>
      </c>
      <c r="AA1616" s="83">
        <v>45376</v>
      </c>
      <c r="AB1616" s="205" t="s">
        <v>653</v>
      </c>
      <c r="AC1616" s="38"/>
      <c r="AD1616" s="39"/>
      <c r="AE1616" s="39"/>
      <c r="AF1616" s="39"/>
      <c r="AG1616" s="39"/>
      <c r="AH1616" s="37">
        <f t="shared" si="1387"/>
        <v>0</v>
      </c>
      <c r="AI1616" s="38"/>
      <c r="AJ1616" s="39"/>
      <c r="AK1616" s="39">
        <v>1</v>
      </c>
      <c r="AL1616" s="39"/>
      <c r="AM1616" s="39"/>
      <c r="AN1616" s="37">
        <f t="shared" si="1388"/>
        <v>1</v>
      </c>
      <c r="AO1616" s="39"/>
      <c r="AP1616" s="56"/>
      <c r="AQ1616" s="56"/>
      <c r="AR1616" s="56"/>
      <c r="AS1616" s="71"/>
      <c r="AT1616" s="16">
        <f t="shared" si="1389"/>
        <v>0</v>
      </c>
      <c r="AU1616" s="39"/>
      <c r="AV1616" s="56"/>
      <c r="AW1616" s="56"/>
      <c r="AX1616" s="56">
        <v>1</v>
      </c>
      <c r="AY1616" s="71"/>
      <c r="AZ1616" s="16">
        <f t="shared" si="1396"/>
        <v>1</v>
      </c>
      <c r="BA1616" s="16">
        <f t="shared" si="1397"/>
        <v>2</v>
      </c>
      <c r="BB1616" s="83">
        <v>45387</v>
      </c>
    </row>
    <row r="1617" spans="1:54" ht="14.25" x14ac:dyDescent="0.15">
      <c r="A1617" s="23" t="s">
        <v>434</v>
      </c>
      <c r="B1617" s="41"/>
      <c r="C1617" s="42"/>
      <c r="D1617" s="42"/>
      <c r="E1617" s="42"/>
      <c r="F1617" s="42"/>
      <c r="G1617" s="43">
        <f t="shared" si="1385"/>
        <v>0</v>
      </c>
      <c r="H1617" s="41"/>
      <c r="I1617" s="42"/>
      <c r="J1617" s="42"/>
      <c r="K1617" s="42"/>
      <c r="L1617" s="42"/>
      <c r="M1617" s="43">
        <f t="shared" si="1386"/>
        <v>0</v>
      </c>
      <c r="N1617" s="42"/>
      <c r="O1617" s="53"/>
      <c r="P1617" s="53">
        <v>1</v>
      </c>
      <c r="Q1617" s="53"/>
      <c r="R1617" s="72"/>
      <c r="S1617" s="24">
        <f t="shared" si="1365"/>
        <v>1</v>
      </c>
      <c r="T1617" s="42"/>
      <c r="U1617" s="53"/>
      <c r="V1617" s="53"/>
      <c r="W1617" s="53"/>
      <c r="X1617" s="72"/>
      <c r="Y1617" s="24">
        <f t="shared" si="1377"/>
        <v>0</v>
      </c>
      <c r="Z1617" s="24">
        <f t="shared" si="1384"/>
        <v>1</v>
      </c>
      <c r="AA1617" s="83">
        <v>45378</v>
      </c>
      <c r="AB1617" s="23" t="s">
        <v>657</v>
      </c>
      <c r="AC1617" s="38"/>
      <c r="AD1617" s="39"/>
      <c r="AE1617" s="39">
        <v>1</v>
      </c>
      <c r="AF1617" s="39"/>
      <c r="AG1617" s="39"/>
      <c r="AH1617" s="37">
        <f t="shared" si="1387"/>
        <v>1</v>
      </c>
      <c r="AI1617" s="38"/>
      <c r="AJ1617" s="39"/>
      <c r="AK1617" s="39"/>
      <c r="AL1617" s="39"/>
      <c r="AM1617" s="39"/>
      <c r="AN1617" s="37">
        <f t="shared" si="1388"/>
        <v>0</v>
      </c>
      <c r="AO1617" s="39"/>
      <c r="AP1617" s="56">
        <v>1</v>
      </c>
      <c r="AQ1617" s="56"/>
      <c r="AR1617" s="56"/>
      <c r="AS1617" s="71"/>
      <c r="AT1617" s="16">
        <f t="shared" si="1389"/>
        <v>1</v>
      </c>
      <c r="AU1617" s="39"/>
      <c r="AV1617" s="56"/>
      <c r="AW1617" s="56"/>
      <c r="AX1617" s="56"/>
      <c r="AY1617" s="71"/>
      <c r="AZ1617" s="16">
        <f t="shared" si="1396"/>
        <v>0</v>
      </c>
      <c r="BA1617" s="16">
        <f t="shared" si="1397"/>
        <v>2</v>
      </c>
      <c r="BB1617" s="83">
        <v>45392</v>
      </c>
    </row>
    <row r="1618" spans="1:54" ht="14.25" x14ac:dyDescent="0.15">
      <c r="A1618" s="23" t="s">
        <v>48</v>
      </c>
      <c r="B1618" s="41"/>
      <c r="C1618" s="42"/>
      <c r="D1618" s="42">
        <v>1</v>
      </c>
      <c r="E1618" s="42">
        <v>1</v>
      </c>
      <c r="F1618" s="42"/>
      <c r="G1618" s="43">
        <f t="shared" si="1385"/>
        <v>2</v>
      </c>
      <c r="H1618" s="41"/>
      <c r="I1618" s="42"/>
      <c r="J1618" s="42"/>
      <c r="K1618" s="42"/>
      <c r="L1618" s="42"/>
      <c r="M1618" s="43">
        <f t="shared" si="1386"/>
        <v>0</v>
      </c>
      <c r="N1618" s="42"/>
      <c r="O1618" s="53"/>
      <c r="P1618" s="53"/>
      <c r="Q1618" s="53"/>
      <c r="R1618" s="72"/>
      <c r="S1618" s="24">
        <f t="shared" si="1365"/>
        <v>0</v>
      </c>
      <c r="T1618" s="42"/>
      <c r="U1618" s="53"/>
      <c r="V1618" s="53"/>
      <c r="W1618" s="53"/>
      <c r="X1618" s="72"/>
      <c r="Y1618" s="24">
        <f t="shared" si="1377"/>
        <v>0</v>
      </c>
      <c r="Z1618" s="24">
        <f t="shared" si="1384"/>
        <v>2</v>
      </c>
      <c r="AA1618" s="83">
        <v>45376</v>
      </c>
      <c r="AB1618" s="23" t="s">
        <v>126</v>
      </c>
      <c r="AC1618" s="38"/>
      <c r="AD1618" s="39"/>
      <c r="AE1618" s="39">
        <v>3</v>
      </c>
      <c r="AF1618" s="39"/>
      <c r="AG1618" s="39"/>
      <c r="AH1618" s="37">
        <f t="shared" ref="AH1618" si="1404">SUM(AC1618:AG1618)</f>
        <v>3</v>
      </c>
      <c r="AI1618" s="38"/>
      <c r="AJ1618" s="39"/>
      <c r="AK1618" s="39"/>
      <c r="AL1618" s="39"/>
      <c r="AM1618" s="39"/>
      <c r="AN1618" s="37">
        <f t="shared" ref="AN1618" si="1405">SUM(AI1618:AM1618)</f>
        <v>0</v>
      </c>
      <c r="AO1618" s="39"/>
      <c r="AP1618" s="56"/>
      <c r="AQ1618" s="56"/>
      <c r="AR1618" s="56"/>
      <c r="AS1618" s="71"/>
      <c r="AT1618" s="16">
        <f t="shared" ref="AT1618" si="1406">SUM(AO1618:AS1618)</f>
        <v>0</v>
      </c>
      <c r="AU1618" s="39"/>
      <c r="AV1618" s="56">
        <v>3</v>
      </c>
      <c r="AW1618" s="56"/>
      <c r="AX1618" s="56"/>
      <c r="AY1618" s="71">
        <v>3</v>
      </c>
      <c r="AZ1618" s="16">
        <f t="shared" ref="AZ1618" si="1407">SUM(AU1618:AY1618)</f>
        <v>6</v>
      </c>
      <c r="BA1618" s="16">
        <f t="shared" si="1397"/>
        <v>9</v>
      </c>
      <c r="BB1618" s="83">
        <v>45392</v>
      </c>
    </row>
    <row r="1619" spans="1:54" ht="14.25" x14ac:dyDescent="0.15">
      <c r="A1619" s="23" t="s">
        <v>434</v>
      </c>
      <c r="B1619" s="41"/>
      <c r="C1619" s="42"/>
      <c r="D1619" s="42"/>
      <c r="E1619" s="42">
        <v>1</v>
      </c>
      <c r="F1619" s="42"/>
      <c r="G1619" s="43">
        <f t="shared" si="1385"/>
        <v>1</v>
      </c>
      <c r="H1619" s="41"/>
      <c r="I1619" s="42"/>
      <c r="J1619" s="42"/>
      <c r="K1619" s="42"/>
      <c r="L1619" s="42"/>
      <c r="M1619" s="43">
        <f t="shared" si="1386"/>
        <v>0</v>
      </c>
      <c r="N1619" s="42"/>
      <c r="O1619" s="53"/>
      <c r="P1619" s="53"/>
      <c r="Q1619" s="53"/>
      <c r="R1619" s="72"/>
      <c r="S1619" s="24">
        <f t="shared" si="1365"/>
        <v>0</v>
      </c>
      <c r="T1619" s="42"/>
      <c r="U1619" s="53"/>
      <c r="V1619" s="53"/>
      <c r="W1619" s="53"/>
      <c r="X1619" s="72"/>
      <c r="Y1619" s="24">
        <f t="shared" si="1377"/>
        <v>0</v>
      </c>
      <c r="Z1619" s="24">
        <f t="shared" si="1384"/>
        <v>1</v>
      </c>
      <c r="AA1619" s="83">
        <v>45379</v>
      </c>
      <c r="AB1619" s="23"/>
      <c r="AC1619" s="38"/>
      <c r="AD1619" s="39"/>
      <c r="AE1619" s="39"/>
      <c r="AF1619" s="39"/>
      <c r="AG1619" s="39"/>
      <c r="AH1619" s="37">
        <f t="shared" si="1387"/>
        <v>0</v>
      </c>
      <c r="AI1619" s="38"/>
      <c r="AJ1619" s="39"/>
      <c r="AK1619" s="39"/>
      <c r="AL1619" s="39"/>
      <c r="AM1619" s="39"/>
      <c r="AN1619" s="37">
        <f t="shared" si="1388"/>
        <v>0</v>
      </c>
      <c r="AO1619" s="39"/>
      <c r="AP1619" s="56"/>
      <c r="AQ1619" s="56"/>
      <c r="AR1619" s="56"/>
      <c r="AS1619" s="71"/>
      <c r="AT1619" s="16">
        <f t="shared" si="1389"/>
        <v>0</v>
      </c>
      <c r="AU1619" s="39"/>
      <c r="AV1619" s="56"/>
      <c r="AW1619" s="56"/>
      <c r="AX1619" s="56"/>
      <c r="AY1619" s="71"/>
      <c r="AZ1619" s="16">
        <f t="shared" ref="AZ1619" si="1408">SUM(AU1619:AY1619)</f>
        <v>0</v>
      </c>
      <c r="BA1619" s="16">
        <f t="shared" si="1397"/>
        <v>0</v>
      </c>
    </row>
    <row r="1620" spans="1:54" ht="14.25" x14ac:dyDescent="0.15">
      <c r="A1620" s="23" t="s">
        <v>434</v>
      </c>
      <c r="B1620" s="41"/>
      <c r="C1620" s="42"/>
      <c r="D1620" s="42"/>
      <c r="E1620" s="42"/>
      <c r="F1620" s="42">
        <v>1</v>
      </c>
      <c r="G1620" s="43">
        <f t="shared" si="1385"/>
        <v>1</v>
      </c>
      <c r="H1620" s="41"/>
      <c r="I1620" s="42"/>
      <c r="J1620" s="42"/>
      <c r="K1620" s="42"/>
      <c r="L1620" s="42"/>
      <c r="M1620" s="43">
        <f t="shared" si="1386"/>
        <v>0</v>
      </c>
      <c r="N1620" s="42"/>
      <c r="O1620" s="53"/>
      <c r="P1620" s="53"/>
      <c r="Q1620" s="53"/>
      <c r="R1620" s="72"/>
      <c r="S1620" s="24">
        <f t="shared" si="1365"/>
        <v>0</v>
      </c>
      <c r="T1620" s="42">
        <v>1</v>
      </c>
      <c r="U1620" s="53"/>
      <c r="V1620" s="53"/>
      <c r="W1620" s="53"/>
      <c r="X1620" s="72"/>
      <c r="Y1620" s="24">
        <f t="shared" si="1377"/>
        <v>1</v>
      </c>
      <c r="Z1620" s="24">
        <f t="shared" si="1384"/>
        <v>2</v>
      </c>
      <c r="AA1620" s="83">
        <v>45380</v>
      </c>
      <c r="AB1620" s="23"/>
      <c r="AC1620" s="38"/>
      <c r="AD1620" s="39"/>
      <c r="AE1620" s="39"/>
      <c r="AF1620" s="39"/>
      <c r="AG1620" s="39"/>
      <c r="AH1620" s="37">
        <f t="shared" si="1387"/>
        <v>0</v>
      </c>
      <c r="AI1620" s="38"/>
      <c r="AJ1620" s="39"/>
      <c r="AK1620" s="39"/>
      <c r="AL1620" s="39"/>
      <c r="AM1620" s="39"/>
      <c r="AN1620" s="37">
        <f t="shared" si="1388"/>
        <v>0</v>
      </c>
      <c r="AO1620" s="39"/>
      <c r="AP1620" s="56"/>
      <c r="AQ1620" s="56"/>
      <c r="AR1620" s="56"/>
      <c r="AS1620" s="71"/>
      <c r="AT1620" s="16">
        <f t="shared" si="1389"/>
        <v>0</v>
      </c>
      <c r="AU1620" s="39"/>
      <c r="AV1620" s="56"/>
      <c r="AW1620" s="56"/>
      <c r="AX1620" s="56"/>
      <c r="AY1620" s="71"/>
      <c r="AZ1620" s="16">
        <f t="shared" ref="AZ1620:AZ1626" si="1409">SUM(AU1620:AY1620)</f>
        <v>0</v>
      </c>
      <c r="BA1620" s="16">
        <f t="shared" si="1397"/>
        <v>0</v>
      </c>
    </row>
    <row r="1621" spans="1:54" ht="14.25" x14ac:dyDescent="0.15">
      <c r="A1621" s="23" t="s">
        <v>48</v>
      </c>
      <c r="B1621" s="41">
        <v>1</v>
      </c>
      <c r="C1621" s="42"/>
      <c r="D1621" s="42"/>
      <c r="E1621" s="42"/>
      <c r="F1621" s="42"/>
      <c r="G1621" s="43">
        <f t="shared" si="1385"/>
        <v>1</v>
      </c>
      <c r="H1621" s="41"/>
      <c r="I1621" s="42"/>
      <c r="J1621" s="42"/>
      <c r="K1621" s="42"/>
      <c r="L1621" s="42"/>
      <c r="M1621" s="43">
        <f t="shared" si="1386"/>
        <v>0</v>
      </c>
      <c r="N1621" s="42"/>
      <c r="O1621" s="53">
        <v>1</v>
      </c>
      <c r="P1621" s="53"/>
      <c r="Q1621" s="53"/>
      <c r="R1621" s="72"/>
      <c r="S1621" s="24">
        <f t="shared" si="1365"/>
        <v>1</v>
      </c>
      <c r="T1621" s="42"/>
      <c r="U1621" s="53"/>
      <c r="V1621" s="53"/>
      <c r="W1621" s="53"/>
      <c r="X1621" s="72"/>
      <c r="Y1621" s="24">
        <f t="shared" si="1377"/>
        <v>0</v>
      </c>
      <c r="Z1621" s="24">
        <f t="shared" si="1384"/>
        <v>2</v>
      </c>
      <c r="AA1621" s="83">
        <v>45378</v>
      </c>
      <c r="AB1621" s="23"/>
      <c r="AC1621" s="38"/>
      <c r="AD1621" s="39"/>
      <c r="AE1621" s="39"/>
      <c r="AF1621" s="39"/>
      <c r="AG1621" s="39"/>
      <c r="AH1621" s="37">
        <f t="shared" si="1387"/>
        <v>0</v>
      </c>
      <c r="AI1621" s="38"/>
      <c r="AJ1621" s="39"/>
      <c r="AK1621" s="39"/>
      <c r="AL1621" s="39"/>
      <c r="AM1621" s="39"/>
      <c r="AN1621" s="37">
        <f t="shared" si="1388"/>
        <v>0</v>
      </c>
      <c r="AO1621" s="39"/>
      <c r="AP1621" s="56"/>
      <c r="AQ1621" s="56"/>
      <c r="AR1621" s="56"/>
      <c r="AS1621" s="71"/>
      <c r="AT1621" s="16">
        <f t="shared" si="1389"/>
        <v>0</v>
      </c>
      <c r="AU1621" s="39"/>
      <c r="AV1621" s="56"/>
      <c r="AW1621" s="56"/>
      <c r="AX1621" s="56"/>
      <c r="AY1621" s="71"/>
      <c r="AZ1621" s="16">
        <f t="shared" si="1409"/>
        <v>0</v>
      </c>
      <c r="BA1621" s="16">
        <f t="shared" si="1397"/>
        <v>0</v>
      </c>
    </row>
    <row r="1622" spans="1:54" ht="14.25" x14ac:dyDescent="0.15">
      <c r="A1622" s="23" t="s">
        <v>651</v>
      </c>
      <c r="B1622" s="41"/>
      <c r="C1622" s="42"/>
      <c r="D1622" s="42"/>
      <c r="E1622" s="42">
        <v>-1</v>
      </c>
      <c r="F1622" s="42">
        <v>-1</v>
      </c>
      <c r="G1622" s="43">
        <f t="shared" si="1385"/>
        <v>-2</v>
      </c>
      <c r="H1622" s="41"/>
      <c r="I1622" s="42"/>
      <c r="J1622" s="42"/>
      <c r="K1622" s="42"/>
      <c r="L1622" s="42"/>
      <c r="M1622" s="43">
        <f t="shared" si="1386"/>
        <v>0</v>
      </c>
      <c r="N1622" s="42"/>
      <c r="O1622" s="53"/>
      <c r="P1622" s="53"/>
      <c r="Q1622" s="53"/>
      <c r="R1622" s="72"/>
      <c r="S1622" s="24">
        <f t="shared" si="1365"/>
        <v>0</v>
      </c>
      <c r="T1622" s="42"/>
      <c r="U1622" s="53"/>
      <c r="V1622" s="53"/>
      <c r="W1622" s="53">
        <v>-1</v>
      </c>
      <c r="X1622" s="72"/>
      <c r="Y1622" s="24">
        <f t="shared" si="1377"/>
        <v>-1</v>
      </c>
      <c r="Z1622" s="24">
        <f t="shared" si="1384"/>
        <v>-3</v>
      </c>
      <c r="AA1622" s="83">
        <v>45379</v>
      </c>
      <c r="AB1622" s="23"/>
      <c r="AC1622" s="38"/>
      <c r="AD1622" s="39"/>
      <c r="AE1622" s="39"/>
      <c r="AF1622" s="39"/>
      <c r="AG1622" s="39"/>
      <c r="AH1622" s="37">
        <f t="shared" si="1387"/>
        <v>0</v>
      </c>
      <c r="AI1622" s="38"/>
      <c r="AJ1622" s="39"/>
      <c r="AK1622" s="39"/>
      <c r="AL1622" s="39"/>
      <c r="AM1622" s="39"/>
      <c r="AN1622" s="37">
        <f t="shared" si="1388"/>
        <v>0</v>
      </c>
      <c r="AO1622" s="39"/>
      <c r="AP1622" s="56"/>
      <c r="AQ1622" s="56"/>
      <c r="AR1622" s="56"/>
      <c r="AS1622" s="71"/>
      <c r="AT1622" s="16">
        <f t="shared" si="1389"/>
        <v>0</v>
      </c>
      <c r="AU1622" s="39"/>
      <c r="AV1622" s="56"/>
      <c r="AW1622" s="56"/>
      <c r="AX1622" s="56"/>
      <c r="AY1622" s="71"/>
      <c r="AZ1622" s="16">
        <f t="shared" si="1409"/>
        <v>0</v>
      </c>
      <c r="BA1622" s="16">
        <f t="shared" si="1397"/>
        <v>0</v>
      </c>
    </row>
    <row r="1623" spans="1:54" ht="14.25" x14ac:dyDescent="0.15">
      <c r="A1623" s="23" t="s">
        <v>434</v>
      </c>
      <c r="B1623" s="41"/>
      <c r="C1623" s="42"/>
      <c r="D1623" s="42"/>
      <c r="E1623" s="42">
        <v>1</v>
      </c>
      <c r="F1623" s="42"/>
      <c r="G1623" s="43">
        <f t="shared" si="1385"/>
        <v>1</v>
      </c>
      <c r="H1623" s="41"/>
      <c r="I1623" s="42"/>
      <c r="J1623" s="42"/>
      <c r="K1623" s="42"/>
      <c r="L1623" s="42"/>
      <c r="M1623" s="43">
        <f t="shared" si="1386"/>
        <v>0</v>
      </c>
      <c r="N1623" s="42"/>
      <c r="O1623" s="53"/>
      <c r="P1623" s="53"/>
      <c r="Q1623" s="53"/>
      <c r="R1623" s="72"/>
      <c r="S1623" s="24">
        <f t="shared" si="1365"/>
        <v>0</v>
      </c>
      <c r="T1623" s="42"/>
      <c r="U1623" s="53"/>
      <c r="V1623" s="53"/>
      <c r="W1623" s="53"/>
      <c r="X1623" s="72"/>
      <c r="Y1623" s="24">
        <f t="shared" si="1377"/>
        <v>0</v>
      </c>
      <c r="Z1623" s="24">
        <f t="shared" si="1384"/>
        <v>1</v>
      </c>
      <c r="AA1623" s="83">
        <v>45383</v>
      </c>
      <c r="AB1623" s="23"/>
      <c r="AC1623" s="38"/>
      <c r="AD1623" s="39"/>
      <c r="AE1623" s="39"/>
      <c r="AF1623" s="39"/>
      <c r="AG1623" s="39"/>
      <c r="AH1623" s="37">
        <f t="shared" si="1387"/>
        <v>0</v>
      </c>
      <c r="AI1623" s="38"/>
      <c r="AJ1623" s="39"/>
      <c r="AK1623" s="39"/>
      <c r="AL1623" s="39"/>
      <c r="AM1623" s="39"/>
      <c r="AN1623" s="37">
        <f t="shared" si="1388"/>
        <v>0</v>
      </c>
      <c r="AO1623" s="39"/>
      <c r="AP1623" s="56"/>
      <c r="AQ1623" s="56"/>
      <c r="AR1623" s="56"/>
      <c r="AS1623" s="71"/>
      <c r="AT1623" s="16">
        <f t="shared" si="1389"/>
        <v>0</v>
      </c>
      <c r="AU1623" s="39"/>
      <c r="AV1623" s="56"/>
      <c r="AW1623" s="56"/>
      <c r="AX1623" s="56"/>
      <c r="AY1623" s="71"/>
      <c r="AZ1623" s="16">
        <f t="shared" si="1409"/>
        <v>0</v>
      </c>
      <c r="BA1623" s="16">
        <f t="shared" si="1397"/>
        <v>0</v>
      </c>
    </row>
    <row r="1624" spans="1:54" ht="14.25" x14ac:dyDescent="0.15">
      <c r="A1624" s="23" t="s">
        <v>652</v>
      </c>
      <c r="B1624" s="41"/>
      <c r="C1624" s="42"/>
      <c r="D1624" s="42"/>
      <c r="E1624" s="42">
        <v>-3</v>
      </c>
      <c r="F1624" s="42"/>
      <c r="G1624" s="43">
        <f t="shared" si="1385"/>
        <v>-3</v>
      </c>
      <c r="H1624" s="41"/>
      <c r="I1624" s="42"/>
      <c r="J1624" s="42"/>
      <c r="K1624" s="42"/>
      <c r="L1624" s="42"/>
      <c r="M1624" s="43">
        <f t="shared" si="1386"/>
        <v>0</v>
      </c>
      <c r="N1624" s="42"/>
      <c r="O1624" s="53">
        <v>-3</v>
      </c>
      <c r="P1624" s="53"/>
      <c r="Q1624" s="53"/>
      <c r="R1624" s="72"/>
      <c r="S1624" s="24">
        <f t="shared" si="1365"/>
        <v>-3</v>
      </c>
      <c r="T1624" s="42">
        <v>-3</v>
      </c>
      <c r="U1624" s="53"/>
      <c r="V1624" s="53"/>
      <c r="W1624" s="53"/>
      <c r="X1624" s="72"/>
      <c r="Y1624" s="24">
        <f t="shared" si="1377"/>
        <v>-3</v>
      </c>
      <c r="Z1624" s="24">
        <f t="shared" si="1384"/>
        <v>-9</v>
      </c>
      <c r="AA1624" s="83">
        <v>45381</v>
      </c>
      <c r="AB1624" s="23"/>
      <c r="AC1624" s="38"/>
      <c r="AD1624" s="39"/>
      <c r="AE1624" s="39"/>
      <c r="AF1624" s="39"/>
      <c r="AG1624" s="39"/>
      <c r="AH1624" s="37">
        <f t="shared" si="1387"/>
        <v>0</v>
      </c>
      <c r="AI1624" s="38"/>
      <c r="AJ1624" s="39"/>
      <c r="AK1624" s="39"/>
      <c r="AL1624" s="39"/>
      <c r="AM1624" s="39"/>
      <c r="AN1624" s="37">
        <f t="shared" si="1388"/>
        <v>0</v>
      </c>
      <c r="AO1624" s="39"/>
      <c r="AP1624" s="56"/>
      <c r="AQ1624" s="56"/>
      <c r="AR1624" s="56"/>
      <c r="AS1624" s="71"/>
      <c r="AT1624" s="16">
        <f t="shared" si="1389"/>
        <v>0</v>
      </c>
      <c r="AU1624" s="39"/>
      <c r="AV1624" s="56"/>
      <c r="AW1624" s="56"/>
      <c r="AX1624" s="56"/>
      <c r="AY1624" s="71"/>
      <c r="AZ1624" s="16">
        <f t="shared" si="1409"/>
        <v>0</v>
      </c>
      <c r="BA1624" s="16">
        <f t="shared" si="1397"/>
        <v>0</v>
      </c>
    </row>
    <row r="1625" spans="1:54" ht="14.25" x14ac:dyDescent="0.15">
      <c r="A1625" s="23" t="s">
        <v>434</v>
      </c>
      <c r="B1625" s="41"/>
      <c r="C1625" s="42"/>
      <c r="D1625" s="42"/>
      <c r="E1625" s="42"/>
      <c r="F1625" s="42"/>
      <c r="G1625" s="43">
        <f t="shared" si="1385"/>
        <v>0</v>
      </c>
      <c r="H1625" s="41"/>
      <c r="I1625" s="42"/>
      <c r="J1625" s="42"/>
      <c r="K1625" s="42"/>
      <c r="L1625" s="42"/>
      <c r="M1625" s="43">
        <f t="shared" si="1386"/>
        <v>0</v>
      </c>
      <c r="N1625" s="42"/>
      <c r="O1625" s="53"/>
      <c r="P1625" s="53"/>
      <c r="Q1625" s="53">
        <v>1</v>
      </c>
      <c r="R1625" s="72"/>
      <c r="S1625" s="24">
        <f t="shared" si="1365"/>
        <v>1</v>
      </c>
      <c r="T1625" s="42"/>
      <c r="U1625" s="53"/>
      <c r="V1625" s="53"/>
      <c r="W1625" s="53">
        <v>1</v>
      </c>
      <c r="X1625" s="72"/>
      <c r="Y1625" s="24">
        <f t="shared" si="1377"/>
        <v>1</v>
      </c>
      <c r="Z1625" s="24">
        <f t="shared" si="1384"/>
        <v>2</v>
      </c>
      <c r="AA1625" s="83">
        <v>45385</v>
      </c>
      <c r="AB1625" s="23"/>
      <c r="AC1625" s="38"/>
      <c r="AD1625" s="39"/>
      <c r="AE1625" s="39"/>
      <c r="AF1625" s="39"/>
      <c r="AG1625" s="39"/>
      <c r="AH1625" s="37">
        <f t="shared" si="1387"/>
        <v>0</v>
      </c>
      <c r="AI1625" s="38"/>
      <c r="AJ1625" s="39"/>
      <c r="AK1625" s="39"/>
      <c r="AL1625" s="39"/>
      <c r="AM1625" s="39"/>
      <c r="AN1625" s="37">
        <f t="shared" si="1388"/>
        <v>0</v>
      </c>
      <c r="AO1625" s="39"/>
      <c r="AP1625" s="56"/>
      <c r="AQ1625" s="56"/>
      <c r="AR1625" s="56"/>
      <c r="AS1625" s="71"/>
      <c r="AT1625" s="16">
        <f t="shared" si="1389"/>
        <v>0</v>
      </c>
      <c r="AU1625" s="39"/>
      <c r="AV1625" s="56"/>
      <c r="AW1625" s="56"/>
      <c r="AX1625" s="56"/>
      <c r="AY1625" s="71"/>
      <c r="AZ1625" s="16">
        <f t="shared" si="1409"/>
        <v>0</v>
      </c>
      <c r="BA1625" s="16">
        <f t="shared" si="1397"/>
        <v>0</v>
      </c>
    </row>
    <row r="1626" spans="1:54" ht="14.25" x14ac:dyDescent="0.15">
      <c r="A1626" s="23" t="s">
        <v>48</v>
      </c>
      <c r="B1626" s="41"/>
      <c r="C1626" s="42"/>
      <c r="D1626" s="42"/>
      <c r="E1626" s="42"/>
      <c r="F1626" s="42"/>
      <c r="G1626" s="43">
        <f t="shared" si="1385"/>
        <v>0</v>
      </c>
      <c r="H1626" s="41"/>
      <c r="I1626" s="42">
        <v>1</v>
      </c>
      <c r="J1626" s="42"/>
      <c r="K1626" s="42"/>
      <c r="L1626" s="42"/>
      <c r="M1626" s="43">
        <f t="shared" si="1386"/>
        <v>1</v>
      </c>
      <c r="N1626" s="42"/>
      <c r="O1626" s="53"/>
      <c r="P1626" s="53"/>
      <c r="Q1626" s="53"/>
      <c r="R1626" s="72"/>
      <c r="S1626" s="24">
        <f t="shared" si="1365"/>
        <v>0</v>
      </c>
      <c r="T1626" s="42"/>
      <c r="U1626" s="53"/>
      <c r="V1626" s="53"/>
      <c r="W1626" s="53"/>
      <c r="X1626" s="72"/>
      <c r="Y1626" s="24">
        <f t="shared" si="1377"/>
        <v>0</v>
      </c>
      <c r="Z1626" s="24">
        <f t="shared" si="1384"/>
        <v>1</v>
      </c>
      <c r="AA1626" s="83">
        <v>45383</v>
      </c>
      <c r="AB1626" s="23"/>
      <c r="AC1626" s="38"/>
      <c r="AD1626" s="39"/>
      <c r="AE1626" s="39"/>
      <c r="AF1626" s="39"/>
      <c r="AG1626" s="39"/>
      <c r="AH1626" s="37">
        <f t="shared" si="1387"/>
        <v>0</v>
      </c>
      <c r="AI1626" s="38"/>
      <c r="AJ1626" s="39"/>
      <c r="AK1626" s="39"/>
      <c r="AL1626" s="39"/>
      <c r="AM1626" s="39"/>
      <c r="AN1626" s="37">
        <f t="shared" si="1388"/>
        <v>0</v>
      </c>
      <c r="AO1626" s="39"/>
      <c r="AP1626" s="56"/>
      <c r="AQ1626" s="56"/>
      <c r="AR1626" s="56"/>
      <c r="AS1626" s="71"/>
      <c r="AT1626" s="16">
        <f t="shared" si="1389"/>
        <v>0</v>
      </c>
      <c r="AU1626" s="39"/>
      <c r="AV1626" s="56"/>
      <c r="AW1626" s="56"/>
      <c r="AX1626" s="56"/>
      <c r="AY1626" s="71"/>
      <c r="AZ1626" s="16">
        <f t="shared" si="1409"/>
        <v>0</v>
      </c>
      <c r="BA1626" s="16">
        <f t="shared" si="1397"/>
        <v>0</v>
      </c>
    </row>
    <row r="1627" spans="1:54" ht="14.25" x14ac:dyDescent="0.15">
      <c r="A1627" s="23" t="s">
        <v>434</v>
      </c>
      <c r="B1627" s="41"/>
      <c r="C1627" s="42">
        <v>1</v>
      </c>
      <c r="D1627" s="42"/>
      <c r="E1627" s="42"/>
      <c r="F1627" s="42"/>
      <c r="G1627" s="43">
        <f t="shared" si="1385"/>
        <v>1</v>
      </c>
      <c r="H1627" s="41"/>
      <c r="I1627" s="42"/>
      <c r="J1627" s="42"/>
      <c r="K1627" s="42"/>
      <c r="L1627" s="42"/>
      <c r="M1627" s="43">
        <f t="shared" si="1386"/>
        <v>0</v>
      </c>
      <c r="N1627" s="42"/>
      <c r="O1627" s="53"/>
      <c r="P1627" s="53"/>
      <c r="Q1627" s="53"/>
      <c r="R1627" s="72"/>
      <c r="S1627" s="24">
        <f t="shared" si="1365"/>
        <v>0</v>
      </c>
      <c r="T1627" s="42"/>
      <c r="U1627" s="53"/>
      <c r="V1627" s="53"/>
      <c r="W1627" s="53"/>
      <c r="X1627" s="72"/>
      <c r="Y1627" s="24">
        <f t="shared" si="1377"/>
        <v>0</v>
      </c>
      <c r="Z1627" s="24">
        <f t="shared" si="1384"/>
        <v>1</v>
      </c>
      <c r="AA1627" s="83">
        <v>45386</v>
      </c>
      <c r="AB1627" s="23"/>
      <c r="AC1627" s="38"/>
      <c r="AD1627" s="39"/>
      <c r="AE1627" s="39"/>
      <c r="AF1627" s="39"/>
      <c r="AG1627" s="39"/>
      <c r="AH1627" s="37">
        <f t="shared" ref="AH1627:AH1633" si="1410">SUM(AC1627:AG1627)</f>
        <v>0</v>
      </c>
      <c r="AI1627" s="38"/>
      <c r="AJ1627" s="39"/>
      <c r="AK1627" s="39"/>
      <c r="AL1627" s="39"/>
      <c r="AM1627" s="39"/>
      <c r="AN1627" s="37">
        <f t="shared" ref="AN1627:AN1633" si="1411">SUM(AI1627:AM1627)</f>
        <v>0</v>
      </c>
      <c r="AO1627" s="39"/>
      <c r="AP1627" s="56"/>
      <c r="AQ1627" s="56"/>
      <c r="AR1627" s="56"/>
      <c r="AS1627" s="71"/>
      <c r="AT1627" s="16">
        <f t="shared" ref="AT1627:AT1633" si="1412">SUM(AO1627:AS1627)</f>
        <v>0</v>
      </c>
      <c r="AU1627" s="39"/>
      <c r="AV1627" s="56"/>
      <c r="AW1627" s="56"/>
      <c r="AX1627" s="56"/>
      <c r="AY1627" s="71"/>
      <c r="AZ1627" s="16">
        <f t="shared" ref="AZ1627:AZ1633" si="1413">SUM(AU1627:AY1627)</f>
        <v>0</v>
      </c>
      <c r="BA1627" s="16">
        <f t="shared" ref="BA1627:BA1633" si="1414">AH1627+AN1627+AT1627+AZ1627</f>
        <v>0</v>
      </c>
    </row>
    <row r="1628" spans="1:54" ht="14.25" x14ac:dyDescent="0.15">
      <c r="A1628" s="23" t="s">
        <v>654</v>
      </c>
      <c r="B1628" s="41">
        <v>1</v>
      </c>
      <c r="C1628" s="42"/>
      <c r="D1628" s="42"/>
      <c r="E1628" s="42"/>
      <c r="F1628" s="42"/>
      <c r="G1628" s="43">
        <f t="shared" si="1385"/>
        <v>1</v>
      </c>
      <c r="H1628" s="41"/>
      <c r="I1628" s="42"/>
      <c r="J1628" s="42"/>
      <c r="K1628" s="42"/>
      <c r="L1628" s="42"/>
      <c r="M1628" s="43">
        <f t="shared" si="1386"/>
        <v>0</v>
      </c>
      <c r="N1628" s="42"/>
      <c r="O1628" s="53"/>
      <c r="P1628" s="53"/>
      <c r="Q1628" s="53"/>
      <c r="R1628" s="72"/>
      <c r="S1628" s="24">
        <f t="shared" si="1365"/>
        <v>0</v>
      </c>
      <c r="T1628" s="42"/>
      <c r="U1628" s="53"/>
      <c r="V1628" s="53"/>
      <c r="W1628" s="53"/>
      <c r="X1628" s="72"/>
      <c r="Y1628" s="24">
        <f t="shared" si="1377"/>
        <v>0</v>
      </c>
      <c r="Z1628" s="24">
        <f t="shared" si="1384"/>
        <v>1</v>
      </c>
      <c r="AA1628" s="83">
        <v>45385</v>
      </c>
      <c r="AB1628" s="23"/>
      <c r="AC1628" s="38"/>
      <c r="AD1628" s="39"/>
      <c r="AE1628" s="39"/>
      <c r="AF1628" s="39"/>
      <c r="AG1628" s="39"/>
      <c r="AH1628" s="37">
        <f t="shared" si="1410"/>
        <v>0</v>
      </c>
      <c r="AI1628" s="38"/>
      <c r="AJ1628" s="39"/>
      <c r="AK1628" s="39"/>
      <c r="AL1628" s="39"/>
      <c r="AM1628" s="39"/>
      <c r="AN1628" s="37">
        <f t="shared" si="1411"/>
        <v>0</v>
      </c>
      <c r="AO1628" s="39"/>
      <c r="AP1628" s="56"/>
      <c r="AQ1628" s="56"/>
      <c r="AR1628" s="56"/>
      <c r="AS1628" s="71"/>
      <c r="AT1628" s="16">
        <f t="shared" si="1412"/>
        <v>0</v>
      </c>
      <c r="AU1628" s="39"/>
      <c r="AV1628" s="56"/>
      <c r="AW1628" s="56"/>
      <c r="AX1628" s="56"/>
      <c r="AY1628" s="71"/>
      <c r="AZ1628" s="16">
        <f t="shared" si="1413"/>
        <v>0</v>
      </c>
      <c r="BA1628" s="16">
        <f t="shared" si="1414"/>
        <v>0</v>
      </c>
    </row>
    <row r="1629" spans="1:54" ht="14.25" x14ac:dyDescent="0.15">
      <c r="A1629" s="23" t="s">
        <v>434</v>
      </c>
      <c r="B1629" s="41"/>
      <c r="C1629" s="42"/>
      <c r="D1629" s="42">
        <v>1</v>
      </c>
      <c r="E1629" s="42"/>
      <c r="F1629" s="42"/>
      <c r="G1629" s="43">
        <f t="shared" si="1385"/>
        <v>1</v>
      </c>
      <c r="H1629" s="41"/>
      <c r="I1629" s="42"/>
      <c r="J1629" s="42"/>
      <c r="K1629" s="42"/>
      <c r="L1629" s="42"/>
      <c r="M1629" s="43">
        <f t="shared" si="1386"/>
        <v>0</v>
      </c>
      <c r="N1629" s="42"/>
      <c r="O1629" s="53"/>
      <c r="P1629" s="53"/>
      <c r="Q1629" s="53"/>
      <c r="R1629" s="72"/>
      <c r="S1629" s="24">
        <f t="shared" si="1365"/>
        <v>0</v>
      </c>
      <c r="T1629" s="42"/>
      <c r="U1629" s="53"/>
      <c r="V1629" s="53"/>
      <c r="W1629" s="53"/>
      <c r="X1629" s="72">
        <v>1</v>
      </c>
      <c r="Y1629" s="24">
        <f t="shared" si="1377"/>
        <v>1</v>
      </c>
      <c r="Z1629" s="24">
        <f t="shared" si="1384"/>
        <v>2</v>
      </c>
      <c r="AA1629" s="83">
        <v>45387</v>
      </c>
      <c r="AB1629" s="23"/>
      <c r="AC1629" s="38"/>
      <c r="AD1629" s="39"/>
      <c r="AE1629" s="39"/>
      <c r="AF1629" s="39"/>
      <c r="AG1629" s="39"/>
      <c r="AH1629" s="37">
        <f t="shared" si="1410"/>
        <v>0</v>
      </c>
      <c r="AI1629" s="38"/>
      <c r="AJ1629" s="39"/>
      <c r="AK1629" s="39"/>
      <c r="AL1629" s="39"/>
      <c r="AM1629" s="39"/>
      <c r="AN1629" s="37">
        <f t="shared" si="1411"/>
        <v>0</v>
      </c>
      <c r="AO1629" s="39"/>
      <c r="AP1629" s="56"/>
      <c r="AQ1629" s="56"/>
      <c r="AR1629" s="56"/>
      <c r="AS1629" s="71"/>
      <c r="AT1629" s="16">
        <f t="shared" si="1412"/>
        <v>0</v>
      </c>
      <c r="AU1629" s="39"/>
      <c r="AV1629" s="56"/>
      <c r="AW1629" s="56"/>
      <c r="AX1629" s="56"/>
      <c r="AY1629" s="71"/>
      <c r="AZ1629" s="16">
        <f t="shared" si="1413"/>
        <v>0</v>
      </c>
      <c r="BA1629" s="16">
        <f t="shared" si="1414"/>
        <v>0</v>
      </c>
    </row>
    <row r="1630" spans="1:54" ht="14.25" x14ac:dyDescent="0.15">
      <c r="A1630" s="23" t="s">
        <v>434</v>
      </c>
      <c r="B1630" s="41"/>
      <c r="C1630" s="42"/>
      <c r="D1630" s="42"/>
      <c r="E1630" s="42"/>
      <c r="F1630" s="42"/>
      <c r="G1630" s="43">
        <f t="shared" si="1385"/>
        <v>0</v>
      </c>
      <c r="H1630" s="41"/>
      <c r="I1630" s="42"/>
      <c r="J1630" s="42"/>
      <c r="K1630" s="42"/>
      <c r="L1630" s="42"/>
      <c r="M1630" s="43">
        <f t="shared" si="1386"/>
        <v>0</v>
      </c>
      <c r="N1630" s="42"/>
      <c r="O1630" s="53"/>
      <c r="P1630" s="53"/>
      <c r="Q1630" s="53"/>
      <c r="R1630" s="72"/>
      <c r="S1630" s="24">
        <f t="shared" si="1365"/>
        <v>0</v>
      </c>
      <c r="T1630" s="42"/>
      <c r="U1630" s="53">
        <v>1</v>
      </c>
      <c r="V1630" s="53"/>
      <c r="W1630" s="53"/>
      <c r="X1630" s="72"/>
      <c r="Y1630" s="24">
        <f t="shared" si="1377"/>
        <v>1</v>
      </c>
      <c r="Z1630" s="24">
        <f t="shared" si="1384"/>
        <v>1</v>
      </c>
      <c r="AA1630" s="83">
        <v>45387</v>
      </c>
      <c r="AB1630" s="23"/>
      <c r="AC1630" s="38"/>
      <c r="AD1630" s="39"/>
      <c r="AE1630" s="39"/>
      <c r="AF1630" s="39"/>
      <c r="AG1630" s="39"/>
      <c r="AH1630" s="37">
        <f t="shared" si="1410"/>
        <v>0</v>
      </c>
      <c r="AI1630" s="38"/>
      <c r="AJ1630" s="39"/>
      <c r="AK1630" s="39"/>
      <c r="AL1630" s="39"/>
      <c r="AM1630" s="39"/>
      <c r="AN1630" s="37">
        <f t="shared" si="1411"/>
        <v>0</v>
      </c>
      <c r="AO1630" s="39"/>
      <c r="AP1630" s="56"/>
      <c r="AQ1630" s="56"/>
      <c r="AR1630" s="56"/>
      <c r="AS1630" s="71"/>
      <c r="AT1630" s="16">
        <f t="shared" si="1412"/>
        <v>0</v>
      </c>
      <c r="AU1630" s="39"/>
      <c r="AV1630" s="56"/>
      <c r="AW1630" s="56"/>
      <c r="AX1630" s="56"/>
      <c r="AY1630" s="71"/>
      <c r="AZ1630" s="16">
        <f t="shared" si="1413"/>
        <v>0</v>
      </c>
      <c r="BA1630" s="16">
        <f t="shared" si="1414"/>
        <v>0</v>
      </c>
    </row>
    <row r="1631" spans="1:54" ht="14.25" x14ac:dyDescent="0.15">
      <c r="A1631" s="23" t="s">
        <v>48</v>
      </c>
      <c r="B1631" s="41"/>
      <c r="C1631" s="42"/>
      <c r="D1631" s="42"/>
      <c r="E1631" s="42"/>
      <c r="F1631" s="42"/>
      <c r="G1631" s="43">
        <f t="shared" si="1385"/>
        <v>0</v>
      </c>
      <c r="H1631" s="41"/>
      <c r="I1631" s="42"/>
      <c r="J1631" s="42"/>
      <c r="K1631" s="42"/>
      <c r="L1631" s="42"/>
      <c r="M1631" s="43">
        <f t="shared" si="1386"/>
        <v>0</v>
      </c>
      <c r="N1631" s="42"/>
      <c r="O1631" s="53"/>
      <c r="P1631" s="53"/>
      <c r="Q1631" s="53"/>
      <c r="R1631" s="72"/>
      <c r="S1631" s="24">
        <f t="shared" si="1365"/>
        <v>0</v>
      </c>
      <c r="T1631" s="42"/>
      <c r="U1631" s="53"/>
      <c r="V1631" s="53"/>
      <c r="W1631" s="53"/>
      <c r="X1631" s="72">
        <v>1</v>
      </c>
      <c r="Y1631" s="24">
        <f t="shared" si="1377"/>
        <v>1</v>
      </c>
      <c r="Z1631" s="24">
        <f t="shared" si="1384"/>
        <v>1</v>
      </c>
      <c r="AA1631" s="83">
        <v>45386</v>
      </c>
      <c r="AB1631" s="23"/>
      <c r="AC1631" s="38"/>
      <c r="AD1631" s="39"/>
      <c r="AE1631" s="39"/>
      <c r="AF1631" s="39"/>
      <c r="AG1631" s="39"/>
      <c r="AH1631" s="37">
        <f t="shared" si="1410"/>
        <v>0</v>
      </c>
      <c r="AI1631" s="38"/>
      <c r="AJ1631" s="39"/>
      <c r="AK1631" s="39"/>
      <c r="AL1631" s="39"/>
      <c r="AM1631" s="39"/>
      <c r="AN1631" s="37">
        <f t="shared" si="1411"/>
        <v>0</v>
      </c>
      <c r="AO1631" s="39"/>
      <c r="AP1631" s="56"/>
      <c r="AQ1631" s="56"/>
      <c r="AR1631" s="56"/>
      <c r="AS1631" s="71"/>
      <c r="AT1631" s="16">
        <f t="shared" si="1412"/>
        <v>0</v>
      </c>
      <c r="AU1631" s="39"/>
      <c r="AV1631" s="56"/>
      <c r="AW1631" s="56"/>
      <c r="AX1631" s="56"/>
      <c r="AY1631" s="71"/>
      <c r="AZ1631" s="16">
        <f t="shared" si="1413"/>
        <v>0</v>
      </c>
      <c r="BA1631" s="16">
        <f t="shared" si="1414"/>
        <v>0</v>
      </c>
    </row>
    <row r="1632" spans="1:54" ht="14.25" x14ac:dyDescent="0.15">
      <c r="A1632" s="23" t="s">
        <v>434</v>
      </c>
      <c r="B1632" s="41"/>
      <c r="C1632" s="42"/>
      <c r="D1632" s="42"/>
      <c r="E1632" s="42"/>
      <c r="F1632" s="42">
        <v>1</v>
      </c>
      <c r="G1632" s="43">
        <f t="shared" si="1385"/>
        <v>1</v>
      </c>
      <c r="H1632" s="41"/>
      <c r="I1632" s="42"/>
      <c r="J1632" s="42"/>
      <c r="K1632" s="42"/>
      <c r="L1632" s="42"/>
      <c r="M1632" s="43">
        <f t="shared" si="1386"/>
        <v>0</v>
      </c>
      <c r="N1632" s="42"/>
      <c r="O1632" s="53"/>
      <c r="P1632" s="53"/>
      <c r="Q1632" s="53"/>
      <c r="R1632" s="72"/>
      <c r="S1632" s="24">
        <f t="shared" si="1365"/>
        <v>0</v>
      </c>
      <c r="T1632" s="42"/>
      <c r="U1632" s="53"/>
      <c r="V1632" s="53"/>
      <c r="W1632" s="53"/>
      <c r="X1632" s="72"/>
      <c r="Y1632" s="24">
        <f t="shared" si="1377"/>
        <v>0</v>
      </c>
      <c r="Z1632" s="24">
        <f t="shared" si="1384"/>
        <v>1</v>
      </c>
      <c r="AA1632" s="83">
        <v>45390</v>
      </c>
      <c r="AB1632" s="23"/>
      <c r="AC1632" s="38"/>
      <c r="AD1632" s="39"/>
      <c r="AE1632" s="39"/>
      <c r="AF1632" s="39"/>
      <c r="AG1632" s="39"/>
      <c r="AH1632" s="37">
        <f t="shared" si="1410"/>
        <v>0</v>
      </c>
      <c r="AI1632" s="38"/>
      <c r="AJ1632" s="39"/>
      <c r="AK1632" s="39"/>
      <c r="AL1632" s="39"/>
      <c r="AM1632" s="39"/>
      <c r="AN1632" s="37">
        <f t="shared" si="1411"/>
        <v>0</v>
      </c>
      <c r="AO1632" s="39"/>
      <c r="AP1632" s="56"/>
      <c r="AQ1632" s="56"/>
      <c r="AR1632" s="56"/>
      <c r="AS1632" s="71"/>
      <c r="AT1632" s="16">
        <f t="shared" si="1412"/>
        <v>0</v>
      </c>
      <c r="AU1632" s="39"/>
      <c r="AV1632" s="56"/>
      <c r="AW1632" s="56"/>
      <c r="AX1632" s="56"/>
      <c r="AY1632" s="71"/>
      <c r="AZ1632" s="16">
        <f t="shared" si="1413"/>
        <v>0</v>
      </c>
      <c r="BA1632" s="16">
        <f t="shared" si="1414"/>
        <v>0</v>
      </c>
    </row>
    <row r="1633" spans="1:54" ht="14.25" x14ac:dyDescent="0.15">
      <c r="A1633" s="23" t="s">
        <v>48</v>
      </c>
      <c r="B1633" s="41"/>
      <c r="C1633" s="42"/>
      <c r="D1633" s="42"/>
      <c r="E1633" s="42">
        <v>1</v>
      </c>
      <c r="F1633" s="42"/>
      <c r="G1633" s="43">
        <f>SUM(B1633:F1633)</f>
        <v>1</v>
      </c>
      <c r="H1633" s="41"/>
      <c r="I1633" s="42"/>
      <c r="J1633" s="42"/>
      <c r="K1633" s="42"/>
      <c r="L1633" s="42"/>
      <c r="M1633" s="43">
        <f t="shared" ref="M1633:M1634" si="1415">SUM(H1633:L1633)</f>
        <v>0</v>
      </c>
      <c r="N1633" s="42"/>
      <c r="O1633" s="53"/>
      <c r="P1633" s="53"/>
      <c r="Q1633" s="53"/>
      <c r="R1633" s="72">
        <v>1</v>
      </c>
      <c r="S1633" s="24">
        <f>SUM(N1633:R1633)</f>
        <v>1</v>
      </c>
      <c r="T1633" s="42"/>
      <c r="U1633" s="53"/>
      <c r="V1633" s="53"/>
      <c r="W1633" s="53"/>
      <c r="X1633" s="72"/>
      <c r="Y1633" s="24">
        <f>SUM(T1633:X1633)</f>
        <v>0</v>
      </c>
      <c r="Z1633" s="24">
        <f>G1633+M1633+S1633+Y1633</f>
        <v>2</v>
      </c>
      <c r="AA1633" s="83">
        <v>45390</v>
      </c>
      <c r="AB1633" s="23"/>
      <c r="AC1633" s="38"/>
      <c r="AD1633" s="39"/>
      <c r="AE1633" s="39"/>
      <c r="AF1633" s="39"/>
      <c r="AG1633" s="39"/>
      <c r="AH1633" s="37">
        <f t="shared" si="1410"/>
        <v>0</v>
      </c>
      <c r="AI1633" s="38"/>
      <c r="AJ1633" s="39"/>
      <c r="AK1633" s="39"/>
      <c r="AL1633" s="39"/>
      <c r="AM1633" s="39"/>
      <c r="AN1633" s="37">
        <f t="shared" si="1411"/>
        <v>0</v>
      </c>
      <c r="AO1633" s="39"/>
      <c r="AP1633" s="56"/>
      <c r="AQ1633" s="56"/>
      <c r="AR1633" s="56"/>
      <c r="AS1633" s="71"/>
      <c r="AT1633" s="16">
        <f t="shared" si="1412"/>
        <v>0</v>
      </c>
      <c r="AU1633" s="39"/>
      <c r="AV1633" s="56"/>
      <c r="AW1633" s="56"/>
      <c r="AX1633" s="56"/>
      <c r="AY1633" s="71"/>
      <c r="AZ1633" s="16">
        <f t="shared" si="1413"/>
        <v>0</v>
      </c>
      <c r="BA1633" s="16">
        <f t="shared" si="1414"/>
        <v>0</v>
      </c>
    </row>
    <row r="1634" spans="1:54" ht="15" thickBot="1" x14ac:dyDescent="0.2">
      <c r="A1634" s="23" t="s">
        <v>48</v>
      </c>
      <c r="B1634" s="44"/>
      <c r="C1634" s="45"/>
      <c r="D1634" s="45"/>
      <c r="E1634" s="45"/>
      <c r="F1634" s="45"/>
      <c r="G1634" s="43">
        <f t="shared" ref="G1634" si="1416">SUM(B1634:F1634)</f>
        <v>0</v>
      </c>
      <c r="H1634" s="44"/>
      <c r="I1634" s="45"/>
      <c r="J1634" s="45">
        <v>1</v>
      </c>
      <c r="K1634" s="45"/>
      <c r="L1634" s="45"/>
      <c r="M1634" s="112">
        <f t="shared" si="1415"/>
        <v>1</v>
      </c>
      <c r="N1634" s="45"/>
      <c r="O1634" s="78"/>
      <c r="P1634" s="78"/>
      <c r="Q1634" s="78"/>
      <c r="R1634" s="79"/>
      <c r="S1634" s="113">
        <f>SUM(N1634:R1634)</f>
        <v>0</v>
      </c>
      <c r="T1634" s="45"/>
      <c r="U1634" s="78"/>
      <c r="V1634" s="78"/>
      <c r="W1634" s="78"/>
      <c r="X1634" s="79"/>
      <c r="Y1634" s="113">
        <f>SUM(T1634:X1634)</f>
        <v>0</v>
      </c>
      <c r="Z1634" s="82">
        <f>G1634+M1634+S1634+Y1634</f>
        <v>1</v>
      </c>
      <c r="AA1634" s="83">
        <v>45391</v>
      </c>
      <c r="AB1634" s="23" t="s">
        <v>644</v>
      </c>
      <c r="AC1634" s="38"/>
      <c r="AD1634" s="39"/>
      <c r="AE1634" s="39"/>
      <c r="AF1634" s="39"/>
      <c r="AG1634" s="39"/>
      <c r="AH1634" s="37">
        <f t="shared" ref="AH1634" si="1417">SUM(AC1634:AG1634)</f>
        <v>0</v>
      </c>
      <c r="AI1634" s="203"/>
      <c r="AJ1634" s="204"/>
      <c r="AK1634" s="204"/>
      <c r="AL1634" s="204"/>
      <c r="AM1634" s="204"/>
      <c r="AN1634" s="37">
        <f t="shared" ref="AN1634" si="1418">SUM(AI1634:AM1634)</f>
        <v>0</v>
      </c>
      <c r="AO1634" s="39"/>
      <c r="AP1634" s="56"/>
      <c r="AQ1634" s="56"/>
      <c r="AR1634" s="56"/>
      <c r="AS1634" s="71"/>
      <c r="AT1634" s="16">
        <f t="shared" ref="AT1634" si="1419">SUM(AO1634:AS1634)</f>
        <v>0</v>
      </c>
      <c r="AU1634" s="39"/>
      <c r="AV1634" s="56"/>
      <c r="AW1634" s="56"/>
      <c r="AX1634" s="56"/>
      <c r="AY1634" s="71"/>
      <c r="AZ1634" s="16">
        <f t="shared" ref="AZ1634" si="1420">SUM(AU1634:AY1634)</f>
        <v>0</v>
      </c>
      <c r="BA1634" s="16">
        <f t="shared" ref="BA1634" si="1421">AH1634+AN1634+AT1634+AZ1634</f>
        <v>0</v>
      </c>
      <c r="BB1634" s="128" t="s">
        <v>645</v>
      </c>
    </row>
    <row r="1635" spans="1:54" ht="15" thickBot="1" x14ac:dyDescent="0.2">
      <c r="A1635" s="9" t="s">
        <v>13</v>
      </c>
      <c r="B1635" s="25">
        <f>SUM(B1609:B1634)</f>
        <v>2</v>
      </c>
      <c r="C1635" s="26">
        <f>SUM(C1609:C1634)</f>
        <v>3</v>
      </c>
      <c r="D1635" s="26">
        <f>SUM(D1609:D1634)</f>
        <v>3</v>
      </c>
      <c r="E1635" s="26">
        <f>SUM(E1609:E1634)</f>
        <v>1</v>
      </c>
      <c r="F1635" s="27">
        <f>SUM(F1609:F1634)</f>
        <v>2</v>
      </c>
      <c r="G1635" s="19">
        <f>SUM(B1635:F1635)</f>
        <v>11</v>
      </c>
      <c r="H1635" s="25">
        <f>SUM(H1609:H1634)</f>
        <v>0</v>
      </c>
      <c r="I1635" s="26">
        <f>SUM(I1609:I1634)</f>
        <v>1</v>
      </c>
      <c r="J1635" s="26">
        <f>SUM(J1609:J1634)</f>
        <v>1</v>
      </c>
      <c r="K1635" s="26">
        <f>SUM(K1609:K1634)</f>
        <v>0</v>
      </c>
      <c r="L1635" s="27">
        <f>SUM(L1609:L1634)</f>
        <v>4</v>
      </c>
      <c r="M1635" s="25">
        <f>SUM(H1635:L1635)</f>
        <v>6</v>
      </c>
      <c r="N1635" s="65">
        <f>SUM(N1609:N1634)</f>
        <v>0</v>
      </c>
      <c r="O1635" s="18">
        <f>SUM(O1609:O1634)</f>
        <v>-2</v>
      </c>
      <c r="P1635" s="18">
        <f>SUM(P1609:P1634)</f>
        <v>2</v>
      </c>
      <c r="Q1635" s="18">
        <f>SUM(Q1609:Q1634)</f>
        <v>1</v>
      </c>
      <c r="R1635" s="70">
        <f>SUM(R1609:R1634)</f>
        <v>1</v>
      </c>
      <c r="S1635" s="49">
        <f>SUM(N1635:R1635)</f>
        <v>2</v>
      </c>
      <c r="T1635" s="74">
        <f>SUM(T1609:T1634)</f>
        <v>-2</v>
      </c>
      <c r="U1635" s="18">
        <f>SUM(U1609:U1634)</f>
        <v>1</v>
      </c>
      <c r="V1635" s="18">
        <f>SUM(V1609:V1634)</f>
        <v>0</v>
      </c>
      <c r="W1635" s="18">
        <f>SUM(W1609:W1634)</f>
        <v>1</v>
      </c>
      <c r="X1635" s="70">
        <f>SUM(X1609:X1634)</f>
        <v>3</v>
      </c>
      <c r="Y1635" s="49">
        <f>SUM(T1635:X1635)</f>
        <v>3</v>
      </c>
      <c r="Z1635" s="137">
        <f>G1635+M1635+S1635+Y1635</f>
        <v>22</v>
      </c>
      <c r="AB1635" s="9" t="s">
        <v>13</v>
      </c>
      <c r="AC1635" s="25">
        <f>SUM(AC1609:AC1634)</f>
        <v>6</v>
      </c>
      <c r="AD1635" s="26">
        <f>SUM(AD1609:AD1634)</f>
        <v>6</v>
      </c>
      <c r="AE1635" s="26">
        <f>SUM(AE1609:AE1634)</f>
        <v>11</v>
      </c>
      <c r="AF1635" s="26">
        <f>SUM(AF1609:AF1634)</f>
        <v>10</v>
      </c>
      <c r="AG1635" s="27">
        <f>SUM(AG1609:AG1634)</f>
        <v>4</v>
      </c>
      <c r="AH1635" s="19">
        <f t="shared" ref="AH1635" si="1422">SUM(AC1635:AG1635)</f>
        <v>37</v>
      </c>
      <c r="AI1635" s="25">
        <f>SUM(AI1609:AI1634)</f>
        <v>6</v>
      </c>
      <c r="AJ1635" s="26">
        <f>SUM(AJ1609:AJ1634)</f>
        <v>6</v>
      </c>
      <c r="AK1635" s="26">
        <f>SUM(AK1609:AK1634)</f>
        <v>3</v>
      </c>
      <c r="AL1635" s="26">
        <f>SUM(AL1609:AL1634)</f>
        <v>5</v>
      </c>
      <c r="AM1635" s="27">
        <f>SUM(AM1609:AM1634)</f>
        <v>5</v>
      </c>
      <c r="AN1635" s="25">
        <f t="shared" ref="AN1635" si="1423">SUM(AI1635:AM1635)</f>
        <v>25</v>
      </c>
      <c r="AO1635" s="65">
        <f>SUM(AO1609:AO1634)</f>
        <v>3</v>
      </c>
      <c r="AP1635" s="18">
        <f>SUM(AP1609:AP1634)</f>
        <v>7</v>
      </c>
      <c r="AQ1635" s="18">
        <f>SUM(AQ1609:AQ1634)</f>
        <v>5</v>
      </c>
      <c r="AR1635" s="18">
        <f>SUM(AR1609:AR1634)</f>
        <v>4</v>
      </c>
      <c r="AS1635" s="70">
        <f>SUM(AS1609:AS1634)</f>
        <v>3</v>
      </c>
      <c r="AT1635" s="49">
        <f t="shared" ref="AT1635" si="1424">SUM(AO1635:AS1635)</f>
        <v>22</v>
      </c>
      <c r="AU1635" s="74">
        <f>SUM(AU1609:AU1634)</f>
        <v>6</v>
      </c>
      <c r="AV1635" s="18">
        <f>SUM(AV1609:AV1634)</f>
        <v>6</v>
      </c>
      <c r="AW1635" s="18">
        <f>SUM(AW1609:AW1634)</f>
        <v>2</v>
      </c>
      <c r="AX1635" s="18">
        <f>SUM(AX1609:AX1634)</f>
        <v>7</v>
      </c>
      <c r="AY1635" s="70">
        <f>SUM(AY1609:AY1634)</f>
        <v>3</v>
      </c>
      <c r="AZ1635" s="49">
        <f t="shared" ref="AZ1635" si="1425">SUM(AU1635:AY1635)</f>
        <v>24</v>
      </c>
      <c r="BA1635" s="77">
        <f t="shared" si="1397"/>
        <v>108</v>
      </c>
    </row>
    <row r="1636" spans="1:54" ht="15" thickBot="1" x14ac:dyDescent="0.2">
      <c r="A1636" s="32" t="s">
        <v>14</v>
      </c>
      <c r="B1636" s="29">
        <f t="shared" ref="B1636:Y1636" si="1426">B1608-B1635</f>
        <v>5</v>
      </c>
      <c r="C1636" s="30">
        <f t="shared" si="1426"/>
        <v>5</v>
      </c>
      <c r="D1636" s="30">
        <f t="shared" si="1426"/>
        <v>3</v>
      </c>
      <c r="E1636" s="30">
        <f t="shared" si="1426"/>
        <v>5</v>
      </c>
      <c r="F1636" s="31">
        <f t="shared" si="1426"/>
        <v>3</v>
      </c>
      <c r="G1636" s="31">
        <f t="shared" si="1426"/>
        <v>21</v>
      </c>
      <c r="H1636" s="29">
        <f t="shared" si="1426"/>
        <v>6</v>
      </c>
      <c r="I1636" s="30">
        <f t="shared" si="1426"/>
        <v>6</v>
      </c>
      <c r="J1636" s="30">
        <f t="shared" si="1426"/>
        <v>4</v>
      </c>
      <c r="K1636" s="30">
        <f t="shared" si="1426"/>
        <v>7</v>
      </c>
      <c r="L1636" s="31">
        <f t="shared" si="1426"/>
        <v>5</v>
      </c>
      <c r="M1636" s="66">
        <f t="shared" si="1426"/>
        <v>28</v>
      </c>
      <c r="N1636" s="29">
        <f t="shared" si="1426"/>
        <v>4</v>
      </c>
      <c r="O1636" s="30">
        <f t="shared" si="1426"/>
        <v>6</v>
      </c>
      <c r="P1636" s="30">
        <f t="shared" si="1426"/>
        <v>4</v>
      </c>
      <c r="Q1636" s="30">
        <f t="shared" si="1426"/>
        <v>4</v>
      </c>
      <c r="R1636" s="66">
        <f t="shared" si="1426"/>
        <v>5</v>
      </c>
      <c r="S1636" s="33">
        <f t="shared" si="1426"/>
        <v>23</v>
      </c>
      <c r="T1636" s="75">
        <f t="shared" si="1426"/>
        <v>6</v>
      </c>
      <c r="U1636" s="30">
        <f t="shared" si="1426"/>
        <v>3</v>
      </c>
      <c r="V1636" s="30">
        <f t="shared" si="1426"/>
        <v>5</v>
      </c>
      <c r="W1636" s="30">
        <f t="shared" si="1426"/>
        <v>5</v>
      </c>
      <c r="X1636" s="66">
        <f t="shared" si="1426"/>
        <v>2</v>
      </c>
      <c r="Y1636" s="33">
        <f t="shared" si="1426"/>
        <v>21</v>
      </c>
      <c r="Z1636" s="77">
        <f>G1636+M1636+S1636+Y1636</f>
        <v>93</v>
      </c>
      <c r="AB1636" s="32" t="s">
        <v>14</v>
      </c>
      <c r="AC1636" s="29">
        <f t="shared" ref="AC1636:AZ1636" si="1427">AC1608-AC1635</f>
        <v>90</v>
      </c>
      <c r="AD1636" s="30">
        <f t="shared" si="1427"/>
        <v>58</v>
      </c>
      <c r="AE1636" s="30">
        <f t="shared" si="1427"/>
        <v>58</v>
      </c>
      <c r="AF1636" s="30">
        <f t="shared" si="1427"/>
        <v>30</v>
      </c>
      <c r="AG1636" s="31">
        <f t="shared" si="1427"/>
        <v>15</v>
      </c>
      <c r="AH1636" s="31">
        <f t="shared" si="1427"/>
        <v>251</v>
      </c>
      <c r="AI1636" s="29">
        <f t="shared" si="1427"/>
        <v>78</v>
      </c>
      <c r="AJ1636" s="30">
        <f t="shared" si="1427"/>
        <v>68</v>
      </c>
      <c r="AK1636" s="30">
        <f t="shared" si="1427"/>
        <v>80</v>
      </c>
      <c r="AL1636" s="30">
        <f t="shared" si="1427"/>
        <v>66</v>
      </c>
      <c r="AM1636" s="31">
        <f t="shared" si="1427"/>
        <v>76</v>
      </c>
      <c r="AN1636" s="66">
        <f t="shared" si="1427"/>
        <v>368</v>
      </c>
      <c r="AO1636" s="29">
        <f t="shared" si="1427"/>
        <v>140</v>
      </c>
      <c r="AP1636" s="30">
        <f t="shared" si="1427"/>
        <v>89</v>
      </c>
      <c r="AQ1636" s="30">
        <f t="shared" si="1427"/>
        <v>95</v>
      </c>
      <c r="AR1636" s="30">
        <f t="shared" si="1427"/>
        <v>113</v>
      </c>
      <c r="AS1636" s="66">
        <f t="shared" si="1427"/>
        <v>124</v>
      </c>
      <c r="AT1636" s="33">
        <f t="shared" si="1427"/>
        <v>561</v>
      </c>
      <c r="AU1636" s="75">
        <f t="shared" si="1427"/>
        <v>105</v>
      </c>
      <c r="AV1636" s="30">
        <f t="shared" si="1427"/>
        <v>52</v>
      </c>
      <c r="AW1636" s="30">
        <f t="shared" si="1427"/>
        <v>23</v>
      </c>
      <c r="AX1636" s="30">
        <f t="shared" si="1427"/>
        <v>13</v>
      </c>
      <c r="AY1636" s="66">
        <f t="shared" si="1427"/>
        <v>66</v>
      </c>
      <c r="AZ1636" s="33">
        <f t="shared" si="1427"/>
        <v>259</v>
      </c>
      <c r="BA1636" s="77">
        <f t="shared" si="1397"/>
        <v>1439</v>
      </c>
    </row>
    <row r="1639" spans="1:54" ht="19.5" thickBot="1" x14ac:dyDescent="0.25">
      <c r="A1639" s="1" t="s">
        <v>15</v>
      </c>
      <c r="AB1639" s="1" t="s">
        <v>16</v>
      </c>
    </row>
    <row r="1640" spans="1:54" ht="15" thickBot="1" x14ac:dyDescent="0.2">
      <c r="A1640" s="4"/>
      <c r="B1640" s="245" t="s">
        <v>17</v>
      </c>
      <c r="C1640" s="246"/>
      <c r="D1640" s="246"/>
      <c r="E1640" s="246"/>
      <c r="F1640" s="246"/>
      <c r="G1640" s="247"/>
      <c r="H1640" s="245" t="s">
        <v>18</v>
      </c>
      <c r="I1640" s="246"/>
      <c r="J1640" s="246"/>
      <c r="K1640" s="246"/>
      <c r="L1640" s="246"/>
      <c r="M1640" s="247"/>
      <c r="N1640" s="248" t="s">
        <v>27</v>
      </c>
      <c r="O1640" s="249"/>
      <c r="P1640" s="249"/>
      <c r="Q1640" s="249"/>
      <c r="R1640" s="249"/>
      <c r="S1640" s="250"/>
      <c r="T1640" s="248" t="s">
        <v>28</v>
      </c>
      <c r="U1640" s="249"/>
      <c r="V1640" s="249"/>
      <c r="W1640" s="249"/>
      <c r="X1640" s="249"/>
      <c r="Y1640" s="250"/>
      <c r="Z1640" s="251" t="s">
        <v>1</v>
      </c>
      <c r="AB1640" s="4"/>
      <c r="AC1640" s="253" t="s">
        <v>17</v>
      </c>
      <c r="AD1640" s="249"/>
      <c r="AE1640" s="249"/>
      <c r="AF1640" s="249"/>
      <c r="AG1640" s="249"/>
      <c r="AH1640" s="250"/>
      <c r="AI1640" s="248" t="s">
        <v>18</v>
      </c>
      <c r="AJ1640" s="249"/>
      <c r="AK1640" s="249"/>
      <c r="AL1640" s="249"/>
      <c r="AM1640" s="249"/>
      <c r="AN1640" s="250"/>
      <c r="AO1640" s="248" t="s">
        <v>27</v>
      </c>
      <c r="AP1640" s="249"/>
      <c r="AQ1640" s="249"/>
      <c r="AR1640" s="249"/>
      <c r="AS1640" s="249"/>
      <c r="AT1640" s="250"/>
      <c r="AU1640" s="248" t="s">
        <v>28</v>
      </c>
      <c r="AV1640" s="249"/>
      <c r="AW1640" s="249"/>
      <c r="AX1640" s="249"/>
      <c r="AY1640" s="249"/>
      <c r="AZ1640" s="250"/>
      <c r="BA1640" s="243" t="s">
        <v>1</v>
      </c>
    </row>
    <row r="1641" spans="1:54" ht="15" thickBot="1" x14ac:dyDescent="0.2">
      <c r="A1641" s="9" t="s">
        <v>2</v>
      </c>
      <c r="B1641" s="6" t="s">
        <v>3</v>
      </c>
      <c r="C1641" s="7" t="s">
        <v>4</v>
      </c>
      <c r="D1641" s="7" t="s">
        <v>5</v>
      </c>
      <c r="E1641" s="48" t="s">
        <v>20</v>
      </c>
      <c r="F1641" s="8" t="s">
        <v>21</v>
      </c>
      <c r="G1641" s="5" t="s">
        <v>6</v>
      </c>
      <c r="H1641" s="6" t="s">
        <v>3</v>
      </c>
      <c r="I1641" s="7" t="s">
        <v>4</v>
      </c>
      <c r="J1641" s="7" t="s">
        <v>5</v>
      </c>
      <c r="K1641" s="48" t="s">
        <v>20</v>
      </c>
      <c r="L1641" s="8" t="s">
        <v>21</v>
      </c>
      <c r="M1641" s="5" t="s">
        <v>6</v>
      </c>
      <c r="N1641" s="6" t="s">
        <v>3</v>
      </c>
      <c r="O1641" s="7" t="s">
        <v>4</v>
      </c>
      <c r="P1641" s="7" t="s">
        <v>5</v>
      </c>
      <c r="Q1641" s="48" t="s">
        <v>20</v>
      </c>
      <c r="R1641" s="8" t="s">
        <v>21</v>
      </c>
      <c r="S1641" s="5" t="s">
        <v>6</v>
      </c>
      <c r="T1641" s="7" t="s">
        <v>3</v>
      </c>
      <c r="U1641" s="7" t="s">
        <v>4</v>
      </c>
      <c r="V1641" s="7" t="s">
        <v>5</v>
      </c>
      <c r="W1641" s="48" t="s">
        <v>20</v>
      </c>
      <c r="X1641" s="109" t="s">
        <v>21</v>
      </c>
      <c r="Y1641" s="62" t="s">
        <v>6</v>
      </c>
      <c r="Z1641" s="252"/>
      <c r="AB1641" s="9" t="s">
        <v>2</v>
      </c>
      <c r="AC1641" s="6" t="s">
        <v>3</v>
      </c>
      <c r="AD1641" s="7" t="s">
        <v>4</v>
      </c>
      <c r="AE1641" s="7" t="s">
        <v>5</v>
      </c>
      <c r="AF1641" s="48" t="s">
        <v>20</v>
      </c>
      <c r="AG1641" s="8" t="s">
        <v>21</v>
      </c>
      <c r="AH1641" s="5" t="s">
        <v>6</v>
      </c>
      <c r="AI1641" s="6" t="s">
        <v>3</v>
      </c>
      <c r="AJ1641" s="7" t="s">
        <v>4</v>
      </c>
      <c r="AK1641" s="7" t="s">
        <v>5</v>
      </c>
      <c r="AL1641" s="48" t="s">
        <v>20</v>
      </c>
      <c r="AM1641" s="8" t="s">
        <v>21</v>
      </c>
      <c r="AN1641" s="5" t="s">
        <v>6</v>
      </c>
      <c r="AO1641" s="6" t="s">
        <v>3</v>
      </c>
      <c r="AP1641" s="7" t="s">
        <v>4</v>
      </c>
      <c r="AQ1641" s="7" t="s">
        <v>5</v>
      </c>
      <c r="AR1641" s="48" t="s">
        <v>20</v>
      </c>
      <c r="AS1641" s="8" t="s">
        <v>21</v>
      </c>
      <c r="AT1641" s="5" t="s">
        <v>6</v>
      </c>
      <c r="AU1641" s="7" t="s">
        <v>3</v>
      </c>
      <c r="AV1641" s="7" t="s">
        <v>4</v>
      </c>
      <c r="AW1641" s="7" t="s">
        <v>5</v>
      </c>
      <c r="AX1641" s="48" t="s">
        <v>20</v>
      </c>
      <c r="AY1641" s="109" t="s">
        <v>21</v>
      </c>
      <c r="AZ1641" s="62" t="s">
        <v>6</v>
      </c>
      <c r="BA1641" s="244"/>
    </row>
    <row r="1642" spans="1:54" ht="14.25" x14ac:dyDescent="0.15">
      <c r="A1642" s="103" t="s">
        <v>43</v>
      </c>
      <c r="B1642" s="104">
        <f>B1636</f>
        <v>5</v>
      </c>
      <c r="C1642" s="105">
        <f>C1636</f>
        <v>5</v>
      </c>
      <c r="D1642" s="105">
        <f>D1636</f>
        <v>3</v>
      </c>
      <c r="E1642" s="105">
        <f>E1636</f>
        <v>5</v>
      </c>
      <c r="F1642" s="105">
        <f>F1636</f>
        <v>3</v>
      </c>
      <c r="G1642" s="106">
        <f t="shared" ref="G1642" si="1428">SUM(B1642:F1642)</f>
        <v>21</v>
      </c>
      <c r="H1642" s="104">
        <f>H1636</f>
        <v>6</v>
      </c>
      <c r="I1642" s="105">
        <f>I1636</f>
        <v>6</v>
      </c>
      <c r="J1642" s="105">
        <f>J1636</f>
        <v>4</v>
      </c>
      <c r="K1642" s="105">
        <f>K1636</f>
        <v>7</v>
      </c>
      <c r="L1642" s="105">
        <f>L1636</f>
        <v>5</v>
      </c>
      <c r="M1642" s="107">
        <f t="shared" ref="M1642:M1647" si="1429">SUM(H1642:L1642)</f>
        <v>28</v>
      </c>
      <c r="N1642" s="104">
        <f>N1636</f>
        <v>4</v>
      </c>
      <c r="O1642" s="105">
        <f>O1636</f>
        <v>6</v>
      </c>
      <c r="P1642" s="105">
        <f>P1636</f>
        <v>4</v>
      </c>
      <c r="Q1642" s="105">
        <f>Q1636</f>
        <v>4</v>
      </c>
      <c r="R1642" s="105">
        <f>R1636</f>
        <v>5</v>
      </c>
      <c r="S1642" s="108">
        <f t="shared" ref="S1642:S1671" si="1430">SUM(N1642:R1642)</f>
        <v>23</v>
      </c>
      <c r="T1642" s="104">
        <f>T1636</f>
        <v>6</v>
      </c>
      <c r="U1642" s="105">
        <f>U1636</f>
        <v>3</v>
      </c>
      <c r="V1642" s="105">
        <f>V1636</f>
        <v>5</v>
      </c>
      <c r="W1642" s="105">
        <f>W1636</f>
        <v>5</v>
      </c>
      <c r="X1642" s="105">
        <f>X1636</f>
        <v>2</v>
      </c>
      <c r="Y1642" s="106">
        <f t="shared" ref="Y1642:Y1643" si="1431">SUM(T1642:X1642)</f>
        <v>21</v>
      </c>
      <c r="Z1642" s="106">
        <f t="shared" ref="Z1642:Z1644" si="1432">G1642+M1642+S1642+Y1642</f>
        <v>93</v>
      </c>
      <c r="AB1642" s="103" t="s">
        <v>43</v>
      </c>
      <c r="AC1642" s="104">
        <f>AC1636</f>
        <v>90</v>
      </c>
      <c r="AD1642" s="105">
        <f>AD1636</f>
        <v>58</v>
      </c>
      <c r="AE1642" s="105">
        <f>AE1636</f>
        <v>58</v>
      </c>
      <c r="AF1642" s="105">
        <f>AF1636</f>
        <v>30</v>
      </c>
      <c r="AG1642" s="105">
        <f>AG1636</f>
        <v>15</v>
      </c>
      <c r="AH1642" s="106">
        <f>SUM(AC1642:AG1642)</f>
        <v>251</v>
      </c>
      <c r="AI1642" s="104">
        <f>AI1636</f>
        <v>78</v>
      </c>
      <c r="AJ1642" s="105">
        <f>AJ1636</f>
        <v>68</v>
      </c>
      <c r="AK1642" s="105">
        <f>AK1636</f>
        <v>80</v>
      </c>
      <c r="AL1642" s="105">
        <f>AL1636</f>
        <v>66</v>
      </c>
      <c r="AM1642" s="105">
        <f>AM1636</f>
        <v>76</v>
      </c>
      <c r="AN1642" s="107">
        <f>SUM(AI1642:AM1642)</f>
        <v>368</v>
      </c>
      <c r="AO1642" s="104">
        <f>AO1636</f>
        <v>140</v>
      </c>
      <c r="AP1642" s="105">
        <f>AP1636</f>
        <v>89</v>
      </c>
      <c r="AQ1642" s="105">
        <f>AQ1636</f>
        <v>95</v>
      </c>
      <c r="AR1642" s="105">
        <f>AR1636</f>
        <v>113</v>
      </c>
      <c r="AS1642" s="105">
        <f>AS1636</f>
        <v>124</v>
      </c>
      <c r="AT1642" s="108">
        <f>SUM(AO1642:AS1642)</f>
        <v>561</v>
      </c>
      <c r="AU1642" s="104">
        <f>AU1636</f>
        <v>105</v>
      </c>
      <c r="AV1642" s="105">
        <f>AV1636</f>
        <v>52</v>
      </c>
      <c r="AW1642" s="105">
        <f>AW1636</f>
        <v>23</v>
      </c>
      <c r="AX1642" s="105">
        <f>AX1636</f>
        <v>13</v>
      </c>
      <c r="AY1642" s="105">
        <f>AY1636</f>
        <v>66</v>
      </c>
      <c r="AZ1642" s="106">
        <f>SUM(AU1642:AY1642)</f>
        <v>259</v>
      </c>
      <c r="BA1642" s="106">
        <f>AH1642+AN1642+AT1642+AZ1642</f>
        <v>1439</v>
      </c>
    </row>
    <row r="1643" spans="1:54" ht="14.25" x14ac:dyDescent="0.15">
      <c r="A1643" s="10" t="s">
        <v>181</v>
      </c>
      <c r="B1643" s="14"/>
      <c r="C1643" s="15"/>
      <c r="D1643" s="15">
        <v>3</v>
      </c>
      <c r="E1643" s="15"/>
      <c r="F1643" s="15"/>
      <c r="G1643" s="43">
        <f t="shared" ref="G1643" si="1433">SUM(B1643:F1643)</f>
        <v>3</v>
      </c>
      <c r="H1643" s="14"/>
      <c r="I1643" s="15"/>
      <c r="J1643" s="15"/>
      <c r="K1643" s="15"/>
      <c r="L1643" s="15"/>
      <c r="M1643" s="43">
        <f t="shared" si="1429"/>
        <v>0</v>
      </c>
      <c r="N1643" s="14"/>
      <c r="O1643" s="55"/>
      <c r="P1643" s="55"/>
      <c r="Q1643" s="55"/>
      <c r="R1643" s="67"/>
      <c r="S1643" s="24">
        <f t="shared" si="1430"/>
        <v>0</v>
      </c>
      <c r="T1643" s="15"/>
      <c r="U1643" s="55">
        <v>3</v>
      </c>
      <c r="V1643" s="55"/>
      <c r="W1643" s="55"/>
      <c r="X1643" s="67">
        <v>3</v>
      </c>
      <c r="Y1643" s="24">
        <f t="shared" si="1431"/>
        <v>6</v>
      </c>
      <c r="Z1643" s="24">
        <f t="shared" si="1432"/>
        <v>9</v>
      </c>
      <c r="AA1643" s="83">
        <v>45392</v>
      </c>
      <c r="AB1643" s="10" t="s">
        <v>181</v>
      </c>
      <c r="AC1643" s="14"/>
      <c r="AD1643" s="15"/>
      <c r="AE1643" s="15"/>
      <c r="AF1643" s="15"/>
      <c r="AG1643" s="15"/>
      <c r="AH1643" s="43">
        <f t="shared" ref="AH1643:AH1647" si="1434">SUM(AC1643:AG1643)</f>
        <v>0</v>
      </c>
      <c r="AI1643" s="14"/>
      <c r="AJ1643" s="15"/>
      <c r="AK1643" s="15"/>
      <c r="AL1643" s="15"/>
      <c r="AM1643" s="15"/>
      <c r="AN1643" s="43">
        <f t="shared" ref="AN1643:AN1647" si="1435">SUM(AI1643:AM1643)</f>
        <v>0</v>
      </c>
      <c r="AO1643" s="14"/>
      <c r="AP1643" s="55"/>
      <c r="AQ1643" s="55"/>
      <c r="AR1643" s="55"/>
      <c r="AS1643" s="67"/>
      <c r="AT1643" s="24">
        <f t="shared" ref="AT1643:AT1647" si="1436">SUM(AO1643:AS1643)</f>
        <v>0</v>
      </c>
      <c r="AU1643" s="15"/>
      <c r="AV1643" s="55"/>
      <c r="AW1643" s="55"/>
      <c r="AX1643" s="55"/>
      <c r="AY1643" s="67"/>
      <c r="AZ1643" s="24">
        <f t="shared" ref="AZ1643:AZ1659" si="1437">SUM(AU1643:AY1643)</f>
        <v>0</v>
      </c>
      <c r="BA1643" s="24">
        <f t="shared" ref="BA1643:BA1659" si="1438">AH1643+AN1643+AT1643+AZ1643</f>
        <v>0</v>
      </c>
    </row>
    <row r="1644" spans="1:54" ht="14.25" x14ac:dyDescent="0.15">
      <c r="A1644" s="10" t="s">
        <v>77</v>
      </c>
      <c r="B1644" s="14"/>
      <c r="C1644" s="15"/>
      <c r="D1644" s="15"/>
      <c r="E1644" s="15"/>
      <c r="F1644" s="15">
        <v>2</v>
      </c>
      <c r="G1644" s="43">
        <f t="shared" ref="G1644:G1645" si="1439">SUM(B1644:F1644)</f>
        <v>2</v>
      </c>
      <c r="H1644" s="14"/>
      <c r="I1644" s="15"/>
      <c r="J1644" s="15"/>
      <c r="K1644" s="15"/>
      <c r="L1644" s="15"/>
      <c r="M1644" s="43">
        <f t="shared" si="1429"/>
        <v>0</v>
      </c>
      <c r="N1644" s="14"/>
      <c r="O1644" s="55"/>
      <c r="P1644" s="55"/>
      <c r="Q1644" s="55"/>
      <c r="R1644" s="67"/>
      <c r="S1644" s="24">
        <f t="shared" si="1430"/>
        <v>0</v>
      </c>
      <c r="T1644" s="15"/>
      <c r="U1644" s="55"/>
      <c r="V1644" s="55"/>
      <c r="W1644" s="55"/>
      <c r="X1644" s="67"/>
      <c r="Y1644" s="24">
        <f t="shared" ref="Y1644:Y1645" si="1440">SUM(T1644:X1644)</f>
        <v>0</v>
      </c>
      <c r="Z1644" s="24">
        <f t="shared" si="1432"/>
        <v>2</v>
      </c>
      <c r="AA1644" s="83">
        <v>45394</v>
      </c>
      <c r="AB1644" s="10" t="s">
        <v>181</v>
      </c>
      <c r="AC1644" s="14"/>
      <c r="AD1644" s="15"/>
      <c r="AE1644" s="15"/>
      <c r="AF1644" s="15"/>
      <c r="AG1644" s="15"/>
      <c r="AH1644" s="43">
        <f t="shared" si="1434"/>
        <v>0</v>
      </c>
      <c r="AI1644" s="14"/>
      <c r="AJ1644" s="15"/>
      <c r="AK1644" s="15"/>
      <c r="AL1644" s="15"/>
      <c r="AM1644" s="15"/>
      <c r="AN1644" s="43">
        <f t="shared" si="1435"/>
        <v>0</v>
      </c>
      <c r="AO1644" s="14"/>
      <c r="AP1644" s="55"/>
      <c r="AQ1644" s="55"/>
      <c r="AR1644" s="55"/>
      <c r="AS1644" s="67"/>
      <c r="AT1644" s="24">
        <f t="shared" si="1436"/>
        <v>0</v>
      </c>
      <c r="AU1644" s="15"/>
      <c r="AV1644" s="55"/>
      <c r="AW1644" s="55"/>
      <c r="AX1644" s="55"/>
      <c r="AY1644" s="67"/>
      <c r="AZ1644" s="24">
        <f t="shared" si="1437"/>
        <v>0</v>
      </c>
      <c r="BA1644" s="24">
        <f t="shared" si="1438"/>
        <v>0</v>
      </c>
    </row>
    <row r="1645" spans="1:54" ht="14.25" x14ac:dyDescent="0.15">
      <c r="A1645" s="10" t="s">
        <v>181</v>
      </c>
      <c r="B1645" s="14"/>
      <c r="C1645" s="15">
        <v>3</v>
      </c>
      <c r="D1645" s="15"/>
      <c r="E1645" s="15"/>
      <c r="F1645" s="15">
        <v>3</v>
      </c>
      <c r="G1645" s="43">
        <f t="shared" si="1439"/>
        <v>6</v>
      </c>
      <c r="H1645" s="14"/>
      <c r="I1645" s="15"/>
      <c r="J1645" s="15"/>
      <c r="K1645" s="15"/>
      <c r="L1645" s="15"/>
      <c r="M1645" s="43">
        <f t="shared" si="1429"/>
        <v>0</v>
      </c>
      <c r="N1645" s="14">
        <v>3</v>
      </c>
      <c r="O1645" s="55"/>
      <c r="P1645" s="55"/>
      <c r="Q1645" s="55">
        <v>3</v>
      </c>
      <c r="R1645" s="67"/>
      <c r="S1645" s="24">
        <f t="shared" si="1430"/>
        <v>6</v>
      </c>
      <c r="T1645" s="15"/>
      <c r="U1645" s="55"/>
      <c r="V1645" s="55"/>
      <c r="W1645" s="55"/>
      <c r="X1645" s="67">
        <v>3</v>
      </c>
      <c r="Y1645" s="24">
        <f t="shared" si="1440"/>
        <v>3</v>
      </c>
      <c r="Z1645" s="24">
        <f>G1645+M1645+S1645+Y1645</f>
        <v>15</v>
      </c>
      <c r="AA1645" s="83">
        <v>45402</v>
      </c>
      <c r="AB1645" s="10" t="s">
        <v>181</v>
      </c>
      <c r="AC1645" s="14"/>
      <c r="AD1645" s="15"/>
      <c r="AE1645" s="15"/>
      <c r="AF1645" s="15"/>
      <c r="AG1645" s="15"/>
      <c r="AH1645" s="43">
        <f t="shared" ref="AH1645" si="1441">SUM(AC1645:AG1645)</f>
        <v>0</v>
      </c>
      <c r="AI1645" s="14"/>
      <c r="AJ1645" s="15"/>
      <c r="AK1645" s="15"/>
      <c r="AL1645" s="15"/>
      <c r="AM1645" s="15"/>
      <c r="AN1645" s="43">
        <f t="shared" ref="AN1645" si="1442">SUM(AI1645:AM1645)</f>
        <v>0</v>
      </c>
      <c r="AO1645" s="14"/>
      <c r="AP1645" s="55"/>
      <c r="AQ1645" s="55"/>
      <c r="AR1645" s="55"/>
      <c r="AS1645" s="67"/>
      <c r="AT1645" s="24">
        <f t="shared" ref="AT1645" si="1443">SUM(AO1645:AS1645)</f>
        <v>0</v>
      </c>
      <c r="AU1645" s="15"/>
      <c r="AV1645" s="55"/>
      <c r="AW1645" s="55"/>
      <c r="AX1645" s="55"/>
      <c r="AY1645" s="67"/>
      <c r="AZ1645" s="24">
        <f t="shared" ref="AZ1645" si="1444">SUM(AU1645:AY1645)</f>
        <v>0</v>
      </c>
      <c r="BA1645" s="24">
        <f t="shared" ref="BA1645" si="1445">AH1645+AN1645+AT1645+AZ1645</f>
        <v>0</v>
      </c>
    </row>
    <row r="1646" spans="1:54" ht="15" thickBot="1" x14ac:dyDescent="0.2">
      <c r="A1646" s="10" t="s">
        <v>181</v>
      </c>
      <c r="B1646" s="14">
        <v>2</v>
      </c>
      <c r="C1646" s="15">
        <v>2</v>
      </c>
      <c r="D1646" s="15"/>
      <c r="E1646" s="15"/>
      <c r="F1646" s="15"/>
      <c r="G1646" s="43">
        <f t="shared" ref="G1646" si="1446">SUM(B1646:F1646)</f>
        <v>4</v>
      </c>
      <c r="H1646" s="14"/>
      <c r="I1646" s="15"/>
      <c r="J1646" s="15"/>
      <c r="K1646" s="15"/>
      <c r="L1646" s="15">
        <v>2</v>
      </c>
      <c r="M1646" s="43">
        <f t="shared" si="1429"/>
        <v>2</v>
      </c>
      <c r="N1646" s="14"/>
      <c r="O1646" s="55"/>
      <c r="P1646" s="55">
        <v>2</v>
      </c>
      <c r="Q1646" s="55"/>
      <c r="R1646" s="67"/>
      <c r="S1646" s="24">
        <f t="shared" si="1430"/>
        <v>2</v>
      </c>
      <c r="T1646" s="15"/>
      <c r="U1646" s="55"/>
      <c r="V1646" s="55"/>
      <c r="W1646" s="55"/>
      <c r="X1646" s="67"/>
      <c r="Y1646" s="24">
        <f t="shared" ref="Y1646:Y1671" si="1447">SUM(T1646:X1646)</f>
        <v>0</v>
      </c>
      <c r="Z1646" s="24">
        <f>G1646+M1646+S1646+Y1646</f>
        <v>8</v>
      </c>
      <c r="AA1646" s="83">
        <v>45412</v>
      </c>
      <c r="AB1646" s="10" t="s">
        <v>181</v>
      </c>
      <c r="AC1646" s="14"/>
      <c r="AD1646" s="15"/>
      <c r="AE1646" s="15"/>
      <c r="AF1646" s="15"/>
      <c r="AG1646" s="15"/>
      <c r="AH1646" s="43">
        <f t="shared" ref="AH1646" si="1448">SUM(AC1646:AG1646)</f>
        <v>0</v>
      </c>
      <c r="AI1646" s="14"/>
      <c r="AJ1646" s="15"/>
      <c r="AK1646" s="15"/>
      <c r="AL1646" s="15"/>
      <c r="AM1646" s="15"/>
      <c r="AN1646" s="43">
        <f t="shared" ref="AN1646" si="1449">SUM(AI1646:AM1646)</f>
        <v>0</v>
      </c>
      <c r="AO1646" s="14"/>
      <c r="AP1646" s="55"/>
      <c r="AQ1646" s="55"/>
      <c r="AR1646" s="55"/>
      <c r="AS1646" s="67"/>
      <c r="AT1646" s="24">
        <f t="shared" ref="AT1646" si="1450">SUM(AO1646:AS1646)</f>
        <v>0</v>
      </c>
      <c r="AU1646" s="15"/>
      <c r="AV1646" s="55"/>
      <c r="AW1646" s="55"/>
      <c r="AX1646" s="55"/>
      <c r="AY1646" s="67"/>
      <c r="AZ1646" s="24">
        <f t="shared" ref="AZ1646" si="1451">SUM(AU1646:AY1646)</f>
        <v>0</v>
      </c>
      <c r="BA1646" s="24">
        <f t="shared" ref="BA1646" si="1452">AH1646+AN1646+AT1646+AZ1646</f>
        <v>0</v>
      </c>
    </row>
    <row r="1647" spans="1:54" ht="15" thickBot="1" x14ac:dyDescent="0.2">
      <c r="A1647" s="4" t="s">
        <v>12</v>
      </c>
      <c r="B1647" s="17">
        <f>SUM(B1642:B1646)</f>
        <v>7</v>
      </c>
      <c r="C1647" s="18">
        <f>SUM(C1642:C1646)</f>
        <v>10</v>
      </c>
      <c r="D1647" s="18">
        <f>SUM(D1642:D1646)</f>
        <v>6</v>
      </c>
      <c r="E1647" s="18">
        <f>SUM(E1642:E1646)</f>
        <v>5</v>
      </c>
      <c r="F1647" s="18">
        <f>SUM(F1642:F1646)</f>
        <v>8</v>
      </c>
      <c r="G1647" s="148">
        <f t="shared" ref="G1647" si="1453">SUM(B1647:F1647)</f>
        <v>36</v>
      </c>
      <c r="H1647" s="17">
        <f>SUM(H1642:H1646)</f>
        <v>6</v>
      </c>
      <c r="I1647" s="18">
        <f>SUM(I1642:I1646)</f>
        <v>6</v>
      </c>
      <c r="J1647" s="18">
        <f>SUM(J1642:J1646)</f>
        <v>4</v>
      </c>
      <c r="K1647" s="18">
        <f>SUM(K1642:K1646)</f>
        <v>7</v>
      </c>
      <c r="L1647" s="18">
        <f>SUM(L1642:L1646)</f>
        <v>7</v>
      </c>
      <c r="M1647" s="17">
        <f t="shared" si="1429"/>
        <v>30</v>
      </c>
      <c r="N1647" s="65">
        <f>SUM(N1642:N1646)</f>
        <v>7</v>
      </c>
      <c r="O1647" s="18">
        <f>SUM(O1642:O1646)</f>
        <v>6</v>
      </c>
      <c r="P1647" s="18">
        <f>SUM(P1642:P1646)</f>
        <v>6</v>
      </c>
      <c r="Q1647" s="18">
        <f>SUM(Q1642:Q1646)</f>
        <v>7</v>
      </c>
      <c r="R1647" s="70">
        <f>SUM(R1642:R1646)</f>
        <v>5</v>
      </c>
      <c r="S1647" s="49">
        <f t="shared" si="1430"/>
        <v>31</v>
      </c>
      <c r="T1647" s="74">
        <f>SUM(T1642:T1646)</f>
        <v>6</v>
      </c>
      <c r="U1647" s="18">
        <f>SUM(U1642:U1646)</f>
        <v>6</v>
      </c>
      <c r="V1647" s="18">
        <f>SUM(V1642:V1646)</f>
        <v>5</v>
      </c>
      <c r="W1647" s="18">
        <f>SUM(W1642:W1646)</f>
        <v>5</v>
      </c>
      <c r="X1647" s="70">
        <f>SUM(X1642:X1646)</f>
        <v>8</v>
      </c>
      <c r="Y1647" s="49">
        <f t="shared" si="1447"/>
        <v>30</v>
      </c>
      <c r="Z1647" s="33">
        <f t="shared" ref="Z1647:Z1671" si="1454">G1647+M1647+S1647+Y1647</f>
        <v>127</v>
      </c>
      <c r="AB1647" s="4" t="s">
        <v>12</v>
      </c>
      <c r="AC1647" s="17">
        <f>SUM(AC1642:AC1646)</f>
        <v>90</v>
      </c>
      <c r="AD1647" s="18">
        <f>SUM(AD1642:AD1646)</f>
        <v>58</v>
      </c>
      <c r="AE1647" s="18">
        <f>SUM(AE1642:AE1646)</f>
        <v>58</v>
      </c>
      <c r="AF1647" s="18">
        <f>SUM(AF1642:AF1646)</f>
        <v>30</v>
      </c>
      <c r="AG1647" s="18">
        <f>SUM(AG1642:AG1646)</f>
        <v>15</v>
      </c>
      <c r="AH1647" s="148">
        <f t="shared" si="1434"/>
        <v>251</v>
      </c>
      <c r="AI1647" s="17">
        <f>SUM(AI1642:AI1646)</f>
        <v>78</v>
      </c>
      <c r="AJ1647" s="18">
        <f>SUM(AJ1642:AJ1646)</f>
        <v>68</v>
      </c>
      <c r="AK1647" s="18">
        <f>SUM(AK1642:AK1646)</f>
        <v>80</v>
      </c>
      <c r="AL1647" s="18">
        <f>SUM(AL1642:AL1646)</f>
        <v>66</v>
      </c>
      <c r="AM1647" s="18">
        <f>SUM(AM1642:AM1646)</f>
        <v>76</v>
      </c>
      <c r="AN1647" s="148">
        <f t="shared" si="1435"/>
        <v>368</v>
      </c>
      <c r="AO1647" s="65">
        <f>SUM(AO1642:AO1646)</f>
        <v>140</v>
      </c>
      <c r="AP1647" s="18">
        <f>SUM(AP1642:AP1646)</f>
        <v>89</v>
      </c>
      <c r="AQ1647" s="18">
        <f>SUM(AQ1642:AQ1646)</f>
        <v>95</v>
      </c>
      <c r="AR1647" s="18">
        <f>SUM(AR1642:AR1646)</f>
        <v>113</v>
      </c>
      <c r="AS1647" s="70">
        <f>SUM(AS1642:AS1646)</f>
        <v>124</v>
      </c>
      <c r="AT1647" s="49">
        <f t="shared" si="1436"/>
        <v>561</v>
      </c>
      <c r="AU1647" s="74">
        <f>SUM(AU1642:AU1646)</f>
        <v>105</v>
      </c>
      <c r="AV1647" s="18">
        <f>SUM(AV1642:AV1646)</f>
        <v>52</v>
      </c>
      <c r="AW1647" s="18">
        <f>SUM(AW1642:AW1646)</f>
        <v>23</v>
      </c>
      <c r="AX1647" s="18">
        <f>SUM(AX1642:AX1646)</f>
        <v>13</v>
      </c>
      <c r="AY1647" s="70">
        <f>SUM(AY1642:AY1646)</f>
        <v>66</v>
      </c>
      <c r="AZ1647" s="49">
        <f t="shared" si="1437"/>
        <v>259</v>
      </c>
      <c r="BA1647" s="33">
        <f t="shared" si="1438"/>
        <v>1439</v>
      </c>
    </row>
    <row r="1648" spans="1:54" ht="14.25" x14ac:dyDescent="0.15">
      <c r="A1648" s="205" t="s">
        <v>658</v>
      </c>
      <c r="B1648" s="41"/>
      <c r="C1648" s="42"/>
      <c r="D1648" s="42"/>
      <c r="E1648" s="42"/>
      <c r="F1648" s="42"/>
      <c r="G1648" s="43">
        <f t="shared" ref="G1648:G1671" si="1455">SUM(B1648:F1648)</f>
        <v>0</v>
      </c>
      <c r="H1648" s="41"/>
      <c r="I1648" s="42"/>
      <c r="J1648" s="42"/>
      <c r="K1648" s="42">
        <v>1</v>
      </c>
      <c r="L1648" s="42"/>
      <c r="M1648" s="43">
        <f t="shared" ref="M1648:M1671" si="1456">SUM(H1648:L1648)</f>
        <v>1</v>
      </c>
      <c r="N1648" s="42"/>
      <c r="O1648" s="53"/>
      <c r="P1648" s="53"/>
      <c r="Q1648" s="53"/>
      <c r="R1648" s="72"/>
      <c r="S1648" s="24">
        <f t="shared" si="1430"/>
        <v>0</v>
      </c>
      <c r="T1648" s="42"/>
      <c r="U1648" s="53"/>
      <c r="V1648" s="53"/>
      <c r="W1648" s="53"/>
      <c r="X1648" s="72"/>
      <c r="Y1648" s="24">
        <f t="shared" si="1447"/>
        <v>0</v>
      </c>
      <c r="Z1648" s="24">
        <f t="shared" si="1454"/>
        <v>1</v>
      </c>
      <c r="AA1648" s="83">
        <v>45394</v>
      </c>
      <c r="AB1648" s="23" t="s">
        <v>659</v>
      </c>
      <c r="AC1648" s="38"/>
      <c r="AD1648" s="39"/>
      <c r="AE1648" s="39"/>
      <c r="AF1648" s="39"/>
      <c r="AG1648" s="39"/>
      <c r="AH1648" s="37">
        <f t="shared" ref="AH1648:AH1659" si="1457">SUM(AC1648:AG1648)</f>
        <v>0</v>
      </c>
      <c r="AI1648" s="38"/>
      <c r="AJ1648" s="39"/>
      <c r="AK1648" s="39"/>
      <c r="AL1648" s="39"/>
      <c r="AM1648" s="39"/>
      <c r="AN1648" s="37">
        <f t="shared" ref="AN1648:AN1659" si="1458">SUM(AI1648:AM1648)</f>
        <v>0</v>
      </c>
      <c r="AO1648" s="39"/>
      <c r="AP1648" s="56"/>
      <c r="AQ1648" s="56">
        <v>1</v>
      </c>
      <c r="AR1648" s="56"/>
      <c r="AS1648" s="71"/>
      <c r="AT1648" s="16">
        <f t="shared" ref="AT1648:AT1659" si="1459">SUM(AO1648:AS1648)</f>
        <v>1</v>
      </c>
      <c r="AU1648" s="39"/>
      <c r="AV1648" s="56"/>
      <c r="AW1648" s="56"/>
      <c r="AX1648" s="56"/>
      <c r="AY1648" s="71"/>
      <c r="AZ1648" s="16">
        <f t="shared" si="1437"/>
        <v>0</v>
      </c>
      <c r="BA1648" s="16">
        <f t="shared" si="1438"/>
        <v>1</v>
      </c>
      <c r="BB1648" s="83">
        <v>45394</v>
      </c>
    </row>
    <row r="1649" spans="1:55" ht="14.25" x14ac:dyDescent="0.15">
      <c r="A1649" s="23" t="s">
        <v>434</v>
      </c>
      <c r="B1649" s="41"/>
      <c r="C1649" s="42">
        <v>1</v>
      </c>
      <c r="D1649" s="42"/>
      <c r="E1649" s="42"/>
      <c r="F1649" s="42"/>
      <c r="G1649" s="43">
        <f t="shared" si="1455"/>
        <v>1</v>
      </c>
      <c r="H1649" s="41"/>
      <c r="I1649" s="42"/>
      <c r="J1649" s="42"/>
      <c r="K1649" s="42"/>
      <c r="L1649" s="42"/>
      <c r="M1649" s="43">
        <f t="shared" si="1456"/>
        <v>0</v>
      </c>
      <c r="N1649" s="42"/>
      <c r="O1649" s="53"/>
      <c r="P1649" s="53"/>
      <c r="Q1649" s="53"/>
      <c r="R1649" s="72"/>
      <c r="S1649" s="24">
        <f t="shared" si="1430"/>
        <v>0</v>
      </c>
      <c r="T1649" s="42"/>
      <c r="U1649" s="53"/>
      <c r="V1649" s="53"/>
      <c r="W1649" s="53"/>
      <c r="X1649" s="72"/>
      <c r="Y1649" s="24">
        <f t="shared" si="1447"/>
        <v>0</v>
      </c>
      <c r="Z1649" s="24">
        <f t="shared" si="1454"/>
        <v>1</v>
      </c>
      <c r="AA1649" s="83">
        <v>45393</v>
      </c>
      <c r="AB1649" s="23" t="s">
        <v>126</v>
      </c>
      <c r="AC1649" s="38"/>
      <c r="AD1649" s="39">
        <v>3</v>
      </c>
      <c r="AE1649" s="39"/>
      <c r="AF1649" s="39"/>
      <c r="AG1649" s="39">
        <v>3</v>
      </c>
      <c r="AH1649" s="37">
        <f t="shared" si="1457"/>
        <v>6</v>
      </c>
      <c r="AI1649" s="38"/>
      <c r="AJ1649" s="39"/>
      <c r="AK1649" s="39"/>
      <c r="AL1649" s="39"/>
      <c r="AM1649" s="39"/>
      <c r="AN1649" s="37">
        <f t="shared" ref="AN1649" si="1460">SUM(AI1649:AM1649)</f>
        <v>0</v>
      </c>
      <c r="AO1649" s="39">
        <v>3</v>
      </c>
      <c r="AP1649" s="56"/>
      <c r="AQ1649" s="56"/>
      <c r="AR1649" s="56">
        <v>3</v>
      </c>
      <c r="AS1649" s="71"/>
      <c r="AT1649" s="16">
        <f t="shared" ref="AT1649" si="1461">SUM(AO1649:AS1649)</f>
        <v>6</v>
      </c>
      <c r="AU1649" s="39"/>
      <c r="AV1649" s="56"/>
      <c r="AW1649" s="56"/>
      <c r="AX1649" s="56"/>
      <c r="AY1649" s="71">
        <v>3</v>
      </c>
      <c r="AZ1649" s="16">
        <f t="shared" ref="AZ1649" si="1462">SUM(AU1649:AY1649)</f>
        <v>3</v>
      </c>
      <c r="BA1649" s="16">
        <f>AH1649+AN1649+AT1649+AZ1649</f>
        <v>15</v>
      </c>
      <c r="BB1649" s="83">
        <v>45402</v>
      </c>
    </row>
    <row r="1650" spans="1:55" ht="14.25" x14ac:dyDescent="0.15">
      <c r="A1650" s="23" t="s">
        <v>434</v>
      </c>
      <c r="B1650" s="41"/>
      <c r="C1650" s="42">
        <v>1</v>
      </c>
      <c r="D1650" s="42"/>
      <c r="E1650" s="42"/>
      <c r="F1650" s="42"/>
      <c r="G1650" s="43">
        <f t="shared" si="1455"/>
        <v>1</v>
      </c>
      <c r="H1650" s="41"/>
      <c r="I1650" s="42"/>
      <c r="J1650" s="42"/>
      <c r="K1650" s="42"/>
      <c r="L1650" s="42"/>
      <c r="M1650" s="43">
        <f t="shared" si="1456"/>
        <v>0</v>
      </c>
      <c r="N1650" s="42">
        <v>1</v>
      </c>
      <c r="O1650" s="53"/>
      <c r="P1650" s="53"/>
      <c r="Q1650" s="53"/>
      <c r="R1650" s="72"/>
      <c r="S1650" s="24">
        <f t="shared" si="1430"/>
        <v>1</v>
      </c>
      <c r="T1650" s="42"/>
      <c r="U1650" s="53"/>
      <c r="V1650" s="53"/>
      <c r="W1650" s="53"/>
      <c r="X1650" s="72"/>
      <c r="Y1650" s="24">
        <f t="shared" si="1447"/>
        <v>0</v>
      </c>
      <c r="Z1650" s="24">
        <f t="shared" si="1454"/>
        <v>2</v>
      </c>
      <c r="AA1650" s="83">
        <v>45394</v>
      </c>
      <c r="AB1650" s="205" t="s">
        <v>660</v>
      </c>
      <c r="AC1650" s="38">
        <v>4</v>
      </c>
      <c r="AD1650" s="39"/>
      <c r="AE1650" s="39"/>
      <c r="AF1650" s="39"/>
      <c r="AG1650" s="39"/>
      <c r="AH1650" s="37">
        <f t="shared" si="1457"/>
        <v>4</v>
      </c>
      <c r="AI1650" s="38"/>
      <c r="AJ1650" s="39"/>
      <c r="AK1650" s="39">
        <v>1</v>
      </c>
      <c r="AL1650" s="39"/>
      <c r="AM1650" s="39"/>
      <c r="AN1650" s="37">
        <f t="shared" si="1458"/>
        <v>1</v>
      </c>
      <c r="AO1650" s="39"/>
      <c r="AP1650" s="56"/>
      <c r="AQ1650" s="56"/>
      <c r="AR1650" s="56"/>
      <c r="AS1650" s="71"/>
      <c r="AT1650" s="16">
        <f t="shared" si="1459"/>
        <v>0</v>
      </c>
      <c r="AU1650" s="39"/>
      <c r="AV1650" s="56"/>
      <c r="AW1650" s="56"/>
      <c r="AX1650" s="56"/>
      <c r="AY1650" s="71"/>
      <c r="AZ1650" s="16">
        <f t="shared" si="1437"/>
        <v>0</v>
      </c>
      <c r="BA1650" s="16">
        <f t="shared" si="1438"/>
        <v>5</v>
      </c>
      <c r="BB1650" s="83">
        <v>45413</v>
      </c>
    </row>
    <row r="1651" spans="1:55" ht="14.25" x14ac:dyDescent="0.15">
      <c r="A1651" s="23" t="s">
        <v>48</v>
      </c>
      <c r="B1651" s="41"/>
      <c r="C1651" s="42"/>
      <c r="D1651" s="42"/>
      <c r="E1651" s="42"/>
      <c r="F1651" s="42"/>
      <c r="G1651" s="43">
        <f t="shared" si="1455"/>
        <v>0</v>
      </c>
      <c r="H1651" s="41"/>
      <c r="I1651" s="42"/>
      <c r="J1651" s="42"/>
      <c r="K1651" s="42"/>
      <c r="L1651" s="42">
        <v>1</v>
      </c>
      <c r="M1651" s="43">
        <f t="shared" si="1456"/>
        <v>1</v>
      </c>
      <c r="N1651" s="42"/>
      <c r="O1651" s="53"/>
      <c r="P1651" s="53"/>
      <c r="Q1651" s="53">
        <v>1</v>
      </c>
      <c r="R1651" s="72"/>
      <c r="S1651" s="24">
        <f t="shared" si="1430"/>
        <v>1</v>
      </c>
      <c r="T1651" s="42"/>
      <c r="U1651" s="53"/>
      <c r="V1651" s="53"/>
      <c r="W1651" s="53"/>
      <c r="X1651" s="72"/>
      <c r="Y1651" s="24">
        <f t="shared" si="1447"/>
        <v>0</v>
      </c>
      <c r="Z1651" s="24">
        <f t="shared" si="1454"/>
        <v>2</v>
      </c>
      <c r="AA1651" s="83">
        <v>45392</v>
      </c>
      <c r="AB1651" s="23" t="s">
        <v>126</v>
      </c>
      <c r="AC1651" s="38">
        <v>2</v>
      </c>
      <c r="AD1651" s="39">
        <v>2</v>
      </c>
      <c r="AE1651" s="39"/>
      <c r="AF1651" s="39"/>
      <c r="AG1651" s="39"/>
      <c r="AH1651" s="37">
        <f t="shared" si="1457"/>
        <v>4</v>
      </c>
      <c r="AI1651" s="38"/>
      <c r="AJ1651" s="39"/>
      <c r="AK1651" s="39"/>
      <c r="AL1651" s="39"/>
      <c r="AM1651" s="39">
        <v>2</v>
      </c>
      <c r="AN1651" s="37">
        <f t="shared" ref="AN1651" si="1463">SUM(AI1651:AM1651)</f>
        <v>2</v>
      </c>
      <c r="AO1651" s="39"/>
      <c r="AP1651" s="56"/>
      <c r="AQ1651" s="56">
        <v>2</v>
      </c>
      <c r="AR1651" s="56"/>
      <c r="AS1651" s="71"/>
      <c r="AT1651" s="16">
        <f t="shared" ref="AT1651" si="1464">SUM(AO1651:AS1651)</f>
        <v>2</v>
      </c>
      <c r="AU1651" s="39"/>
      <c r="AV1651" s="56"/>
      <c r="AW1651" s="56"/>
      <c r="AX1651" s="56"/>
      <c r="AY1651" s="71"/>
      <c r="AZ1651" s="16">
        <f t="shared" ref="AZ1651" si="1465">SUM(AU1651:AY1651)</f>
        <v>0</v>
      </c>
      <c r="BA1651" s="16">
        <f>AH1651+AN1651+AT1651+AZ1651</f>
        <v>8</v>
      </c>
      <c r="BB1651" s="83">
        <v>45412</v>
      </c>
      <c r="BC1651" s="149"/>
    </row>
    <row r="1652" spans="1:55" ht="14.25" x14ac:dyDescent="0.15">
      <c r="A1652" s="23" t="s">
        <v>48</v>
      </c>
      <c r="B1652" s="41"/>
      <c r="C1652" s="42"/>
      <c r="D1652" s="42"/>
      <c r="E1652" s="42"/>
      <c r="F1652" s="42"/>
      <c r="G1652" s="43">
        <f t="shared" si="1455"/>
        <v>0</v>
      </c>
      <c r="H1652" s="41"/>
      <c r="I1652" s="42"/>
      <c r="J1652" s="42"/>
      <c r="K1652" s="42"/>
      <c r="L1652" s="42"/>
      <c r="M1652" s="43">
        <f t="shared" si="1456"/>
        <v>0</v>
      </c>
      <c r="N1652" s="42"/>
      <c r="O1652" s="53"/>
      <c r="P1652" s="53"/>
      <c r="Q1652" s="53"/>
      <c r="R1652" s="72"/>
      <c r="S1652" s="24">
        <f t="shared" si="1430"/>
        <v>0</v>
      </c>
      <c r="T1652" s="42"/>
      <c r="U1652" s="53"/>
      <c r="V1652" s="53"/>
      <c r="W1652" s="53"/>
      <c r="X1652" s="72">
        <v>1</v>
      </c>
      <c r="Y1652" s="24">
        <f t="shared" si="1447"/>
        <v>1</v>
      </c>
      <c r="Z1652" s="24">
        <f t="shared" si="1454"/>
        <v>1</v>
      </c>
      <c r="AA1652" s="83">
        <v>45394</v>
      </c>
      <c r="AB1652" s="205" t="s">
        <v>661</v>
      </c>
      <c r="AC1652" s="38"/>
      <c r="AD1652" s="39"/>
      <c r="AE1652" s="39"/>
      <c r="AF1652" s="39"/>
      <c r="AG1652" s="39"/>
      <c r="AH1652" s="37">
        <f t="shared" si="1457"/>
        <v>0</v>
      </c>
      <c r="AI1652" s="38"/>
      <c r="AJ1652" s="39"/>
      <c r="AK1652" s="39">
        <v>1</v>
      </c>
      <c r="AL1652" s="39"/>
      <c r="AM1652" s="39"/>
      <c r="AN1652" s="37">
        <f t="shared" si="1458"/>
        <v>1</v>
      </c>
      <c r="AO1652" s="39"/>
      <c r="AP1652" s="56"/>
      <c r="AQ1652" s="56"/>
      <c r="AR1652" s="56"/>
      <c r="AS1652" s="71"/>
      <c r="AT1652" s="16">
        <f t="shared" si="1459"/>
        <v>0</v>
      </c>
      <c r="AU1652" s="39"/>
      <c r="AV1652" s="56"/>
      <c r="AW1652" s="56">
        <v>1</v>
      </c>
      <c r="AX1652" s="56"/>
      <c r="AY1652" s="71"/>
      <c r="AZ1652" s="16">
        <f t="shared" si="1437"/>
        <v>1</v>
      </c>
      <c r="BA1652" s="16">
        <f t="shared" si="1438"/>
        <v>2</v>
      </c>
      <c r="BB1652" s="83">
        <v>45420</v>
      </c>
    </row>
    <row r="1653" spans="1:55" ht="14.25" x14ac:dyDescent="0.15">
      <c r="A1653" s="23" t="s">
        <v>434</v>
      </c>
      <c r="B1653" s="41"/>
      <c r="C1653" s="42">
        <v>1</v>
      </c>
      <c r="D1653" s="42"/>
      <c r="E1653" s="42">
        <v>1</v>
      </c>
      <c r="F1653" s="42"/>
      <c r="G1653" s="43">
        <f t="shared" si="1455"/>
        <v>2</v>
      </c>
      <c r="H1653" s="41"/>
      <c r="I1653" s="42"/>
      <c r="J1653" s="42"/>
      <c r="K1653" s="42"/>
      <c r="L1653" s="42"/>
      <c r="M1653" s="43">
        <f t="shared" si="1456"/>
        <v>0</v>
      </c>
      <c r="N1653" s="42"/>
      <c r="O1653" s="53"/>
      <c r="P1653" s="53"/>
      <c r="Q1653" s="53"/>
      <c r="R1653" s="72"/>
      <c r="S1653" s="24">
        <f t="shared" si="1430"/>
        <v>0</v>
      </c>
      <c r="T1653" s="42"/>
      <c r="U1653" s="53"/>
      <c r="V1653" s="53"/>
      <c r="W1653" s="53"/>
      <c r="X1653" s="72">
        <v>1</v>
      </c>
      <c r="Y1653" s="24">
        <f t="shared" si="1447"/>
        <v>1</v>
      </c>
      <c r="Z1653" s="24">
        <f t="shared" si="1454"/>
        <v>3</v>
      </c>
      <c r="AA1653" s="83">
        <v>45399</v>
      </c>
      <c r="AB1653" s="23"/>
      <c r="AC1653" s="38"/>
      <c r="AD1653" s="39"/>
      <c r="AE1653" s="39"/>
      <c r="AF1653" s="39"/>
      <c r="AG1653" s="39"/>
      <c r="AH1653" s="37">
        <f t="shared" si="1457"/>
        <v>0</v>
      </c>
      <c r="AI1653" s="38"/>
      <c r="AJ1653" s="39"/>
      <c r="AK1653" s="39"/>
      <c r="AL1653" s="39"/>
      <c r="AM1653" s="39"/>
      <c r="AN1653" s="37">
        <f t="shared" si="1458"/>
        <v>0</v>
      </c>
      <c r="AO1653" s="39"/>
      <c r="AP1653" s="56"/>
      <c r="AQ1653" s="56"/>
      <c r="AR1653" s="56"/>
      <c r="AS1653" s="71"/>
      <c r="AT1653" s="16">
        <f t="shared" si="1459"/>
        <v>0</v>
      </c>
      <c r="AU1653" s="39"/>
      <c r="AV1653" s="56"/>
      <c r="AW1653" s="56"/>
      <c r="AX1653" s="56"/>
      <c r="AY1653" s="71"/>
      <c r="AZ1653" s="16">
        <f t="shared" si="1437"/>
        <v>0</v>
      </c>
      <c r="BA1653" s="16">
        <f t="shared" si="1438"/>
        <v>0</v>
      </c>
    </row>
    <row r="1654" spans="1:55" ht="14.25" x14ac:dyDescent="0.15">
      <c r="A1654" s="23" t="s">
        <v>48</v>
      </c>
      <c r="B1654" s="41">
        <v>1</v>
      </c>
      <c r="C1654" s="42"/>
      <c r="D1654" s="42"/>
      <c r="E1654" s="42"/>
      <c r="F1654" s="42"/>
      <c r="G1654" s="43">
        <f t="shared" si="1455"/>
        <v>1</v>
      </c>
      <c r="H1654" s="41"/>
      <c r="I1654" s="42"/>
      <c r="J1654" s="42"/>
      <c r="K1654" s="42"/>
      <c r="L1654" s="42"/>
      <c r="M1654" s="43">
        <f t="shared" si="1456"/>
        <v>0</v>
      </c>
      <c r="N1654" s="42"/>
      <c r="O1654" s="53"/>
      <c r="P1654" s="53"/>
      <c r="Q1654" s="53"/>
      <c r="R1654" s="72"/>
      <c r="S1654" s="24">
        <f t="shared" si="1430"/>
        <v>0</v>
      </c>
      <c r="T1654" s="42"/>
      <c r="U1654" s="53"/>
      <c r="V1654" s="53"/>
      <c r="W1654" s="53"/>
      <c r="X1654" s="72"/>
      <c r="Y1654" s="24">
        <f t="shared" si="1447"/>
        <v>0</v>
      </c>
      <c r="Z1654" s="24">
        <f t="shared" si="1454"/>
        <v>1</v>
      </c>
      <c r="AA1654" s="83">
        <v>45397</v>
      </c>
      <c r="AB1654" s="23"/>
      <c r="AC1654" s="38"/>
      <c r="AD1654" s="39"/>
      <c r="AE1654" s="39"/>
      <c r="AF1654" s="39"/>
      <c r="AG1654" s="39"/>
      <c r="AH1654" s="37">
        <f t="shared" si="1457"/>
        <v>0</v>
      </c>
      <c r="AI1654" s="38"/>
      <c r="AJ1654" s="39"/>
      <c r="AK1654" s="39"/>
      <c r="AL1654" s="39"/>
      <c r="AM1654" s="39"/>
      <c r="AN1654" s="37">
        <f t="shared" si="1458"/>
        <v>0</v>
      </c>
      <c r="AO1654" s="39"/>
      <c r="AP1654" s="56"/>
      <c r="AQ1654" s="56"/>
      <c r="AR1654" s="56"/>
      <c r="AS1654" s="71"/>
      <c r="AT1654" s="16">
        <f t="shared" si="1459"/>
        <v>0</v>
      </c>
      <c r="AU1654" s="39"/>
      <c r="AV1654" s="56"/>
      <c r="AW1654" s="56"/>
      <c r="AX1654" s="56"/>
      <c r="AY1654" s="71"/>
      <c r="AZ1654" s="16">
        <f t="shared" si="1437"/>
        <v>0</v>
      </c>
      <c r="BA1654" s="16">
        <f t="shared" si="1438"/>
        <v>0</v>
      </c>
    </row>
    <row r="1655" spans="1:55" ht="14.25" x14ac:dyDescent="0.15">
      <c r="A1655" s="23" t="s">
        <v>434</v>
      </c>
      <c r="B1655" s="41"/>
      <c r="C1655" s="42"/>
      <c r="D1655" s="42"/>
      <c r="E1655" s="42"/>
      <c r="F1655" s="42">
        <v>2</v>
      </c>
      <c r="G1655" s="43">
        <f t="shared" si="1455"/>
        <v>2</v>
      </c>
      <c r="H1655" s="41"/>
      <c r="I1655" s="42"/>
      <c r="J1655" s="42"/>
      <c r="K1655" s="42"/>
      <c r="L1655" s="42"/>
      <c r="M1655" s="43">
        <f t="shared" si="1456"/>
        <v>0</v>
      </c>
      <c r="N1655" s="42"/>
      <c r="O1655" s="53"/>
      <c r="P1655" s="53"/>
      <c r="Q1655" s="53"/>
      <c r="R1655" s="72"/>
      <c r="S1655" s="24">
        <f t="shared" si="1430"/>
        <v>0</v>
      </c>
      <c r="T1655" s="42"/>
      <c r="U1655" s="53"/>
      <c r="V1655" s="53"/>
      <c r="W1655" s="53">
        <v>1</v>
      </c>
      <c r="X1655" s="72"/>
      <c r="Y1655" s="24">
        <f t="shared" si="1447"/>
        <v>1</v>
      </c>
      <c r="Z1655" s="24">
        <f t="shared" si="1454"/>
        <v>3</v>
      </c>
      <c r="AA1655" s="83">
        <v>45400</v>
      </c>
      <c r="AB1655" s="23"/>
      <c r="AC1655" s="38"/>
      <c r="AD1655" s="39"/>
      <c r="AE1655" s="39"/>
      <c r="AF1655" s="39"/>
      <c r="AG1655" s="39"/>
      <c r="AH1655" s="37">
        <f t="shared" si="1457"/>
        <v>0</v>
      </c>
      <c r="AI1655" s="38"/>
      <c r="AJ1655" s="39"/>
      <c r="AK1655" s="39"/>
      <c r="AL1655" s="39"/>
      <c r="AM1655" s="39"/>
      <c r="AN1655" s="37">
        <f t="shared" si="1458"/>
        <v>0</v>
      </c>
      <c r="AO1655" s="39"/>
      <c r="AP1655" s="56"/>
      <c r="AQ1655" s="56"/>
      <c r="AR1655" s="56"/>
      <c r="AS1655" s="71"/>
      <c r="AT1655" s="16">
        <f t="shared" si="1459"/>
        <v>0</v>
      </c>
      <c r="AU1655" s="39"/>
      <c r="AV1655" s="56"/>
      <c r="AW1655" s="56"/>
      <c r="AX1655" s="56"/>
      <c r="AY1655" s="71"/>
      <c r="AZ1655" s="16">
        <f t="shared" si="1437"/>
        <v>0</v>
      </c>
      <c r="BA1655" s="16">
        <f t="shared" si="1438"/>
        <v>0</v>
      </c>
    </row>
    <row r="1656" spans="1:55" ht="14.25" x14ac:dyDescent="0.15">
      <c r="A1656" s="23" t="s">
        <v>48</v>
      </c>
      <c r="B1656" s="41"/>
      <c r="C1656" s="42"/>
      <c r="D1656" s="42"/>
      <c r="E1656" s="42"/>
      <c r="F1656" s="42"/>
      <c r="G1656" s="43">
        <f t="shared" si="1455"/>
        <v>0</v>
      </c>
      <c r="H1656" s="41"/>
      <c r="I1656" s="42"/>
      <c r="J1656" s="42"/>
      <c r="K1656" s="42">
        <v>1</v>
      </c>
      <c r="L1656" s="42"/>
      <c r="M1656" s="43">
        <f t="shared" si="1456"/>
        <v>1</v>
      </c>
      <c r="N1656" s="42"/>
      <c r="O1656" s="53"/>
      <c r="P1656" s="53"/>
      <c r="Q1656" s="53"/>
      <c r="R1656" s="72"/>
      <c r="S1656" s="24">
        <f t="shared" si="1430"/>
        <v>0</v>
      </c>
      <c r="T1656" s="42"/>
      <c r="U1656" s="53"/>
      <c r="V1656" s="53"/>
      <c r="W1656" s="53"/>
      <c r="X1656" s="72"/>
      <c r="Y1656" s="24">
        <f t="shared" si="1447"/>
        <v>0</v>
      </c>
      <c r="Z1656" s="24">
        <f t="shared" si="1454"/>
        <v>1</v>
      </c>
      <c r="AA1656" s="83">
        <v>45398</v>
      </c>
      <c r="AB1656" s="23"/>
      <c r="AC1656" s="38"/>
      <c r="AD1656" s="39"/>
      <c r="AE1656" s="39"/>
      <c r="AF1656" s="39"/>
      <c r="AG1656" s="39"/>
      <c r="AH1656" s="37">
        <f t="shared" si="1457"/>
        <v>0</v>
      </c>
      <c r="AI1656" s="38"/>
      <c r="AJ1656" s="39"/>
      <c r="AK1656" s="39"/>
      <c r="AL1656" s="39"/>
      <c r="AM1656" s="39"/>
      <c r="AN1656" s="37">
        <f t="shared" si="1458"/>
        <v>0</v>
      </c>
      <c r="AO1656" s="39"/>
      <c r="AP1656" s="56"/>
      <c r="AQ1656" s="56"/>
      <c r="AR1656" s="56"/>
      <c r="AS1656" s="71"/>
      <c r="AT1656" s="16">
        <f t="shared" si="1459"/>
        <v>0</v>
      </c>
      <c r="AU1656" s="39"/>
      <c r="AV1656" s="56"/>
      <c r="AW1656" s="56"/>
      <c r="AX1656" s="56"/>
      <c r="AY1656" s="71"/>
      <c r="AZ1656" s="16">
        <f t="shared" si="1437"/>
        <v>0</v>
      </c>
      <c r="BA1656" s="16">
        <f t="shared" si="1438"/>
        <v>0</v>
      </c>
    </row>
    <row r="1657" spans="1:55" ht="14.25" x14ac:dyDescent="0.15">
      <c r="A1657" s="23" t="s">
        <v>136</v>
      </c>
      <c r="B1657" s="41"/>
      <c r="C1657" s="42"/>
      <c r="D1657" s="42"/>
      <c r="E1657" s="42"/>
      <c r="F1657" s="42"/>
      <c r="G1657" s="43">
        <f t="shared" si="1455"/>
        <v>0</v>
      </c>
      <c r="H1657" s="41"/>
      <c r="I1657" s="42"/>
      <c r="J1657" s="42"/>
      <c r="K1657" s="42"/>
      <c r="L1657" s="42">
        <v>-1</v>
      </c>
      <c r="M1657" s="43">
        <f t="shared" si="1456"/>
        <v>-1</v>
      </c>
      <c r="N1657" s="42"/>
      <c r="O1657" s="53"/>
      <c r="P1657" s="53"/>
      <c r="Q1657" s="53"/>
      <c r="R1657" s="72"/>
      <c r="S1657" s="24">
        <f t="shared" si="1430"/>
        <v>0</v>
      </c>
      <c r="T1657" s="42"/>
      <c r="U1657" s="53"/>
      <c r="V1657" s="53"/>
      <c r="W1657" s="53"/>
      <c r="X1657" s="72"/>
      <c r="Y1657" s="24">
        <f t="shared" si="1447"/>
        <v>0</v>
      </c>
      <c r="Z1657" s="24">
        <f t="shared" si="1454"/>
        <v>-1</v>
      </c>
      <c r="AA1657" s="83">
        <v>45397</v>
      </c>
      <c r="AB1657" s="23"/>
      <c r="AC1657" s="38"/>
      <c r="AD1657" s="39"/>
      <c r="AE1657" s="39"/>
      <c r="AF1657" s="39"/>
      <c r="AG1657" s="39"/>
      <c r="AH1657" s="37">
        <f t="shared" si="1457"/>
        <v>0</v>
      </c>
      <c r="AI1657" s="38"/>
      <c r="AJ1657" s="39"/>
      <c r="AK1657" s="39"/>
      <c r="AL1657" s="39"/>
      <c r="AM1657" s="39"/>
      <c r="AN1657" s="37">
        <f t="shared" si="1458"/>
        <v>0</v>
      </c>
      <c r="AO1657" s="39"/>
      <c r="AP1657" s="56"/>
      <c r="AQ1657" s="56"/>
      <c r="AR1657" s="56"/>
      <c r="AS1657" s="71"/>
      <c r="AT1657" s="16">
        <f t="shared" si="1459"/>
        <v>0</v>
      </c>
      <c r="AU1657" s="39"/>
      <c r="AV1657" s="56"/>
      <c r="AW1657" s="56"/>
      <c r="AX1657" s="56"/>
      <c r="AY1657" s="71"/>
      <c r="AZ1657" s="16">
        <f t="shared" si="1437"/>
        <v>0</v>
      </c>
      <c r="BA1657" s="16">
        <f t="shared" si="1438"/>
        <v>0</v>
      </c>
    </row>
    <row r="1658" spans="1:55" ht="14.25" x14ac:dyDescent="0.15">
      <c r="A1658" s="23" t="s">
        <v>48</v>
      </c>
      <c r="B1658" s="41"/>
      <c r="C1658" s="42"/>
      <c r="D1658" s="42"/>
      <c r="E1658" s="42"/>
      <c r="F1658" s="42"/>
      <c r="G1658" s="43">
        <f t="shared" si="1455"/>
        <v>0</v>
      </c>
      <c r="H1658" s="41"/>
      <c r="I1658" s="42">
        <v>1</v>
      </c>
      <c r="J1658" s="42"/>
      <c r="K1658" s="42"/>
      <c r="L1658" s="42"/>
      <c r="M1658" s="43">
        <f t="shared" si="1456"/>
        <v>1</v>
      </c>
      <c r="N1658" s="42"/>
      <c r="O1658" s="53"/>
      <c r="P1658" s="53"/>
      <c r="Q1658" s="53"/>
      <c r="R1658" s="72"/>
      <c r="S1658" s="24">
        <f t="shared" si="1430"/>
        <v>0</v>
      </c>
      <c r="T1658" s="42"/>
      <c r="U1658" s="53"/>
      <c r="V1658" s="53"/>
      <c r="W1658" s="53"/>
      <c r="X1658" s="72"/>
      <c r="Y1658" s="24">
        <f t="shared" si="1447"/>
        <v>0</v>
      </c>
      <c r="Z1658" s="24">
        <f t="shared" si="1454"/>
        <v>1</v>
      </c>
      <c r="AA1658" s="83">
        <v>45399</v>
      </c>
      <c r="AB1658" s="23"/>
      <c r="AC1658" s="38"/>
      <c r="AD1658" s="39"/>
      <c r="AE1658" s="39"/>
      <c r="AF1658" s="39"/>
      <c r="AG1658" s="39"/>
      <c r="AH1658" s="37">
        <f t="shared" si="1457"/>
        <v>0</v>
      </c>
      <c r="AI1658" s="38"/>
      <c r="AJ1658" s="39"/>
      <c r="AK1658" s="39"/>
      <c r="AL1658" s="39"/>
      <c r="AM1658" s="39"/>
      <c r="AN1658" s="37">
        <f t="shared" si="1458"/>
        <v>0</v>
      </c>
      <c r="AO1658" s="39"/>
      <c r="AP1658" s="56"/>
      <c r="AQ1658" s="56"/>
      <c r="AR1658" s="56"/>
      <c r="AS1658" s="71"/>
      <c r="AT1658" s="16">
        <f t="shared" si="1459"/>
        <v>0</v>
      </c>
      <c r="AU1658" s="39"/>
      <c r="AV1658" s="56"/>
      <c r="AW1658" s="56"/>
      <c r="AX1658" s="56"/>
      <c r="AY1658" s="71"/>
      <c r="AZ1658" s="16">
        <f t="shared" si="1437"/>
        <v>0</v>
      </c>
      <c r="BA1658" s="16">
        <f t="shared" si="1438"/>
        <v>0</v>
      </c>
    </row>
    <row r="1659" spans="1:55" ht="14.25" x14ac:dyDescent="0.15">
      <c r="A1659" s="23" t="s">
        <v>434</v>
      </c>
      <c r="B1659" s="41"/>
      <c r="C1659" s="42">
        <v>2</v>
      </c>
      <c r="D1659" s="42"/>
      <c r="E1659" s="42"/>
      <c r="F1659" s="42"/>
      <c r="G1659" s="43">
        <f t="shared" si="1455"/>
        <v>2</v>
      </c>
      <c r="H1659" s="41"/>
      <c r="I1659" s="42"/>
      <c r="J1659" s="42"/>
      <c r="K1659" s="42"/>
      <c r="L1659" s="42"/>
      <c r="M1659" s="43">
        <f t="shared" si="1456"/>
        <v>0</v>
      </c>
      <c r="N1659" s="42"/>
      <c r="O1659" s="53"/>
      <c r="P1659" s="53"/>
      <c r="Q1659" s="53"/>
      <c r="R1659" s="72"/>
      <c r="S1659" s="24">
        <f t="shared" si="1430"/>
        <v>0</v>
      </c>
      <c r="T1659" s="42"/>
      <c r="U1659" s="53"/>
      <c r="V1659" s="53"/>
      <c r="W1659" s="53"/>
      <c r="X1659" s="72"/>
      <c r="Y1659" s="24">
        <f t="shared" si="1447"/>
        <v>0</v>
      </c>
      <c r="Z1659" s="24">
        <f t="shared" si="1454"/>
        <v>2</v>
      </c>
      <c r="AA1659" s="83">
        <v>45404</v>
      </c>
      <c r="AB1659" s="23"/>
      <c r="AC1659" s="38"/>
      <c r="AD1659" s="39"/>
      <c r="AE1659" s="39"/>
      <c r="AF1659" s="39"/>
      <c r="AG1659" s="39"/>
      <c r="AH1659" s="37">
        <f t="shared" si="1457"/>
        <v>0</v>
      </c>
      <c r="AI1659" s="38"/>
      <c r="AJ1659" s="39"/>
      <c r="AK1659" s="39"/>
      <c r="AL1659" s="39"/>
      <c r="AM1659" s="39"/>
      <c r="AN1659" s="37">
        <f t="shared" si="1458"/>
        <v>0</v>
      </c>
      <c r="AO1659" s="39"/>
      <c r="AP1659" s="56"/>
      <c r="AQ1659" s="56"/>
      <c r="AR1659" s="56"/>
      <c r="AS1659" s="71"/>
      <c r="AT1659" s="16">
        <f t="shared" si="1459"/>
        <v>0</v>
      </c>
      <c r="AU1659" s="39"/>
      <c r="AV1659" s="56"/>
      <c r="AW1659" s="56"/>
      <c r="AX1659" s="56"/>
      <c r="AY1659" s="71"/>
      <c r="AZ1659" s="16">
        <f t="shared" si="1437"/>
        <v>0</v>
      </c>
      <c r="BA1659" s="16">
        <f t="shared" si="1438"/>
        <v>0</v>
      </c>
    </row>
    <row r="1660" spans="1:55" ht="14.25" x14ac:dyDescent="0.15">
      <c r="A1660" s="23" t="s">
        <v>434</v>
      </c>
      <c r="B1660" s="41"/>
      <c r="C1660" s="42"/>
      <c r="D1660" s="42">
        <v>1</v>
      </c>
      <c r="E1660" s="42"/>
      <c r="F1660" s="42"/>
      <c r="G1660" s="43">
        <f t="shared" si="1455"/>
        <v>1</v>
      </c>
      <c r="H1660" s="41"/>
      <c r="I1660" s="42"/>
      <c r="J1660" s="42"/>
      <c r="K1660" s="42"/>
      <c r="L1660" s="42"/>
      <c r="M1660" s="43">
        <f t="shared" si="1456"/>
        <v>0</v>
      </c>
      <c r="N1660" s="42"/>
      <c r="O1660" s="53"/>
      <c r="P1660" s="53"/>
      <c r="Q1660" s="53"/>
      <c r="R1660" s="72"/>
      <c r="S1660" s="24">
        <f t="shared" si="1430"/>
        <v>0</v>
      </c>
      <c r="T1660" s="42"/>
      <c r="U1660" s="53"/>
      <c r="V1660" s="53"/>
      <c r="W1660" s="53"/>
      <c r="X1660" s="72"/>
      <c r="Y1660" s="24">
        <f t="shared" si="1447"/>
        <v>0</v>
      </c>
      <c r="Z1660" s="24">
        <f t="shared" si="1454"/>
        <v>1</v>
      </c>
      <c r="AA1660" s="83">
        <v>45406</v>
      </c>
      <c r="AB1660" s="23"/>
      <c r="AC1660" s="38"/>
      <c r="AD1660" s="39"/>
      <c r="AE1660" s="39"/>
      <c r="AF1660" s="39"/>
      <c r="AG1660" s="39"/>
      <c r="AH1660" s="37">
        <f t="shared" ref="AH1660:AH1664" si="1466">SUM(AC1660:AG1660)</f>
        <v>0</v>
      </c>
      <c r="AI1660" s="38"/>
      <c r="AJ1660" s="39"/>
      <c r="AK1660" s="39"/>
      <c r="AL1660" s="39"/>
      <c r="AM1660" s="39"/>
      <c r="AN1660" s="37">
        <f t="shared" ref="AN1660:AN1664" si="1467">SUM(AI1660:AM1660)</f>
        <v>0</v>
      </c>
      <c r="AO1660" s="39"/>
      <c r="AP1660" s="56"/>
      <c r="AQ1660" s="56"/>
      <c r="AR1660" s="56"/>
      <c r="AS1660" s="71"/>
      <c r="AT1660" s="16">
        <f t="shared" ref="AT1660:AT1664" si="1468">SUM(AO1660:AS1660)</f>
        <v>0</v>
      </c>
      <c r="AU1660" s="39"/>
      <c r="AV1660" s="56"/>
      <c r="AW1660" s="56"/>
      <c r="AX1660" s="56"/>
      <c r="AY1660" s="71"/>
      <c r="AZ1660" s="16">
        <f t="shared" ref="AZ1660:AZ1664" si="1469">SUM(AU1660:AY1660)</f>
        <v>0</v>
      </c>
      <c r="BA1660" s="16">
        <f t="shared" ref="BA1660:BA1664" si="1470">AH1660+AN1660+AT1660+AZ1660</f>
        <v>0</v>
      </c>
    </row>
    <row r="1661" spans="1:55" ht="14.25" x14ac:dyDescent="0.15">
      <c r="A1661" s="23" t="s">
        <v>48</v>
      </c>
      <c r="B1661" s="41"/>
      <c r="C1661" s="42"/>
      <c r="D1661" s="42"/>
      <c r="E1661" s="42"/>
      <c r="F1661" s="42"/>
      <c r="G1661" s="43">
        <f t="shared" si="1455"/>
        <v>0</v>
      </c>
      <c r="H1661" s="41"/>
      <c r="I1661" s="42"/>
      <c r="J1661" s="42"/>
      <c r="K1661" s="42"/>
      <c r="L1661" s="42">
        <v>1</v>
      </c>
      <c r="M1661" s="43">
        <f t="shared" si="1456"/>
        <v>1</v>
      </c>
      <c r="N1661" s="42"/>
      <c r="O1661" s="53"/>
      <c r="P1661" s="53"/>
      <c r="Q1661" s="53"/>
      <c r="R1661" s="72"/>
      <c r="S1661" s="24">
        <f t="shared" si="1430"/>
        <v>0</v>
      </c>
      <c r="T1661" s="42"/>
      <c r="U1661" s="53"/>
      <c r="V1661" s="53"/>
      <c r="W1661" s="53"/>
      <c r="X1661" s="72"/>
      <c r="Y1661" s="24">
        <f t="shared" si="1447"/>
        <v>0</v>
      </c>
      <c r="Z1661" s="24">
        <f t="shared" si="1454"/>
        <v>1</v>
      </c>
      <c r="AA1661" s="83">
        <v>45405</v>
      </c>
      <c r="AB1661" s="23"/>
      <c r="AC1661" s="38"/>
      <c r="AD1661" s="39"/>
      <c r="AE1661" s="39"/>
      <c r="AF1661" s="39"/>
      <c r="AG1661" s="39"/>
      <c r="AH1661" s="37">
        <f t="shared" si="1466"/>
        <v>0</v>
      </c>
      <c r="AI1661" s="38"/>
      <c r="AJ1661" s="39"/>
      <c r="AK1661" s="39"/>
      <c r="AL1661" s="39"/>
      <c r="AM1661" s="39"/>
      <c r="AN1661" s="37">
        <f t="shared" si="1467"/>
        <v>0</v>
      </c>
      <c r="AO1661" s="39"/>
      <c r="AP1661" s="56"/>
      <c r="AQ1661" s="56"/>
      <c r="AR1661" s="56"/>
      <c r="AS1661" s="71"/>
      <c r="AT1661" s="16">
        <f t="shared" si="1468"/>
        <v>0</v>
      </c>
      <c r="AU1661" s="39"/>
      <c r="AV1661" s="56"/>
      <c r="AW1661" s="56"/>
      <c r="AX1661" s="56"/>
      <c r="AY1661" s="71"/>
      <c r="AZ1661" s="16">
        <f t="shared" si="1469"/>
        <v>0</v>
      </c>
      <c r="BA1661" s="16">
        <f t="shared" si="1470"/>
        <v>0</v>
      </c>
    </row>
    <row r="1662" spans="1:55" ht="14.25" x14ac:dyDescent="0.15">
      <c r="A1662" s="23" t="s">
        <v>434</v>
      </c>
      <c r="B1662" s="41"/>
      <c r="C1662" s="42"/>
      <c r="D1662" s="42"/>
      <c r="E1662" s="42"/>
      <c r="F1662" s="42">
        <v>1</v>
      </c>
      <c r="G1662" s="43">
        <f t="shared" si="1455"/>
        <v>1</v>
      </c>
      <c r="H1662" s="41"/>
      <c r="I1662" s="42"/>
      <c r="J1662" s="42"/>
      <c r="K1662" s="42"/>
      <c r="L1662" s="42"/>
      <c r="M1662" s="43">
        <f t="shared" si="1456"/>
        <v>0</v>
      </c>
      <c r="N1662" s="42"/>
      <c r="O1662" s="53"/>
      <c r="P1662" s="53">
        <v>1</v>
      </c>
      <c r="Q1662" s="53"/>
      <c r="R1662" s="72"/>
      <c r="S1662" s="24">
        <f t="shared" si="1430"/>
        <v>1</v>
      </c>
      <c r="T1662" s="42"/>
      <c r="U1662" s="53"/>
      <c r="V1662" s="53"/>
      <c r="W1662" s="53"/>
      <c r="X1662" s="72"/>
      <c r="Y1662" s="24">
        <f t="shared" si="1447"/>
        <v>0</v>
      </c>
      <c r="Z1662" s="24">
        <f t="shared" si="1454"/>
        <v>2</v>
      </c>
      <c r="AA1662" s="83">
        <v>45407</v>
      </c>
      <c r="AB1662" s="23"/>
      <c r="AC1662" s="38"/>
      <c r="AD1662" s="39"/>
      <c r="AE1662" s="39"/>
      <c r="AF1662" s="39"/>
      <c r="AG1662" s="39"/>
      <c r="AH1662" s="37">
        <f t="shared" si="1466"/>
        <v>0</v>
      </c>
      <c r="AI1662" s="38"/>
      <c r="AJ1662" s="39"/>
      <c r="AK1662" s="39"/>
      <c r="AL1662" s="39"/>
      <c r="AM1662" s="39"/>
      <c r="AN1662" s="37">
        <f t="shared" si="1467"/>
        <v>0</v>
      </c>
      <c r="AO1662" s="39"/>
      <c r="AP1662" s="56"/>
      <c r="AQ1662" s="56"/>
      <c r="AR1662" s="56"/>
      <c r="AS1662" s="71"/>
      <c r="AT1662" s="16">
        <f t="shared" si="1468"/>
        <v>0</v>
      </c>
      <c r="AU1662" s="39"/>
      <c r="AV1662" s="56"/>
      <c r="AW1662" s="56"/>
      <c r="AX1662" s="56"/>
      <c r="AY1662" s="71"/>
      <c r="AZ1662" s="16">
        <f t="shared" si="1469"/>
        <v>0</v>
      </c>
      <c r="BA1662" s="16">
        <f t="shared" si="1470"/>
        <v>0</v>
      </c>
    </row>
    <row r="1663" spans="1:55" ht="14.25" x14ac:dyDescent="0.15">
      <c r="A1663" s="23" t="s">
        <v>48</v>
      </c>
      <c r="B1663" s="41"/>
      <c r="C1663" s="42"/>
      <c r="D1663" s="42"/>
      <c r="E1663" s="42"/>
      <c r="F1663" s="42"/>
      <c r="G1663" s="43">
        <f t="shared" si="1455"/>
        <v>0</v>
      </c>
      <c r="H1663" s="41"/>
      <c r="I1663" s="42"/>
      <c r="J1663" s="42"/>
      <c r="K1663" s="42"/>
      <c r="L1663" s="42">
        <v>1</v>
      </c>
      <c r="M1663" s="43">
        <f t="shared" si="1456"/>
        <v>1</v>
      </c>
      <c r="N1663" s="42"/>
      <c r="O1663" s="53"/>
      <c r="P1663" s="53"/>
      <c r="Q1663" s="53"/>
      <c r="R1663" s="72"/>
      <c r="S1663" s="24">
        <f t="shared" si="1430"/>
        <v>0</v>
      </c>
      <c r="T1663" s="42"/>
      <c r="U1663" s="53"/>
      <c r="V1663" s="53"/>
      <c r="W1663" s="53"/>
      <c r="X1663" s="72"/>
      <c r="Y1663" s="24">
        <f t="shared" si="1447"/>
        <v>0</v>
      </c>
      <c r="Z1663" s="24">
        <f t="shared" si="1454"/>
        <v>1</v>
      </c>
      <c r="AA1663" s="83">
        <v>45406</v>
      </c>
      <c r="AB1663" s="23"/>
      <c r="AC1663" s="38"/>
      <c r="AD1663" s="39"/>
      <c r="AE1663" s="39"/>
      <c r="AF1663" s="39"/>
      <c r="AG1663" s="39"/>
      <c r="AH1663" s="37">
        <f t="shared" si="1466"/>
        <v>0</v>
      </c>
      <c r="AI1663" s="38"/>
      <c r="AJ1663" s="39"/>
      <c r="AK1663" s="39"/>
      <c r="AL1663" s="39"/>
      <c r="AM1663" s="39"/>
      <c r="AN1663" s="37">
        <f t="shared" si="1467"/>
        <v>0</v>
      </c>
      <c r="AO1663" s="39"/>
      <c r="AP1663" s="56"/>
      <c r="AQ1663" s="56"/>
      <c r="AR1663" s="56"/>
      <c r="AS1663" s="71"/>
      <c r="AT1663" s="16">
        <f t="shared" si="1468"/>
        <v>0</v>
      </c>
      <c r="AU1663" s="39"/>
      <c r="AV1663" s="56"/>
      <c r="AW1663" s="56"/>
      <c r="AX1663" s="56"/>
      <c r="AY1663" s="71"/>
      <c r="AZ1663" s="16">
        <f t="shared" si="1469"/>
        <v>0</v>
      </c>
      <c r="BA1663" s="16">
        <f t="shared" si="1470"/>
        <v>0</v>
      </c>
    </row>
    <row r="1664" spans="1:55" ht="14.25" x14ac:dyDescent="0.15">
      <c r="A1664" s="23" t="s">
        <v>434</v>
      </c>
      <c r="B1664" s="41">
        <v>1</v>
      </c>
      <c r="C1664" s="42"/>
      <c r="D1664" s="42"/>
      <c r="E1664" s="42"/>
      <c r="F1664" s="42"/>
      <c r="G1664" s="43">
        <f t="shared" si="1455"/>
        <v>1</v>
      </c>
      <c r="H1664" s="41"/>
      <c r="I1664" s="42"/>
      <c r="J1664" s="42"/>
      <c r="K1664" s="42"/>
      <c r="L1664" s="42"/>
      <c r="M1664" s="43">
        <f t="shared" si="1456"/>
        <v>0</v>
      </c>
      <c r="N1664" s="42"/>
      <c r="O1664" s="53"/>
      <c r="P1664" s="53"/>
      <c r="Q1664" s="53"/>
      <c r="R1664" s="72"/>
      <c r="S1664" s="24">
        <f t="shared" si="1430"/>
        <v>0</v>
      </c>
      <c r="T1664" s="42"/>
      <c r="U1664" s="53"/>
      <c r="V1664" s="53"/>
      <c r="W1664" s="53"/>
      <c r="X1664" s="72"/>
      <c r="Y1664" s="24">
        <f t="shared" si="1447"/>
        <v>0</v>
      </c>
      <c r="Z1664" s="24">
        <f t="shared" si="1454"/>
        <v>1</v>
      </c>
      <c r="AA1664" s="83">
        <v>45408</v>
      </c>
      <c r="AB1664" s="23"/>
      <c r="AC1664" s="38"/>
      <c r="AD1664" s="39"/>
      <c r="AE1664" s="39"/>
      <c r="AF1664" s="39"/>
      <c r="AG1664" s="39"/>
      <c r="AH1664" s="37">
        <f t="shared" si="1466"/>
        <v>0</v>
      </c>
      <c r="AI1664" s="38"/>
      <c r="AJ1664" s="39"/>
      <c r="AK1664" s="39"/>
      <c r="AL1664" s="39"/>
      <c r="AM1664" s="39"/>
      <c r="AN1664" s="37">
        <f t="shared" si="1467"/>
        <v>0</v>
      </c>
      <c r="AO1664" s="39"/>
      <c r="AP1664" s="56"/>
      <c r="AQ1664" s="56"/>
      <c r="AR1664" s="56"/>
      <c r="AS1664" s="71"/>
      <c r="AT1664" s="16">
        <f t="shared" si="1468"/>
        <v>0</v>
      </c>
      <c r="AU1664" s="39"/>
      <c r="AV1664" s="56"/>
      <c r="AW1664" s="56"/>
      <c r="AX1664" s="56"/>
      <c r="AY1664" s="71"/>
      <c r="AZ1664" s="16">
        <f t="shared" si="1469"/>
        <v>0</v>
      </c>
      <c r="BA1664" s="16">
        <f t="shared" si="1470"/>
        <v>0</v>
      </c>
    </row>
    <row r="1665" spans="1:54" ht="14.25" x14ac:dyDescent="0.15">
      <c r="A1665" s="23" t="s">
        <v>48</v>
      </c>
      <c r="B1665" s="41"/>
      <c r="C1665" s="42"/>
      <c r="D1665" s="42"/>
      <c r="E1665" s="42"/>
      <c r="F1665" s="42"/>
      <c r="G1665" s="43">
        <f t="shared" si="1455"/>
        <v>0</v>
      </c>
      <c r="H1665" s="41">
        <v>1</v>
      </c>
      <c r="I1665" s="42"/>
      <c r="J1665" s="42"/>
      <c r="K1665" s="42"/>
      <c r="L1665" s="42"/>
      <c r="M1665" s="43">
        <f t="shared" si="1456"/>
        <v>1</v>
      </c>
      <c r="N1665" s="42"/>
      <c r="O1665" s="53"/>
      <c r="P1665" s="53"/>
      <c r="Q1665" s="53"/>
      <c r="R1665" s="72"/>
      <c r="S1665" s="24">
        <f t="shared" si="1430"/>
        <v>0</v>
      </c>
      <c r="T1665" s="42"/>
      <c r="U1665" s="53"/>
      <c r="V1665" s="53"/>
      <c r="W1665" s="53"/>
      <c r="X1665" s="72"/>
      <c r="Y1665" s="24">
        <f t="shared" si="1447"/>
        <v>0</v>
      </c>
      <c r="Z1665" s="24">
        <f t="shared" si="1454"/>
        <v>1</v>
      </c>
      <c r="AA1665" s="83">
        <v>45407</v>
      </c>
      <c r="AB1665" s="23"/>
      <c r="AC1665" s="38"/>
      <c r="AD1665" s="39"/>
      <c r="AE1665" s="39"/>
      <c r="AF1665" s="39"/>
      <c r="AG1665" s="39"/>
      <c r="AH1665" s="37">
        <f t="shared" ref="AH1665:AH1669" si="1471">SUM(AC1665:AG1665)</f>
        <v>0</v>
      </c>
      <c r="AI1665" s="38"/>
      <c r="AJ1665" s="39"/>
      <c r="AK1665" s="39"/>
      <c r="AL1665" s="39"/>
      <c r="AM1665" s="39"/>
      <c r="AN1665" s="37">
        <f t="shared" ref="AN1665:AN1669" si="1472">SUM(AI1665:AM1665)</f>
        <v>0</v>
      </c>
      <c r="AO1665" s="39"/>
      <c r="AP1665" s="56"/>
      <c r="AQ1665" s="56"/>
      <c r="AR1665" s="56"/>
      <c r="AS1665" s="71"/>
      <c r="AT1665" s="16">
        <f t="shared" ref="AT1665:AT1669" si="1473">SUM(AO1665:AS1665)</f>
        <v>0</v>
      </c>
      <c r="AU1665" s="39"/>
      <c r="AV1665" s="56"/>
      <c r="AW1665" s="56"/>
      <c r="AX1665" s="56"/>
      <c r="AY1665" s="71"/>
      <c r="AZ1665" s="16">
        <f t="shared" ref="AZ1665:AZ1669" si="1474">SUM(AU1665:AY1665)</f>
        <v>0</v>
      </c>
      <c r="BA1665" s="16">
        <f t="shared" ref="BA1665:BA1669" si="1475">AH1665+AN1665+AT1665+AZ1665</f>
        <v>0</v>
      </c>
    </row>
    <row r="1666" spans="1:54" ht="14.25" x14ac:dyDescent="0.15">
      <c r="A1666" s="23" t="s">
        <v>434</v>
      </c>
      <c r="B1666" s="41"/>
      <c r="C1666" s="42"/>
      <c r="D1666" s="42">
        <v>1</v>
      </c>
      <c r="E1666" s="42"/>
      <c r="F1666" s="42"/>
      <c r="G1666" s="43">
        <f t="shared" si="1455"/>
        <v>1</v>
      </c>
      <c r="H1666" s="41"/>
      <c r="I1666" s="42"/>
      <c r="J1666" s="42"/>
      <c r="K1666" s="42"/>
      <c r="L1666" s="42"/>
      <c r="M1666" s="43">
        <f t="shared" si="1456"/>
        <v>0</v>
      </c>
      <c r="N1666" s="42"/>
      <c r="O1666" s="53"/>
      <c r="P1666" s="53"/>
      <c r="Q1666" s="53"/>
      <c r="R1666" s="72"/>
      <c r="S1666" s="24">
        <f t="shared" si="1430"/>
        <v>0</v>
      </c>
      <c r="T1666" s="42"/>
      <c r="U1666" s="53"/>
      <c r="V1666" s="53"/>
      <c r="W1666" s="53"/>
      <c r="X1666" s="72"/>
      <c r="Y1666" s="24">
        <f t="shared" si="1447"/>
        <v>0</v>
      </c>
      <c r="Z1666" s="24">
        <f t="shared" si="1454"/>
        <v>1</v>
      </c>
      <c r="AA1666" s="83">
        <v>45412</v>
      </c>
      <c r="AB1666" s="23"/>
      <c r="AC1666" s="38"/>
      <c r="AD1666" s="39"/>
      <c r="AE1666" s="39"/>
      <c r="AF1666" s="39"/>
      <c r="AG1666" s="39"/>
      <c r="AH1666" s="37">
        <f t="shared" si="1471"/>
        <v>0</v>
      </c>
      <c r="AI1666" s="38"/>
      <c r="AJ1666" s="39"/>
      <c r="AK1666" s="39"/>
      <c r="AL1666" s="39"/>
      <c r="AM1666" s="39"/>
      <c r="AN1666" s="37">
        <f t="shared" si="1472"/>
        <v>0</v>
      </c>
      <c r="AO1666" s="39"/>
      <c r="AP1666" s="56"/>
      <c r="AQ1666" s="56"/>
      <c r="AR1666" s="56"/>
      <c r="AS1666" s="71"/>
      <c r="AT1666" s="16">
        <f t="shared" si="1473"/>
        <v>0</v>
      </c>
      <c r="AU1666" s="39"/>
      <c r="AV1666" s="56"/>
      <c r="AW1666" s="56"/>
      <c r="AX1666" s="56"/>
      <c r="AY1666" s="71"/>
      <c r="AZ1666" s="16">
        <f t="shared" si="1474"/>
        <v>0</v>
      </c>
      <c r="BA1666" s="16">
        <f t="shared" si="1475"/>
        <v>0</v>
      </c>
    </row>
    <row r="1667" spans="1:54" ht="14.25" x14ac:dyDescent="0.15">
      <c r="A1667" s="23" t="s">
        <v>48</v>
      </c>
      <c r="B1667" s="41"/>
      <c r="C1667" s="42"/>
      <c r="D1667" s="42"/>
      <c r="E1667" s="42"/>
      <c r="F1667" s="42"/>
      <c r="G1667" s="43">
        <f t="shared" si="1455"/>
        <v>0</v>
      </c>
      <c r="H1667" s="41"/>
      <c r="I1667" s="42"/>
      <c r="J1667" s="42"/>
      <c r="K1667" s="42">
        <v>1</v>
      </c>
      <c r="L1667" s="42"/>
      <c r="M1667" s="43">
        <f t="shared" si="1456"/>
        <v>1</v>
      </c>
      <c r="N1667" s="42"/>
      <c r="O1667" s="53"/>
      <c r="P1667" s="53">
        <v>1</v>
      </c>
      <c r="Q1667" s="53"/>
      <c r="R1667" s="72"/>
      <c r="S1667" s="24">
        <f t="shared" si="1430"/>
        <v>1</v>
      </c>
      <c r="T1667" s="42"/>
      <c r="U1667" s="53"/>
      <c r="V1667" s="53"/>
      <c r="W1667" s="53"/>
      <c r="X1667" s="72"/>
      <c r="Y1667" s="24">
        <f t="shared" si="1447"/>
        <v>0</v>
      </c>
      <c r="Z1667" s="24">
        <f t="shared" si="1454"/>
        <v>2</v>
      </c>
      <c r="AA1667" s="83">
        <v>45408</v>
      </c>
      <c r="AB1667" s="23"/>
      <c r="AC1667" s="38"/>
      <c r="AD1667" s="39"/>
      <c r="AE1667" s="39"/>
      <c r="AF1667" s="39"/>
      <c r="AG1667" s="39"/>
      <c r="AH1667" s="37">
        <f t="shared" si="1471"/>
        <v>0</v>
      </c>
      <c r="AI1667" s="38"/>
      <c r="AJ1667" s="39"/>
      <c r="AK1667" s="39"/>
      <c r="AL1667" s="39"/>
      <c r="AM1667" s="39"/>
      <c r="AN1667" s="37">
        <f t="shared" si="1472"/>
        <v>0</v>
      </c>
      <c r="AO1667" s="39"/>
      <c r="AP1667" s="56"/>
      <c r="AQ1667" s="56"/>
      <c r="AR1667" s="56"/>
      <c r="AS1667" s="71"/>
      <c r="AT1667" s="16">
        <f t="shared" si="1473"/>
        <v>0</v>
      </c>
      <c r="AU1667" s="39"/>
      <c r="AV1667" s="56"/>
      <c r="AW1667" s="56"/>
      <c r="AX1667" s="56"/>
      <c r="AY1667" s="71"/>
      <c r="AZ1667" s="16">
        <f t="shared" si="1474"/>
        <v>0</v>
      </c>
      <c r="BA1667" s="16">
        <f t="shared" si="1475"/>
        <v>0</v>
      </c>
    </row>
    <row r="1668" spans="1:54" ht="14.25" x14ac:dyDescent="0.15">
      <c r="A1668" s="23" t="s">
        <v>434</v>
      </c>
      <c r="B1668" s="41"/>
      <c r="C1668" s="42">
        <v>2</v>
      </c>
      <c r="D1668" s="42"/>
      <c r="E1668" s="42"/>
      <c r="F1668" s="42">
        <v>2</v>
      </c>
      <c r="G1668" s="43">
        <f t="shared" si="1455"/>
        <v>4</v>
      </c>
      <c r="H1668" s="41"/>
      <c r="I1668" s="42"/>
      <c r="J1668" s="42"/>
      <c r="K1668" s="42"/>
      <c r="L1668" s="42"/>
      <c r="M1668" s="43">
        <f t="shared" si="1456"/>
        <v>0</v>
      </c>
      <c r="N1668" s="42"/>
      <c r="O1668" s="53"/>
      <c r="P1668" s="53"/>
      <c r="Q1668" s="53"/>
      <c r="R1668" s="72"/>
      <c r="S1668" s="24">
        <f t="shared" si="1430"/>
        <v>0</v>
      </c>
      <c r="T1668" s="42"/>
      <c r="U1668" s="53"/>
      <c r="V1668" s="53"/>
      <c r="W1668" s="53"/>
      <c r="X1668" s="72"/>
      <c r="Y1668" s="24">
        <f t="shared" si="1447"/>
        <v>0</v>
      </c>
      <c r="Z1668" s="24">
        <f t="shared" si="1454"/>
        <v>4</v>
      </c>
      <c r="AA1668" s="83">
        <v>45413</v>
      </c>
      <c r="AB1668" s="23"/>
      <c r="AC1668" s="38"/>
      <c r="AD1668" s="39"/>
      <c r="AE1668" s="39"/>
      <c r="AF1668" s="39"/>
      <c r="AG1668" s="39"/>
      <c r="AH1668" s="37">
        <f t="shared" si="1471"/>
        <v>0</v>
      </c>
      <c r="AI1668" s="38"/>
      <c r="AJ1668" s="39"/>
      <c r="AK1668" s="39"/>
      <c r="AL1668" s="39"/>
      <c r="AM1668" s="39"/>
      <c r="AN1668" s="37">
        <f t="shared" si="1472"/>
        <v>0</v>
      </c>
      <c r="AO1668" s="39"/>
      <c r="AP1668" s="56"/>
      <c r="AQ1668" s="56"/>
      <c r="AR1668" s="56"/>
      <c r="AS1668" s="71"/>
      <c r="AT1668" s="16">
        <f t="shared" si="1473"/>
        <v>0</v>
      </c>
      <c r="AU1668" s="39"/>
      <c r="AV1668" s="56"/>
      <c r="AW1668" s="56"/>
      <c r="AX1668" s="56"/>
      <c r="AY1668" s="71"/>
      <c r="AZ1668" s="16">
        <f t="shared" si="1474"/>
        <v>0</v>
      </c>
      <c r="BA1668" s="16">
        <f t="shared" si="1475"/>
        <v>0</v>
      </c>
    </row>
    <row r="1669" spans="1:54" ht="14.25" x14ac:dyDescent="0.15">
      <c r="A1669" s="23" t="s">
        <v>48</v>
      </c>
      <c r="B1669" s="41"/>
      <c r="C1669" s="42">
        <v>1</v>
      </c>
      <c r="D1669" s="42"/>
      <c r="E1669" s="42"/>
      <c r="F1669" s="42"/>
      <c r="G1669" s="43">
        <f t="shared" si="1455"/>
        <v>1</v>
      </c>
      <c r="H1669" s="41"/>
      <c r="I1669" s="42"/>
      <c r="J1669" s="42">
        <v>1</v>
      </c>
      <c r="K1669" s="42"/>
      <c r="L1669" s="42"/>
      <c r="M1669" s="43">
        <f t="shared" si="1456"/>
        <v>1</v>
      </c>
      <c r="N1669" s="42"/>
      <c r="O1669" s="53"/>
      <c r="P1669" s="53"/>
      <c r="Q1669" s="53"/>
      <c r="R1669" s="72"/>
      <c r="S1669" s="24">
        <f t="shared" si="1430"/>
        <v>0</v>
      </c>
      <c r="T1669" s="42">
        <v>1</v>
      </c>
      <c r="U1669" s="53"/>
      <c r="V1669" s="53"/>
      <c r="W1669" s="53"/>
      <c r="X1669" s="72"/>
      <c r="Y1669" s="24">
        <f t="shared" si="1447"/>
        <v>1</v>
      </c>
      <c r="Z1669" s="24">
        <f t="shared" si="1454"/>
        <v>3</v>
      </c>
      <c r="AA1669" s="83">
        <v>45412</v>
      </c>
      <c r="AB1669" s="23"/>
      <c r="AC1669" s="38"/>
      <c r="AD1669" s="39"/>
      <c r="AE1669" s="39"/>
      <c r="AF1669" s="39"/>
      <c r="AG1669" s="39"/>
      <c r="AH1669" s="37">
        <f t="shared" si="1471"/>
        <v>0</v>
      </c>
      <c r="AI1669" s="38"/>
      <c r="AJ1669" s="39"/>
      <c r="AK1669" s="39"/>
      <c r="AL1669" s="39"/>
      <c r="AM1669" s="39"/>
      <c r="AN1669" s="37">
        <f t="shared" si="1472"/>
        <v>0</v>
      </c>
      <c r="AO1669" s="39"/>
      <c r="AP1669" s="56"/>
      <c r="AQ1669" s="56"/>
      <c r="AR1669" s="56"/>
      <c r="AS1669" s="71"/>
      <c r="AT1669" s="16">
        <f t="shared" si="1473"/>
        <v>0</v>
      </c>
      <c r="AU1669" s="39"/>
      <c r="AV1669" s="56"/>
      <c r="AW1669" s="56"/>
      <c r="AX1669" s="56"/>
      <c r="AY1669" s="71"/>
      <c r="AZ1669" s="16">
        <f t="shared" si="1474"/>
        <v>0</v>
      </c>
      <c r="BA1669" s="16">
        <f t="shared" si="1475"/>
        <v>0</v>
      </c>
    </row>
    <row r="1670" spans="1:54" ht="14.25" x14ac:dyDescent="0.15">
      <c r="A1670" s="23" t="s">
        <v>434</v>
      </c>
      <c r="B1670" s="41"/>
      <c r="C1670" s="42"/>
      <c r="D1670" s="42"/>
      <c r="E1670" s="42"/>
      <c r="F1670" s="42"/>
      <c r="G1670" s="43">
        <f t="shared" si="1455"/>
        <v>0</v>
      </c>
      <c r="H1670" s="41"/>
      <c r="I1670" s="42"/>
      <c r="J1670" s="42"/>
      <c r="K1670" s="42"/>
      <c r="L1670" s="42"/>
      <c r="M1670" s="43">
        <f t="shared" si="1456"/>
        <v>0</v>
      </c>
      <c r="N1670" s="42"/>
      <c r="O1670" s="53">
        <v>1</v>
      </c>
      <c r="P1670" s="53">
        <v>1</v>
      </c>
      <c r="Q1670" s="53"/>
      <c r="R1670" s="72"/>
      <c r="S1670" s="24">
        <f t="shared" si="1430"/>
        <v>2</v>
      </c>
      <c r="T1670" s="42"/>
      <c r="U1670" s="53"/>
      <c r="V1670" s="53"/>
      <c r="W1670" s="53"/>
      <c r="X1670" s="72"/>
      <c r="Y1670" s="24">
        <f t="shared" si="1447"/>
        <v>0</v>
      </c>
      <c r="Z1670" s="24">
        <f t="shared" si="1454"/>
        <v>2</v>
      </c>
      <c r="AA1670" s="83">
        <v>45414</v>
      </c>
      <c r="AB1670" s="23"/>
      <c r="AC1670" s="38"/>
      <c r="AD1670" s="39"/>
      <c r="AE1670" s="39"/>
      <c r="AF1670" s="39"/>
      <c r="AG1670" s="39"/>
      <c r="AH1670" s="37">
        <f t="shared" ref="AH1670:AH1671" si="1476">SUM(AC1670:AG1670)</f>
        <v>0</v>
      </c>
      <c r="AI1670" s="38"/>
      <c r="AJ1670" s="39"/>
      <c r="AK1670" s="39"/>
      <c r="AL1670" s="39"/>
      <c r="AM1670" s="39"/>
      <c r="AN1670" s="37">
        <f t="shared" ref="AN1670:AN1671" si="1477">SUM(AI1670:AM1670)</f>
        <v>0</v>
      </c>
      <c r="AO1670" s="39"/>
      <c r="AP1670" s="56"/>
      <c r="AQ1670" s="56"/>
      <c r="AR1670" s="56"/>
      <c r="AS1670" s="71"/>
      <c r="AT1670" s="16">
        <f t="shared" ref="AT1670:AT1671" si="1478">SUM(AO1670:AS1670)</f>
        <v>0</v>
      </c>
      <c r="AU1670" s="39"/>
      <c r="AV1670" s="56"/>
      <c r="AW1670" s="56"/>
      <c r="AX1670" s="56"/>
      <c r="AY1670" s="71"/>
      <c r="AZ1670" s="16">
        <f t="shared" ref="AZ1670:AZ1671" si="1479">SUM(AU1670:AY1670)</f>
        <v>0</v>
      </c>
      <c r="BA1670" s="16">
        <f t="shared" ref="BA1670:BA1671" si="1480">AH1670+AN1670+AT1670+AZ1670</f>
        <v>0</v>
      </c>
    </row>
    <row r="1671" spans="1:54" ht="14.25" x14ac:dyDescent="0.15">
      <c r="A1671" s="23" t="s">
        <v>48</v>
      </c>
      <c r="B1671" s="41"/>
      <c r="C1671" s="42"/>
      <c r="D1671" s="42"/>
      <c r="E1671" s="42"/>
      <c r="F1671" s="42"/>
      <c r="G1671" s="43">
        <f t="shared" si="1455"/>
        <v>0</v>
      </c>
      <c r="H1671" s="41"/>
      <c r="I1671" s="42"/>
      <c r="J1671" s="42"/>
      <c r="K1671" s="42"/>
      <c r="L1671" s="42"/>
      <c r="M1671" s="43">
        <f t="shared" si="1456"/>
        <v>0</v>
      </c>
      <c r="N1671" s="42"/>
      <c r="O1671" s="53"/>
      <c r="P1671" s="53"/>
      <c r="Q1671" s="53"/>
      <c r="R1671" s="72"/>
      <c r="S1671" s="24">
        <f t="shared" si="1430"/>
        <v>0</v>
      </c>
      <c r="T1671" s="42"/>
      <c r="U1671" s="53"/>
      <c r="V1671" s="53"/>
      <c r="W1671" s="53"/>
      <c r="X1671" s="72">
        <v>1</v>
      </c>
      <c r="Y1671" s="24">
        <f t="shared" si="1447"/>
        <v>1</v>
      </c>
      <c r="Z1671" s="24">
        <f t="shared" si="1454"/>
        <v>1</v>
      </c>
      <c r="AA1671" s="83">
        <v>45413</v>
      </c>
      <c r="AB1671" s="23"/>
      <c r="AC1671" s="38"/>
      <c r="AD1671" s="39"/>
      <c r="AE1671" s="39"/>
      <c r="AF1671" s="39"/>
      <c r="AG1671" s="39"/>
      <c r="AH1671" s="37">
        <f t="shared" si="1476"/>
        <v>0</v>
      </c>
      <c r="AI1671" s="38"/>
      <c r="AJ1671" s="39"/>
      <c r="AK1671" s="39"/>
      <c r="AL1671" s="39"/>
      <c r="AM1671" s="39"/>
      <c r="AN1671" s="37">
        <f t="shared" si="1477"/>
        <v>0</v>
      </c>
      <c r="AO1671" s="39"/>
      <c r="AP1671" s="56"/>
      <c r="AQ1671" s="56"/>
      <c r="AR1671" s="56"/>
      <c r="AS1671" s="71"/>
      <c r="AT1671" s="16">
        <f t="shared" si="1478"/>
        <v>0</v>
      </c>
      <c r="AU1671" s="39"/>
      <c r="AV1671" s="56"/>
      <c r="AW1671" s="56"/>
      <c r="AX1671" s="56"/>
      <c r="AY1671" s="71"/>
      <c r="AZ1671" s="16">
        <f t="shared" si="1479"/>
        <v>0</v>
      </c>
      <c r="BA1671" s="16">
        <f t="shared" si="1480"/>
        <v>0</v>
      </c>
    </row>
    <row r="1672" spans="1:54" ht="14.25" x14ac:dyDescent="0.15">
      <c r="A1672" s="23" t="s">
        <v>48</v>
      </c>
      <c r="B1672" s="41"/>
      <c r="C1672" s="42"/>
      <c r="D1672" s="42"/>
      <c r="E1672" s="42">
        <v>1</v>
      </c>
      <c r="F1672" s="42"/>
      <c r="G1672" s="43">
        <f t="shared" ref="G1672" si="1481">SUM(B1672:F1672)</f>
        <v>1</v>
      </c>
      <c r="H1672" s="41"/>
      <c r="I1672" s="42"/>
      <c r="J1672" s="42"/>
      <c r="K1672" s="42">
        <v>1</v>
      </c>
      <c r="L1672" s="42"/>
      <c r="M1672" s="43">
        <f t="shared" ref="M1672" si="1482">SUM(H1672:L1672)</f>
        <v>1</v>
      </c>
      <c r="N1672" s="42"/>
      <c r="O1672" s="53"/>
      <c r="P1672" s="53"/>
      <c r="Q1672" s="53"/>
      <c r="R1672" s="72"/>
      <c r="S1672" s="24">
        <f>SUM(N1672:R1672)</f>
        <v>0</v>
      </c>
      <c r="T1672" s="42"/>
      <c r="U1672" s="53"/>
      <c r="V1672" s="53"/>
      <c r="W1672" s="53"/>
      <c r="X1672" s="72"/>
      <c r="Y1672" s="24">
        <f>SUM(T1672:X1672)</f>
        <v>0</v>
      </c>
      <c r="Z1672" s="24">
        <f>G1672+M1672+S1672+Y1672</f>
        <v>2</v>
      </c>
      <c r="AA1672" s="83">
        <v>45419</v>
      </c>
      <c r="AB1672" s="23" t="s">
        <v>581</v>
      </c>
      <c r="AC1672" s="38"/>
      <c r="AD1672" s="39"/>
      <c r="AE1672" s="39"/>
      <c r="AF1672" s="39"/>
      <c r="AG1672" s="39"/>
      <c r="AH1672" s="37">
        <f t="shared" ref="AH1672:AH1673" si="1483">SUM(AC1672:AG1672)</f>
        <v>0</v>
      </c>
      <c r="AI1672" s="203"/>
      <c r="AJ1672" s="204"/>
      <c r="AK1672" s="204"/>
      <c r="AL1672" s="204"/>
      <c r="AM1672" s="204"/>
      <c r="AN1672" s="37">
        <f t="shared" ref="AN1672:AN1673" si="1484">SUM(AI1672:AM1672)</f>
        <v>0</v>
      </c>
      <c r="AO1672" s="39"/>
      <c r="AP1672" s="56"/>
      <c r="AQ1672" s="56"/>
      <c r="AR1672" s="56"/>
      <c r="AS1672" s="71"/>
      <c r="AT1672" s="16">
        <f t="shared" ref="AT1672:AT1673" si="1485">SUM(AO1672:AS1672)</f>
        <v>0</v>
      </c>
      <c r="AU1672" s="39"/>
      <c r="AV1672" s="56"/>
      <c r="AW1672" s="56"/>
      <c r="AX1672" s="56"/>
      <c r="AY1672" s="71"/>
      <c r="AZ1672" s="16">
        <f t="shared" ref="AZ1672:AZ1673" si="1486">SUM(AU1672:AY1672)</f>
        <v>0</v>
      </c>
      <c r="BA1672" s="16">
        <f t="shared" ref="BA1672:BA1673" si="1487">AH1672+AN1672+AT1672+AZ1672</f>
        <v>0</v>
      </c>
      <c r="BB1672" s="128" t="s">
        <v>582</v>
      </c>
    </row>
    <row r="1673" spans="1:54" ht="15" thickBot="1" x14ac:dyDescent="0.2">
      <c r="A1673" s="23"/>
      <c r="B1673" s="41"/>
      <c r="C1673" s="42"/>
      <c r="D1673" s="42"/>
      <c r="E1673" s="42"/>
      <c r="F1673" s="42"/>
      <c r="G1673" s="43">
        <f t="shared" ref="G1673" si="1488">SUM(B1673:F1673)</f>
        <v>0</v>
      </c>
      <c r="H1673" s="41"/>
      <c r="I1673" s="42"/>
      <c r="J1673" s="42"/>
      <c r="K1673" s="42"/>
      <c r="L1673" s="42"/>
      <c r="M1673" s="43">
        <f t="shared" ref="M1673" si="1489">SUM(H1673:L1673)</f>
        <v>0</v>
      </c>
      <c r="N1673" s="42"/>
      <c r="O1673" s="53"/>
      <c r="P1673" s="53"/>
      <c r="Q1673" s="53"/>
      <c r="R1673" s="72"/>
      <c r="S1673" s="24">
        <f>SUM(N1673:R1673)</f>
        <v>0</v>
      </c>
      <c r="T1673" s="42"/>
      <c r="U1673" s="53"/>
      <c r="V1673" s="53"/>
      <c r="W1673" s="53"/>
      <c r="X1673" s="72"/>
      <c r="Y1673" s="24">
        <f>SUM(T1673:X1673)</f>
        <v>0</v>
      </c>
      <c r="Z1673" s="24">
        <f>G1673+M1673+S1673+Y1673</f>
        <v>0</v>
      </c>
      <c r="AA1673" s="83"/>
      <c r="AB1673" s="23" t="s">
        <v>648</v>
      </c>
      <c r="AC1673" s="38"/>
      <c r="AD1673" s="39"/>
      <c r="AE1673" s="39"/>
      <c r="AF1673" s="39"/>
      <c r="AG1673" s="39"/>
      <c r="AH1673" s="37">
        <f t="shared" si="1483"/>
        <v>0</v>
      </c>
      <c r="AI1673" s="38"/>
      <c r="AJ1673" s="39"/>
      <c r="AK1673" s="39"/>
      <c r="AL1673" s="39"/>
      <c r="AM1673" s="39"/>
      <c r="AN1673" s="37">
        <f t="shared" si="1484"/>
        <v>0</v>
      </c>
      <c r="AO1673" s="39"/>
      <c r="AP1673" s="56"/>
      <c r="AQ1673" s="56"/>
      <c r="AR1673" s="56"/>
      <c r="AS1673" s="71"/>
      <c r="AT1673" s="16">
        <f t="shared" si="1485"/>
        <v>0</v>
      </c>
      <c r="AU1673" s="204"/>
      <c r="AV1673" s="206"/>
      <c r="AW1673" s="206"/>
      <c r="AX1673" s="56"/>
      <c r="AY1673" s="207"/>
      <c r="AZ1673" s="16">
        <f t="shared" si="1486"/>
        <v>0</v>
      </c>
      <c r="BA1673" s="16">
        <f t="shared" si="1487"/>
        <v>0</v>
      </c>
      <c r="BB1673" s="128" t="s">
        <v>649</v>
      </c>
    </row>
    <row r="1674" spans="1:54" ht="15" thickBot="1" x14ac:dyDescent="0.2">
      <c r="A1674" s="9" t="s">
        <v>13</v>
      </c>
      <c r="B1674" s="25">
        <f>SUM(B1648:B1673)</f>
        <v>2</v>
      </c>
      <c r="C1674" s="26">
        <f>SUM(C1648:C1673)</f>
        <v>8</v>
      </c>
      <c r="D1674" s="26">
        <f>SUM(D1648:D1673)</f>
        <v>2</v>
      </c>
      <c r="E1674" s="26">
        <f>SUM(E1648:E1673)</f>
        <v>2</v>
      </c>
      <c r="F1674" s="27">
        <f>SUM(F1648:F1673)</f>
        <v>5</v>
      </c>
      <c r="G1674" s="19">
        <f>SUM(B1674:F1674)</f>
        <v>19</v>
      </c>
      <c r="H1674" s="25">
        <f>SUM(H1648:H1673)</f>
        <v>1</v>
      </c>
      <c r="I1674" s="26">
        <f>SUM(I1648:I1673)</f>
        <v>1</v>
      </c>
      <c r="J1674" s="26">
        <f>SUM(J1648:J1673)</f>
        <v>1</v>
      </c>
      <c r="K1674" s="26">
        <f>SUM(K1648:K1673)</f>
        <v>4</v>
      </c>
      <c r="L1674" s="27">
        <f>SUM(L1648:L1673)</f>
        <v>2</v>
      </c>
      <c r="M1674" s="25">
        <f>SUM(H1674:L1674)</f>
        <v>9</v>
      </c>
      <c r="N1674" s="65">
        <f>SUM(N1648:N1673)</f>
        <v>1</v>
      </c>
      <c r="O1674" s="18">
        <f>SUM(O1648:O1673)</f>
        <v>1</v>
      </c>
      <c r="P1674" s="18">
        <f>SUM(P1648:P1673)</f>
        <v>3</v>
      </c>
      <c r="Q1674" s="18">
        <f>SUM(Q1648:Q1673)</f>
        <v>1</v>
      </c>
      <c r="R1674" s="70">
        <f>SUM(R1648:R1673)</f>
        <v>0</v>
      </c>
      <c r="S1674" s="49">
        <f>SUM(N1674:R1674)</f>
        <v>6</v>
      </c>
      <c r="T1674" s="74">
        <f>SUM(T1648:T1673)</f>
        <v>1</v>
      </c>
      <c r="U1674" s="18">
        <f>SUM(U1648:U1673)</f>
        <v>0</v>
      </c>
      <c r="V1674" s="18">
        <f>SUM(V1648:V1673)</f>
        <v>0</v>
      </c>
      <c r="W1674" s="18">
        <f>SUM(W1648:W1673)</f>
        <v>1</v>
      </c>
      <c r="X1674" s="70">
        <f>SUM(X1648:X1673)</f>
        <v>3</v>
      </c>
      <c r="Y1674" s="49">
        <f>SUM(T1674:X1674)</f>
        <v>5</v>
      </c>
      <c r="Z1674" s="137">
        <f>G1674+M1674+S1674+Y1674</f>
        <v>39</v>
      </c>
      <c r="AB1674" s="9" t="s">
        <v>13</v>
      </c>
      <c r="AC1674" s="25">
        <f>SUM(AC1648:AC1673)</f>
        <v>6</v>
      </c>
      <c r="AD1674" s="26">
        <f>SUM(AD1648:AD1673)</f>
        <v>5</v>
      </c>
      <c r="AE1674" s="26">
        <f>SUM(AE1648:AE1673)</f>
        <v>0</v>
      </c>
      <c r="AF1674" s="26">
        <f>SUM(AF1648:AF1673)</f>
        <v>0</v>
      </c>
      <c r="AG1674" s="27">
        <f>SUM(AG1648:AG1673)</f>
        <v>3</v>
      </c>
      <c r="AH1674" s="19">
        <f t="shared" ref="AH1674" si="1490">SUM(AC1674:AG1674)</f>
        <v>14</v>
      </c>
      <c r="AI1674" s="25">
        <f>SUM(AI1648:AI1673)</f>
        <v>0</v>
      </c>
      <c r="AJ1674" s="26">
        <f>SUM(AJ1648:AJ1673)</f>
        <v>0</v>
      </c>
      <c r="AK1674" s="26">
        <f>SUM(AK1648:AK1673)</f>
        <v>2</v>
      </c>
      <c r="AL1674" s="26">
        <f>SUM(AL1648:AL1673)</f>
        <v>0</v>
      </c>
      <c r="AM1674" s="27">
        <f>SUM(AM1648:AM1673)</f>
        <v>2</v>
      </c>
      <c r="AN1674" s="25">
        <f t="shared" ref="AN1674" si="1491">SUM(AI1674:AM1674)</f>
        <v>4</v>
      </c>
      <c r="AO1674" s="65">
        <f>SUM(AO1648:AO1673)</f>
        <v>3</v>
      </c>
      <c r="AP1674" s="18">
        <f>SUM(AP1648:AP1673)</f>
        <v>0</v>
      </c>
      <c r="AQ1674" s="18">
        <f>SUM(AQ1648:AQ1673)</f>
        <v>3</v>
      </c>
      <c r="AR1674" s="18">
        <f>SUM(AR1648:AR1673)</f>
        <v>3</v>
      </c>
      <c r="AS1674" s="70">
        <f>SUM(AS1648:AS1673)</f>
        <v>0</v>
      </c>
      <c r="AT1674" s="49">
        <f t="shared" ref="AT1674" si="1492">SUM(AO1674:AS1674)</f>
        <v>9</v>
      </c>
      <c r="AU1674" s="74">
        <f>SUM(AU1648:AU1673)</f>
        <v>0</v>
      </c>
      <c r="AV1674" s="18">
        <f>SUM(AV1648:AV1673)</f>
        <v>0</v>
      </c>
      <c r="AW1674" s="18">
        <f>SUM(AW1648:AW1673)</f>
        <v>1</v>
      </c>
      <c r="AX1674" s="18">
        <f>SUM(AX1648:AX1673)</f>
        <v>0</v>
      </c>
      <c r="AY1674" s="70">
        <f>SUM(AY1648:AY1673)</f>
        <v>3</v>
      </c>
      <c r="AZ1674" s="49">
        <f t="shared" ref="AZ1674" si="1493">SUM(AU1674:AY1674)</f>
        <v>4</v>
      </c>
      <c r="BA1674" s="77">
        <f t="shared" ref="BA1674:BA1675" si="1494">AH1674+AN1674+AT1674+AZ1674</f>
        <v>31</v>
      </c>
    </row>
    <row r="1675" spans="1:54" ht="15" thickBot="1" x14ac:dyDescent="0.2">
      <c r="A1675" s="32" t="s">
        <v>14</v>
      </c>
      <c r="B1675" s="29">
        <f t="shared" ref="B1675:Y1675" si="1495">B1647-B1674</f>
        <v>5</v>
      </c>
      <c r="C1675" s="30">
        <f t="shared" si="1495"/>
        <v>2</v>
      </c>
      <c r="D1675" s="30">
        <f t="shared" si="1495"/>
        <v>4</v>
      </c>
      <c r="E1675" s="30">
        <f t="shared" si="1495"/>
        <v>3</v>
      </c>
      <c r="F1675" s="31">
        <f t="shared" si="1495"/>
        <v>3</v>
      </c>
      <c r="G1675" s="31">
        <f t="shared" si="1495"/>
        <v>17</v>
      </c>
      <c r="H1675" s="29">
        <f t="shared" si="1495"/>
        <v>5</v>
      </c>
      <c r="I1675" s="30">
        <f t="shared" si="1495"/>
        <v>5</v>
      </c>
      <c r="J1675" s="30">
        <f t="shared" si="1495"/>
        <v>3</v>
      </c>
      <c r="K1675" s="30">
        <f t="shared" si="1495"/>
        <v>3</v>
      </c>
      <c r="L1675" s="31">
        <f t="shared" si="1495"/>
        <v>5</v>
      </c>
      <c r="M1675" s="66">
        <f t="shared" si="1495"/>
        <v>21</v>
      </c>
      <c r="N1675" s="29">
        <f t="shared" si="1495"/>
        <v>6</v>
      </c>
      <c r="O1675" s="30">
        <f t="shared" si="1495"/>
        <v>5</v>
      </c>
      <c r="P1675" s="30">
        <f t="shared" si="1495"/>
        <v>3</v>
      </c>
      <c r="Q1675" s="30">
        <f t="shared" si="1495"/>
        <v>6</v>
      </c>
      <c r="R1675" s="66">
        <f t="shared" si="1495"/>
        <v>5</v>
      </c>
      <c r="S1675" s="33">
        <f t="shared" si="1495"/>
        <v>25</v>
      </c>
      <c r="T1675" s="75">
        <f t="shared" si="1495"/>
        <v>5</v>
      </c>
      <c r="U1675" s="30">
        <f t="shared" si="1495"/>
        <v>6</v>
      </c>
      <c r="V1675" s="30">
        <f t="shared" si="1495"/>
        <v>5</v>
      </c>
      <c r="W1675" s="30">
        <f t="shared" si="1495"/>
        <v>4</v>
      </c>
      <c r="X1675" s="66">
        <f t="shared" si="1495"/>
        <v>5</v>
      </c>
      <c r="Y1675" s="33">
        <f t="shared" si="1495"/>
        <v>25</v>
      </c>
      <c r="Z1675" s="77">
        <f>G1675+M1675+S1675+Y1675</f>
        <v>88</v>
      </c>
      <c r="AB1675" s="32" t="s">
        <v>14</v>
      </c>
      <c r="AC1675" s="29">
        <f t="shared" ref="AC1675:AZ1675" si="1496">AC1647-AC1674</f>
        <v>84</v>
      </c>
      <c r="AD1675" s="30">
        <f t="shared" si="1496"/>
        <v>53</v>
      </c>
      <c r="AE1675" s="30">
        <f t="shared" si="1496"/>
        <v>58</v>
      </c>
      <c r="AF1675" s="30">
        <f t="shared" si="1496"/>
        <v>30</v>
      </c>
      <c r="AG1675" s="31">
        <f t="shared" si="1496"/>
        <v>12</v>
      </c>
      <c r="AH1675" s="31">
        <f t="shared" si="1496"/>
        <v>237</v>
      </c>
      <c r="AI1675" s="29">
        <f t="shared" si="1496"/>
        <v>78</v>
      </c>
      <c r="AJ1675" s="30">
        <f t="shared" si="1496"/>
        <v>68</v>
      </c>
      <c r="AK1675" s="30">
        <f t="shared" si="1496"/>
        <v>78</v>
      </c>
      <c r="AL1675" s="30">
        <f t="shared" si="1496"/>
        <v>66</v>
      </c>
      <c r="AM1675" s="31">
        <f t="shared" si="1496"/>
        <v>74</v>
      </c>
      <c r="AN1675" s="66">
        <f t="shared" si="1496"/>
        <v>364</v>
      </c>
      <c r="AO1675" s="29">
        <f t="shared" si="1496"/>
        <v>137</v>
      </c>
      <c r="AP1675" s="30">
        <f t="shared" si="1496"/>
        <v>89</v>
      </c>
      <c r="AQ1675" s="30">
        <f t="shared" si="1496"/>
        <v>92</v>
      </c>
      <c r="AR1675" s="30">
        <f t="shared" si="1496"/>
        <v>110</v>
      </c>
      <c r="AS1675" s="66">
        <f t="shared" si="1496"/>
        <v>124</v>
      </c>
      <c r="AT1675" s="33">
        <f t="shared" si="1496"/>
        <v>552</v>
      </c>
      <c r="AU1675" s="75">
        <f t="shared" si="1496"/>
        <v>105</v>
      </c>
      <c r="AV1675" s="30">
        <f t="shared" si="1496"/>
        <v>52</v>
      </c>
      <c r="AW1675" s="30">
        <f t="shared" si="1496"/>
        <v>22</v>
      </c>
      <c r="AX1675" s="30">
        <f t="shared" si="1496"/>
        <v>13</v>
      </c>
      <c r="AY1675" s="66">
        <f t="shared" si="1496"/>
        <v>63</v>
      </c>
      <c r="AZ1675" s="33">
        <f t="shared" si="1496"/>
        <v>255</v>
      </c>
      <c r="BA1675" s="77">
        <f t="shared" si="1494"/>
        <v>1408</v>
      </c>
    </row>
    <row r="1678" spans="1:54" ht="19.5" thickBot="1" x14ac:dyDescent="0.25">
      <c r="A1678" s="1" t="s">
        <v>15</v>
      </c>
      <c r="AB1678" s="1" t="s">
        <v>16</v>
      </c>
    </row>
    <row r="1679" spans="1:54" ht="15" thickBot="1" x14ac:dyDescent="0.2">
      <c r="A1679" s="4"/>
      <c r="B1679" s="245" t="s">
        <v>17</v>
      </c>
      <c r="C1679" s="246"/>
      <c r="D1679" s="246"/>
      <c r="E1679" s="246"/>
      <c r="F1679" s="246"/>
      <c r="G1679" s="247"/>
      <c r="H1679" s="245" t="s">
        <v>18</v>
      </c>
      <c r="I1679" s="246"/>
      <c r="J1679" s="246"/>
      <c r="K1679" s="246"/>
      <c r="L1679" s="246"/>
      <c r="M1679" s="247"/>
      <c r="N1679" s="248" t="s">
        <v>27</v>
      </c>
      <c r="O1679" s="249"/>
      <c r="P1679" s="249"/>
      <c r="Q1679" s="249"/>
      <c r="R1679" s="249"/>
      <c r="S1679" s="250"/>
      <c r="T1679" s="248" t="s">
        <v>28</v>
      </c>
      <c r="U1679" s="249"/>
      <c r="V1679" s="249"/>
      <c r="W1679" s="249"/>
      <c r="X1679" s="249"/>
      <c r="Y1679" s="250"/>
      <c r="Z1679" s="251" t="s">
        <v>1</v>
      </c>
      <c r="AB1679" s="4"/>
      <c r="AC1679" s="253" t="s">
        <v>17</v>
      </c>
      <c r="AD1679" s="249"/>
      <c r="AE1679" s="249"/>
      <c r="AF1679" s="249"/>
      <c r="AG1679" s="249"/>
      <c r="AH1679" s="250"/>
      <c r="AI1679" s="248" t="s">
        <v>18</v>
      </c>
      <c r="AJ1679" s="249"/>
      <c r="AK1679" s="249"/>
      <c r="AL1679" s="249"/>
      <c r="AM1679" s="249"/>
      <c r="AN1679" s="250"/>
      <c r="AO1679" s="248" t="s">
        <v>27</v>
      </c>
      <c r="AP1679" s="249"/>
      <c r="AQ1679" s="249"/>
      <c r="AR1679" s="249"/>
      <c r="AS1679" s="249"/>
      <c r="AT1679" s="250"/>
      <c r="AU1679" s="248" t="s">
        <v>28</v>
      </c>
      <c r="AV1679" s="249"/>
      <c r="AW1679" s="249"/>
      <c r="AX1679" s="249"/>
      <c r="AY1679" s="249"/>
      <c r="AZ1679" s="250"/>
      <c r="BA1679" s="243" t="s">
        <v>1</v>
      </c>
    </row>
    <row r="1680" spans="1:54" ht="15" thickBot="1" x14ac:dyDescent="0.2">
      <c r="A1680" s="9" t="s">
        <v>2</v>
      </c>
      <c r="B1680" s="6" t="s">
        <v>3</v>
      </c>
      <c r="C1680" s="7" t="s">
        <v>4</v>
      </c>
      <c r="D1680" s="7" t="s">
        <v>5</v>
      </c>
      <c r="E1680" s="48" t="s">
        <v>20</v>
      </c>
      <c r="F1680" s="8" t="s">
        <v>21</v>
      </c>
      <c r="G1680" s="5" t="s">
        <v>6</v>
      </c>
      <c r="H1680" s="6" t="s">
        <v>3</v>
      </c>
      <c r="I1680" s="7" t="s">
        <v>4</v>
      </c>
      <c r="J1680" s="7" t="s">
        <v>5</v>
      </c>
      <c r="K1680" s="48" t="s">
        <v>20</v>
      </c>
      <c r="L1680" s="8" t="s">
        <v>21</v>
      </c>
      <c r="M1680" s="5" t="s">
        <v>6</v>
      </c>
      <c r="N1680" s="6" t="s">
        <v>3</v>
      </c>
      <c r="O1680" s="7" t="s">
        <v>4</v>
      </c>
      <c r="P1680" s="7" t="s">
        <v>5</v>
      </c>
      <c r="Q1680" s="48" t="s">
        <v>20</v>
      </c>
      <c r="R1680" s="8" t="s">
        <v>21</v>
      </c>
      <c r="S1680" s="5" t="s">
        <v>6</v>
      </c>
      <c r="T1680" s="7" t="s">
        <v>3</v>
      </c>
      <c r="U1680" s="7" t="s">
        <v>4</v>
      </c>
      <c r="V1680" s="7" t="s">
        <v>5</v>
      </c>
      <c r="W1680" s="48" t="s">
        <v>20</v>
      </c>
      <c r="X1680" s="109" t="s">
        <v>21</v>
      </c>
      <c r="Y1680" s="62" t="s">
        <v>6</v>
      </c>
      <c r="Z1680" s="252"/>
      <c r="AB1680" s="9" t="s">
        <v>2</v>
      </c>
      <c r="AC1680" s="6" t="s">
        <v>3</v>
      </c>
      <c r="AD1680" s="7" t="s">
        <v>4</v>
      </c>
      <c r="AE1680" s="7" t="s">
        <v>5</v>
      </c>
      <c r="AF1680" s="48" t="s">
        <v>20</v>
      </c>
      <c r="AG1680" s="8" t="s">
        <v>21</v>
      </c>
      <c r="AH1680" s="5" t="s">
        <v>6</v>
      </c>
      <c r="AI1680" s="6" t="s">
        <v>3</v>
      </c>
      <c r="AJ1680" s="7" t="s">
        <v>4</v>
      </c>
      <c r="AK1680" s="7" t="s">
        <v>5</v>
      </c>
      <c r="AL1680" s="48" t="s">
        <v>20</v>
      </c>
      <c r="AM1680" s="8" t="s">
        <v>21</v>
      </c>
      <c r="AN1680" s="5" t="s">
        <v>6</v>
      </c>
      <c r="AO1680" s="6" t="s">
        <v>3</v>
      </c>
      <c r="AP1680" s="7" t="s">
        <v>4</v>
      </c>
      <c r="AQ1680" s="7" t="s">
        <v>5</v>
      </c>
      <c r="AR1680" s="48" t="s">
        <v>20</v>
      </c>
      <c r="AS1680" s="8" t="s">
        <v>21</v>
      </c>
      <c r="AT1680" s="5" t="s">
        <v>6</v>
      </c>
      <c r="AU1680" s="7" t="s">
        <v>3</v>
      </c>
      <c r="AV1680" s="7" t="s">
        <v>4</v>
      </c>
      <c r="AW1680" s="7" t="s">
        <v>5</v>
      </c>
      <c r="AX1680" s="48" t="s">
        <v>20</v>
      </c>
      <c r="AY1680" s="109" t="s">
        <v>21</v>
      </c>
      <c r="AZ1680" s="62" t="s">
        <v>6</v>
      </c>
      <c r="BA1680" s="244"/>
    </row>
    <row r="1681" spans="1:55" ht="14.25" x14ac:dyDescent="0.15">
      <c r="A1681" s="103" t="s">
        <v>43</v>
      </c>
      <c r="B1681" s="104">
        <f>B1675</f>
        <v>5</v>
      </c>
      <c r="C1681" s="105">
        <f>C1675</f>
        <v>2</v>
      </c>
      <c r="D1681" s="105">
        <f>D1675</f>
        <v>4</v>
      </c>
      <c r="E1681" s="105">
        <f>E1675</f>
        <v>3</v>
      </c>
      <c r="F1681" s="105">
        <f>F1675</f>
        <v>3</v>
      </c>
      <c r="G1681" s="106">
        <f t="shared" ref="G1681" si="1497">SUM(B1681:F1681)</f>
        <v>17</v>
      </c>
      <c r="H1681" s="104">
        <f>H1675</f>
        <v>5</v>
      </c>
      <c r="I1681" s="105">
        <f>I1675</f>
        <v>5</v>
      </c>
      <c r="J1681" s="105">
        <f>J1675</f>
        <v>3</v>
      </c>
      <c r="K1681" s="105">
        <f>K1675</f>
        <v>3</v>
      </c>
      <c r="L1681" s="105">
        <f>L1675</f>
        <v>5</v>
      </c>
      <c r="M1681" s="107">
        <f t="shared" ref="M1681:M1686" si="1498">SUM(H1681:L1681)</f>
        <v>21</v>
      </c>
      <c r="N1681" s="104">
        <f>N1675</f>
        <v>6</v>
      </c>
      <c r="O1681" s="105">
        <f>O1675</f>
        <v>5</v>
      </c>
      <c r="P1681" s="105">
        <f>P1675</f>
        <v>3</v>
      </c>
      <c r="Q1681" s="105">
        <f>Q1675</f>
        <v>6</v>
      </c>
      <c r="R1681" s="105">
        <f>R1675</f>
        <v>5</v>
      </c>
      <c r="S1681" s="108">
        <f t="shared" ref="S1681:S1710" si="1499">SUM(N1681:R1681)</f>
        <v>25</v>
      </c>
      <c r="T1681" s="104">
        <f>T1675</f>
        <v>5</v>
      </c>
      <c r="U1681" s="105">
        <f>U1675</f>
        <v>6</v>
      </c>
      <c r="V1681" s="105">
        <f>V1675</f>
        <v>5</v>
      </c>
      <c r="W1681" s="105">
        <f>W1675</f>
        <v>4</v>
      </c>
      <c r="X1681" s="105">
        <f>X1675</f>
        <v>5</v>
      </c>
      <c r="Y1681" s="106">
        <f t="shared" ref="Y1681:Y1682" si="1500">SUM(T1681:X1681)</f>
        <v>25</v>
      </c>
      <c r="Z1681" s="106">
        <f t="shared" ref="Z1681:Z1683" si="1501">G1681+M1681+S1681+Y1681</f>
        <v>88</v>
      </c>
      <c r="AB1681" s="103" t="s">
        <v>43</v>
      </c>
      <c r="AC1681" s="104">
        <f>AC1675</f>
        <v>84</v>
      </c>
      <c r="AD1681" s="105">
        <f>AD1675</f>
        <v>53</v>
      </c>
      <c r="AE1681" s="105">
        <f>AE1675</f>
        <v>58</v>
      </c>
      <c r="AF1681" s="105">
        <f>AF1675</f>
        <v>30</v>
      </c>
      <c r="AG1681" s="105">
        <f>AG1675</f>
        <v>12</v>
      </c>
      <c r="AH1681" s="106">
        <f>SUM(AC1681:AG1681)</f>
        <v>237</v>
      </c>
      <c r="AI1681" s="104">
        <f>AI1675</f>
        <v>78</v>
      </c>
      <c r="AJ1681" s="105">
        <f>AJ1675</f>
        <v>68</v>
      </c>
      <c r="AK1681" s="105">
        <f>AK1675</f>
        <v>78</v>
      </c>
      <c r="AL1681" s="105">
        <f>AL1675</f>
        <v>66</v>
      </c>
      <c r="AM1681" s="105">
        <f>AM1675</f>
        <v>74</v>
      </c>
      <c r="AN1681" s="107">
        <f>SUM(AI1681:AM1681)</f>
        <v>364</v>
      </c>
      <c r="AO1681" s="104">
        <f>AO1675</f>
        <v>137</v>
      </c>
      <c r="AP1681" s="105">
        <f>AP1675</f>
        <v>89</v>
      </c>
      <c r="AQ1681" s="105">
        <f>AQ1675</f>
        <v>92</v>
      </c>
      <c r="AR1681" s="105">
        <f>AR1675</f>
        <v>110</v>
      </c>
      <c r="AS1681" s="105">
        <f>AS1675</f>
        <v>124</v>
      </c>
      <c r="AT1681" s="108">
        <f>SUM(AO1681:AS1681)</f>
        <v>552</v>
      </c>
      <c r="AU1681" s="104">
        <f>AU1675</f>
        <v>105</v>
      </c>
      <c r="AV1681" s="105">
        <f>AV1675</f>
        <v>52</v>
      </c>
      <c r="AW1681" s="105">
        <f>AW1675</f>
        <v>22</v>
      </c>
      <c r="AX1681" s="105">
        <f>AX1675</f>
        <v>13</v>
      </c>
      <c r="AY1681" s="105">
        <f>AY1675</f>
        <v>63</v>
      </c>
      <c r="AZ1681" s="106">
        <f>SUM(AU1681:AY1681)</f>
        <v>255</v>
      </c>
      <c r="BA1681" s="106">
        <f>AH1681+AN1681+AT1681+AZ1681</f>
        <v>1408</v>
      </c>
    </row>
    <row r="1682" spans="1:55" ht="14.25" x14ac:dyDescent="0.15">
      <c r="A1682" s="10" t="s">
        <v>77</v>
      </c>
      <c r="B1682" s="14">
        <v>1</v>
      </c>
      <c r="C1682" s="15"/>
      <c r="D1682" s="15"/>
      <c r="E1682" s="15"/>
      <c r="F1682" s="15"/>
      <c r="G1682" s="43">
        <f t="shared" ref="G1682" si="1502">SUM(B1682:F1682)</f>
        <v>1</v>
      </c>
      <c r="H1682" s="14"/>
      <c r="I1682" s="15"/>
      <c r="J1682" s="15"/>
      <c r="K1682" s="15"/>
      <c r="L1682" s="15"/>
      <c r="M1682" s="43">
        <f t="shared" si="1498"/>
        <v>0</v>
      </c>
      <c r="N1682" s="14"/>
      <c r="O1682" s="55"/>
      <c r="P1682" s="55">
        <v>1</v>
      </c>
      <c r="Q1682" s="55"/>
      <c r="R1682" s="67"/>
      <c r="S1682" s="24">
        <f t="shared" si="1499"/>
        <v>1</v>
      </c>
      <c r="T1682" s="15"/>
      <c r="U1682" s="55"/>
      <c r="V1682" s="55"/>
      <c r="W1682" s="55"/>
      <c r="X1682" s="67"/>
      <c r="Y1682" s="24">
        <f t="shared" si="1500"/>
        <v>0</v>
      </c>
      <c r="Z1682" s="24">
        <f t="shared" si="1501"/>
        <v>2</v>
      </c>
      <c r="AA1682" s="83">
        <v>45421</v>
      </c>
      <c r="AB1682" s="10" t="s">
        <v>181</v>
      </c>
      <c r="AC1682" s="14"/>
      <c r="AD1682" s="15"/>
      <c r="AE1682" s="15"/>
      <c r="AF1682" s="15"/>
      <c r="AG1682" s="15"/>
      <c r="AH1682" s="43">
        <f t="shared" ref="AH1682:AH1683" si="1503">SUM(AC1682:AG1682)</f>
        <v>0</v>
      </c>
      <c r="AI1682" s="14"/>
      <c r="AJ1682" s="15"/>
      <c r="AK1682" s="15"/>
      <c r="AL1682" s="15"/>
      <c r="AM1682" s="15"/>
      <c r="AN1682" s="43">
        <f t="shared" ref="AN1682:AN1686" si="1504">SUM(AI1682:AM1682)</f>
        <v>0</v>
      </c>
      <c r="AO1682" s="14"/>
      <c r="AP1682" s="55"/>
      <c r="AQ1682" s="55"/>
      <c r="AR1682" s="55"/>
      <c r="AS1682" s="67"/>
      <c r="AT1682" s="24">
        <f t="shared" ref="AT1682:AT1686" si="1505">SUM(AO1682:AS1682)</f>
        <v>0</v>
      </c>
      <c r="AU1682" s="15"/>
      <c r="AV1682" s="55"/>
      <c r="AW1682" s="55"/>
      <c r="AX1682" s="55"/>
      <c r="AY1682" s="67"/>
      <c r="AZ1682" s="24">
        <f t="shared" ref="AZ1682:AZ1690" si="1506">SUM(AU1682:AY1682)</f>
        <v>0</v>
      </c>
      <c r="BA1682" s="24">
        <f t="shared" ref="BA1682:BA1690" si="1507">AH1682+AN1682+AT1682+AZ1682</f>
        <v>0</v>
      </c>
    </row>
    <row r="1683" spans="1:55" ht="14.25" x14ac:dyDescent="0.15">
      <c r="A1683" s="10" t="s">
        <v>181</v>
      </c>
      <c r="B1683" s="14"/>
      <c r="C1683" s="15">
        <v>5</v>
      </c>
      <c r="D1683" s="15">
        <v>3</v>
      </c>
      <c r="E1683" s="15">
        <v>3</v>
      </c>
      <c r="F1683" s="15"/>
      <c r="G1683" s="43">
        <f t="shared" ref="G1683:G1685" si="1508">SUM(B1683:F1683)</f>
        <v>11</v>
      </c>
      <c r="H1683" s="14"/>
      <c r="I1683" s="15"/>
      <c r="J1683" s="15">
        <v>5</v>
      </c>
      <c r="K1683" s="15">
        <v>3</v>
      </c>
      <c r="L1683" s="15"/>
      <c r="M1683" s="43">
        <f t="shared" si="1498"/>
        <v>8</v>
      </c>
      <c r="N1683" s="14"/>
      <c r="O1683" s="55"/>
      <c r="P1683" s="55"/>
      <c r="Q1683" s="55"/>
      <c r="R1683" s="67"/>
      <c r="S1683" s="24">
        <f t="shared" si="1499"/>
        <v>0</v>
      </c>
      <c r="T1683" s="15"/>
      <c r="U1683" s="55"/>
      <c r="V1683" s="55"/>
      <c r="W1683" s="55"/>
      <c r="X1683" s="67"/>
      <c r="Y1683" s="24">
        <f t="shared" ref="Y1683:Y1710" si="1509">SUM(T1683:X1683)</f>
        <v>0</v>
      </c>
      <c r="Z1683" s="24">
        <f t="shared" si="1501"/>
        <v>19</v>
      </c>
      <c r="AA1683" s="83">
        <v>45423</v>
      </c>
      <c r="AB1683" s="10" t="s">
        <v>181</v>
      </c>
      <c r="AC1683" s="14"/>
      <c r="AD1683" s="15"/>
      <c r="AE1683" s="15"/>
      <c r="AF1683" s="15"/>
      <c r="AG1683" s="15"/>
      <c r="AH1683" s="43">
        <f t="shared" si="1503"/>
        <v>0</v>
      </c>
      <c r="AI1683" s="14"/>
      <c r="AJ1683" s="15"/>
      <c r="AK1683" s="15"/>
      <c r="AL1683" s="15"/>
      <c r="AM1683" s="15"/>
      <c r="AN1683" s="43">
        <f t="shared" si="1504"/>
        <v>0</v>
      </c>
      <c r="AO1683" s="14"/>
      <c r="AP1683" s="55"/>
      <c r="AQ1683" s="55"/>
      <c r="AR1683" s="55"/>
      <c r="AS1683" s="67"/>
      <c r="AT1683" s="24">
        <f t="shared" si="1505"/>
        <v>0</v>
      </c>
      <c r="AU1683" s="15"/>
      <c r="AV1683" s="55"/>
      <c r="AW1683" s="55"/>
      <c r="AX1683" s="55"/>
      <c r="AY1683" s="67"/>
      <c r="AZ1683" s="24">
        <f t="shared" si="1506"/>
        <v>0</v>
      </c>
      <c r="BA1683" s="24">
        <f t="shared" si="1507"/>
        <v>0</v>
      </c>
    </row>
    <row r="1684" spans="1:55" ht="14.25" x14ac:dyDescent="0.15">
      <c r="A1684" s="10" t="s">
        <v>181</v>
      </c>
      <c r="B1684" s="14"/>
      <c r="C1684" s="15">
        <v>2</v>
      </c>
      <c r="D1684" s="15">
        <v>2</v>
      </c>
      <c r="E1684" s="15"/>
      <c r="F1684" s="15"/>
      <c r="G1684" s="43">
        <f t="shared" si="1508"/>
        <v>4</v>
      </c>
      <c r="H1684" s="14"/>
      <c r="I1684" s="15"/>
      <c r="J1684" s="15"/>
      <c r="K1684" s="15">
        <v>5</v>
      </c>
      <c r="L1684" s="15"/>
      <c r="M1684" s="43">
        <f t="shared" si="1498"/>
        <v>5</v>
      </c>
      <c r="N1684" s="14">
        <v>2</v>
      </c>
      <c r="O1684" s="55">
        <v>2</v>
      </c>
      <c r="P1684" s="55">
        <v>2</v>
      </c>
      <c r="Q1684" s="55"/>
      <c r="R1684" s="67"/>
      <c r="S1684" s="24">
        <f t="shared" si="1499"/>
        <v>6</v>
      </c>
      <c r="T1684" s="15"/>
      <c r="U1684" s="55"/>
      <c r="V1684" s="55"/>
      <c r="W1684" s="55"/>
      <c r="X1684" s="67"/>
      <c r="Y1684" s="24">
        <f t="shared" si="1509"/>
        <v>0</v>
      </c>
      <c r="Z1684" s="24">
        <f>G1684+M1684+S1684+Y1684</f>
        <v>15</v>
      </c>
      <c r="AA1684" s="83">
        <v>45437</v>
      </c>
      <c r="AB1684" s="10" t="s">
        <v>181</v>
      </c>
      <c r="AC1684" s="14"/>
      <c r="AD1684" s="15"/>
      <c r="AE1684" s="15"/>
      <c r="AF1684" s="15"/>
      <c r="AG1684" s="15"/>
      <c r="AH1684" s="43">
        <f t="shared" ref="AH1684" si="1510">SUM(AC1684:AG1684)</f>
        <v>0</v>
      </c>
      <c r="AI1684" s="14"/>
      <c r="AJ1684" s="15"/>
      <c r="AK1684" s="15"/>
      <c r="AL1684" s="15"/>
      <c r="AM1684" s="15"/>
      <c r="AN1684" s="43">
        <f t="shared" si="1504"/>
        <v>0</v>
      </c>
      <c r="AO1684" s="14"/>
      <c r="AP1684" s="55"/>
      <c r="AQ1684" s="55"/>
      <c r="AR1684" s="55"/>
      <c r="AS1684" s="67"/>
      <c r="AT1684" s="24">
        <f t="shared" si="1505"/>
        <v>0</v>
      </c>
      <c r="AU1684" s="15"/>
      <c r="AV1684" s="55"/>
      <c r="AW1684" s="55"/>
      <c r="AX1684" s="55"/>
      <c r="AY1684" s="67"/>
      <c r="AZ1684" s="24">
        <f t="shared" si="1506"/>
        <v>0</v>
      </c>
      <c r="BA1684" s="24">
        <f t="shared" si="1507"/>
        <v>0</v>
      </c>
    </row>
    <row r="1685" spans="1:55" ht="15" thickBot="1" x14ac:dyDescent="0.2">
      <c r="A1685" s="10" t="s">
        <v>181</v>
      </c>
      <c r="B1685" s="14">
        <v>3</v>
      </c>
      <c r="C1685" s="15"/>
      <c r="D1685" s="15"/>
      <c r="E1685" s="15"/>
      <c r="F1685" s="15"/>
      <c r="G1685" s="43">
        <f t="shared" si="1508"/>
        <v>3</v>
      </c>
      <c r="H1685" s="14"/>
      <c r="I1685" s="15"/>
      <c r="J1685" s="15"/>
      <c r="K1685" s="15"/>
      <c r="L1685" s="15">
        <v>5</v>
      </c>
      <c r="M1685" s="43">
        <f t="shared" si="1498"/>
        <v>5</v>
      </c>
      <c r="N1685" s="14"/>
      <c r="O1685" s="55"/>
      <c r="P1685" s="55"/>
      <c r="Q1685" s="55"/>
      <c r="R1685" s="67"/>
      <c r="S1685" s="24">
        <f t="shared" si="1499"/>
        <v>0</v>
      </c>
      <c r="T1685" s="15"/>
      <c r="U1685" s="55"/>
      <c r="V1685" s="55"/>
      <c r="W1685" s="55"/>
      <c r="X1685" s="67"/>
      <c r="Y1685" s="24">
        <f t="shared" si="1509"/>
        <v>0</v>
      </c>
      <c r="Z1685" s="24">
        <f>G1685+M1685+S1685+Y1685</f>
        <v>8</v>
      </c>
      <c r="AA1685" s="83">
        <v>45442</v>
      </c>
      <c r="AB1685" s="10" t="s">
        <v>181</v>
      </c>
      <c r="AC1685" s="14"/>
      <c r="AD1685" s="15"/>
      <c r="AE1685" s="15"/>
      <c r="AF1685" s="15"/>
      <c r="AG1685" s="15"/>
      <c r="AH1685" s="43">
        <f t="shared" ref="AH1685" si="1511">SUM(AC1685:AG1685)</f>
        <v>0</v>
      </c>
      <c r="AI1685" s="14"/>
      <c r="AJ1685" s="15"/>
      <c r="AK1685" s="15"/>
      <c r="AL1685" s="15"/>
      <c r="AM1685" s="15"/>
      <c r="AN1685" s="43">
        <f t="shared" ref="AN1685" si="1512">SUM(AI1685:AM1685)</f>
        <v>0</v>
      </c>
      <c r="AO1685" s="14"/>
      <c r="AP1685" s="55"/>
      <c r="AQ1685" s="55"/>
      <c r="AR1685" s="55"/>
      <c r="AS1685" s="67"/>
      <c r="AT1685" s="24">
        <f t="shared" ref="AT1685" si="1513">SUM(AO1685:AS1685)</f>
        <v>0</v>
      </c>
      <c r="AU1685" s="15"/>
      <c r="AV1685" s="55"/>
      <c r="AW1685" s="55"/>
      <c r="AX1685" s="55"/>
      <c r="AY1685" s="67"/>
      <c r="AZ1685" s="24">
        <f t="shared" ref="AZ1685" si="1514">SUM(AU1685:AY1685)</f>
        <v>0</v>
      </c>
      <c r="BA1685" s="24">
        <f t="shared" ref="BA1685" si="1515">AH1685+AN1685+AT1685+AZ1685</f>
        <v>0</v>
      </c>
    </row>
    <row r="1686" spans="1:55" ht="15" thickBot="1" x14ac:dyDescent="0.2">
      <c r="A1686" s="4" t="s">
        <v>12</v>
      </c>
      <c r="B1686" s="17">
        <f>SUM(B1681:B1685)</f>
        <v>9</v>
      </c>
      <c r="C1686" s="18">
        <f>SUM(C1681:C1685)</f>
        <v>9</v>
      </c>
      <c r="D1686" s="18">
        <f>SUM(D1681:D1685)</f>
        <v>9</v>
      </c>
      <c r="E1686" s="18">
        <f>SUM(E1681:E1685)</f>
        <v>6</v>
      </c>
      <c r="F1686" s="18">
        <f>SUM(F1681:F1685)</f>
        <v>3</v>
      </c>
      <c r="G1686" s="148">
        <f t="shared" ref="G1686" si="1516">SUM(B1686:F1686)</f>
        <v>36</v>
      </c>
      <c r="H1686" s="17">
        <f>SUM(H1681:H1685)</f>
        <v>5</v>
      </c>
      <c r="I1686" s="18">
        <f>SUM(I1681:I1685)</f>
        <v>5</v>
      </c>
      <c r="J1686" s="18">
        <f>SUM(J1681:J1685)</f>
        <v>8</v>
      </c>
      <c r="K1686" s="18">
        <f>SUM(K1681:K1685)</f>
        <v>11</v>
      </c>
      <c r="L1686" s="18">
        <f>SUM(L1681:L1685)</f>
        <v>10</v>
      </c>
      <c r="M1686" s="17">
        <f t="shared" si="1498"/>
        <v>39</v>
      </c>
      <c r="N1686" s="65">
        <f>SUM(N1681:N1685)</f>
        <v>8</v>
      </c>
      <c r="O1686" s="18">
        <f>SUM(O1681:O1685)</f>
        <v>7</v>
      </c>
      <c r="P1686" s="18">
        <f>SUM(P1681:P1685)</f>
        <v>6</v>
      </c>
      <c r="Q1686" s="18">
        <f>SUM(Q1681:Q1685)</f>
        <v>6</v>
      </c>
      <c r="R1686" s="70">
        <f>SUM(R1681:R1685)</f>
        <v>5</v>
      </c>
      <c r="S1686" s="49">
        <f t="shared" si="1499"/>
        <v>32</v>
      </c>
      <c r="T1686" s="74">
        <f>SUM(T1681:T1685)</f>
        <v>5</v>
      </c>
      <c r="U1686" s="18">
        <f>SUM(U1681:U1685)</f>
        <v>6</v>
      </c>
      <c r="V1686" s="18">
        <f>SUM(V1681:V1685)</f>
        <v>5</v>
      </c>
      <c r="W1686" s="18">
        <f>SUM(W1681:W1685)</f>
        <v>4</v>
      </c>
      <c r="X1686" s="70">
        <f>SUM(X1681:X1685)</f>
        <v>5</v>
      </c>
      <c r="Y1686" s="49">
        <f t="shared" si="1509"/>
        <v>25</v>
      </c>
      <c r="Z1686" s="33">
        <f t="shared" ref="Z1686:Z1710" si="1517">G1686+M1686+S1686+Y1686</f>
        <v>132</v>
      </c>
      <c r="AB1686" s="4" t="s">
        <v>12</v>
      </c>
      <c r="AC1686" s="17">
        <f>SUM(AC1681:AC1685)</f>
        <v>84</v>
      </c>
      <c r="AD1686" s="18">
        <f>SUM(AD1681:AD1685)</f>
        <v>53</v>
      </c>
      <c r="AE1686" s="18">
        <f>SUM(AE1681:AE1685)</f>
        <v>58</v>
      </c>
      <c r="AF1686" s="18">
        <f>SUM(AF1681:AF1685)</f>
        <v>30</v>
      </c>
      <c r="AG1686" s="18">
        <f>SUM(AG1681:AG1685)</f>
        <v>12</v>
      </c>
      <c r="AH1686" s="148">
        <f t="shared" ref="AH1686" si="1518">SUM(AC1686:AG1686)</f>
        <v>237</v>
      </c>
      <c r="AI1686" s="17">
        <f>SUM(AI1681:AI1685)</f>
        <v>78</v>
      </c>
      <c r="AJ1686" s="18">
        <f>SUM(AJ1681:AJ1685)</f>
        <v>68</v>
      </c>
      <c r="AK1686" s="18">
        <f>SUM(AK1681:AK1685)</f>
        <v>78</v>
      </c>
      <c r="AL1686" s="18">
        <f>SUM(AL1681:AL1685)</f>
        <v>66</v>
      </c>
      <c r="AM1686" s="18">
        <f>SUM(AM1681:AM1685)</f>
        <v>74</v>
      </c>
      <c r="AN1686" s="148">
        <f t="shared" si="1504"/>
        <v>364</v>
      </c>
      <c r="AO1686" s="65">
        <f>SUM(AO1681:AO1685)</f>
        <v>137</v>
      </c>
      <c r="AP1686" s="18">
        <f>SUM(AP1681:AP1685)</f>
        <v>89</v>
      </c>
      <c r="AQ1686" s="18">
        <f>SUM(AQ1681:AQ1685)</f>
        <v>92</v>
      </c>
      <c r="AR1686" s="18">
        <f>SUM(AR1681:AR1685)</f>
        <v>110</v>
      </c>
      <c r="AS1686" s="70">
        <f>SUM(AS1681:AS1685)</f>
        <v>124</v>
      </c>
      <c r="AT1686" s="49">
        <f t="shared" si="1505"/>
        <v>552</v>
      </c>
      <c r="AU1686" s="74">
        <f>SUM(AU1681:AU1685)</f>
        <v>105</v>
      </c>
      <c r="AV1686" s="18">
        <f>SUM(AV1681:AV1685)</f>
        <v>52</v>
      </c>
      <c r="AW1686" s="18">
        <f>SUM(AW1681:AW1685)</f>
        <v>22</v>
      </c>
      <c r="AX1686" s="18">
        <f>SUM(AX1681:AX1685)</f>
        <v>13</v>
      </c>
      <c r="AY1686" s="70">
        <f>SUM(AY1681:AY1685)</f>
        <v>63</v>
      </c>
      <c r="AZ1686" s="49">
        <f t="shared" si="1506"/>
        <v>255</v>
      </c>
      <c r="BA1686" s="33">
        <f t="shared" si="1507"/>
        <v>1408</v>
      </c>
    </row>
    <row r="1687" spans="1:55" ht="14.25" x14ac:dyDescent="0.15">
      <c r="A1687" s="23" t="s">
        <v>434</v>
      </c>
      <c r="B1687" s="41"/>
      <c r="C1687" s="42"/>
      <c r="D1687" s="42"/>
      <c r="E1687" s="42"/>
      <c r="F1687" s="42"/>
      <c r="G1687" s="43">
        <f t="shared" ref="G1687:G1710" si="1519">SUM(B1687:F1687)</f>
        <v>0</v>
      </c>
      <c r="H1687" s="41"/>
      <c r="I1687" s="42"/>
      <c r="J1687" s="42">
        <v>1</v>
      </c>
      <c r="K1687" s="42"/>
      <c r="L1687" s="42"/>
      <c r="M1687" s="43">
        <f t="shared" ref="M1687:M1710" si="1520">SUM(H1687:L1687)</f>
        <v>1</v>
      </c>
      <c r="N1687" s="42"/>
      <c r="O1687" s="53"/>
      <c r="P1687" s="53"/>
      <c r="Q1687" s="53"/>
      <c r="R1687" s="72"/>
      <c r="S1687" s="24">
        <f t="shared" si="1499"/>
        <v>0</v>
      </c>
      <c r="T1687" s="42"/>
      <c r="U1687" s="53"/>
      <c r="V1687" s="53"/>
      <c r="W1687" s="53"/>
      <c r="X1687" s="72"/>
      <c r="Y1687" s="24">
        <f t="shared" si="1509"/>
        <v>0</v>
      </c>
      <c r="Z1687" s="24">
        <f t="shared" si="1517"/>
        <v>1</v>
      </c>
      <c r="AA1687" s="83">
        <v>45419</v>
      </c>
      <c r="AB1687" s="23" t="s">
        <v>662</v>
      </c>
      <c r="AC1687" s="38"/>
      <c r="AD1687" s="39"/>
      <c r="AE1687" s="39"/>
      <c r="AF1687" s="39">
        <v>3</v>
      </c>
      <c r="AG1687" s="39"/>
      <c r="AH1687" s="37">
        <f t="shared" ref="AH1687:AH1691" si="1521">SUM(AC1687:AG1687)</f>
        <v>3</v>
      </c>
      <c r="AI1687" s="38"/>
      <c r="AJ1687" s="39"/>
      <c r="AK1687" s="39"/>
      <c r="AL1687" s="39"/>
      <c r="AM1687" s="39"/>
      <c r="AN1687" s="37">
        <f t="shared" ref="AN1687:AN1690" si="1522">SUM(AI1687:AM1687)</f>
        <v>0</v>
      </c>
      <c r="AO1687" s="39"/>
      <c r="AP1687" s="56"/>
      <c r="AQ1687" s="56"/>
      <c r="AR1687" s="56"/>
      <c r="AS1687" s="71"/>
      <c r="AT1687" s="16">
        <f t="shared" ref="AT1687:AT1690" si="1523">SUM(AO1687:AS1687)</f>
        <v>0</v>
      </c>
      <c r="AU1687" s="39"/>
      <c r="AV1687" s="56">
        <v>1</v>
      </c>
      <c r="AW1687" s="56">
        <v>1</v>
      </c>
      <c r="AX1687" s="56"/>
      <c r="AY1687" s="71"/>
      <c r="AZ1687" s="16">
        <f t="shared" si="1506"/>
        <v>2</v>
      </c>
      <c r="BA1687" s="16">
        <f t="shared" si="1507"/>
        <v>5</v>
      </c>
      <c r="BB1687" s="83">
        <v>45426</v>
      </c>
    </row>
    <row r="1688" spans="1:55" ht="14.25" x14ac:dyDescent="0.15">
      <c r="A1688" s="23" t="s">
        <v>434</v>
      </c>
      <c r="B1688" s="41"/>
      <c r="C1688" s="42">
        <v>1</v>
      </c>
      <c r="D1688" s="42">
        <v>1</v>
      </c>
      <c r="E1688" s="42"/>
      <c r="F1688" s="42"/>
      <c r="G1688" s="43">
        <f t="shared" si="1519"/>
        <v>2</v>
      </c>
      <c r="H1688" s="41"/>
      <c r="I1688" s="42"/>
      <c r="J1688" s="42"/>
      <c r="K1688" s="42"/>
      <c r="L1688" s="42"/>
      <c r="M1688" s="43">
        <f t="shared" si="1520"/>
        <v>0</v>
      </c>
      <c r="N1688" s="42"/>
      <c r="O1688" s="53"/>
      <c r="P1688" s="53"/>
      <c r="Q1688" s="53"/>
      <c r="R1688" s="72"/>
      <c r="S1688" s="24">
        <f t="shared" si="1499"/>
        <v>0</v>
      </c>
      <c r="T1688" s="42"/>
      <c r="U1688" s="53"/>
      <c r="V1688" s="53"/>
      <c r="W1688" s="53"/>
      <c r="X1688" s="72"/>
      <c r="Y1688" s="24">
        <f t="shared" si="1509"/>
        <v>0</v>
      </c>
      <c r="Z1688" s="24">
        <f t="shared" si="1517"/>
        <v>2</v>
      </c>
      <c r="AA1688" s="83">
        <v>45422</v>
      </c>
      <c r="AB1688" s="23" t="s">
        <v>126</v>
      </c>
      <c r="AC1688" s="38"/>
      <c r="AD1688" s="39">
        <v>5</v>
      </c>
      <c r="AE1688" s="39">
        <v>3</v>
      </c>
      <c r="AF1688" s="39">
        <v>3</v>
      </c>
      <c r="AG1688" s="39"/>
      <c r="AH1688" s="37">
        <f t="shared" si="1521"/>
        <v>11</v>
      </c>
      <c r="AI1688" s="38"/>
      <c r="AJ1688" s="39"/>
      <c r="AK1688" s="39">
        <v>5</v>
      </c>
      <c r="AL1688" s="39">
        <v>3</v>
      </c>
      <c r="AM1688" s="39"/>
      <c r="AN1688" s="37">
        <f t="shared" ref="AN1688" si="1524">SUM(AI1688:AM1688)</f>
        <v>8</v>
      </c>
      <c r="AO1688" s="39"/>
      <c r="AP1688" s="56"/>
      <c r="AQ1688" s="56"/>
      <c r="AR1688" s="56"/>
      <c r="AS1688" s="71"/>
      <c r="AT1688" s="16">
        <f t="shared" ref="AT1688" si="1525">SUM(AO1688:AS1688)</f>
        <v>0</v>
      </c>
      <c r="AU1688" s="39"/>
      <c r="AV1688" s="56"/>
      <c r="AW1688" s="56"/>
      <c r="AX1688" s="56"/>
      <c r="AY1688" s="71"/>
      <c r="AZ1688" s="16">
        <f t="shared" ref="AZ1688" si="1526">SUM(AU1688:AY1688)</f>
        <v>0</v>
      </c>
      <c r="BA1688" s="16">
        <f t="shared" si="1507"/>
        <v>19</v>
      </c>
      <c r="BB1688" s="83">
        <v>45423</v>
      </c>
    </row>
    <row r="1689" spans="1:55" ht="14.25" x14ac:dyDescent="0.15">
      <c r="A1689" s="23" t="s">
        <v>434</v>
      </c>
      <c r="B1689" s="41"/>
      <c r="C1689" s="42"/>
      <c r="D1689" s="42"/>
      <c r="E1689" s="42"/>
      <c r="F1689" s="42"/>
      <c r="G1689" s="43">
        <f t="shared" si="1519"/>
        <v>0</v>
      </c>
      <c r="H1689" s="41"/>
      <c r="I1689" s="42"/>
      <c r="J1689" s="42"/>
      <c r="K1689" s="42"/>
      <c r="L1689" s="42"/>
      <c r="M1689" s="43">
        <f t="shared" si="1520"/>
        <v>0</v>
      </c>
      <c r="N1689" s="42">
        <v>1</v>
      </c>
      <c r="O1689" s="53"/>
      <c r="P1689" s="53"/>
      <c r="Q1689" s="53"/>
      <c r="R1689" s="72"/>
      <c r="S1689" s="24">
        <f t="shared" si="1499"/>
        <v>1</v>
      </c>
      <c r="T1689" s="42"/>
      <c r="U1689" s="53"/>
      <c r="V1689" s="53"/>
      <c r="W1689" s="53">
        <v>1</v>
      </c>
      <c r="X1689" s="72"/>
      <c r="Y1689" s="24">
        <f t="shared" si="1509"/>
        <v>1</v>
      </c>
      <c r="Z1689" s="24">
        <f t="shared" si="1517"/>
        <v>2</v>
      </c>
      <c r="AA1689" s="83">
        <v>45422</v>
      </c>
      <c r="AB1689" s="23" t="s">
        <v>664</v>
      </c>
      <c r="AC1689" s="38"/>
      <c r="AD1689" s="39"/>
      <c r="AE1689" s="39"/>
      <c r="AF1689" s="39"/>
      <c r="AG1689" s="39"/>
      <c r="AH1689" s="37">
        <f t="shared" si="1521"/>
        <v>0</v>
      </c>
      <c r="AI1689" s="38"/>
      <c r="AJ1689" s="39"/>
      <c r="AK1689" s="39"/>
      <c r="AL1689" s="39">
        <v>1</v>
      </c>
      <c r="AM1689" s="39"/>
      <c r="AN1689" s="37">
        <f t="shared" si="1522"/>
        <v>1</v>
      </c>
      <c r="AO1689" s="39"/>
      <c r="AP1689" s="56"/>
      <c r="AQ1689" s="56"/>
      <c r="AR1689" s="56"/>
      <c r="AS1689" s="71"/>
      <c r="AT1689" s="16">
        <f t="shared" si="1523"/>
        <v>0</v>
      </c>
      <c r="AU1689" s="39"/>
      <c r="AV1689" s="56"/>
      <c r="AW1689" s="56"/>
      <c r="AX1689" s="56"/>
      <c r="AY1689" s="71"/>
      <c r="AZ1689" s="16">
        <f t="shared" si="1506"/>
        <v>0</v>
      </c>
      <c r="BA1689" s="16">
        <f t="shared" si="1507"/>
        <v>1</v>
      </c>
      <c r="BB1689" s="83">
        <v>45429</v>
      </c>
    </row>
    <row r="1690" spans="1:55" ht="14.25" x14ac:dyDescent="0.15">
      <c r="A1690" s="23" t="s">
        <v>48</v>
      </c>
      <c r="B1690" s="41"/>
      <c r="C1690" s="42"/>
      <c r="D1690" s="42"/>
      <c r="E1690" s="42"/>
      <c r="F1690" s="42"/>
      <c r="G1690" s="43">
        <f t="shared" si="1519"/>
        <v>0</v>
      </c>
      <c r="H1690" s="41"/>
      <c r="I1690" s="42"/>
      <c r="J1690" s="42">
        <v>1</v>
      </c>
      <c r="K1690" s="42"/>
      <c r="L1690" s="42"/>
      <c r="M1690" s="43">
        <f t="shared" si="1520"/>
        <v>1</v>
      </c>
      <c r="N1690" s="42"/>
      <c r="O1690" s="53"/>
      <c r="P1690" s="53"/>
      <c r="Q1690" s="53"/>
      <c r="R1690" s="72"/>
      <c r="S1690" s="24">
        <f t="shared" si="1499"/>
        <v>0</v>
      </c>
      <c r="T1690" s="42"/>
      <c r="U1690" s="53"/>
      <c r="V1690" s="53"/>
      <c r="W1690" s="53"/>
      <c r="X1690" s="72"/>
      <c r="Y1690" s="24">
        <f t="shared" si="1509"/>
        <v>0</v>
      </c>
      <c r="Z1690" s="24">
        <f t="shared" si="1517"/>
        <v>1</v>
      </c>
      <c r="AA1690" s="83">
        <v>45421</v>
      </c>
      <c r="AB1690" s="23" t="s">
        <v>666</v>
      </c>
      <c r="AC1690" s="38"/>
      <c r="AD1690" s="39"/>
      <c r="AE1690" s="39"/>
      <c r="AF1690" s="39"/>
      <c r="AG1690" s="39"/>
      <c r="AH1690" s="37">
        <f t="shared" si="1521"/>
        <v>0</v>
      </c>
      <c r="AI1690" s="38"/>
      <c r="AJ1690" s="39"/>
      <c r="AK1690" s="39"/>
      <c r="AL1690" s="39">
        <v>1</v>
      </c>
      <c r="AM1690" s="39"/>
      <c r="AN1690" s="37">
        <f t="shared" si="1522"/>
        <v>1</v>
      </c>
      <c r="AO1690" s="39"/>
      <c r="AP1690" s="56"/>
      <c r="AQ1690" s="56"/>
      <c r="AR1690" s="56"/>
      <c r="AS1690" s="71"/>
      <c r="AT1690" s="16">
        <f t="shared" si="1523"/>
        <v>0</v>
      </c>
      <c r="AU1690" s="39"/>
      <c r="AV1690" s="56"/>
      <c r="AW1690" s="56"/>
      <c r="AX1690" s="56"/>
      <c r="AY1690" s="71"/>
      <c r="AZ1690" s="16">
        <f t="shared" si="1506"/>
        <v>0</v>
      </c>
      <c r="BA1690" s="16">
        <f t="shared" si="1507"/>
        <v>1</v>
      </c>
      <c r="BB1690" s="83">
        <v>45439</v>
      </c>
      <c r="BC1690" s="111"/>
    </row>
    <row r="1691" spans="1:55" ht="14.25" x14ac:dyDescent="0.15">
      <c r="A1691" s="23" t="s">
        <v>663</v>
      </c>
      <c r="B1691" s="41"/>
      <c r="C1691" s="42"/>
      <c r="D1691" s="42"/>
      <c r="E1691" s="42"/>
      <c r="F1691" s="42"/>
      <c r="G1691" s="43">
        <f t="shared" si="1519"/>
        <v>0</v>
      </c>
      <c r="H1691" s="41"/>
      <c r="I1691" s="42"/>
      <c r="J1691" s="42"/>
      <c r="K1691" s="42">
        <v>1</v>
      </c>
      <c r="L1691" s="42"/>
      <c r="M1691" s="43">
        <f t="shared" si="1520"/>
        <v>1</v>
      </c>
      <c r="N1691" s="42"/>
      <c r="O1691" s="53"/>
      <c r="P1691" s="53"/>
      <c r="Q1691" s="53"/>
      <c r="R1691" s="72"/>
      <c r="S1691" s="24">
        <f t="shared" si="1499"/>
        <v>0</v>
      </c>
      <c r="T1691" s="42"/>
      <c r="U1691" s="53"/>
      <c r="V1691" s="53"/>
      <c r="W1691" s="53"/>
      <c r="X1691" s="72"/>
      <c r="Y1691" s="24">
        <f t="shared" si="1509"/>
        <v>0</v>
      </c>
      <c r="Z1691" s="24">
        <f t="shared" si="1517"/>
        <v>1</v>
      </c>
      <c r="AA1691" s="83">
        <v>45422</v>
      </c>
      <c r="AB1691" s="23" t="s">
        <v>126</v>
      </c>
      <c r="AC1691" s="14"/>
      <c r="AD1691" s="15">
        <v>2</v>
      </c>
      <c r="AE1691" s="15">
        <v>2</v>
      </c>
      <c r="AF1691" s="15"/>
      <c r="AG1691" s="15"/>
      <c r="AH1691" s="43">
        <f t="shared" si="1521"/>
        <v>4</v>
      </c>
      <c r="AI1691" s="14"/>
      <c r="AJ1691" s="15"/>
      <c r="AK1691" s="15"/>
      <c r="AL1691" s="15">
        <v>5</v>
      </c>
      <c r="AM1691" s="15"/>
      <c r="AN1691" s="43">
        <f t="shared" ref="AN1691" si="1527">SUM(AI1691:AM1691)</f>
        <v>5</v>
      </c>
      <c r="AO1691" s="14">
        <v>2</v>
      </c>
      <c r="AP1691" s="55">
        <v>2</v>
      </c>
      <c r="AQ1691" s="55">
        <v>2</v>
      </c>
      <c r="AR1691" s="55"/>
      <c r="AS1691" s="67"/>
      <c r="AT1691" s="24">
        <f t="shared" ref="AT1691" si="1528">SUM(AO1691:AS1691)</f>
        <v>6</v>
      </c>
      <c r="AU1691" s="15"/>
      <c r="AV1691" s="55"/>
      <c r="AW1691" s="55"/>
      <c r="AX1691" s="55"/>
      <c r="AY1691" s="67"/>
      <c r="AZ1691" s="24">
        <f t="shared" ref="AZ1691" si="1529">SUM(AU1691:AY1691)</f>
        <v>0</v>
      </c>
      <c r="BA1691" s="24">
        <f>AH1691+AN1691+AT1691+AZ1691</f>
        <v>15</v>
      </c>
      <c r="BB1691" s="83">
        <v>45437</v>
      </c>
    </row>
    <row r="1692" spans="1:55" ht="14.25" x14ac:dyDescent="0.15">
      <c r="A1692" s="23" t="s">
        <v>434</v>
      </c>
      <c r="B1692" s="41"/>
      <c r="C1692" s="42"/>
      <c r="D1692" s="42"/>
      <c r="E1692" s="42"/>
      <c r="F1692" s="42"/>
      <c r="G1692" s="43">
        <f t="shared" si="1519"/>
        <v>0</v>
      </c>
      <c r="H1692" s="41"/>
      <c r="I1692" s="42"/>
      <c r="J1692" s="42"/>
      <c r="K1692" s="42"/>
      <c r="L1692" s="42"/>
      <c r="M1692" s="43">
        <f t="shared" si="1520"/>
        <v>0</v>
      </c>
      <c r="N1692" s="42"/>
      <c r="O1692" s="53">
        <v>1</v>
      </c>
      <c r="P1692" s="53"/>
      <c r="Q1692" s="53"/>
      <c r="R1692" s="72"/>
      <c r="S1692" s="24">
        <f t="shared" si="1499"/>
        <v>1</v>
      </c>
      <c r="T1692" s="42"/>
      <c r="U1692" s="53"/>
      <c r="V1692" s="53"/>
      <c r="W1692" s="53"/>
      <c r="X1692" s="72"/>
      <c r="Y1692" s="24">
        <f t="shared" si="1509"/>
        <v>0</v>
      </c>
      <c r="Z1692" s="24">
        <f t="shared" si="1517"/>
        <v>1</v>
      </c>
      <c r="AA1692" s="83">
        <v>45425</v>
      </c>
      <c r="AB1692" s="23" t="s">
        <v>667</v>
      </c>
      <c r="AC1692" s="38"/>
      <c r="AD1692" s="39"/>
      <c r="AE1692" s="39"/>
      <c r="AF1692" s="39"/>
      <c r="AG1692" s="39"/>
      <c r="AH1692" s="37">
        <f t="shared" ref="AH1692:AH1698" si="1530">SUM(AC1692:AG1692)</f>
        <v>0</v>
      </c>
      <c r="AI1692" s="38"/>
      <c r="AJ1692" s="39"/>
      <c r="AK1692" s="39"/>
      <c r="AL1692" s="39"/>
      <c r="AM1692" s="39"/>
      <c r="AN1692" s="37">
        <f t="shared" ref="AN1692:AN1698" si="1531">SUM(AI1692:AM1692)</f>
        <v>0</v>
      </c>
      <c r="AO1692" s="39"/>
      <c r="AP1692" s="56"/>
      <c r="AQ1692" s="56">
        <v>1</v>
      </c>
      <c r="AR1692" s="56"/>
      <c r="AS1692" s="71"/>
      <c r="AT1692" s="16">
        <f t="shared" ref="AT1692:AT1698" si="1532">SUM(AO1692:AS1692)</f>
        <v>1</v>
      </c>
      <c r="AU1692" s="39"/>
      <c r="AV1692" s="56"/>
      <c r="AW1692" s="56"/>
      <c r="AX1692" s="56"/>
      <c r="AY1692" s="71"/>
      <c r="AZ1692" s="16">
        <f t="shared" ref="AZ1692:AZ1703" si="1533">SUM(AU1692:AY1692)</f>
        <v>0</v>
      </c>
      <c r="BA1692" s="16">
        <f t="shared" ref="BA1692:BA1714" si="1534">AH1692+AN1692+AT1692+AZ1692</f>
        <v>1</v>
      </c>
      <c r="BB1692" s="83">
        <v>45443</v>
      </c>
    </row>
    <row r="1693" spans="1:55" ht="14.25" x14ac:dyDescent="0.15">
      <c r="A1693" s="23" t="s">
        <v>48</v>
      </c>
      <c r="B1693" s="41"/>
      <c r="C1693" s="42"/>
      <c r="D1693" s="42">
        <f>1+1</f>
        <v>2</v>
      </c>
      <c r="E1693" s="42"/>
      <c r="F1693" s="42"/>
      <c r="G1693" s="43">
        <f t="shared" si="1519"/>
        <v>2</v>
      </c>
      <c r="H1693" s="41"/>
      <c r="I1693" s="42"/>
      <c r="J1693" s="42"/>
      <c r="K1693" s="42"/>
      <c r="L1693" s="42"/>
      <c r="M1693" s="43">
        <f t="shared" si="1520"/>
        <v>0</v>
      </c>
      <c r="N1693" s="42"/>
      <c r="O1693" s="53"/>
      <c r="P1693" s="53"/>
      <c r="Q1693" s="53"/>
      <c r="R1693" s="72"/>
      <c r="S1693" s="24">
        <f t="shared" si="1499"/>
        <v>0</v>
      </c>
      <c r="T1693" s="42"/>
      <c r="U1693" s="53"/>
      <c r="V1693" s="53"/>
      <c r="W1693" s="53"/>
      <c r="X1693" s="72"/>
      <c r="Y1693" s="24">
        <f t="shared" si="1509"/>
        <v>0</v>
      </c>
      <c r="Z1693" s="24">
        <f t="shared" si="1517"/>
        <v>2</v>
      </c>
      <c r="AA1693" s="83">
        <v>45422</v>
      </c>
      <c r="AB1693" s="23" t="s">
        <v>126</v>
      </c>
      <c r="AC1693" s="38">
        <v>3</v>
      </c>
      <c r="AD1693" s="39"/>
      <c r="AE1693" s="39"/>
      <c r="AF1693" s="39"/>
      <c r="AG1693" s="39"/>
      <c r="AH1693" s="37">
        <f t="shared" ref="AH1693" si="1535">SUM(AC1693:AG1693)</f>
        <v>3</v>
      </c>
      <c r="AI1693" s="38"/>
      <c r="AJ1693" s="39"/>
      <c r="AK1693" s="39"/>
      <c r="AL1693" s="39"/>
      <c r="AM1693" s="39">
        <v>5</v>
      </c>
      <c r="AN1693" s="37">
        <f t="shared" si="1531"/>
        <v>5</v>
      </c>
      <c r="AO1693" s="39"/>
      <c r="AP1693" s="56"/>
      <c r="AQ1693" s="56"/>
      <c r="AR1693" s="56"/>
      <c r="AS1693" s="71"/>
      <c r="AT1693" s="16">
        <f t="shared" si="1532"/>
        <v>0</v>
      </c>
      <c r="AU1693" s="39"/>
      <c r="AV1693" s="56"/>
      <c r="AW1693" s="56"/>
      <c r="AX1693" s="56"/>
      <c r="AY1693" s="71"/>
      <c r="AZ1693" s="16">
        <f t="shared" ref="AZ1693" si="1536">SUM(AU1693:AY1693)</f>
        <v>0</v>
      </c>
      <c r="BA1693" s="16">
        <f>AH1693+AN1693+AT1693+AZ1693</f>
        <v>8</v>
      </c>
      <c r="BB1693" s="83">
        <v>45442</v>
      </c>
      <c r="BC1693" s="111"/>
    </row>
    <row r="1694" spans="1:55" ht="14.25" x14ac:dyDescent="0.15">
      <c r="A1694" s="23" t="s">
        <v>434</v>
      </c>
      <c r="B1694" s="41"/>
      <c r="C1694" s="42"/>
      <c r="D1694" s="42"/>
      <c r="E1694" s="42"/>
      <c r="F1694" s="42"/>
      <c r="G1694" s="43">
        <f t="shared" si="1519"/>
        <v>0</v>
      </c>
      <c r="H1694" s="41"/>
      <c r="I1694" s="42"/>
      <c r="J1694" s="42"/>
      <c r="K1694" s="42"/>
      <c r="L1694" s="42"/>
      <c r="M1694" s="43">
        <f t="shared" si="1520"/>
        <v>0</v>
      </c>
      <c r="N1694" s="42"/>
      <c r="O1694" s="53"/>
      <c r="P1694" s="53"/>
      <c r="Q1694" s="53"/>
      <c r="R1694" s="72"/>
      <c r="S1694" s="24">
        <f t="shared" si="1499"/>
        <v>0</v>
      </c>
      <c r="T1694" s="42">
        <v>1</v>
      </c>
      <c r="U1694" s="53"/>
      <c r="V1694" s="53"/>
      <c r="W1694" s="53"/>
      <c r="X1694" s="72"/>
      <c r="Y1694" s="24">
        <f t="shared" si="1509"/>
        <v>1</v>
      </c>
      <c r="Z1694" s="24">
        <f t="shared" si="1517"/>
        <v>1</v>
      </c>
      <c r="AA1694" s="83">
        <v>45427</v>
      </c>
      <c r="AB1694" s="23"/>
      <c r="AC1694" s="38"/>
      <c r="AD1694" s="39"/>
      <c r="AE1694" s="39"/>
      <c r="AF1694" s="39"/>
      <c r="AG1694" s="39"/>
      <c r="AH1694" s="37">
        <f t="shared" si="1530"/>
        <v>0</v>
      </c>
      <c r="AI1694" s="38"/>
      <c r="AJ1694" s="39"/>
      <c r="AK1694" s="39"/>
      <c r="AL1694" s="39"/>
      <c r="AM1694" s="39"/>
      <c r="AN1694" s="37">
        <f t="shared" si="1531"/>
        <v>0</v>
      </c>
      <c r="AO1694" s="39"/>
      <c r="AP1694" s="56"/>
      <c r="AQ1694" s="56"/>
      <c r="AR1694" s="56"/>
      <c r="AS1694" s="71"/>
      <c r="AT1694" s="16">
        <f t="shared" si="1532"/>
        <v>0</v>
      </c>
      <c r="AU1694" s="39"/>
      <c r="AV1694" s="56"/>
      <c r="AW1694" s="56"/>
      <c r="AX1694" s="56"/>
      <c r="AY1694" s="71"/>
      <c r="AZ1694" s="16">
        <f t="shared" si="1533"/>
        <v>0</v>
      </c>
      <c r="BA1694" s="16">
        <f t="shared" si="1534"/>
        <v>0</v>
      </c>
      <c r="BB1694" s="128"/>
      <c r="BC1694" s="111"/>
    </row>
    <row r="1695" spans="1:55" ht="14.25" x14ac:dyDescent="0.15">
      <c r="A1695" s="23" t="s">
        <v>496</v>
      </c>
      <c r="B1695" s="41"/>
      <c r="C1695" s="42"/>
      <c r="D1695" s="42"/>
      <c r="E1695" s="42"/>
      <c r="F1695" s="42"/>
      <c r="G1695" s="43">
        <f t="shared" si="1519"/>
        <v>0</v>
      </c>
      <c r="H1695" s="41"/>
      <c r="I1695" s="42"/>
      <c r="J1695" s="42"/>
      <c r="K1695" s="42"/>
      <c r="L1695" s="42">
        <v>1</v>
      </c>
      <c r="M1695" s="43">
        <f t="shared" si="1520"/>
        <v>1</v>
      </c>
      <c r="N1695" s="42"/>
      <c r="O1695" s="53"/>
      <c r="P1695" s="53"/>
      <c r="Q1695" s="53"/>
      <c r="R1695" s="72"/>
      <c r="S1695" s="24">
        <f t="shared" si="1499"/>
        <v>0</v>
      </c>
      <c r="T1695" s="42"/>
      <c r="U1695" s="53"/>
      <c r="V1695" s="53"/>
      <c r="W1695" s="53"/>
      <c r="X1695" s="72"/>
      <c r="Y1695" s="24">
        <f t="shared" si="1509"/>
        <v>0</v>
      </c>
      <c r="Z1695" s="24">
        <f t="shared" si="1517"/>
        <v>1</v>
      </c>
      <c r="AA1695" s="83">
        <v>45426</v>
      </c>
      <c r="AB1695" s="23"/>
      <c r="AC1695" s="38"/>
      <c r="AD1695" s="39"/>
      <c r="AE1695" s="39"/>
      <c r="AF1695" s="39"/>
      <c r="AG1695" s="39"/>
      <c r="AH1695" s="37">
        <f t="shared" si="1530"/>
        <v>0</v>
      </c>
      <c r="AI1695" s="38"/>
      <c r="AJ1695" s="39"/>
      <c r="AK1695" s="39"/>
      <c r="AL1695" s="39"/>
      <c r="AM1695" s="39"/>
      <c r="AN1695" s="37">
        <f t="shared" si="1531"/>
        <v>0</v>
      </c>
      <c r="AO1695" s="39"/>
      <c r="AP1695" s="56"/>
      <c r="AQ1695" s="56"/>
      <c r="AR1695" s="56"/>
      <c r="AS1695" s="71"/>
      <c r="AT1695" s="16">
        <f t="shared" si="1532"/>
        <v>0</v>
      </c>
      <c r="AU1695" s="39"/>
      <c r="AV1695" s="56"/>
      <c r="AW1695" s="56"/>
      <c r="AX1695" s="56"/>
      <c r="AY1695" s="71"/>
      <c r="AZ1695" s="16">
        <f t="shared" si="1533"/>
        <v>0</v>
      </c>
      <c r="BA1695" s="16">
        <f t="shared" si="1534"/>
        <v>0</v>
      </c>
    </row>
    <row r="1696" spans="1:55" ht="14.25" x14ac:dyDescent="0.15">
      <c r="A1696" s="23" t="s">
        <v>434</v>
      </c>
      <c r="B1696" s="41"/>
      <c r="C1696" s="42"/>
      <c r="D1696" s="42"/>
      <c r="E1696" s="42"/>
      <c r="F1696" s="42"/>
      <c r="G1696" s="43">
        <f t="shared" si="1519"/>
        <v>0</v>
      </c>
      <c r="H1696" s="41"/>
      <c r="I1696" s="42"/>
      <c r="J1696" s="42"/>
      <c r="K1696" s="42"/>
      <c r="L1696" s="42">
        <v>1</v>
      </c>
      <c r="M1696" s="43">
        <f t="shared" si="1520"/>
        <v>1</v>
      </c>
      <c r="N1696" s="42"/>
      <c r="O1696" s="53"/>
      <c r="P1696" s="53"/>
      <c r="Q1696" s="53"/>
      <c r="R1696" s="72"/>
      <c r="S1696" s="24">
        <f t="shared" si="1499"/>
        <v>0</v>
      </c>
      <c r="T1696" s="42"/>
      <c r="U1696" s="53"/>
      <c r="V1696" s="53"/>
      <c r="W1696" s="53"/>
      <c r="X1696" s="72"/>
      <c r="Y1696" s="24">
        <f t="shared" si="1509"/>
        <v>0</v>
      </c>
      <c r="Z1696" s="24">
        <f t="shared" si="1517"/>
        <v>1</v>
      </c>
      <c r="AA1696" s="83">
        <v>45428</v>
      </c>
      <c r="AB1696" s="23"/>
      <c r="AC1696" s="38"/>
      <c r="AD1696" s="39"/>
      <c r="AE1696" s="39"/>
      <c r="AF1696" s="39"/>
      <c r="AG1696" s="39"/>
      <c r="AH1696" s="37">
        <f t="shared" si="1530"/>
        <v>0</v>
      </c>
      <c r="AI1696" s="38"/>
      <c r="AJ1696" s="39"/>
      <c r="AK1696" s="39"/>
      <c r="AL1696" s="39"/>
      <c r="AM1696" s="39"/>
      <c r="AN1696" s="37">
        <f t="shared" si="1531"/>
        <v>0</v>
      </c>
      <c r="AO1696" s="39"/>
      <c r="AP1696" s="56"/>
      <c r="AQ1696" s="56"/>
      <c r="AR1696" s="56"/>
      <c r="AS1696" s="71"/>
      <c r="AT1696" s="16">
        <f t="shared" si="1532"/>
        <v>0</v>
      </c>
      <c r="AU1696" s="39"/>
      <c r="AV1696" s="56"/>
      <c r="AW1696" s="56"/>
      <c r="AX1696" s="56"/>
      <c r="AY1696" s="71"/>
      <c r="AZ1696" s="16">
        <f t="shared" si="1533"/>
        <v>0</v>
      </c>
      <c r="BA1696" s="16">
        <f t="shared" si="1534"/>
        <v>0</v>
      </c>
    </row>
    <row r="1697" spans="1:54" ht="14.25" x14ac:dyDescent="0.15">
      <c r="A1697" s="23" t="s">
        <v>434</v>
      </c>
      <c r="B1697" s="41"/>
      <c r="C1697" s="42">
        <v>1</v>
      </c>
      <c r="D1697" s="42"/>
      <c r="E1697" s="42"/>
      <c r="F1697" s="42"/>
      <c r="G1697" s="43">
        <f t="shared" si="1519"/>
        <v>1</v>
      </c>
      <c r="H1697" s="41"/>
      <c r="I1697" s="42"/>
      <c r="J1697" s="42"/>
      <c r="K1697" s="42"/>
      <c r="L1697" s="42"/>
      <c r="M1697" s="43">
        <f t="shared" si="1520"/>
        <v>0</v>
      </c>
      <c r="N1697" s="42"/>
      <c r="O1697" s="53">
        <v>1</v>
      </c>
      <c r="P1697" s="53"/>
      <c r="Q1697" s="53"/>
      <c r="R1697" s="72"/>
      <c r="S1697" s="24">
        <f t="shared" si="1499"/>
        <v>1</v>
      </c>
      <c r="T1697" s="42"/>
      <c r="U1697" s="53"/>
      <c r="V1697" s="53"/>
      <c r="W1697" s="53"/>
      <c r="X1697" s="72"/>
      <c r="Y1697" s="24">
        <f t="shared" si="1509"/>
        <v>0</v>
      </c>
      <c r="Z1697" s="24">
        <f t="shared" si="1517"/>
        <v>2</v>
      </c>
      <c r="AA1697" s="83">
        <v>45429</v>
      </c>
      <c r="AB1697" s="23"/>
      <c r="AC1697" s="38"/>
      <c r="AD1697" s="39"/>
      <c r="AE1697" s="39"/>
      <c r="AF1697" s="39"/>
      <c r="AG1697" s="39"/>
      <c r="AH1697" s="37">
        <f t="shared" si="1530"/>
        <v>0</v>
      </c>
      <c r="AI1697" s="38"/>
      <c r="AJ1697" s="39"/>
      <c r="AK1697" s="39"/>
      <c r="AL1697" s="39"/>
      <c r="AM1697" s="39"/>
      <c r="AN1697" s="37">
        <f t="shared" si="1531"/>
        <v>0</v>
      </c>
      <c r="AO1697" s="39"/>
      <c r="AP1697" s="56"/>
      <c r="AQ1697" s="56"/>
      <c r="AR1697" s="56"/>
      <c r="AS1697" s="71"/>
      <c r="AT1697" s="16">
        <f t="shared" si="1532"/>
        <v>0</v>
      </c>
      <c r="AU1697" s="39"/>
      <c r="AV1697" s="56"/>
      <c r="AW1697" s="56"/>
      <c r="AX1697" s="56"/>
      <c r="AY1697" s="71"/>
      <c r="AZ1697" s="16">
        <f t="shared" si="1533"/>
        <v>0</v>
      </c>
      <c r="BA1697" s="16">
        <f t="shared" si="1534"/>
        <v>0</v>
      </c>
    </row>
    <row r="1698" spans="1:54" ht="14.25" x14ac:dyDescent="0.15">
      <c r="A1698" s="23" t="s">
        <v>48</v>
      </c>
      <c r="B1698" s="41"/>
      <c r="C1698" s="42">
        <v>1</v>
      </c>
      <c r="D1698" s="42"/>
      <c r="E1698" s="42"/>
      <c r="F1698" s="42"/>
      <c r="G1698" s="43">
        <f t="shared" si="1519"/>
        <v>1</v>
      </c>
      <c r="H1698" s="41"/>
      <c r="I1698" s="42"/>
      <c r="J1698" s="42"/>
      <c r="K1698" s="42"/>
      <c r="L1698" s="42"/>
      <c r="M1698" s="43">
        <f t="shared" si="1520"/>
        <v>0</v>
      </c>
      <c r="N1698" s="42"/>
      <c r="O1698" s="53"/>
      <c r="P1698" s="53"/>
      <c r="Q1698" s="53"/>
      <c r="R1698" s="72"/>
      <c r="S1698" s="24">
        <f t="shared" si="1499"/>
        <v>0</v>
      </c>
      <c r="T1698" s="42"/>
      <c r="U1698" s="53"/>
      <c r="V1698" s="53"/>
      <c r="W1698" s="53"/>
      <c r="X1698" s="72"/>
      <c r="Y1698" s="24">
        <f t="shared" si="1509"/>
        <v>0</v>
      </c>
      <c r="Z1698" s="24">
        <f t="shared" si="1517"/>
        <v>1</v>
      </c>
      <c r="AA1698" s="83">
        <v>45428</v>
      </c>
      <c r="AB1698" s="23"/>
      <c r="AC1698" s="38"/>
      <c r="AD1698" s="39"/>
      <c r="AE1698" s="39"/>
      <c r="AF1698" s="39"/>
      <c r="AG1698" s="39"/>
      <c r="AH1698" s="37">
        <f t="shared" si="1530"/>
        <v>0</v>
      </c>
      <c r="AI1698" s="38"/>
      <c r="AJ1698" s="39"/>
      <c r="AK1698" s="39"/>
      <c r="AL1698" s="39"/>
      <c r="AM1698" s="39"/>
      <c r="AN1698" s="37">
        <f t="shared" si="1531"/>
        <v>0</v>
      </c>
      <c r="AO1698" s="39"/>
      <c r="AP1698" s="56"/>
      <c r="AQ1698" s="56"/>
      <c r="AR1698" s="56"/>
      <c r="AS1698" s="71"/>
      <c r="AT1698" s="16">
        <f t="shared" si="1532"/>
        <v>0</v>
      </c>
      <c r="AU1698" s="39"/>
      <c r="AV1698" s="56"/>
      <c r="AW1698" s="56"/>
      <c r="AX1698" s="56"/>
      <c r="AY1698" s="71"/>
      <c r="AZ1698" s="16">
        <f t="shared" si="1533"/>
        <v>0</v>
      </c>
      <c r="BA1698" s="16">
        <f t="shared" si="1534"/>
        <v>0</v>
      </c>
    </row>
    <row r="1699" spans="1:54" ht="14.25" x14ac:dyDescent="0.15">
      <c r="A1699" s="23" t="s">
        <v>434</v>
      </c>
      <c r="B1699" s="41"/>
      <c r="C1699" s="42"/>
      <c r="D1699" s="42"/>
      <c r="E1699" s="42"/>
      <c r="F1699" s="42">
        <v>1</v>
      </c>
      <c r="G1699" s="43">
        <f t="shared" si="1519"/>
        <v>1</v>
      </c>
      <c r="H1699" s="41"/>
      <c r="I1699" s="42"/>
      <c r="J1699" s="42"/>
      <c r="K1699" s="42"/>
      <c r="L1699" s="42"/>
      <c r="M1699" s="43">
        <f t="shared" si="1520"/>
        <v>0</v>
      </c>
      <c r="N1699" s="42"/>
      <c r="O1699" s="53"/>
      <c r="P1699" s="53"/>
      <c r="Q1699" s="53"/>
      <c r="R1699" s="72"/>
      <c r="S1699" s="24">
        <f t="shared" si="1499"/>
        <v>0</v>
      </c>
      <c r="T1699" s="42"/>
      <c r="U1699" s="53"/>
      <c r="V1699" s="53"/>
      <c r="W1699" s="53"/>
      <c r="X1699" s="72"/>
      <c r="Y1699" s="24">
        <f t="shared" si="1509"/>
        <v>0</v>
      </c>
      <c r="Z1699" s="24">
        <f t="shared" si="1517"/>
        <v>1</v>
      </c>
      <c r="AA1699" s="83">
        <v>45432</v>
      </c>
      <c r="AB1699" s="23"/>
      <c r="AC1699" s="38"/>
      <c r="AD1699" s="39"/>
      <c r="AE1699" s="39"/>
      <c r="AF1699" s="39"/>
      <c r="AG1699" s="39"/>
      <c r="AH1699" s="37">
        <f t="shared" ref="AH1699:AH1703" si="1537">SUM(AC1699:AG1699)</f>
        <v>0</v>
      </c>
      <c r="AI1699" s="38"/>
      <c r="AJ1699" s="39"/>
      <c r="AK1699" s="39"/>
      <c r="AL1699" s="39"/>
      <c r="AM1699" s="39"/>
      <c r="AN1699" s="37">
        <f t="shared" ref="AN1699:AN1703" si="1538">SUM(AI1699:AM1699)</f>
        <v>0</v>
      </c>
      <c r="AO1699" s="39"/>
      <c r="AP1699" s="56"/>
      <c r="AQ1699" s="56"/>
      <c r="AR1699" s="56"/>
      <c r="AS1699" s="71"/>
      <c r="AT1699" s="16">
        <f t="shared" ref="AT1699:AT1703" si="1539">SUM(AO1699:AS1699)</f>
        <v>0</v>
      </c>
      <c r="AU1699" s="39"/>
      <c r="AV1699" s="56"/>
      <c r="AW1699" s="56"/>
      <c r="AX1699" s="56"/>
      <c r="AY1699" s="71"/>
      <c r="AZ1699" s="16">
        <f t="shared" si="1533"/>
        <v>0</v>
      </c>
      <c r="BA1699" s="16">
        <f t="shared" si="1534"/>
        <v>0</v>
      </c>
    </row>
    <row r="1700" spans="1:54" ht="14.25" x14ac:dyDescent="0.15">
      <c r="A1700" s="23" t="s">
        <v>434</v>
      </c>
      <c r="B1700" s="41"/>
      <c r="C1700" s="42"/>
      <c r="D1700" s="42"/>
      <c r="E1700" s="42"/>
      <c r="F1700" s="42"/>
      <c r="G1700" s="43">
        <f t="shared" si="1519"/>
        <v>0</v>
      </c>
      <c r="H1700" s="41"/>
      <c r="I1700" s="42"/>
      <c r="J1700" s="42"/>
      <c r="K1700" s="42"/>
      <c r="L1700" s="42"/>
      <c r="M1700" s="43">
        <f t="shared" si="1520"/>
        <v>0</v>
      </c>
      <c r="N1700" s="42"/>
      <c r="O1700" s="53"/>
      <c r="P1700" s="53"/>
      <c r="Q1700" s="53"/>
      <c r="R1700" s="72"/>
      <c r="S1700" s="24">
        <f t="shared" si="1499"/>
        <v>0</v>
      </c>
      <c r="T1700" s="42"/>
      <c r="U1700" s="53">
        <v>1</v>
      </c>
      <c r="V1700" s="53"/>
      <c r="W1700" s="53"/>
      <c r="X1700" s="72"/>
      <c r="Y1700" s="24">
        <f t="shared" si="1509"/>
        <v>1</v>
      </c>
      <c r="Z1700" s="24">
        <f t="shared" si="1517"/>
        <v>1</v>
      </c>
      <c r="AA1700" s="83">
        <v>45434</v>
      </c>
      <c r="AB1700" s="23"/>
      <c r="AC1700" s="38"/>
      <c r="AD1700" s="39"/>
      <c r="AE1700" s="39"/>
      <c r="AF1700" s="39"/>
      <c r="AG1700" s="39"/>
      <c r="AH1700" s="37">
        <f t="shared" si="1537"/>
        <v>0</v>
      </c>
      <c r="AI1700" s="38"/>
      <c r="AJ1700" s="39"/>
      <c r="AK1700" s="39"/>
      <c r="AL1700" s="39"/>
      <c r="AM1700" s="39"/>
      <c r="AN1700" s="37">
        <f t="shared" si="1538"/>
        <v>0</v>
      </c>
      <c r="AO1700" s="39"/>
      <c r="AP1700" s="56"/>
      <c r="AQ1700" s="56"/>
      <c r="AR1700" s="56"/>
      <c r="AS1700" s="71"/>
      <c r="AT1700" s="16">
        <f t="shared" si="1539"/>
        <v>0</v>
      </c>
      <c r="AU1700" s="39"/>
      <c r="AV1700" s="56"/>
      <c r="AW1700" s="56"/>
      <c r="AX1700" s="56"/>
      <c r="AY1700" s="71"/>
      <c r="AZ1700" s="16">
        <f t="shared" si="1533"/>
        <v>0</v>
      </c>
      <c r="BA1700" s="16">
        <f t="shared" si="1534"/>
        <v>0</v>
      </c>
    </row>
    <row r="1701" spans="1:54" ht="14.25" x14ac:dyDescent="0.15">
      <c r="A1701" s="23" t="s">
        <v>496</v>
      </c>
      <c r="B1701" s="41"/>
      <c r="C1701" s="42"/>
      <c r="D1701" s="42">
        <v>1</v>
      </c>
      <c r="E1701" s="42"/>
      <c r="F1701" s="42"/>
      <c r="G1701" s="43">
        <f t="shared" si="1519"/>
        <v>1</v>
      </c>
      <c r="H1701" s="41"/>
      <c r="I1701" s="42"/>
      <c r="J1701" s="42"/>
      <c r="K1701" s="42"/>
      <c r="L1701" s="42"/>
      <c r="M1701" s="43">
        <f t="shared" si="1520"/>
        <v>0</v>
      </c>
      <c r="N1701" s="42"/>
      <c r="O1701" s="53"/>
      <c r="P1701" s="53"/>
      <c r="Q1701" s="53"/>
      <c r="R1701" s="72"/>
      <c r="S1701" s="24">
        <f t="shared" si="1499"/>
        <v>0</v>
      </c>
      <c r="T1701" s="42"/>
      <c r="U1701" s="53"/>
      <c r="V1701" s="53"/>
      <c r="W1701" s="53"/>
      <c r="X1701" s="72"/>
      <c r="Y1701" s="24">
        <f t="shared" si="1509"/>
        <v>0</v>
      </c>
      <c r="Z1701" s="24">
        <f t="shared" si="1517"/>
        <v>1</v>
      </c>
      <c r="AA1701" s="83">
        <v>45433</v>
      </c>
      <c r="AB1701" s="23"/>
      <c r="AC1701" s="38"/>
      <c r="AD1701" s="39"/>
      <c r="AE1701" s="39"/>
      <c r="AF1701" s="39"/>
      <c r="AG1701" s="39"/>
      <c r="AH1701" s="37">
        <f t="shared" si="1537"/>
        <v>0</v>
      </c>
      <c r="AI1701" s="38"/>
      <c r="AJ1701" s="39"/>
      <c r="AK1701" s="39"/>
      <c r="AL1701" s="39"/>
      <c r="AM1701" s="39"/>
      <c r="AN1701" s="37">
        <f t="shared" si="1538"/>
        <v>0</v>
      </c>
      <c r="AO1701" s="39"/>
      <c r="AP1701" s="56"/>
      <c r="AQ1701" s="56"/>
      <c r="AR1701" s="56"/>
      <c r="AS1701" s="71"/>
      <c r="AT1701" s="16">
        <f t="shared" si="1539"/>
        <v>0</v>
      </c>
      <c r="AU1701" s="39"/>
      <c r="AV1701" s="56"/>
      <c r="AW1701" s="56"/>
      <c r="AX1701" s="56"/>
      <c r="AY1701" s="71"/>
      <c r="AZ1701" s="16">
        <f t="shared" si="1533"/>
        <v>0</v>
      </c>
      <c r="BA1701" s="16">
        <f t="shared" si="1534"/>
        <v>0</v>
      </c>
    </row>
    <row r="1702" spans="1:54" ht="14.25" x14ac:dyDescent="0.15">
      <c r="A1702" s="23" t="s">
        <v>48</v>
      </c>
      <c r="B1702" s="41"/>
      <c r="C1702" s="42"/>
      <c r="D1702" s="42"/>
      <c r="E1702" s="42"/>
      <c r="F1702" s="42"/>
      <c r="G1702" s="43">
        <f t="shared" si="1519"/>
        <v>0</v>
      </c>
      <c r="H1702" s="41"/>
      <c r="I1702" s="42"/>
      <c r="J1702" s="42"/>
      <c r="K1702" s="42"/>
      <c r="L1702" s="42">
        <v>1</v>
      </c>
      <c r="M1702" s="43">
        <f t="shared" si="1520"/>
        <v>1</v>
      </c>
      <c r="N1702" s="42"/>
      <c r="O1702" s="53"/>
      <c r="P1702" s="53"/>
      <c r="Q1702" s="53">
        <v>1</v>
      </c>
      <c r="R1702" s="72"/>
      <c r="S1702" s="24">
        <f t="shared" si="1499"/>
        <v>1</v>
      </c>
      <c r="T1702" s="42"/>
      <c r="U1702" s="53"/>
      <c r="V1702" s="53">
        <v>1</v>
      </c>
      <c r="W1702" s="53"/>
      <c r="X1702" s="72"/>
      <c r="Y1702" s="24">
        <f t="shared" si="1509"/>
        <v>1</v>
      </c>
      <c r="Z1702" s="24">
        <f t="shared" si="1517"/>
        <v>3</v>
      </c>
      <c r="AA1702" s="83">
        <v>45432</v>
      </c>
      <c r="AB1702" s="23"/>
      <c r="AC1702" s="38"/>
      <c r="AD1702" s="39"/>
      <c r="AE1702" s="39"/>
      <c r="AF1702" s="39"/>
      <c r="AG1702" s="39"/>
      <c r="AH1702" s="37">
        <f t="shared" si="1537"/>
        <v>0</v>
      </c>
      <c r="AI1702" s="38"/>
      <c r="AJ1702" s="39"/>
      <c r="AK1702" s="39"/>
      <c r="AL1702" s="39"/>
      <c r="AM1702" s="39"/>
      <c r="AN1702" s="37">
        <f t="shared" si="1538"/>
        <v>0</v>
      </c>
      <c r="AO1702" s="39"/>
      <c r="AP1702" s="56"/>
      <c r="AQ1702" s="56"/>
      <c r="AR1702" s="56"/>
      <c r="AS1702" s="71"/>
      <c r="AT1702" s="16">
        <f t="shared" si="1539"/>
        <v>0</v>
      </c>
      <c r="AU1702" s="39"/>
      <c r="AV1702" s="56"/>
      <c r="AW1702" s="56"/>
      <c r="AX1702" s="56"/>
      <c r="AY1702" s="71"/>
      <c r="AZ1702" s="16">
        <f t="shared" si="1533"/>
        <v>0</v>
      </c>
      <c r="BA1702" s="16">
        <f t="shared" si="1534"/>
        <v>0</v>
      </c>
    </row>
    <row r="1703" spans="1:54" ht="14.25" x14ac:dyDescent="0.15">
      <c r="A1703" s="23" t="s">
        <v>665</v>
      </c>
      <c r="B1703" s="41">
        <v>1</v>
      </c>
      <c r="C1703" s="42"/>
      <c r="D1703" s="42"/>
      <c r="E1703" s="42"/>
      <c r="F1703" s="42"/>
      <c r="G1703" s="43">
        <f t="shared" si="1519"/>
        <v>1</v>
      </c>
      <c r="H1703" s="41">
        <v>1</v>
      </c>
      <c r="I1703" s="42"/>
      <c r="J1703" s="42"/>
      <c r="K1703" s="42"/>
      <c r="L1703" s="42"/>
      <c r="M1703" s="43">
        <f t="shared" si="1520"/>
        <v>1</v>
      </c>
      <c r="N1703" s="42">
        <v>1</v>
      </c>
      <c r="O1703" s="53"/>
      <c r="P1703" s="53"/>
      <c r="Q1703" s="53"/>
      <c r="R1703" s="72"/>
      <c r="S1703" s="24">
        <f t="shared" si="1499"/>
        <v>1</v>
      </c>
      <c r="T1703" s="42"/>
      <c r="U1703" s="53"/>
      <c r="V1703" s="53"/>
      <c r="W1703" s="53"/>
      <c r="X1703" s="72"/>
      <c r="Y1703" s="24">
        <f t="shared" si="1509"/>
        <v>0</v>
      </c>
      <c r="Z1703" s="24">
        <f t="shared" si="1517"/>
        <v>3</v>
      </c>
      <c r="AA1703" s="83">
        <v>45433</v>
      </c>
      <c r="AB1703" s="23"/>
      <c r="AC1703" s="38"/>
      <c r="AD1703" s="39"/>
      <c r="AE1703" s="39"/>
      <c r="AF1703" s="39"/>
      <c r="AG1703" s="39"/>
      <c r="AH1703" s="37">
        <f t="shared" si="1537"/>
        <v>0</v>
      </c>
      <c r="AI1703" s="38"/>
      <c r="AJ1703" s="39"/>
      <c r="AK1703" s="39"/>
      <c r="AL1703" s="39"/>
      <c r="AM1703" s="39"/>
      <c r="AN1703" s="37">
        <f t="shared" si="1538"/>
        <v>0</v>
      </c>
      <c r="AO1703" s="39"/>
      <c r="AP1703" s="56"/>
      <c r="AQ1703" s="56"/>
      <c r="AR1703" s="56"/>
      <c r="AS1703" s="71"/>
      <c r="AT1703" s="16">
        <f t="shared" si="1539"/>
        <v>0</v>
      </c>
      <c r="AU1703" s="39"/>
      <c r="AV1703" s="56"/>
      <c r="AW1703" s="56"/>
      <c r="AX1703" s="56"/>
      <c r="AY1703" s="71"/>
      <c r="AZ1703" s="16">
        <f t="shared" si="1533"/>
        <v>0</v>
      </c>
      <c r="BA1703" s="16">
        <f t="shared" si="1534"/>
        <v>0</v>
      </c>
    </row>
    <row r="1704" spans="1:54" ht="14.25" x14ac:dyDescent="0.15">
      <c r="A1704" s="23" t="s">
        <v>434</v>
      </c>
      <c r="B1704" s="41">
        <v>1</v>
      </c>
      <c r="C1704" s="42"/>
      <c r="D1704" s="42">
        <v>1</v>
      </c>
      <c r="E1704" s="42"/>
      <c r="F1704" s="42"/>
      <c r="G1704" s="43">
        <f t="shared" si="1519"/>
        <v>2</v>
      </c>
      <c r="H1704" s="41"/>
      <c r="I1704" s="42"/>
      <c r="J1704" s="42"/>
      <c r="K1704" s="42"/>
      <c r="L1704" s="42"/>
      <c r="M1704" s="43">
        <f t="shared" si="1520"/>
        <v>0</v>
      </c>
      <c r="N1704" s="42"/>
      <c r="O1704" s="53"/>
      <c r="P1704" s="53">
        <v>1</v>
      </c>
      <c r="Q1704" s="53"/>
      <c r="R1704" s="72"/>
      <c r="S1704" s="24">
        <f t="shared" si="1499"/>
        <v>1</v>
      </c>
      <c r="T1704" s="42"/>
      <c r="U1704" s="53"/>
      <c r="V1704" s="53"/>
      <c r="W1704" s="53"/>
      <c r="X1704" s="72"/>
      <c r="Y1704" s="24">
        <f t="shared" si="1509"/>
        <v>0</v>
      </c>
      <c r="Z1704" s="24">
        <f t="shared" si="1517"/>
        <v>3</v>
      </c>
      <c r="AA1704" s="83">
        <v>45436</v>
      </c>
      <c r="AB1704" s="23"/>
      <c r="AC1704" s="38"/>
      <c r="AD1704" s="39"/>
      <c r="AE1704" s="39"/>
      <c r="AF1704" s="39"/>
      <c r="AG1704" s="39"/>
      <c r="AH1704" s="37">
        <f t="shared" ref="AH1704:AH1708" si="1540">SUM(AC1704:AG1704)</f>
        <v>0</v>
      </c>
      <c r="AI1704" s="38"/>
      <c r="AJ1704" s="39"/>
      <c r="AK1704" s="39"/>
      <c r="AL1704" s="39"/>
      <c r="AM1704" s="39"/>
      <c r="AN1704" s="37">
        <f t="shared" ref="AN1704:AN1712" si="1541">SUM(AI1704:AM1704)</f>
        <v>0</v>
      </c>
      <c r="AO1704" s="39"/>
      <c r="AP1704" s="56"/>
      <c r="AQ1704" s="56"/>
      <c r="AR1704" s="56"/>
      <c r="AS1704" s="71"/>
      <c r="AT1704" s="16">
        <f t="shared" ref="AT1704:AT1712" si="1542">SUM(AO1704:AS1704)</f>
        <v>0</v>
      </c>
      <c r="AU1704" s="39"/>
      <c r="AV1704" s="56"/>
      <c r="AW1704" s="56"/>
      <c r="AX1704" s="56"/>
      <c r="AY1704" s="71"/>
      <c r="AZ1704" s="16">
        <f t="shared" ref="AZ1704:AZ1712" si="1543">SUM(AU1704:AY1704)</f>
        <v>0</v>
      </c>
      <c r="BA1704" s="16">
        <f t="shared" si="1534"/>
        <v>0</v>
      </c>
    </row>
    <row r="1705" spans="1:54" ht="14.25" x14ac:dyDescent="0.15">
      <c r="A1705" s="23" t="s">
        <v>48</v>
      </c>
      <c r="B1705" s="41"/>
      <c r="C1705" s="42"/>
      <c r="D1705" s="42"/>
      <c r="E1705" s="42"/>
      <c r="F1705" s="42"/>
      <c r="G1705" s="43">
        <f t="shared" si="1519"/>
        <v>0</v>
      </c>
      <c r="H1705" s="41"/>
      <c r="I1705" s="42"/>
      <c r="J1705" s="42"/>
      <c r="K1705" s="42"/>
      <c r="L1705" s="42">
        <v>1</v>
      </c>
      <c r="M1705" s="43">
        <f t="shared" si="1520"/>
        <v>1</v>
      </c>
      <c r="N1705" s="42"/>
      <c r="O1705" s="53"/>
      <c r="P1705" s="53"/>
      <c r="Q1705" s="53"/>
      <c r="R1705" s="72"/>
      <c r="S1705" s="24">
        <f t="shared" si="1499"/>
        <v>0</v>
      </c>
      <c r="T1705" s="42"/>
      <c r="U1705" s="53"/>
      <c r="V1705" s="53"/>
      <c r="W1705" s="53"/>
      <c r="X1705" s="72"/>
      <c r="Y1705" s="24">
        <f t="shared" si="1509"/>
        <v>0</v>
      </c>
      <c r="Z1705" s="24">
        <f t="shared" si="1517"/>
        <v>1</v>
      </c>
      <c r="AA1705" s="83">
        <v>45434</v>
      </c>
      <c r="AB1705" s="23"/>
      <c r="AC1705" s="38"/>
      <c r="AD1705" s="39"/>
      <c r="AE1705" s="39"/>
      <c r="AF1705" s="39"/>
      <c r="AG1705" s="39"/>
      <c r="AH1705" s="37">
        <f t="shared" si="1540"/>
        <v>0</v>
      </c>
      <c r="AI1705" s="38"/>
      <c r="AJ1705" s="39"/>
      <c r="AK1705" s="39"/>
      <c r="AL1705" s="39"/>
      <c r="AM1705" s="39"/>
      <c r="AN1705" s="37">
        <f t="shared" si="1541"/>
        <v>0</v>
      </c>
      <c r="AO1705" s="39"/>
      <c r="AP1705" s="56"/>
      <c r="AQ1705" s="56"/>
      <c r="AR1705" s="56"/>
      <c r="AS1705" s="71"/>
      <c r="AT1705" s="16">
        <f t="shared" si="1542"/>
        <v>0</v>
      </c>
      <c r="AU1705" s="39"/>
      <c r="AV1705" s="56"/>
      <c r="AW1705" s="56"/>
      <c r="AX1705" s="56"/>
      <c r="AY1705" s="71"/>
      <c r="AZ1705" s="16">
        <f t="shared" si="1543"/>
        <v>0</v>
      </c>
      <c r="BA1705" s="16">
        <f t="shared" si="1534"/>
        <v>0</v>
      </c>
    </row>
    <row r="1706" spans="1:54" ht="14.25" x14ac:dyDescent="0.15">
      <c r="A1706" s="23" t="s">
        <v>434</v>
      </c>
      <c r="B1706" s="41"/>
      <c r="C1706" s="42">
        <v>1</v>
      </c>
      <c r="D1706" s="42"/>
      <c r="E1706" s="42"/>
      <c r="F1706" s="42"/>
      <c r="G1706" s="43">
        <f t="shared" si="1519"/>
        <v>1</v>
      </c>
      <c r="H1706" s="41"/>
      <c r="I1706" s="42"/>
      <c r="J1706" s="42"/>
      <c r="K1706" s="42"/>
      <c r="L1706" s="42"/>
      <c r="M1706" s="43">
        <f t="shared" si="1520"/>
        <v>0</v>
      </c>
      <c r="N1706" s="42"/>
      <c r="O1706" s="53"/>
      <c r="P1706" s="53"/>
      <c r="Q1706" s="53"/>
      <c r="R1706" s="72"/>
      <c r="S1706" s="24">
        <f t="shared" si="1499"/>
        <v>0</v>
      </c>
      <c r="T1706" s="42"/>
      <c r="U1706" s="53"/>
      <c r="V1706" s="53"/>
      <c r="W1706" s="53"/>
      <c r="X1706" s="72"/>
      <c r="Y1706" s="24">
        <f t="shared" si="1509"/>
        <v>0</v>
      </c>
      <c r="Z1706" s="24">
        <f t="shared" si="1517"/>
        <v>1</v>
      </c>
      <c r="AA1706" s="83">
        <v>45436</v>
      </c>
      <c r="AB1706" s="23"/>
      <c r="AC1706" s="38"/>
      <c r="AD1706" s="39"/>
      <c r="AE1706" s="39"/>
      <c r="AF1706" s="39"/>
      <c r="AG1706" s="39"/>
      <c r="AH1706" s="37">
        <f t="shared" si="1540"/>
        <v>0</v>
      </c>
      <c r="AI1706" s="38"/>
      <c r="AJ1706" s="39"/>
      <c r="AK1706" s="39"/>
      <c r="AL1706" s="39"/>
      <c r="AM1706" s="39"/>
      <c r="AN1706" s="37">
        <f t="shared" si="1541"/>
        <v>0</v>
      </c>
      <c r="AO1706" s="39"/>
      <c r="AP1706" s="56"/>
      <c r="AQ1706" s="56"/>
      <c r="AR1706" s="56"/>
      <c r="AS1706" s="71"/>
      <c r="AT1706" s="16">
        <f t="shared" si="1542"/>
        <v>0</v>
      </c>
      <c r="AU1706" s="39"/>
      <c r="AV1706" s="56"/>
      <c r="AW1706" s="56"/>
      <c r="AX1706" s="56"/>
      <c r="AY1706" s="71"/>
      <c r="AZ1706" s="16">
        <f t="shared" si="1543"/>
        <v>0</v>
      </c>
      <c r="BA1706" s="16">
        <f t="shared" si="1534"/>
        <v>0</v>
      </c>
    </row>
    <row r="1707" spans="1:54" ht="14.25" x14ac:dyDescent="0.15">
      <c r="A1707" s="23" t="s">
        <v>496</v>
      </c>
      <c r="B1707" s="41"/>
      <c r="C1707" s="42"/>
      <c r="D1707" s="42"/>
      <c r="E1707" s="42"/>
      <c r="F1707" s="42"/>
      <c r="G1707" s="43">
        <f t="shared" si="1519"/>
        <v>0</v>
      </c>
      <c r="H1707" s="41"/>
      <c r="I1707" s="42"/>
      <c r="J1707" s="42"/>
      <c r="K1707" s="42"/>
      <c r="L1707" s="42"/>
      <c r="M1707" s="43">
        <f t="shared" si="1520"/>
        <v>0</v>
      </c>
      <c r="N1707" s="42">
        <v>1</v>
      </c>
      <c r="O1707" s="53"/>
      <c r="P1707" s="53"/>
      <c r="Q1707" s="53"/>
      <c r="R1707" s="72"/>
      <c r="S1707" s="24">
        <f t="shared" si="1499"/>
        <v>1</v>
      </c>
      <c r="T1707" s="42"/>
      <c r="U1707" s="53"/>
      <c r="V1707" s="53"/>
      <c r="W1707" s="53"/>
      <c r="X1707" s="72"/>
      <c r="Y1707" s="24">
        <f t="shared" si="1509"/>
        <v>0</v>
      </c>
      <c r="Z1707" s="24">
        <f t="shared" si="1517"/>
        <v>1</v>
      </c>
      <c r="AA1707" s="83">
        <v>45437</v>
      </c>
      <c r="AB1707" s="23"/>
      <c r="AC1707" s="38"/>
      <c r="AD1707" s="39"/>
      <c r="AE1707" s="39"/>
      <c r="AF1707" s="39"/>
      <c r="AG1707" s="39"/>
      <c r="AH1707" s="37">
        <f t="shared" si="1540"/>
        <v>0</v>
      </c>
      <c r="AI1707" s="38"/>
      <c r="AJ1707" s="39"/>
      <c r="AK1707" s="39"/>
      <c r="AL1707" s="39"/>
      <c r="AM1707" s="39"/>
      <c r="AN1707" s="37">
        <f t="shared" si="1541"/>
        <v>0</v>
      </c>
      <c r="AO1707" s="39"/>
      <c r="AP1707" s="56"/>
      <c r="AQ1707" s="56"/>
      <c r="AR1707" s="56"/>
      <c r="AS1707" s="71"/>
      <c r="AT1707" s="16">
        <f t="shared" si="1542"/>
        <v>0</v>
      </c>
      <c r="AU1707" s="39"/>
      <c r="AV1707" s="56"/>
      <c r="AW1707" s="56"/>
      <c r="AX1707" s="56"/>
      <c r="AY1707" s="71"/>
      <c r="AZ1707" s="16">
        <f t="shared" si="1543"/>
        <v>0</v>
      </c>
      <c r="BA1707" s="16">
        <f t="shared" si="1534"/>
        <v>0</v>
      </c>
    </row>
    <row r="1708" spans="1:54" ht="14.25" x14ac:dyDescent="0.15">
      <c r="A1708" s="23" t="s">
        <v>434</v>
      </c>
      <c r="B1708" s="41"/>
      <c r="C1708" s="42">
        <v>1</v>
      </c>
      <c r="D1708" s="42"/>
      <c r="E1708" s="42"/>
      <c r="F1708" s="42"/>
      <c r="G1708" s="43">
        <f t="shared" si="1519"/>
        <v>1</v>
      </c>
      <c r="H1708" s="41"/>
      <c r="I1708" s="42"/>
      <c r="J1708" s="42"/>
      <c r="K1708" s="42"/>
      <c r="L1708" s="42"/>
      <c r="M1708" s="43">
        <f t="shared" si="1520"/>
        <v>0</v>
      </c>
      <c r="N1708" s="42"/>
      <c r="O1708" s="53"/>
      <c r="P1708" s="53"/>
      <c r="Q1708" s="53"/>
      <c r="R1708" s="72"/>
      <c r="S1708" s="24">
        <f t="shared" si="1499"/>
        <v>0</v>
      </c>
      <c r="T1708" s="42"/>
      <c r="U1708" s="53"/>
      <c r="V1708" s="53"/>
      <c r="W1708" s="53"/>
      <c r="X1708" s="72"/>
      <c r="Y1708" s="24">
        <f t="shared" si="1509"/>
        <v>0</v>
      </c>
      <c r="Z1708" s="24">
        <f t="shared" si="1517"/>
        <v>1</v>
      </c>
      <c r="AA1708" s="83">
        <v>45441</v>
      </c>
      <c r="AB1708" s="23"/>
      <c r="AC1708" s="38"/>
      <c r="AD1708" s="39"/>
      <c r="AE1708" s="39"/>
      <c r="AF1708" s="39"/>
      <c r="AG1708" s="39"/>
      <c r="AH1708" s="37">
        <f t="shared" si="1540"/>
        <v>0</v>
      </c>
      <c r="AI1708" s="38"/>
      <c r="AJ1708" s="39"/>
      <c r="AK1708" s="39"/>
      <c r="AL1708" s="39"/>
      <c r="AM1708" s="39"/>
      <c r="AN1708" s="37">
        <f t="shared" si="1541"/>
        <v>0</v>
      </c>
      <c r="AO1708" s="39"/>
      <c r="AP1708" s="56"/>
      <c r="AQ1708" s="56"/>
      <c r="AR1708" s="56"/>
      <c r="AS1708" s="71"/>
      <c r="AT1708" s="16">
        <f t="shared" si="1542"/>
        <v>0</v>
      </c>
      <c r="AU1708" s="39"/>
      <c r="AV1708" s="56"/>
      <c r="AW1708" s="56"/>
      <c r="AX1708" s="56"/>
      <c r="AY1708" s="71"/>
      <c r="AZ1708" s="16">
        <f t="shared" si="1543"/>
        <v>0</v>
      </c>
      <c r="BA1708" s="16">
        <f t="shared" si="1534"/>
        <v>0</v>
      </c>
    </row>
    <row r="1709" spans="1:54" ht="14.25" x14ac:dyDescent="0.15">
      <c r="A1709" s="23" t="s">
        <v>434</v>
      </c>
      <c r="B1709" s="41">
        <v>1</v>
      </c>
      <c r="C1709" s="42"/>
      <c r="D1709" s="42"/>
      <c r="E1709" s="42"/>
      <c r="F1709" s="42"/>
      <c r="G1709" s="43">
        <f t="shared" si="1519"/>
        <v>1</v>
      </c>
      <c r="H1709" s="41"/>
      <c r="I1709" s="42"/>
      <c r="J1709" s="42"/>
      <c r="K1709" s="42"/>
      <c r="L1709" s="42"/>
      <c r="M1709" s="43">
        <f t="shared" si="1520"/>
        <v>0</v>
      </c>
      <c r="N1709" s="42"/>
      <c r="O1709" s="53"/>
      <c r="P1709" s="53"/>
      <c r="Q1709" s="53"/>
      <c r="R1709" s="72"/>
      <c r="S1709" s="24">
        <f t="shared" si="1499"/>
        <v>0</v>
      </c>
      <c r="T1709" s="42"/>
      <c r="U1709" s="53"/>
      <c r="V1709" s="53"/>
      <c r="W1709" s="53"/>
      <c r="X1709" s="72"/>
      <c r="Y1709" s="24">
        <f t="shared" si="1509"/>
        <v>0</v>
      </c>
      <c r="Z1709" s="24">
        <f t="shared" si="1517"/>
        <v>1</v>
      </c>
      <c r="AA1709" s="83">
        <v>45442</v>
      </c>
      <c r="AB1709" s="23"/>
      <c r="AC1709" s="38"/>
      <c r="AD1709" s="39"/>
      <c r="AE1709" s="39"/>
      <c r="AF1709" s="39"/>
      <c r="AG1709" s="39"/>
      <c r="AH1709" s="37">
        <f t="shared" ref="AH1709" si="1544">SUM(AC1709:AG1709)</f>
        <v>0</v>
      </c>
      <c r="AI1709" s="38"/>
      <c r="AJ1709" s="39"/>
      <c r="AK1709" s="39"/>
      <c r="AL1709" s="39"/>
      <c r="AM1709" s="39"/>
      <c r="AN1709" s="37">
        <f t="shared" ref="AN1709" si="1545">SUM(AI1709:AM1709)</f>
        <v>0</v>
      </c>
      <c r="AO1709" s="39"/>
      <c r="AP1709" s="56"/>
      <c r="AQ1709" s="56"/>
      <c r="AR1709" s="56"/>
      <c r="AS1709" s="71"/>
      <c r="AT1709" s="16">
        <f t="shared" ref="AT1709" si="1546">SUM(AO1709:AS1709)</f>
        <v>0</v>
      </c>
      <c r="AU1709" s="39"/>
      <c r="AV1709" s="56"/>
      <c r="AW1709" s="56"/>
      <c r="AX1709" s="56"/>
      <c r="AY1709" s="71"/>
      <c r="AZ1709" s="16">
        <f t="shared" ref="AZ1709" si="1547">SUM(AU1709:AY1709)</f>
        <v>0</v>
      </c>
      <c r="BA1709" s="16">
        <f t="shared" ref="BA1709" si="1548">AH1709+AN1709+AT1709+AZ1709</f>
        <v>0</v>
      </c>
    </row>
    <row r="1710" spans="1:54" ht="14.25" x14ac:dyDescent="0.15">
      <c r="A1710" s="23" t="s">
        <v>668</v>
      </c>
      <c r="B1710" s="41"/>
      <c r="C1710" s="42"/>
      <c r="D1710" s="42"/>
      <c r="E1710" s="42"/>
      <c r="F1710" s="42"/>
      <c r="G1710" s="43">
        <f t="shared" si="1519"/>
        <v>0</v>
      </c>
      <c r="H1710" s="41"/>
      <c r="I1710" s="42"/>
      <c r="J1710" s="42"/>
      <c r="K1710" s="42"/>
      <c r="L1710" s="42"/>
      <c r="M1710" s="43">
        <f t="shared" si="1520"/>
        <v>0</v>
      </c>
      <c r="N1710" s="42"/>
      <c r="O1710" s="53"/>
      <c r="P1710" s="53"/>
      <c r="Q1710" s="53"/>
      <c r="R1710" s="72"/>
      <c r="S1710" s="24">
        <f t="shared" si="1499"/>
        <v>0</v>
      </c>
      <c r="T1710" s="42">
        <v>1</v>
      </c>
      <c r="U1710" s="53"/>
      <c r="V1710" s="53"/>
      <c r="W1710" s="53"/>
      <c r="X1710" s="72"/>
      <c r="Y1710" s="24">
        <f t="shared" si="1509"/>
        <v>1</v>
      </c>
      <c r="Z1710" s="24">
        <f t="shared" si="1517"/>
        <v>1</v>
      </c>
      <c r="AA1710" s="83">
        <v>45440</v>
      </c>
      <c r="AB1710" s="23"/>
      <c r="AC1710" s="38"/>
      <c r="AD1710" s="39"/>
      <c r="AE1710" s="39"/>
      <c r="AF1710" s="39"/>
      <c r="AG1710" s="39"/>
      <c r="AH1710" s="37">
        <f t="shared" ref="AH1710" si="1549">SUM(AC1710:AG1710)</f>
        <v>0</v>
      </c>
      <c r="AI1710" s="38"/>
      <c r="AJ1710" s="39"/>
      <c r="AK1710" s="39"/>
      <c r="AL1710" s="39"/>
      <c r="AM1710" s="39"/>
      <c r="AN1710" s="37">
        <f t="shared" ref="AN1710" si="1550">SUM(AI1710:AM1710)</f>
        <v>0</v>
      </c>
      <c r="AO1710" s="39"/>
      <c r="AP1710" s="56"/>
      <c r="AQ1710" s="56"/>
      <c r="AR1710" s="56"/>
      <c r="AS1710" s="71"/>
      <c r="AT1710" s="16">
        <f t="shared" ref="AT1710" si="1551">SUM(AO1710:AS1710)</f>
        <v>0</v>
      </c>
      <c r="AU1710" s="39"/>
      <c r="AV1710" s="56"/>
      <c r="AW1710" s="56"/>
      <c r="AX1710" s="56"/>
      <c r="AY1710" s="71"/>
      <c r="AZ1710" s="16">
        <f t="shared" ref="AZ1710" si="1552">SUM(AU1710:AY1710)</f>
        <v>0</v>
      </c>
      <c r="BA1710" s="16">
        <f t="shared" ref="BA1710" si="1553">AH1710+AN1710+AT1710+AZ1710</f>
        <v>0</v>
      </c>
    </row>
    <row r="1711" spans="1:54" ht="14.25" x14ac:dyDescent="0.15">
      <c r="A1711" s="23" t="s">
        <v>434</v>
      </c>
      <c r="B1711" s="41"/>
      <c r="C1711" s="42"/>
      <c r="D1711" s="42">
        <v>1</v>
      </c>
      <c r="E1711" s="42"/>
      <c r="F1711" s="42"/>
      <c r="G1711" s="43">
        <f t="shared" ref="G1711" si="1554">SUM(B1711:F1711)</f>
        <v>1</v>
      </c>
      <c r="H1711" s="41"/>
      <c r="I1711" s="42"/>
      <c r="J1711" s="42"/>
      <c r="K1711" s="42"/>
      <c r="L1711" s="42"/>
      <c r="M1711" s="43">
        <f t="shared" ref="M1711" si="1555">SUM(H1711:L1711)</f>
        <v>0</v>
      </c>
      <c r="N1711" s="42"/>
      <c r="O1711" s="53"/>
      <c r="P1711" s="53"/>
      <c r="Q1711" s="53"/>
      <c r="R1711" s="72"/>
      <c r="S1711" s="24">
        <f>SUM(N1711:R1711)</f>
        <v>0</v>
      </c>
      <c r="T1711" s="42"/>
      <c r="U1711" s="53"/>
      <c r="V1711" s="53"/>
      <c r="W1711" s="53"/>
      <c r="X1711" s="72"/>
      <c r="Y1711" s="24">
        <f>SUM(T1711:X1711)</f>
        <v>0</v>
      </c>
      <c r="Z1711" s="24">
        <f>G1711+M1711+S1711+Y1711</f>
        <v>1</v>
      </c>
      <c r="AA1711" s="83">
        <v>45443</v>
      </c>
      <c r="AB1711" s="23" t="s">
        <v>647</v>
      </c>
      <c r="AC1711" s="203"/>
      <c r="AD1711" s="204"/>
      <c r="AE1711" s="204"/>
      <c r="AF1711" s="204"/>
      <c r="AG1711" s="204"/>
      <c r="AH1711" s="37">
        <f t="shared" ref="AH1711" si="1556">SUM(AC1711:AG1711)</f>
        <v>0</v>
      </c>
      <c r="AI1711" s="38"/>
      <c r="AJ1711" s="39"/>
      <c r="AK1711" s="39"/>
      <c r="AL1711" s="39"/>
      <c r="AM1711" s="39"/>
      <c r="AN1711" s="37">
        <f t="shared" si="1541"/>
        <v>0</v>
      </c>
      <c r="AO1711" s="39"/>
      <c r="AP1711" s="56"/>
      <c r="AQ1711" s="56"/>
      <c r="AR1711" s="56"/>
      <c r="AS1711" s="71"/>
      <c r="AT1711" s="16">
        <f t="shared" si="1542"/>
        <v>0</v>
      </c>
      <c r="AU1711" s="39"/>
      <c r="AV1711" s="56"/>
      <c r="AW1711" s="56"/>
      <c r="AX1711" s="56"/>
      <c r="AY1711" s="71"/>
      <c r="AZ1711" s="16">
        <f t="shared" si="1543"/>
        <v>0</v>
      </c>
      <c r="BA1711" s="16">
        <f t="shared" si="1534"/>
        <v>0</v>
      </c>
      <c r="BB1711" s="128" t="s">
        <v>585</v>
      </c>
    </row>
    <row r="1712" spans="1:54" ht="15" thickBot="1" x14ac:dyDescent="0.2">
      <c r="A1712" s="23" t="s">
        <v>48</v>
      </c>
      <c r="B1712" s="41"/>
      <c r="C1712" s="42">
        <v>1</v>
      </c>
      <c r="D1712" s="42"/>
      <c r="E1712" s="42"/>
      <c r="F1712" s="42"/>
      <c r="G1712" s="43">
        <f t="shared" ref="G1712" si="1557">SUM(B1712:F1712)</f>
        <v>1</v>
      </c>
      <c r="H1712" s="41"/>
      <c r="I1712" s="42"/>
      <c r="J1712" s="42"/>
      <c r="K1712" s="42"/>
      <c r="L1712" s="42"/>
      <c r="M1712" s="43">
        <f t="shared" ref="M1712" si="1558">SUM(H1712:L1712)</f>
        <v>0</v>
      </c>
      <c r="N1712" s="42"/>
      <c r="O1712" s="53"/>
      <c r="P1712" s="53"/>
      <c r="Q1712" s="53"/>
      <c r="R1712" s="72"/>
      <c r="S1712" s="24">
        <f>SUM(N1712:R1712)</f>
        <v>0</v>
      </c>
      <c r="T1712" s="42"/>
      <c r="U1712" s="53"/>
      <c r="V1712" s="53"/>
      <c r="W1712" s="53"/>
      <c r="X1712" s="72"/>
      <c r="Y1712" s="24">
        <f>SUM(T1712:X1712)</f>
        <v>0</v>
      </c>
      <c r="Z1712" s="24">
        <f>G1712+M1712+S1712+Y1712</f>
        <v>1</v>
      </c>
      <c r="AA1712" s="83">
        <v>45441</v>
      </c>
      <c r="AB1712" s="23" t="s">
        <v>656</v>
      </c>
      <c r="AC1712" s="203"/>
      <c r="AD1712" s="204"/>
      <c r="AE1712" s="204"/>
      <c r="AF1712" s="204"/>
      <c r="AG1712" s="204"/>
      <c r="AH1712" s="37">
        <f t="shared" ref="AH1712" si="1559">SUM(AC1712:AG1712)</f>
        <v>0</v>
      </c>
      <c r="AI1712" s="38"/>
      <c r="AJ1712" s="39"/>
      <c r="AK1712" s="39"/>
      <c r="AL1712" s="39"/>
      <c r="AM1712" s="39"/>
      <c r="AN1712" s="37">
        <f t="shared" si="1541"/>
        <v>0</v>
      </c>
      <c r="AO1712" s="39"/>
      <c r="AP1712" s="56"/>
      <c r="AQ1712" s="56"/>
      <c r="AR1712" s="56"/>
      <c r="AS1712" s="71"/>
      <c r="AT1712" s="16">
        <f t="shared" si="1542"/>
        <v>0</v>
      </c>
      <c r="AU1712" s="39"/>
      <c r="AV1712" s="56"/>
      <c r="AW1712" s="56"/>
      <c r="AX1712" s="56"/>
      <c r="AY1712" s="71"/>
      <c r="AZ1712" s="16">
        <f t="shared" si="1543"/>
        <v>0</v>
      </c>
      <c r="BA1712" s="16">
        <f t="shared" si="1534"/>
        <v>0</v>
      </c>
      <c r="BB1712" s="128" t="s">
        <v>655</v>
      </c>
    </row>
    <row r="1713" spans="1:54" ht="15" thickBot="1" x14ac:dyDescent="0.2">
      <c r="A1713" s="9" t="s">
        <v>13</v>
      </c>
      <c r="B1713" s="25">
        <f>SUM(B1687:B1712)</f>
        <v>3</v>
      </c>
      <c r="C1713" s="26">
        <f>SUM(C1687:C1712)</f>
        <v>6</v>
      </c>
      <c r="D1713" s="26">
        <f>SUM(D1687:D1712)</f>
        <v>6</v>
      </c>
      <c r="E1713" s="26">
        <f>SUM(E1687:E1712)</f>
        <v>0</v>
      </c>
      <c r="F1713" s="27">
        <f>SUM(F1687:F1712)</f>
        <v>1</v>
      </c>
      <c r="G1713" s="19">
        <f>SUM(B1713:F1713)</f>
        <v>16</v>
      </c>
      <c r="H1713" s="25">
        <f>SUM(H1687:H1712)</f>
        <v>1</v>
      </c>
      <c r="I1713" s="26">
        <f>SUM(I1687:I1712)</f>
        <v>0</v>
      </c>
      <c r="J1713" s="26">
        <f>SUM(J1687:J1712)</f>
        <v>2</v>
      </c>
      <c r="K1713" s="26">
        <f>SUM(K1687:K1712)</f>
        <v>1</v>
      </c>
      <c r="L1713" s="27">
        <f>SUM(L1687:L1712)</f>
        <v>4</v>
      </c>
      <c r="M1713" s="25">
        <f>SUM(H1713:L1713)</f>
        <v>8</v>
      </c>
      <c r="N1713" s="65">
        <f>SUM(N1687:N1712)</f>
        <v>3</v>
      </c>
      <c r="O1713" s="18">
        <f>SUM(O1687:O1712)</f>
        <v>2</v>
      </c>
      <c r="P1713" s="18">
        <f>SUM(P1687:P1712)</f>
        <v>1</v>
      </c>
      <c r="Q1713" s="18">
        <f>SUM(Q1687:Q1712)</f>
        <v>1</v>
      </c>
      <c r="R1713" s="70">
        <f>SUM(R1687:R1712)</f>
        <v>0</v>
      </c>
      <c r="S1713" s="49">
        <f>SUM(N1713:R1713)</f>
        <v>7</v>
      </c>
      <c r="T1713" s="74">
        <f>SUM(T1687:T1712)</f>
        <v>2</v>
      </c>
      <c r="U1713" s="18">
        <f>SUM(U1687:U1712)</f>
        <v>1</v>
      </c>
      <c r="V1713" s="18">
        <f>SUM(V1687:V1712)</f>
        <v>1</v>
      </c>
      <c r="W1713" s="18">
        <f>SUM(W1687:W1712)</f>
        <v>1</v>
      </c>
      <c r="X1713" s="70">
        <f>SUM(X1687:X1712)</f>
        <v>0</v>
      </c>
      <c r="Y1713" s="49">
        <f>SUM(T1713:X1713)</f>
        <v>5</v>
      </c>
      <c r="Z1713" s="137">
        <f>G1713+M1713+S1713+Y1713</f>
        <v>36</v>
      </c>
      <c r="AB1713" s="9" t="s">
        <v>13</v>
      </c>
      <c r="AC1713" s="25">
        <f>SUM(AC1687:AC1712)</f>
        <v>3</v>
      </c>
      <c r="AD1713" s="26">
        <f t="shared" ref="AD1713" si="1560">SUM(AD1687:AD1712)</f>
        <v>7</v>
      </c>
      <c r="AE1713" s="26">
        <f t="shared" ref="AE1713" si="1561">SUM(AE1687:AE1712)</f>
        <v>5</v>
      </c>
      <c r="AF1713" s="26">
        <f t="shared" ref="AF1713" si="1562">SUM(AF1687:AF1712)</f>
        <v>6</v>
      </c>
      <c r="AG1713" s="27">
        <f t="shared" ref="AG1713" si="1563">SUM(AG1687:AG1712)</f>
        <v>0</v>
      </c>
      <c r="AH1713" s="19">
        <f>SUM(AC1713:AG1713)</f>
        <v>21</v>
      </c>
      <c r="AI1713" s="25">
        <f>SUM(AI1687:AI1712)</f>
        <v>0</v>
      </c>
      <c r="AJ1713" s="26">
        <f t="shared" ref="AJ1713" si="1564">SUM(AJ1687:AJ1712)</f>
        <v>0</v>
      </c>
      <c r="AK1713" s="26">
        <f t="shared" ref="AK1713" si="1565">SUM(AK1687:AK1712)</f>
        <v>5</v>
      </c>
      <c r="AL1713" s="26">
        <f t="shared" ref="AL1713" si="1566">SUM(AL1687:AL1712)</f>
        <v>10</v>
      </c>
      <c r="AM1713" s="27">
        <f t="shared" ref="AM1713" si="1567">SUM(AM1687:AM1712)</f>
        <v>5</v>
      </c>
      <c r="AN1713" s="19">
        <f>SUM(AI1713:AM1713)</f>
        <v>20</v>
      </c>
      <c r="AO1713" s="25">
        <f>SUM(AO1687:AO1712)</f>
        <v>2</v>
      </c>
      <c r="AP1713" s="26">
        <f t="shared" ref="AP1713" si="1568">SUM(AP1687:AP1712)</f>
        <v>2</v>
      </c>
      <c r="AQ1713" s="26">
        <f t="shared" ref="AQ1713" si="1569">SUM(AQ1687:AQ1712)</f>
        <v>3</v>
      </c>
      <c r="AR1713" s="26">
        <f t="shared" ref="AR1713" si="1570">SUM(AR1687:AR1712)</f>
        <v>0</v>
      </c>
      <c r="AS1713" s="27">
        <f t="shared" ref="AS1713" si="1571">SUM(AS1687:AS1712)</f>
        <v>0</v>
      </c>
      <c r="AT1713" s="19">
        <f>SUM(AO1713:AS1713)</f>
        <v>7</v>
      </c>
      <c r="AU1713" s="25">
        <f>SUM(AU1687:AU1712)</f>
        <v>0</v>
      </c>
      <c r="AV1713" s="26">
        <f t="shared" ref="AV1713" si="1572">SUM(AV1687:AV1712)</f>
        <v>1</v>
      </c>
      <c r="AW1713" s="26">
        <f t="shared" ref="AW1713" si="1573">SUM(AW1687:AW1712)</f>
        <v>1</v>
      </c>
      <c r="AX1713" s="26">
        <f t="shared" ref="AX1713" si="1574">SUM(AX1687:AX1712)</f>
        <v>0</v>
      </c>
      <c r="AY1713" s="27">
        <f t="shared" ref="AY1713" si="1575">SUM(AY1687:AY1712)</f>
        <v>0</v>
      </c>
      <c r="AZ1713" s="19">
        <f>SUM(AU1713:AY1713)</f>
        <v>2</v>
      </c>
      <c r="BA1713" s="77">
        <f t="shared" si="1534"/>
        <v>50</v>
      </c>
    </row>
    <row r="1714" spans="1:54" ht="15" thickBot="1" x14ac:dyDescent="0.2">
      <c r="A1714" s="32" t="s">
        <v>14</v>
      </c>
      <c r="B1714" s="29">
        <f t="shared" ref="B1714:Y1714" si="1576">B1686-B1713</f>
        <v>6</v>
      </c>
      <c r="C1714" s="30">
        <f t="shared" si="1576"/>
        <v>3</v>
      </c>
      <c r="D1714" s="30">
        <f t="shared" si="1576"/>
        <v>3</v>
      </c>
      <c r="E1714" s="30">
        <f t="shared" si="1576"/>
        <v>6</v>
      </c>
      <c r="F1714" s="31">
        <f t="shared" si="1576"/>
        <v>2</v>
      </c>
      <c r="G1714" s="31">
        <f t="shared" si="1576"/>
        <v>20</v>
      </c>
      <c r="H1714" s="29">
        <f t="shared" si="1576"/>
        <v>4</v>
      </c>
      <c r="I1714" s="30">
        <f t="shared" si="1576"/>
        <v>5</v>
      </c>
      <c r="J1714" s="30">
        <f t="shared" si="1576"/>
        <v>6</v>
      </c>
      <c r="K1714" s="30">
        <f t="shared" si="1576"/>
        <v>10</v>
      </c>
      <c r="L1714" s="31">
        <f t="shared" si="1576"/>
        <v>6</v>
      </c>
      <c r="M1714" s="66">
        <f t="shared" si="1576"/>
        <v>31</v>
      </c>
      <c r="N1714" s="29">
        <f t="shared" si="1576"/>
        <v>5</v>
      </c>
      <c r="O1714" s="30">
        <f t="shared" si="1576"/>
        <v>5</v>
      </c>
      <c r="P1714" s="30">
        <f t="shared" si="1576"/>
        <v>5</v>
      </c>
      <c r="Q1714" s="30">
        <f t="shared" si="1576"/>
        <v>5</v>
      </c>
      <c r="R1714" s="66">
        <f t="shared" si="1576"/>
        <v>5</v>
      </c>
      <c r="S1714" s="33">
        <f t="shared" si="1576"/>
        <v>25</v>
      </c>
      <c r="T1714" s="75">
        <f t="shared" si="1576"/>
        <v>3</v>
      </c>
      <c r="U1714" s="30">
        <f t="shared" si="1576"/>
        <v>5</v>
      </c>
      <c r="V1714" s="30">
        <f t="shared" si="1576"/>
        <v>4</v>
      </c>
      <c r="W1714" s="30">
        <f t="shared" si="1576"/>
        <v>3</v>
      </c>
      <c r="X1714" s="66">
        <f t="shared" si="1576"/>
        <v>5</v>
      </c>
      <c r="Y1714" s="33">
        <f t="shared" si="1576"/>
        <v>20</v>
      </c>
      <c r="Z1714" s="77">
        <f>G1714+M1714+S1714+Y1714</f>
        <v>96</v>
      </c>
      <c r="AB1714" s="32" t="s">
        <v>14</v>
      </c>
      <c r="AC1714" s="29">
        <f>AC1686-AC1713</f>
        <v>81</v>
      </c>
      <c r="AD1714" s="30">
        <f t="shared" ref="AD1714" si="1577">AD1686-AD1713</f>
        <v>46</v>
      </c>
      <c r="AE1714" s="30">
        <f t="shared" ref="AE1714" si="1578">AE1686-AE1713</f>
        <v>53</v>
      </c>
      <c r="AF1714" s="30">
        <f t="shared" ref="AF1714" si="1579">AF1686-AF1713</f>
        <v>24</v>
      </c>
      <c r="AG1714" s="31">
        <f t="shared" ref="AG1714" si="1580">AG1686-AG1713</f>
        <v>12</v>
      </c>
      <c r="AH1714" s="31">
        <f>AH1686-AH1713</f>
        <v>216</v>
      </c>
      <c r="AI1714" s="29">
        <f>AI1686-AI1713</f>
        <v>78</v>
      </c>
      <c r="AJ1714" s="30">
        <f t="shared" ref="AJ1714" si="1581">AJ1686-AJ1713</f>
        <v>68</v>
      </c>
      <c r="AK1714" s="30">
        <f t="shared" ref="AK1714" si="1582">AK1686-AK1713</f>
        <v>73</v>
      </c>
      <c r="AL1714" s="30">
        <f t="shared" ref="AL1714" si="1583">AL1686-AL1713</f>
        <v>56</v>
      </c>
      <c r="AM1714" s="31">
        <f t="shared" ref="AM1714" si="1584">AM1686-AM1713</f>
        <v>69</v>
      </c>
      <c r="AN1714" s="31">
        <f>AN1686-AN1713</f>
        <v>344</v>
      </c>
      <c r="AO1714" s="29">
        <f>AO1686-AO1713</f>
        <v>135</v>
      </c>
      <c r="AP1714" s="30">
        <f t="shared" ref="AP1714" si="1585">AP1686-AP1713</f>
        <v>87</v>
      </c>
      <c r="AQ1714" s="30">
        <f t="shared" ref="AQ1714" si="1586">AQ1686-AQ1713</f>
        <v>89</v>
      </c>
      <c r="AR1714" s="30">
        <f t="shared" ref="AR1714" si="1587">AR1686-AR1713</f>
        <v>110</v>
      </c>
      <c r="AS1714" s="31">
        <f t="shared" ref="AS1714" si="1588">AS1686-AS1713</f>
        <v>124</v>
      </c>
      <c r="AT1714" s="31">
        <f>AT1686-AT1713</f>
        <v>545</v>
      </c>
      <c r="AU1714" s="29">
        <f>AU1686-AU1713</f>
        <v>105</v>
      </c>
      <c r="AV1714" s="30">
        <f t="shared" ref="AV1714" si="1589">AV1686-AV1713</f>
        <v>51</v>
      </c>
      <c r="AW1714" s="30">
        <f t="shared" ref="AW1714" si="1590">AW1686-AW1713</f>
        <v>21</v>
      </c>
      <c r="AX1714" s="30">
        <f t="shared" ref="AX1714" si="1591">AX1686-AX1713</f>
        <v>13</v>
      </c>
      <c r="AY1714" s="31">
        <f t="shared" ref="AY1714" si="1592">AY1686-AY1713</f>
        <v>63</v>
      </c>
      <c r="AZ1714" s="31">
        <f>AZ1686-AZ1713</f>
        <v>253</v>
      </c>
      <c r="BA1714" s="77">
        <f t="shared" si="1534"/>
        <v>1358</v>
      </c>
    </row>
    <row r="1715" spans="1:54" x14ac:dyDescent="0.15">
      <c r="AC1715" s="2">
        <f>AC1713+AC1674+AC1635+AC1596+AC1557+AC1518+AC1479+AC1440+AC1401+AC1362+AC1323+AC1284+AC1245+AC1206+AC1167+AC1128+AC1089+AC1050+AC1011+AC972+AC933+AC894+AC855+AC816</f>
        <v>138</v>
      </c>
      <c r="AD1715" s="2">
        <f t="shared" ref="AD1715:AG1715" si="1593">AD1713+AD1674+AD1635+AD1596+AD1557+AD1518+AD1479+AD1440+AD1401+AD1362+AD1323+AD1284+AD1245+AD1206+AD1167+AD1128+AD1089+AD1050+AD1011+AD972+AD933+AD894+AD855+AD816</f>
        <v>209</v>
      </c>
      <c r="AE1715" s="2">
        <f t="shared" si="1593"/>
        <v>189</v>
      </c>
      <c r="AF1715" s="2">
        <f t="shared" si="1593"/>
        <v>180</v>
      </c>
      <c r="AG1715" s="2">
        <f t="shared" si="1593"/>
        <v>150</v>
      </c>
      <c r="AH1715" s="2">
        <f>SUM(AC1715:AG1715)</f>
        <v>866</v>
      </c>
      <c r="AI1715" s="2">
        <f>AI1713+AI1674+AI1635+AI1596+AI1557+AI1518+AI1479+AI1440+AI1401+AI1362+AI1323+AI1284+AI1245+AI1206+AI1167+AI1128+AI1089+AI1050+AI1011+AI972+AI933+AI894+AI855+AI816</f>
        <v>82</v>
      </c>
      <c r="AJ1715" s="2">
        <f t="shared" ref="AJ1715:AM1715" si="1594">AJ1713+AJ1674+AJ1635+AJ1596+AJ1557+AJ1518+AJ1479+AJ1440+AJ1401+AJ1362+AJ1323+AJ1284+AJ1245+AJ1206+AJ1167+AJ1128+AJ1089+AJ1050+AJ1011+AJ972+AJ933+AJ894+AJ855+AJ816</f>
        <v>134</v>
      </c>
      <c r="AK1715" s="2">
        <f t="shared" si="1594"/>
        <v>123</v>
      </c>
      <c r="AL1715" s="2">
        <f t="shared" si="1594"/>
        <v>88</v>
      </c>
      <c r="AM1715" s="2">
        <f t="shared" si="1594"/>
        <v>67</v>
      </c>
      <c r="AN1715" s="2">
        <f>SUM(AI1715:AM1715)</f>
        <v>494</v>
      </c>
      <c r="AO1715" s="2">
        <f>AO1713+AO1674+AO1635+AO1596+AO1557+AO1518+AO1479+AO1440+AO1401+AO1362+AO1323+AO1284+AO1245+AO1206+AO1167+AO1128+AO1089+AO1050+AO1011+AO972+AO933+AO894+AO855+AO816</f>
        <v>34</v>
      </c>
      <c r="AP1715" s="2">
        <f t="shared" ref="AP1715:AR1715" si="1595">AP1713+AP1674+AP1635+AP1596+AP1557+AP1518+AP1479+AP1440+AP1401+AP1362+AP1323+AP1284+AP1245+AP1206+AP1167+AP1128+AP1089+AP1050+AP1011+AP972+AP933+AP894+AP855+AP816</f>
        <v>62</v>
      </c>
      <c r="AQ1715" s="2">
        <f t="shared" si="1595"/>
        <v>55</v>
      </c>
      <c r="AR1715" s="2">
        <f t="shared" si="1595"/>
        <v>43</v>
      </c>
      <c r="AS1715" s="2">
        <f>AS1713+AS1674+AS1635+AS1596+AS1557+AS1518+AS1479+AS1440+AS1401+AS1362+AS1323+AS1284+AS1245+AS1206+AS1167+AS1128+AS1089+AS1050+AS1011+AS972+AS933+AS894+AS855+AS816</f>
        <v>38</v>
      </c>
      <c r="AT1715" s="2">
        <f>SUM(AO1715:AS1715)</f>
        <v>232</v>
      </c>
      <c r="AU1715" s="2">
        <f>AU1713+AU1674+AU1635+AU1596+AU1557+AU1518+AU1479+AU1440+AU1401+AU1362+AU1323+AU1284+AU1245+AU1206+AU1167+AU1128+AU1089+AU1050+AU1011+AU972+AU933+AU894+AU855+AU816</f>
        <v>14</v>
      </c>
      <c r="AV1715" s="2">
        <f t="shared" ref="AV1715:AY1715" si="1596">AV1713+AV1674+AV1635+AV1596+AV1557+AV1518+AV1479+AV1440+AV1401+AV1362+AV1323+AV1284+AV1245+AV1206+AV1167+AV1128+AV1089+AV1050+AV1011+AV972+AV933+AV894+AV855+AV816</f>
        <v>27</v>
      </c>
      <c r="AW1715" s="2">
        <f t="shared" si="1596"/>
        <v>56</v>
      </c>
      <c r="AX1715" s="2">
        <f t="shared" si="1596"/>
        <v>61</v>
      </c>
      <c r="AY1715" s="2">
        <f t="shared" si="1596"/>
        <v>55</v>
      </c>
      <c r="AZ1715" s="2">
        <f>SUM(AU1715:AY1715)</f>
        <v>213</v>
      </c>
    </row>
    <row r="1716" spans="1:54" x14ac:dyDescent="0.15">
      <c r="AC1716" s="2">
        <f>AC1715/$AH$1715*100</f>
        <v>15.935334872979215</v>
      </c>
      <c r="AD1716" s="2">
        <f t="shared" ref="AD1716:AH1716" si="1597">AD1715/$AH$1715*100</f>
        <v>24.133949191685915</v>
      </c>
      <c r="AE1716" s="2">
        <f t="shared" si="1597"/>
        <v>21.824480369515012</v>
      </c>
      <c r="AF1716" s="2">
        <f t="shared" si="1597"/>
        <v>20.785219399538107</v>
      </c>
      <c r="AG1716" s="2">
        <f t="shared" si="1597"/>
        <v>17.321016166281755</v>
      </c>
      <c r="AH1716" s="2">
        <f t="shared" si="1597"/>
        <v>100</v>
      </c>
      <c r="AI1716" s="2">
        <f>AI1715/$AN$1715*100</f>
        <v>16.599190283400812</v>
      </c>
      <c r="AJ1716" s="2">
        <f t="shared" ref="AJ1716:AN1716" si="1598">AJ1715/$AN$1715*100</f>
        <v>27.125506072874494</v>
      </c>
      <c r="AK1716" s="2">
        <f t="shared" si="1598"/>
        <v>24.898785425101213</v>
      </c>
      <c r="AL1716" s="2">
        <f t="shared" si="1598"/>
        <v>17.813765182186234</v>
      </c>
      <c r="AM1716" s="2">
        <f t="shared" si="1598"/>
        <v>13.562753036437247</v>
      </c>
      <c r="AN1716" s="2">
        <f t="shared" si="1598"/>
        <v>100</v>
      </c>
      <c r="AO1716" s="2">
        <f>AO1715/$AT$1715*100</f>
        <v>14.655172413793101</v>
      </c>
      <c r="AP1716" s="2">
        <f t="shared" ref="AP1716:AT1716" si="1599">AP1715/$AT$1715*100</f>
        <v>26.72413793103448</v>
      </c>
      <c r="AQ1716" s="2">
        <f t="shared" si="1599"/>
        <v>23.706896551724139</v>
      </c>
      <c r="AR1716" s="2">
        <f t="shared" si="1599"/>
        <v>18.53448275862069</v>
      </c>
      <c r="AS1716" s="2">
        <f t="shared" si="1599"/>
        <v>16.379310344827587</v>
      </c>
      <c r="AT1716" s="2">
        <f t="shared" si="1599"/>
        <v>100</v>
      </c>
      <c r="AU1716" s="208">
        <f>AU1715/$AZ$1715*100</f>
        <v>6.5727699530516439</v>
      </c>
      <c r="AV1716" s="208">
        <f t="shared" ref="AV1716:AZ1716" si="1600">AV1715/$AZ$1715*100</f>
        <v>12.676056338028168</v>
      </c>
      <c r="AW1716" s="208">
        <f t="shared" si="1600"/>
        <v>26.291079812206576</v>
      </c>
      <c r="AX1716" s="208">
        <f t="shared" si="1600"/>
        <v>28.638497652582164</v>
      </c>
      <c r="AY1716" s="208">
        <f t="shared" si="1600"/>
        <v>25.821596244131456</v>
      </c>
      <c r="AZ1716" s="208">
        <f t="shared" si="1600"/>
        <v>100</v>
      </c>
    </row>
    <row r="1717" spans="1:54" ht="19.5" thickBot="1" x14ac:dyDescent="0.25">
      <c r="A1717" s="1" t="s">
        <v>15</v>
      </c>
      <c r="AB1717" s="1" t="s">
        <v>16</v>
      </c>
    </row>
    <row r="1718" spans="1:54" ht="15" thickBot="1" x14ac:dyDescent="0.2">
      <c r="A1718" s="4"/>
      <c r="B1718" s="245" t="s">
        <v>17</v>
      </c>
      <c r="C1718" s="246"/>
      <c r="D1718" s="246"/>
      <c r="E1718" s="246"/>
      <c r="F1718" s="246"/>
      <c r="G1718" s="247"/>
      <c r="H1718" s="245" t="s">
        <v>18</v>
      </c>
      <c r="I1718" s="246"/>
      <c r="J1718" s="246"/>
      <c r="K1718" s="246"/>
      <c r="L1718" s="246"/>
      <c r="M1718" s="247"/>
      <c r="N1718" s="248" t="s">
        <v>27</v>
      </c>
      <c r="O1718" s="249"/>
      <c r="P1718" s="249"/>
      <c r="Q1718" s="249"/>
      <c r="R1718" s="249"/>
      <c r="S1718" s="250"/>
      <c r="T1718" s="248" t="s">
        <v>28</v>
      </c>
      <c r="U1718" s="249"/>
      <c r="V1718" s="249"/>
      <c r="W1718" s="249"/>
      <c r="X1718" s="249"/>
      <c r="Y1718" s="250"/>
      <c r="Z1718" s="251" t="s">
        <v>1</v>
      </c>
      <c r="AB1718" s="4"/>
      <c r="AC1718" s="253" t="s">
        <v>17</v>
      </c>
      <c r="AD1718" s="249"/>
      <c r="AE1718" s="249"/>
      <c r="AF1718" s="249"/>
      <c r="AG1718" s="249"/>
      <c r="AH1718" s="250"/>
      <c r="AI1718" s="248" t="s">
        <v>18</v>
      </c>
      <c r="AJ1718" s="249"/>
      <c r="AK1718" s="249"/>
      <c r="AL1718" s="249"/>
      <c r="AM1718" s="249"/>
      <c r="AN1718" s="250"/>
      <c r="AO1718" s="248" t="s">
        <v>27</v>
      </c>
      <c r="AP1718" s="249"/>
      <c r="AQ1718" s="249"/>
      <c r="AR1718" s="249"/>
      <c r="AS1718" s="249"/>
      <c r="AT1718" s="250"/>
      <c r="AU1718" s="248" t="s">
        <v>28</v>
      </c>
      <c r="AV1718" s="249"/>
      <c r="AW1718" s="249"/>
      <c r="AX1718" s="249"/>
      <c r="AY1718" s="249"/>
      <c r="AZ1718" s="250"/>
      <c r="BA1718" s="243" t="s">
        <v>1</v>
      </c>
    </row>
    <row r="1719" spans="1:54" ht="15" thickBot="1" x14ac:dyDescent="0.2">
      <c r="A1719" s="9" t="s">
        <v>2</v>
      </c>
      <c r="B1719" s="6" t="s">
        <v>3</v>
      </c>
      <c r="C1719" s="7" t="s">
        <v>4</v>
      </c>
      <c r="D1719" s="7" t="s">
        <v>5</v>
      </c>
      <c r="E1719" s="48" t="s">
        <v>20</v>
      </c>
      <c r="F1719" s="8" t="s">
        <v>21</v>
      </c>
      <c r="G1719" s="5" t="s">
        <v>6</v>
      </c>
      <c r="H1719" s="6" t="s">
        <v>3</v>
      </c>
      <c r="I1719" s="7" t="s">
        <v>4</v>
      </c>
      <c r="J1719" s="7" t="s">
        <v>5</v>
      </c>
      <c r="K1719" s="48" t="s">
        <v>20</v>
      </c>
      <c r="L1719" s="8" t="s">
        <v>21</v>
      </c>
      <c r="M1719" s="5" t="s">
        <v>6</v>
      </c>
      <c r="N1719" s="6" t="s">
        <v>3</v>
      </c>
      <c r="O1719" s="7" t="s">
        <v>4</v>
      </c>
      <c r="P1719" s="7" t="s">
        <v>5</v>
      </c>
      <c r="Q1719" s="48" t="s">
        <v>20</v>
      </c>
      <c r="R1719" s="8" t="s">
        <v>21</v>
      </c>
      <c r="S1719" s="5" t="s">
        <v>6</v>
      </c>
      <c r="T1719" s="7" t="s">
        <v>3</v>
      </c>
      <c r="U1719" s="7" t="s">
        <v>4</v>
      </c>
      <c r="V1719" s="7" t="s">
        <v>5</v>
      </c>
      <c r="W1719" s="48" t="s">
        <v>20</v>
      </c>
      <c r="X1719" s="109" t="s">
        <v>21</v>
      </c>
      <c r="Y1719" s="62" t="s">
        <v>6</v>
      </c>
      <c r="Z1719" s="252"/>
      <c r="AB1719" s="9" t="s">
        <v>2</v>
      </c>
      <c r="AC1719" s="6" t="s">
        <v>3</v>
      </c>
      <c r="AD1719" s="7" t="s">
        <v>4</v>
      </c>
      <c r="AE1719" s="7" t="s">
        <v>5</v>
      </c>
      <c r="AF1719" s="48" t="s">
        <v>20</v>
      </c>
      <c r="AG1719" s="8" t="s">
        <v>21</v>
      </c>
      <c r="AH1719" s="5" t="s">
        <v>6</v>
      </c>
      <c r="AI1719" s="6" t="s">
        <v>3</v>
      </c>
      <c r="AJ1719" s="7" t="s">
        <v>4</v>
      </c>
      <c r="AK1719" s="7" t="s">
        <v>5</v>
      </c>
      <c r="AL1719" s="48" t="s">
        <v>20</v>
      </c>
      <c r="AM1719" s="8" t="s">
        <v>21</v>
      </c>
      <c r="AN1719" s="5" t="s">
        <v>6</v>
      </c>
      <c r="AO1719" s="6" t="s">
        <v>3</v>
      </c>
      <c r="AP1719" s="7" t="s">
        <v>4</v>
      </c>
      <c r="AQ1719" s="7" t="s">
        <v>5</v>
      </c>
      <c r="AR1719" s="48" t="s">
        <v>20</v>
      </c>
      <c r="AS1719" s="8" t="s">
        <v>21</v>
      </c>
      <c r="AT1719" s="5" t="s">
        <v>6</v>
      </c>
      <c r="AU1719" s="7" t="s">
        <v>3</v>
      </c>
      <c r="AV1719" s="7" t="s">
        <v>4</v>
      </c>
      <c r="AW1719" s="7" t="s">
        <v>5</v>
      </c>
      <c r="AX1719" s="48" t="s">
        <v>20</v>
      </c>
      <c r="AY1719" s="109" t="s">
        <v>21</v>
      </c>
      <c r="AZ1719" s="62" t="s">
        <v>6</v>
      </c>
      <c r="BA1719" s="244"/>
    </row>
    <row r="1720" spans="1:54" ht="14.25" x14ac:dyDescent="0.15">
      <c r="A1720" s="103" t="s">
        <v>43</v>
      </c>
      <c r="B1720" s="104">
        <f>B1714</f>
        <v>6</v>
      </c>
      <c r="C1720" s="105">
        <f>C1714</f>
        <v>3</v>
      </c>
      <c r="D1720" s="105">
        <f>D1714</f>
        <v>3</v>
      </c>
      <c r="E1720" s="105">
        <f>E1714</f>
        <v>6</v>
      </c>
      <c r="F1720" s="105">
        <f>F1714</f>
        <v>2</v>
      </c>
      <c r="G1720" s="106">
        <f t="shared" ref="G1720" si="1601">SUM(B1720:F1720)</f>
        <v>20</v>
      </c>
      <c r="H1720" s="104">
        <f>H1714</f>
        <v>4</v>
      </c>
      <c r="I1720" s="105">
        <f>I1714</f>
        <v>5</v>
      </c>
      <c r="J1720" s="105">
        <f>J1714</f>
        <v>6</v>
      </c>
      <c r="K1720" s="105">
        <f>K1714</f>
        <v>10</v>
      </c>
      <c r="L1720" s="105">
        <f>L1714</f>
        <v>6</v>
      </c>
      <c r="M1720" s="107">
        <f t="shared" ref="M1720:M1725" si="1602">SUM(H1720:L1720)</f>
        <v>31</v>
      </c>
      <c r="N1720" s="104">
        <f>N1714</f>
        <v>5</v>
      </c>
      <c r="O1720" s="105">
        <f>O1714</f>
        <v>5</v>
      </c>
      <c r="P1720" s="105">
        <f>P1714</f>
        <v>5</v>
      </c>
      <c r="Q1720" s="105">
        <f>Q1714</f>
        <v>5</v>
      </c>
      <c r="R1720" s="105">
        <f>R1714</f>
        <v>5</v>
      </c>
      <c r="S1720" s="108">
        <f t="shared" ref="S1720:S1749" si="1603">SUM(N1720:R1720)</f>
        <v>25</v>
      </c>
      <c r="T1720" s="104">
        <f>T1714</f>
        <v>3</v>
      </c>
      <c r="U1720" s="105">
        <f>U1714</f>
        <v>5</v>
      </c>
      <c r="V1720" s="105">
        <f>V1714</f>
        <v>4</v>
      </c>
      <c r="W1720" s="105">
        <f>W1714</f>
        <v>3</v>
      </c>
      <c r="X1720" s="105">
        <f>X1714</f>
        <v>5</v>
      </c>
      <c r="Y1720" s="106">
        <f t="shared" ref="Y1720:Y1721" si="1604">SUM(T1720:X1720)</f>
        <v>20</v>
      </c>
      <c r="Z1720" s="106">
        <f t="shared" ref="Z1720:Z1722" si="1605">G1720+M1720+S1720+Y1720</f>
        <v>96</v>
      </c>
      <c r="AB1720" s="103" t="s">
        <v>43</v>
      </c>
      <c r="AC1720" s="104">
        <f>AC1714</f>
        <v>81</v>
      </c>
      <c r="AD1720" s="105">
        <f>AD1714</f>
        <v>46</v>
      </c>
      <c r="AE1720" s="105">
        <f>AE1714</f>
        <v>53</v>
      </c>
      <c r="AF1720" s="105">
        <f>AF1714</f>
        <v>24</v>
      </c>
      <c r="AG1720" s="105">
        <f>AG1714</f>
        <v>12</v>
      </c>
      <c r="AH1720" s="106">
        <f>SUM(AC1720:AG1720)</f>
        <v>216</v>
      </c>
      <c r="AI1720" s="104">
        <f>AI1714</f>
        <v>78</v>
      </c>
      <c r="AJ1720" s="105">
        <f>AJ1714</f>
        <v>68</v>
      </c>
      <c r="AK1720" s="105">
        <f>AK1714</f>
        <v>73</v>
      </c>
      <c r="AL1720" s="105">
        <f>AL1714</f>
        <v>56</v>
      </c>
      <c r="AM1720" s="105">
        <f>AM1714</f>
        <v>69</v>
      </c>
      <c r="AN1720" s="107">
        <f>SUM(AI1720:AM1720)</f>
        <v>344</v>
      </c>
      <c r="AO1720" s="104">
        <f>AO1714</f>
        <v>135</v>
      </c>
      <c r="AP1720" s="105">
        <f>AP1714</f>
        <v>87</v>
      </c>
      <c r="AQ1720" s="105">
        <f>AQ1714</f>
        <v>89</v>
      </c>
      <c r="AR1720" s="105">
        <f>AR1714</f>
        <v>110</v>
      </c>
      <c r="AS1720" s="105">
        <f>AS1714</f>
        <v>124</v>
      </c>
      <c r="AT1720" s="108">
        <f>SUM(AO1720:AS1720)</f>
        <v>545</v>
      </c>
      <c r="AU1720" s="104">
        <f>AU1714</f>
        <v>105</v>
      </c>
      <c r="AV1720" s="105">
        <f>AV1714</f>
        <v>51</v>
      </c>
      <c r="AW1720" s="105">
        <f>AW1714</f>
        <v>21</v>
      </c>
      <c r="AX1720" s="105">
        <f>AX1714</f>
        <v>13</v>
      </c>
      <c r="AY1720" s="105">
        <f>AY1714</f>
        <v>63</v>
      </c>
      <c r="AZ1720" s="106">
        <f>SUM(AU1720:AY1720)</f>
        <v>253</v>
      </c>
      <c r="BA1720" s="106">
        <f>AH1720+AN1720+AT1720+AZ1720</f>
        <v>1358</v>
      </c>
    </row>
    <row r="1721" spans="1:54" ht="14.25" x14ac:dyDescent="0.15">
      <c r="A1721" s="10" t="s">
        <v>181</v>
      </c>
      <c r="B1721" s="14"/>
      <c r="C1721" s="15">
        <v>3</v>
      </c>
      <c r="D1721" s="15">
        <v>3</v>
      </c>
      <c r="E1721" s="15"/>
      <c r="F1721" s="15"/>
      <c r="G1721" s="43">
        <f t="shared" ref="G1721" si="1606">SUM(B1721:F1721)</f>
        <v>6</v>
      </c>
      <c r="H1721" s="14"/>
      <c r="I1721" s="15"/>
      <c r="J1721" s="15"/>
      <c r="K1721" s="15"/>
      <c r="L1721" s="15"/>
      <c r="M1721" s="43">
        <f t="shared" si="1602"/>
        <v>0</v>
      </c>
      <c r="N1721" s="14"/>
      <c r="O1721" s="55"/>
      <c r="P1721" s="55"/>
      <c r="Q1721" s="55"/>
      <c r="R1721" s="67"/>
      <c r="S1721" s="24">
        <f t="shared" si="1603"/>
        <v>0</v>
      </c>
      <c r="T1721" s="15">
        <v>3</v>
      </c>
      <c r="U1721" s="55"/>
      <c r="V1721" s="55"/>
      <c r="W1721" s="55">
        <v>3</v>
      </c>
      <c r="X1721" s="67"/>
      <c r="Y1721" s="24">
        <f t="shared" si="1604"/>
        <v>6</v>
      </c>
      <c r="Z1721" s="24">
        <f t="shared" si="1605"/>
        <v>12</v>
      </c>
      <c r="AA1721" s="83">
        <v>45450</v>
      </c>
      <c r="AB1721" s="10" t="s">
        <v>181</v>
      </c>
      <c r="AC1721" s="14"/>
      <c r="AD1721" s="15"/>
      <c r="AE1721" s="15"/>
      <c r="AF1721" s="15"/>
      <c r="AG1721" s="15"/>
      <c r="AH1721" s="43">
        <f t="shared" ref="AH1721:AH1722" si="1607">SUM(AC1721:AG1721)</f>
        <v>0</v>
      </c>
      <c r="AI1721" s="14"/>
      <c r="AJ1721" s="15"/>
      <c r="AK1721" s="15"/>
      <c r="AL1721" s="15"/>
      <c r="AM1721" s="15"/>
      <c r="AN1721" s="43">
        <f t="shared" ref="AN1721:AN1732" si="1608">SUM(AI1721:AM1721)</f>
        <v>0</v>
      </c>
      <c r="AO1721" s="14"/>
      <c r="AP1721" s="55"/>
      <c r="AQ1721" s="55"/>
      <c r="AR1721" s="55"/>
      <c r="AS1721" s="67"/>
      <c r="AT1721" s="24">
        <f t="shared" ref="AT1721:AT1732" si="1609">SUM(AO1721:AS1721)</f>
        <v>0</v>
      </c>
      <c r="AU1721" s="15"/>
      <c r="AV1721" s="55"/>
      <c r="AW1721" s="55"/>
      <c r="AX1721" s="55"/>
      <c r="AY1721" s="67"/>
      <c r="AZ1721" s="24">
        <f t="shared" ref="AZ1721:AZ1732" si="1610">SUM(AU1721:AY1721)</f>
        <v>0</v>
      </c>
      <c r="BA1721" s="24">
        <f t="shared" ref="BA1721:BA1732" si="1611">AH1721+AN1721+AT1721+AZ1721</f>
        <v>0</v>
      </c>
    </row>
    <row r="1722" spans="1:54" ht="14.25" x14ac:dyDescent="0.15">
      <c r="A1722" s="10" t="s">
        <v>77</v>
      </c>
      <c r="B1722" s="14"/>
      <c r="C1722" s="15">
        <v>1</v>
      </c>
      <c r="D1722" s="15"/>
      <c r="E1722" s="15"/>
      <c r="F1722" s="15"/>
      <c r="G1722" s="43">
        <f t="shared" ref="G1722:G1724" si="1612">SUM(B1722:F1722)</f>
        <v>1</v>
      </c>
      <c r="H1722" s="14"/>
      <c r="I1722" s="15"/>
      <c r="J1722" s="15"/>
      <c r="K1722" s="15"/>
      <c r="L1722" s="15"/>
      <c r="M1722" s="43">
        <f t="shared" si="1602"/>
        <v>0</v>
      </c>
      <c r="N1722" s="14"/>
      <c r="O1722" s="55"/>
      <c r="P1722" s="55"/>
      <c r="Q1722" s="55"/>
      <c r="R1722" s="67"/>
      <c r="S1722" s="24">
        <f t="shared" si="1603"/>
        <v>0</v>
      </c>
      <c r="T1722" s="15">
        <v>1</v>
      </c>
      <c r="U1722" s="55"/>
      <c r="V1722" s="55"/>
      <c r="W1722" s="55"/>
      <c r="X1722" s="67"/>
      <c r="Y1722" s="24">
        <f t="shared" ref="Y1722:Y1749" si="1613">SUM(T1722:X1722)</f>
        <v>1</v>
      </c>
      <c r="Z1722" s="24">
        <f t="shared" si="1605"/>
        <v>2</v>
      </c>
      <c r="AA1722" s="83">
        <v>45456</v>
      </c>
      <c r="AB1722" s="10" t="s">
        <v>181</v>
      </c>
      <c r="AC1722" s="14"/>
      <c r="AD1722" s="15"/>
      <c r="AE1722" s="15"/>
      <c r="AF1722" s="15"/>
      <c r="AG1722" s="15"/>
      <c r="AH1722" s="43">
        <f t="shared" si="1607"/>
        <v>0</v>
      </c>
      <c r="AI1722" s="14"/>
      <c r="AJ1722" s="15"/>
      <c r="AK1722" s="15"/>
      <c r="AL1722" s="15"/>
      <c r="AM1722" s="15"/>
      <c r="AN1722" s="43">
        <f t="shared" si="1608"/>
        <v>0</v>
      </c>
      <c r="AO1722" s="14"/>
      <c r="AP1722" s="55"/>
      <c r="AQ1722" s="55"/>
      <c r="AR1722" s="55"/>
      <c r="AS1722" s="67"/>
      <c r="AT1722" s="24">
        <f t="shared" si="1609"/>
        <v>0</v>
      </c>
      <c r="AU1722" s="15"/>
      <c r="AV1722" s="55"/>
      <c r="AW1722" s="55"/>
      <c r="AX1722" s="55"/>
      <c r="AY1722" s="67"/>
      <c r="AZ1722" s="24">
        <f t="shared" si="1610"/>
        <v>0</v>
      </c>
      <c r="BA1722" s="24">
        <f t="shared" si="1611"/>
        <v>0</v>
      </c>
    </row>
    <row r="1723" spans="1:54" ht="14.25" x14ac:dyDescent="0.15">
      <c r="A1723" s="10" t="s">
        <v>181</v>
      </c>
      <c r="B1723" s="14"/>
      <c r="C1723" s="15"/>
      <c r="D1723" s="15">
        <v>5</v>
      </c>
      <c r="E1723" s="15"/>
      <c r="F1723" s="15"/>
      <c r="G1723" s="43">
        <f t="shared" si="1612"/>
        <v>5</v>
      </c>
      <c r="H1723" s="14"/>
      <c r="I1723" s="15">
        <v>3</v>
      </c>
      <c r="J1723" s="15"/>
      <c r="K1723" s="15"/>
      <c r="L1723" s="15"/>
      <c r="M1723" s="43">
        <f t="shared" si="1602"/>
        <v>3</v>
      </c>
      <c r="N1723" s="14"/>
      <c r="O1723" s="55"/>
      <c r="P1723" s="55"/>
      <c r="Q1723" s="55"/>
      <c r="R1723" s="67"/>
      <c r="S1723" s="24">
        <f t="shared" si="1603"/>
        <v>0</v>
      </c>
      <c r="T1723" s="15"/>
      <c r="U1723" s="55"/>
      <c r="V1723" s="55"/>
      <c r="W1723" s="55"/>
      <c r="X1723" s="67"/>
      <c r="Y1723" s="24">
        <f t="shared" si="1613"/>
        <v>0</v>
      </c>
      <c r="Z1723" s="24">
        <f>G1723+M1723+S1723+Y1723</f>
        <v>8</v>
      </c>
      <c r="AA1723" s="83">
        <v>45462</v>
      </c>
      <c r="AB1723" s="10" t="s">
        <v>181</v>
      </c>
      <c r="AC1723" s="14"/>
      <c r="AD1723" s="15"/>
      <c r="AE1723" s="15"/>
      <c r="AF1723" s="15"/>
      <c r="AG1723" s="15"/>
      <c r="AH1723" s="43">
        <f t="shared" ref="AH1723" si="1614">SUM(AC1723:AG1723)</f>
        <v>0</v>
      </c>
      <c r="AI1723" s="14"/>
      <c r="AJ1723" s="15"/>
      <c r="AK1723" s="15"/>
      <c r="AL1723" s="15"/>
      <c r="AM1723" s="15"/>
      <c r="AN1723" s="43">
        <f t="shared" si="1608"/>
        <v>0</v>
      </c>
      <c r="AO1723" s="14"/>
      <c r="AP1723" s="55"/>
      <c r="AQ1723" s="55"/>
      <c r="AR1723" s="55"/>
      <c r="AS1723" s="67"/>
      <c r="AT1723" s="24">
        <f t="shared" si="1609"/>
        <v>0</v>
      </c>
      <c r="AU1723" s="15"/>
      <c r="AV1723" s="55"/>
      <c r="AW1723" s="55"/>
      <c r="AX1723" s="55"/>
      <c r="AY1723" s="67"/>
      <c r="AZ1723" s="24">
        <f t="shared" si="1610"/>
        <v>0</v>
      </c>
      <c r="BA1723" s="24">
        <f t="shared" si="1611"/>
        <v>0</v>
      </c>
    </row>
    <row r="1724" spans="1:54" ht="15" thickBot="1" x14ac:dyDescent="0.2">
      <c r="A1724" s="10" t="s">
        <v>77</v>
      </c>
      <c r="B1724" s="14"/>
      <c r="C1724" s="15"/>
      <c r="D1724" s="15"/>
      <c r="E1724" s="15"/>
      <c r="F1724" s="15">
        <v>1</v>
      </c>
      <c r="G1724" s="43">
        <f t="shared" si="1612"/>
        <v>1</v>
      </c>
      <c r="H1724" s="14"/>
      <c r="I1724" s="15"/>
      <c r="J1724" s="15"/>
      <c r="K1724" s="15"/>
      <c r="L1724" s="15"/>
      <c r="M1724" s="43">
        <f t="shared" si="1602"/>
        <v>0</v>
      </c>
      <c r="N1724" s="14"/>
      <c r="O1724" s="55"/>
      <c r="P1724" s="55"/>
      <c r="Q1724" s="55"/>
      <c r="R1724" s="67">
        <v>1</v>
      </c>
      <c r="S1724" s="24">
        <f t="shared" si="1603"/>
        <v>1</v>
      </c>
      <c r="T1724" s="15"/>
      <c r="U1724" s="55"/>
      <c r="V1724" s="55"/>
      <c r="W1724" s="55"/>
      <c r="X1724" s="67"/>
      <c r="Y1724" s="24">
        <f t="shared" si="1613"/>
        <v>0</v>
      </c>
      <c r="Z1724" s="24">
        <f>G1724+M1724+S1724+Y1724</f>
        <v>2</v>
      </c>
      <c r="AA1724" s="83">
        <v>45469</v>
      </c>
      <c r="AB1724" s="10" t="s">
        <v>181</v>
      </c>
      <c r="AC1724" s="14"/>
      <c r="AD1724" s="15"/>
      <c r="AE1724" s="15"/>
      <c r="AF1724" s="15"/>
      <c r="AG1724" s="15">
        <v>2</v>
      </c>
      <c r="AH1724" s="43">
        <f t="shared" ref="AH1724" si="1615">SUM(AC1724:AG1724)</f>
        <v>2</v>
      </c>
      <c r="AI1724" s="14"/>
      <c r="AJ1724" s="15"/>
      <c r="AK1724" s="15"/>
      <c r="AL1724" s="15"/>
      <c r="AM1724" s="15"/>
      <c r="AN1724" s="43">
        <f t="shared" ref="AN1724" si="1616">SUM(AI1724:AM1724)</f>
        <v>0</v>
      </c>
      <c r="AO1724" s="14"/>
      <c r="AP1724" s="55"/>
      <c r="AQ1724" s="55"/>
      <c r="AR1724" s="55"/>
      <c r="AS1724" s="67"/>
      <c r="AT1724" s="24">
        <f t="shared" ref="AT1724" si="1617">SUM(AO1724:AS1724)</f>
        <v>0</v>
      </c>
      <c r="AU1724" s="15"/>
      <c r="AV1724" s="55"/>
      <c r="AW1724" s="55">
        <v>-1</v>
      </c>
      <c r="AX1724" s="55"/>
      <c r="AY1724" s="67"/>
      <c r="AZ1724" s="24">
        <f t="shared" ref="AZ1724" si="1618">SUM(AU1724:AY1724)</f>
        <v>-1</v>
      </c>
      <c r="BA1724" s="24">
        <f t="shared" ref="BA1724" si="1619">AH1724+AN1724+AT1724+AZ1724</f>
        <v>1</v>
      </c>
    </row>
    <row r="1725" spans="1:54" ht="15" thickBot="1" x14ac:dyDescent="0.2">
      <c r="A1725" s="4" t="s">
        <v>12</v>
      </c>
      <c r="B1725" s="17">
        <f>SUM(B1720:B1724)</f>
        <v>6</v>
      </c>
      <c r="C1725" s="18">
        <f>SUM(C1720:C1724)</f>
        <v>7</v>
      </c>
      <c r="D1725" s="18">
        <f>SUM(D1720:D1724)</f>
        <v>11</v>
      </c>
      <c r="E1725" s="18">
        <f>SUM(E1720:E1724)</f>
        <v>6</v>
      </c>
      <c r="F1725" s="18">
        <f>SUM(F1720:F1724)</f>
        <v>3</v>
      </c>
      <c r="G1725" s="148">
        <f t="shared" ref="G1725" si="1620">SUM(B1725:F1725)</f>
        <v>33</v>
      </c>
      <c r="H1725" s="17">
        <f>SUM(H1720:H1724)</f>
        <v>4</v>
      </c>
      <c r="I1725" s="18">
        <f>SUM(I1720:I1724)</f>
        <v>8</v>
      </c>
      <c r="J1725" s="18">
        <f>SUM(J1720:J1724)</f>
        <v>6</v>
      </c>
      <c r="K1725" s="18">
        <f>SUM(K1720:K1724)</f>
        <v>10</v>
      </c>
      <c r="L1725" s="18">
        <f>SUM(L1720:L1724)</f>
        <v>6</v>
      </c>
      <c r="M1725" s="17">
        <f t="shared" si="1602"/>
        <v>34</v>
      </c>
      <c r="N1725" s="65">
        <f>SUM(N1720:N1724)</f>
        <v>5</v>
      </c>
      <c r="O1725" s="18">
        <f>SUM(O1720:O1724)</f>
        <v>5</v>
      </c>
      <c r="P1725" s="18">
        <f>SUM(P1720:P1724)</f>
        <v>5</v>
      </c>
      <c r="Q1725" s="18">
        <f>SUM(Q1720:Q1724)</f>
        <v>5</v>
      </c>
      <c r="R1725" s="70">
        <f>SUM(R1720:R1724)</f>
        <v>6</v>
      </c>
      <c r="S1725" s="49">
        <f t="shared" si="1603"/>
        <v>26</v>
      </c>
      <c r="T1725" s="74">
        <f>SUM(T1720:T1724)</f>
        <v>7</v>
      </c>
      <c r="U1725" s="18">
        <f>SUM(U1720:U1724)</f>
        <v>5</v>
      </c>
      <c r="V1725" s="18">
        <f>SUM(V1720:V1724)</f>
        <v>4</v>
      </c>
      <c r="W1725" s="18">
        <f>SUM(W1720:W1724)</f>
        <v>6</v>
      </c>
      <c r="X1725" s="70">
        <f>SUM(X1720:X1724)</f>
        <v>5</v>
      </c>
      <c r="Y1725" s="49">
        <f t="shared" si="1613"/>
        <v>27</v>
      </c>
      <c r="Z1725" s="33">
        <f t="shared" ref="Z1725:Z1749" si="1621">G1725+M1725+S1725+Y1725</f>
        <v>120</v>
      </c>
      <c r="AB1725" s="4" t="s">
        <v>12</v>
      </c>
      <c r="AC1725" s="17">
        <f>SUM(AC1720:AC1724)</f>
        <v>81</v>
      </c>
      <c r="AD1725" s="18">
        <f>SUM(AD1720:AD1724)</f>
        <v>46</v>
      </c>
      <c r="AE1725" s="18">
        <f>SUM(AE1720:AE1724)</f>
        <v>53</v>
      </c>
      <c r="AF1725" s="18">
        <f>SUM(AF1720:AF1724)</f>
        <v>24</v>
      </c>
      <c r="AG1725" s="18">
        <f>SUM(AG1720:AG1724)</f>
        <v>14</v>
      </c>
      <c r="AH1725" s="148">
        <f t="shared" ref="AH1725" si="1622">SUM(AC1725:AG1725)</f>
        <v>218</v>
      </c>
      <c r="AI1725" s="17">
        <f>SUM(AI1720:AI1724)</f>
        <v>78</v>
      </c>
      <c r="AJ1725" s="18">
        <f>SUM(AJ1720:AJ1724)</f>
        <v>68</v>
      </c>
      <c r="AK1725" s="18">
        <f>SUM(AK1720:AK1724)</f>
        <v>73</v>
      </c>
      <c r="AL1725" s="18">
        <f>SUM(AL1720:AL1724)</f>
        <v>56</v>
      </c>
      <c r="AM1725" s="18">
        <f>SUM(AM1720:AM1724)</f>
        <v>69</v>
      </c>
      <c r="AN1725" s="148">
        <f t="shared" si="1608"/>
        <v>344</v>
      </c>
      <c r="AO1725" s="65">
        <f>SUM(AO1720:AO1724)</f>
        <v>135</v>
      </c>
      <c r="AP1725" s="18">
        <f>SUM(AP1720:AP1724)</f>
        <v>87</v>
      </c>
      <c r="AQ1725" s="18">
        <f>SUM(AQ1720:AQ1724)</f>
        <v>89</v>
      </c>
      <c r="AR1725" s="18">
        <f>SUM(AR1720:AR1724)</f>
        <v>110</v>
      </c>
      <c r="AS1725" s="70">
        <f>SUM(AS1720:AS1724)</f>
        <v>124</v>
      </c>
      <c r="AT1725" s="49">
        <f t="shared" si="1609"/>
        <v>545</v>
      </c>
      <c r="AU1725" s="74">
        <f>SUM(AU1720:AU1724)</f>
        <v>105</v>
      </c>
      <c r="AV1725" s="18">
        <f>SUM(AV1720:AV1724)</f>
        <v>51</v>
      </c>
      <c r="AW1725" s="18">
        <f>SUM(AW1720:AW1724)</f>
        <v>20</v>
      </c>
      <c r="AX1725" s="18">
        <f>SUM(AX1720:AX1724)</f>
        <v>13</v>
      </c>
      <c r="AY1725" s="70">
        <f>SUM(AY1720:AY1724)</f>
        <v>63</v>
      </c>
      <c r="AZ1725" s="49">
        <f t="shared" si="1610"/>
        <v>252</v>
      </c>
      <c r="BA1725" s="33">
        <f t="shared" si="1611"/>
        <v>1359</v>
      </c>
    </row>
    <row r="1726" spans="1:54" ht="14.25" x14ac:dyDescent="0.15">
      <c r="A1726" s="23" t="s">
        <v>48</v>
      </c>
      <c r="B1726" s="41"/>
      <c r="C1726" s="42">
        <v>1</v>
      </c>
      <c r="D1726" s="42"/>
      <c r="E1726" s="42"/>
      <c r="F1726" s="42"/>
      <c r="G1726" s="43">
        <f t="shared" ref="G1726:G1749" si="1623">SUM(B1726:F1726)</f>
        <v>1</v>
      </c>
      <c r="H1726" s="41"/>
      <c r="I1726" s="42"/>
      <c r="J1726" s="42"/>
      <c r="K1726" s="42"/>
      <c r="L1726" s="42"/>
      <c r="M1726" s="43">
        <f t="shared" ref="M1726:M1749" si="1624">SUM(H1726:L1726)</f>
        <v>0</v>
      </c>
      <c r="N1726" s="42"/>
      <c r="O1726" s="53"/>
      <c r="P1726" s="53"/>
      <c r="Q1726" s="53"/>
      <c r="R1726" s="72"/>
      <c r="S1726" s="24">
        <f t="shared" si="1603"/>
        <v>0</v>
      </c>
      <c r="T1726" s="42"/>
      <c r="U1726" s="53"/>
      <c r="V1726" s="53"/>
      <c r="W1726" s="53"/>
      <c r="X1726" s="72"/>
      <c r="Y1726" s="24">
        <f t="shared" si="1613"/>
        <v>0</v>
      </c>
      <c r="Z1726" s="24">
        <f t="shared" si="1621"/>
        <v>1</v>
      </c>
      <c r="AA1726" s="83">
        <v>45442</v>
      </c>
      <c r="AB1726" s="23" t="s">
        <v>669</v>
      </c>
      <c r="AC1726" s="38"/>
      <c r="AD1726" s="39"/>
      <c r="AE1726" s="39">
        <v>1</v>
      </c>
      <c r="AF1726" s="39"/>
      <c r="AG1726" s="39"/>
      <c r="AH1726" s="37">
        <f t="shared" ref="AH1726:AH1732" si="1625">SUM(AC1726:AG1726)</f>
        <v>1</v>
      </c>
      <c r="AI1726" s="38"/>
      <c r="AJ1726" s="39"/>
      <c r="AK1726" s="39"/>
      <c r="AL1726" s="39"/>
      <c r="AM1726" s="39"/>
      <c r="AN1726" s="37">
        <f t="shared" si="1608"/>
        <v>0</v>
      </c>
      <c r="AO1726" s="39"/>
      <c r="AP1726" s="56"/>
      <c r="AQ1726" s="56"/>
      <c r="AR1726" s="56"/>
      <c r="AS1726" s="71"/>
      <c r="AT1726" s="16">
        <f t="shared" si="1609"/>
        <v>0</v>
      </c>
      <c r="AU1726" s="39"/>
      <c r="AV1726" s="56"/>
      <c r="AW1726" s="56"/>
      <c r="AX1726" s="56"/>
      <c r="AY1726" s="71"/>
      <c r="AZ1726" s="16">
        <f t="shared" si="1610"/>
        <v>0</v>
      </c>
      <c r="BA1726" s="16">
        <f t="shared" si="1611"/>
        <v>1</v>
      </c>
      <c r="BB1726" s="83">
        <v>45450</v>
      </c>
    </row>
    <row r="1727" spans="1:54" ht="14.25" x14ac:dyDescent="0.15">
      <c r="A1727" s="23" t="s">
        <v>136</v>
      </c>
      <c r="B1727" s="41"/>
      <c r="C1727" s="42"/>
      <c r="D1727" s="42"/>
      <c r="E1727" s="42"/>
      <c r="F1727" s="42"/>
      <c r="G1727" s="43">
        <f t="shared" si="1623"/>
        <v>0</v>
      </c>
      <c r="H1727" s="41"/>
      <c r="I1727" s="42"/>
      <c r="J1727" s="42"/>
      <c r="K1727" s="42"/>
      <c r="L1727" s="42">
        <v>-1</v>
      </c>
      <c r="M1727" s="43">
        <f t="shared" si="1624"/>
        <v>-1</v>
      </c>
      <c r="N1727" s="42"/>
      <c r="O1727" s="53"/>
      <c r="P1727" s="53"/>
      <c r="Q1727" s="53"/>
      <c r="R1727" s="72"/>
      <c r="S1727" s="24">
        <f t="shared" si="1603"/>
        <v>0</v>
      </c>
      <c r="T1727" s="42"/>
      <c r="U1727" s="53"/>
      <c r="V1727" s="53"/>
      <c r="W1727" s="53"/>
      <c r="X1727" s="72"/>
      <c r="Y1727" s="24">
        <f t="shared" si="1613"/>
        <v>0</v>
      </c>
      <c r="Z1727" s="24">
        <f t="shared" si="1621"/>
        <v>-1</v>
      </c>
      <c r="AA1727" s="83">
        <v>45442</v>
      </c>
      <c r="AB1727" s="23" t="s">
        <v>126</v>
      </c>
      <c r="AC1727" s="38"/>
      <c r="AD1727" s="39">
        <v>3</v>
      </c>
      <c r="AE1727" s="39">
        <v>3</v>
      </c>
      <c r="AF1727" s="39"/>
      <c r="AG1727" s="39"/>
      <c r="AH1727" s="37">
        <f t="shared" ref="AH1727" si="1626">SUM(AC1727:AG1727)</f>
        <v>6</v>
      </c>
      <c r="AI1727" s="38"/>
      <c r="AJ1727" s="39"/>
      <c r="AK1727" s="39"/>
      <c r="AL1727" s="39"/>
      <c r="AM1727" s="39"/>
      <c r="AN1727" s="37">
        <f t="shared" si="1608"/>
        <v>0</v>
      </c>
      <c r="AO1727" s="39"/>
      <c r="AP1727" s="56"/>
      <c r="AQ1727" s="56"/>
      <c r="AR1727" s="56"/>
      <c r="AS1727" s="71"/>
      <c r="AT1727" s="16">
        <f t="shared" si="1609"/>
        <v>0</v>
      </c>
      <c r="AU1727" s="39">
        <v>3</v>
      </c>
      <c r="AV1727" s="56"/>
      <c r="AW1727" s="56"/>
      <c r="AX1727" s="56">
        <v>3</v>
      </c>
      <c r="AY1727" s="71"/>
      <c r="AZ1727" s="16">
        <f t="shared" si="1610"/>
        <v>6</v>
      </c>
      <c r="BA1727" s="16">
        <f t="shared" si="1611"/>
        <v>12</v>
      </c>
      <c r="BB1727" s="83">
        <v>45450</v>
      </c>
    </row>
    <row r="1728" spans="1:54" ht="14.25" x14ac:dyDescent="0.15">
      <c r="A1728" s="23" t="s">
        <v>434</v>
      </c>
      <c r="B1728" s="41"/>
      <c r="C1728" s="42"/>
      <c r="D1728" s="42"/>
      <c r="E1728" s="42"/>
      <c r="F1728" s="42">
        <v>1</v>
      </c>
      <c r="G1728" s="43">
        <f t="shared" si="1623"/>
        <v>1</v>
      </c>
      <c r="H1728" s="41"/>
      <c r="I1728" s="42"/>
      <c r="J1728" s="42"/>
      <c r="K1728" s="42"/>
      <c r="L1728" s="42"/>
      <c r="M1728" s="43">
        <f t="shared" si="1624"/>
        <v>0</v>
      </c>
      <c r="N1728" s="42"/>
      <c r="O1728" s="53"/>
      <c r="P1728" s="53"/>
      <c r="Q1728" s="53"/>
      <c r="R1728" s="72"/>
      <c r="S1728" s="24">
        <f t="shared" si="1603"/>
        <v>0</v>
      </c>
      <c r="T1728" s="42"/>
      <c r="U1728" s="53"/>
      <c r="V1728" s="53"/>
      <c r="W1728" s="53"/>
      <c r="X1728" s="72"/>
      <c r="Y1728" s="24">
        <f t="shared" si="1613"/>
        <v>0</v>
      </c>
      <c r="Z1728" s="24">
        <f t="shared" si="1621"/>
        <v>1</v>
      </c>
      <c r="AA1728" s="83">
        <v>45446</v>
      </c>
      <c r="AB1728" s="23" t="s">
        <v>670</v>
      </c>
      <c r="AC1728" s="38"/>
      <c r="AD1728" s="39"/>
      <c r="AE1728" s="39"/>
      <c r="AF1728" s="39"/>
      <c r="AG1728" s="39"/>
      <c r="AH1728" s="37">
        <f t="shared" si="1625"/>
        <v>0</v>
      </c>
      <c r="AI1728" s="38"/>
      <c r="AJ1728" s="39"/>
      <c r="AK1728" s="39">
        <v>1</v>
      </c>
      <c r="AL1728" s="39"/>
      <c r="AM1728" s="39"/>
      <c r="AN1728" s="37">
        <f t="shared" si="1608"/>
        <v>1</v>
      </c>
      <c r="AO1728" s="39"/>
      <c r="AP1728" s="56"/>
      <c r="AQ1728" s="56"/>
      <c r="AR1728" s="56"/>
      <c r="AS1728" s="71"/>
      <c r="AT1728" s="16">
        <f t="shared" si="1609"/>
        <v>0</v>
      </c>
      <c r="AU1728" s="39"/>
      <c r="AV1728" s="56">
        <v>1</v>
      </c>
      <c r="AW1728" s="56"/>
      <c r="AX1728" s="56"/>
      <c r="AY1728" s="71"/>
      <c r="AZ1728" s="16">
        <f t="shared" si="1610"/>
        <v>1</v>
      </c>
      <c r="BA1728" s="16">
        <f t="shared" si="1611"/>
        <v>2</v>
      </c>
      <c r="BB1728" s="83">
        <v>45460</v>
      </c>
    </row>
    <row r="1729" spans="1:54" ht="14.25" x14ac:dyDescent="0.15">
      <c r="A1729" s="23" t="s">
        <v>48</v>
      </c>
      <c r="B1729" s="41"/>
      <c r="C1729" s="42"/>
      <c r="D1729" s="42">
        <v>1</v>
      </c>
      <c r="E1729" s="42"/>
      <c r="F1729" s="42"/>
      <c r="G1729" s="43">
        <f t="shared" si="1623"/>
        <v>1</v>
      </c>
      <c r="H1729" s="41"/>
      <c r="I1729" s="42"/>
      <c r="J1729" s="42"/>
      <c r="K1729" s="42"/>
      <c r="L1729" s="42"/>
      <c r="M1729" s="43">
        <f t="shared" si="1624"/>
        <v>0</v>
      </c>
      <c r="N1729" s="42"/>
      <c r="O1729" s="53"/>
      <c r="P1729" s="53"/>
      <c r="Q1729" s="53"/>
      <c r="R1729" s="72"/>
      <c r="S1729" s="24">
        <f t="shared" si="1603"/>
        <v>0</v>
      </c>
      <c r="T1729" s="42"/>
      <c r="U1729" s="53"/>
      <c r="V1729" s="53"/>
      <c r="W1729" s="53"/>
      <c r="X1729" s="72"/>
      <c r="Y1729" s="24">
        <f t="shared" si="1613"/>
        <v>0</v>
      </c>
      <c r="Z1729" s="24">
        <f t="shared" si="1621"/>
        <v>1</v>
      </c>
      <c r="AA1729" s="83">
        <v>45443</v>
      </c>
      <c r="AB1729" s="23" t="s">
        <v>671</v>
      </c>
      <c r="AC1729" s="38"/>
      <c r="AD1729" s="39"/>
      <c r="AE1729" s="39"/>
      <c r="AF1729" s="39"/>
      <c r="AG1729" s="39"/>
      <c r="AH1729" s="37">
        <f t="shared" si="1625"/>
        <v>0</v>
      </c>
      <c r="AI1729" s="38">
        <v>1</v>
      </c>
      <c r="AJ1729" s="39"/>
      <c r="AK1729" s="39">
        <v>1</v>
      </c>
      <c r="AL1729" s="39">
        <v>2</v>
      </c>
      <c r="AM1729" s="39"/>
      <c r="AN1729" s="37">
        <f t="shared" si="1608"/>
        <v>4</v>
      </c>
      <c r="AO1729" s="39"/>
      <c r="AP1729" s="56"/>
      <c r="AQ1729" s="56"/>
      <c r="AR1729" s="56"/>
      <c r="AS1729" s="71"/>
      <c r="AT1729" s="16">
        <f t="shared" si="1609"/>
        <v>0</v>
      </c>
      <c r="AU1729" s="39"/>
      <c r="AV1729" s="56"/>
      <c r="AW1729" s="56">
        <v>1</v>
      </c>
      <c r="AX1729" s="56">
        <v>1</v>
      </c>
      <c r="AY1729" s="71"/>
      <c r="AZ1729" s="16">
        <f t="shared" si="1610"/>
        <v>2</v>
      </c>
      <c r="BA1729" s="16">
        <f t="shared" si="1611"/>
        <v>6</v>
      </c>
      <c r="BB1729" s="83">
        <v>45467</v>
      </c>
    </row>
    <row r="1730" spans="1:54" ht="14.25" x14ac:dyDescent="0.15">
      <c r="A1730" s="23" t="s">
        <v>48</v>
      </c>
      <c r="B1730" s="41"/>
      <c r="C1730" s="42"/>
      <c r="D1730" s="42"/>
      <c r="E1730" s="42"/>
      <c r="F1730" s="42"/>
      <c r="G1730" s="43">
        <f t="shared" si="1623"/>
        <v>0</v>
      </c>
      <c r="H1730" s="41"/>
      <c r="I1730" s="42"/>
      <c r="J1730" s="42"/>
      <c r="K1730" s="42">
        <v>1</v>
      </c>
      <c r="L1730" s="42"/>
      <c r="M1730" s="43">
        <f t="shared" si="1624"/>
        <v>1</v>
      </c>
      <c r="N1730" s="42"/>
      <c r="O1730" s="53">
        <v>1</v>
      </c>
      <c r="P1730" s="53"/>
      <c r="Q1730" s="53"/>
      <c r="R1730" s="72"/>
      <c r="S1730" s="24">
        <f t="shared" si="1603"/>
        <v>1</v>
      </c>
      <c r="T1730" s="42"/>
      <c r="U1730" s="53"/>
      <c r="V1730" s="53"/>
      <c r="W1730" s="53"/>
      <c r="X1730" s="72"/>
      <c r="Y1730" s="24">
        <f t="shared" si="1613"/>
        <v>0</v>
      </c>
      <c r="Z1730" s="24">
        <f t="shared" si="1621"/>
        <v>2</v>
      </c>
      <c r="AA1730" s="83">
        <v>45446</v>
      </c>
      <c r="AB1730" s="23" t="s">
        <v>126</v>
      </c>
      <c r="AC1730" s="38"/>
      <c r="AD1730" s="39"/>
      <c r="AE1730" s="39">
        <v>5</v>
      </c>
      <c r="AF1730" s="39"/>
      <c r="AG1730" s="39"/>
      <c r="AH1730" s="37">
        <f t="shared" si="1625"/>
        <v>5</v>
      </c>
      <c r="AI1730" s="38"/>
      <c r="AJ1730" s="39">
        <v>3</v>
      </c>
      <c r="AK1730" s="39"/>
      <c r="AL1730" s="39"/>
      <c r="AM1730" s="39"/>
      <c r="AN1730" s="37">
        <f t="shared" ref="AN1730" si="1627">SUM(AI1730:AM1730)</f>
        <v>3</v>
      </c>
      <c r="AO1730" s="39"/>
      <c r="AP1730" s="56"/>
      <c r="AQ1730" s="56"/>
      <c r="AR1730" s="56"/>
      <c r="AS1730" s="71"/>
      <c r="AT1730" s="16">
        <f t="shared" ref="AT1730" si="1628">SUM(AO1730:AS1730)</f>
        <v>0</v>
      </c>
      <c r="AU1730" s="39"/>
      <c r="AV1730" s="56"/>
      <c r="AW1730" s="56"/>
      <c r="AX1730" s="56"/>
      <c r="AY1730" s="71"/>
      <c r="AZ1730" s="16">
        <f t="shared" ref="AZ1730" si="1629">SUM(AU1730:AY1730)</f>
        <v>0</v>
      </c>
      <c r="BA1730" s="16">
        <f>AH1730+AN1730+AT1730+AZ1730</f>
        <v>8</v>
      </c>
      <c r="BB1730" s="83">
        <v>45462</v>
      </c>
    </row>
    <row r="1731" spans="1:54" ht="14.25" x14ac:dyDescent="0.15">
      <c r="A1731" s="23" t="s">
        <v>434</v>
      </c>
      <c r="B1731" s="41"/>
      <c r="C1731" s="42"/>
      <c r="D1731" s="42"/>
      <c r="E1731" s="42"/>
      <c r="F1731" s="42"/>
      <c r="G1731" s="43">
        <f t="shared" si="1623"/>
        <v>0</v>
      </c>
      <c r="H1731" s="41"/>
      <c r="I1731" s="42"/>
      <c r="J1731" s="42"/>
      <c r="K1731" s="42">
        <v>1</v>
      </c>
      <c r="L1731" s="42"/>
      <c r="M1731" s="43">
        <f t="shared" si="1624"/>
        <v>1</v>
      </c>
      <c r="N1731" s="42"/>
      <c r="O1731" s="53"/>
      <c r="P1731" s="53"/>
      <c r="Q1731" s="53"/>
      <c r="R1731" s="72">
        <v>1</v>
      </c>
      <c r="S1731" s="24">
        <f t="shared" si="1603"/>
        <v>1</v>
      </c>
      <c r="T1731" s="42"/>
      <c r="U1731" s="53"/>
      <c r="V1731" s="53"/>
      <c r="W1731" s="53"/>
      <c r="X1731" s="72"/>
      <c r="Y1731" s="24">
        <f t="shared" si="1613"/>
        <v>0</v>
      </c>
      <c r="Z1731" s="24">
        <f t="shared" si="1621"/>
        <v>2</v>
      </c>
      <c r="AA1731" s="83">
        <v>45449</v>
      </c>
      <c r="AB1731" s="23" t="s">
        <v>672</v>
      </c>
      <c r="AC1731" s="38"/>
      <c r="AD1731" s="39">
        <v>1</v>
      </c>
      <c r="AE1731" s="39">
        <v>1</v>
      </c>
      <c r="AF1731" s="39">
        <v>2</v>
      </c>
      <c r="AG1731" s="39"/>
      <c r="AH1731" s="37">
        <f t="shared" si="1625"/>
        <v>4</v>
      </c>
      <c r="AI1731" s="38"/>
      <c r="AJ1731" s="39">
        <v>1</v>
      </c>
      <c r="AK1731" s="39"/>
      <c r="AL1731" s="39"/>
      <c r="AM1731" s="39"/>
      <c r="AN1731" s="37">
        <f t="shared" si="1608"/>
        <v>1</v>
      </c>
      <c r="AO1731" s="39"/>
      <c r="AP1731" s="56"/>
      <c r="AQ1731" s="56"/>
      <c r="AR1731" s="56">
        <v>1</v>
      </c>
      <c r="AS1731" s="71"/>
      <c r="AT1731" s="16">
        <f t="shared" si="1609"/>
        <v>1</v>
      </c>
      <c r="AU1731" s="39"/>
      <c r="AV1731" s="56"/>
      <c r="AW1731" s="56"/>
      <c r="AX1731" s="56"/>
      <c r="AY1731" s="71"/>
      <c r="AZ1731" s="16">
        <f t="shared" si="1610"/>
        <v>0</v>
      </c>
      <c r="BA1731" s="16">
        <f t="shared" si="1611"/>
        <v>6</v>
      </c>
      <c r="BB1731" s="83">
        <v>45471</v>
      </c>
    </row>
    <row r="1732" spans="1:54" ht="14.25" x14ac:dyDescent="0.15">
      <c r="A1732" s="23" t="s">
        <v>434</v>
      </c>
      <c r="B1732" s="41"/>
      <c r="C1732" s="42"/>
      <c r="D1732" s="42">
        <v>1</v>
      </c>
      <c r="E1732" s="42"/>
      <c r="F1732" s="42"/>
      <c r="G1732" s="43">
        <f t="shared" si="1623"/>
        <v>1</v>
      </c>
      <c r="H1732" s="41"/>
      <c r="I1732" s="42"/>
      <c r="J1732" s="42"/>
      <c r="K1732" s="42"/>
      <c r="L1732" s="42"/>
      <c r="M1732" s="43">
        <f t="shared" si="1624"/>
        <v>0</v>
      </c>
      <c r="N1732" s="42"/>
      <c r="O1732" s="53"/>
      <c r="P1732" s="53"/>
      <c r="Q1732" s="53"/>
      <c r="R1732" s="72"/>
      <c r="S1732" s="24">
        <f t="shared" si="1603"/>
        <v>0</v>
      </c>
      <c r="T1732" s="42"/>
      <c r="U1732" s="53"/>
      <c r="V1732" s="53"/>
      <c r="W1732" s="53"/>
      <c r="X1732" s="72"/>
      <c r="Y1732" s="24">
        <f t="shared" si="1613"/>
        <v>0</v>
      </c>
      <c r="Z1732" s="24">
        <f t="shared" si="1621"/>
        <v>1</v>
      </c>
      <c r="AA1732" s="83">
        <v>45450</v>
      </c>
      <c r="AB1732" s="23" t="s">
        <v>126</v>
      </c>
      <c r="AC1732" s="38"/>
      <c r="AD1732" s="39"/>
      <c r="AE1732" s="39"/>
      <c r="AF1732" s="39"/>
      <c r="AG1732" s="39"/>
      <c r="AH1732" s="37">
        <f t="shared" si="1625"/>
        <v>0</v>
      </c>
      <c r="AI1732" s="38"/>
      <c r="AJ1732" s="39"/>
      <c r="AK1732" s="39"/>
      <c r="AL1732" s="39"/>
      <c r="AM1732" s="39"/>
      <c r="AN1732" s="37">
        <f t="shared" si="1608"/>
        <v>0</v>
      </c>
      <c r="AO1732" s="39"/>
      <c r="AP1732" s="56"/>
      <c r="AQ1732" s="56"/>
      <c r="AR1732" s="56">
        <v>3</v>
      </c>
      <c r="AS1732" s="71"/>
      <c r="AT1732" s="16">
        <f t="shared" si="1609"/>
        <v>3</v>
      </c>
      <c r="AU1732" s="39"/>
      <c r="AV1732" s="56"/>
      <c r="AW1732" s="56">
        <v>3</v>
      </c>
      <c r="AX1732" s="56"/>
      <c r="AY1732" s="71"/>
      <c r="AZ1732" s="16">
        <f t="shared" si="1610"/>
        <v>3</v>
      </c>
      <c r="BA1732" s="16">
        <f t="shared" si="1611"/>
        <v>6</v>
      </c>
      <c r="BB1732" s="83">
        <v>45471</v>
      </c>
    </row>
    <row r="1733" spans="1:54" ht="14.25" x14ac:dyDescent="0.15">
      <c r="A1733" s="23" t="s">
        <v>48</v>
      </c>
      <c r="B1733" s="41"/>
      <c r="C1733" s="42"/>
      <c r="D1733" s="42"/>
      <c r="E1733" s="42"/>
      <c r="F1733" s="42"/>
      <c r="G1733" s="43">
        <f t="shared" si="1623"/>
        <v>0</v>
      </c>
      <c r="H1733" s="41"/>
      <c r="I1733" s="42">
        <v>1</v>
      </c>
      <c r="J1733" s="42"/>
      <c r="K1733" s="42">
        <v>1</v>
      </c>
      <c r="L1733" s="42"/>
      <c r="M1733" s="43">
        <f t="shared" si="1624"/>
        <v>2</v>
      </c>
      <c r="N1733" s="42"/>
      <c r="O1733" s="53"/>
      <c r="P1733" s="53"/>
      <c r="Q1733" s="53"/>
      <c r="R1733" s="72"/>
      <c r="S1733" s="24">
        <f t="shared" si="1603"/>
        <v>0</v>
      </c>
      <c r="T1733" s="42"/>
      <c r="U1733" s="53"/>
      <c r="V1733" s="53"/>
      <c r="W1733" s="53"/>
      <c r="X1733" s="72"/>
      <c r="Y1733" s="24">
        <f t="shared" si="1613"/>
        <v>0</v>
      </c>
      <c r="Z1733" s="24">
        <f t="shared" si="1621"/>
        <v>2</v>
      </c>
      <c r="AA1733" s="83">
        <v>45453</v>
      </c>
      <c r="AB1733" s="23" t="s">
        <v>674</v>
      </c>
      <c r="AC1733" s="38"/>
      <c r="AD1733" s="39"/>
      <c r="AE1733" s="39"/>
      <c r="AF1733" s="39"/>
      <c r="AG1733" s="39"/>
      <c r="AH1733" s="37">
        <f t="shared" ref="AH1733:AH1737" si="1630">SUM(AC1733:AG1733)</f>
        <v>0</v>
      </c>
      <c r="AI1733" s="38"/>
      <c r="AJ1733" s="39">
        <v>1</v>
      </c>
      <c r="AK1733" s="39">
        <v>1</v>
      </c>
      <c r="AL1733" s="39">
        <v>1</v>
      </c>
      <c r="AM1733" s="39"/>
      <c r="AN1733" s="37">
        <f t="shared" ref="AN1733:AN1749" si="1631">SUM(AI1733:AM1733)</f>
        <v>3</v>
      </c>
      <c r="AO1733" s="39"/>
      <c r="AP1733" s="56"/>
      <c r="AQ1733" s="56">
        <v>1</v>
      </c>
      <c r="AR1733" s="56"/>
      <c r="AS1733" s="71"/>
      <c r="AT1733" s="16">
        <f t="shared" ref="AT1733:AT1749" si="1632">SUM(AO1733:AS1733)</f>
        <v>1</v>
      </c>
      <c r="AU1733" s="39"/>
      <c r="AV1733" s="56"/>
      <c r="AW1733" s="56"/>
      <c r="AX1733" s="56">
        <v>1</v>
      </c>
      <c r="AY1733" s="71"/>
      <c r="AZ1733" s="16">
        <f t="shared" ref="AZ1733:AZ1749" si="1633">SUM(AU1733:AY1733)</f>
        <v>1</v>
      </c>
      <c r="BA1733" s="16">
        <f t="shared" ref="BA1733:BA1749" si="1634">AH1733+AN1733+AT1733+AZ1733</f>
        <v>5</v>
      </c>
      <c r="BB1733" s="83">
        <v>45481</v>
      </c>
    </row>
    <row r="1734" spans="1:54" ht="14.25" x14ac:dyDescent="0.15">
      <c r="A1734" s="23" t="s">
        <v>434</v>
      </c>
      <c r="B1734" s="41"/>
      <c r="C1734" s="42"/>
      <c r="D1734" s="42"/>
      <c r="E1734" s="42"/>
      <c r="F1734" s="42"/>
      <c r="G1734" s="43">
        <f t="shared" si="1623"/>
        <v>0</v>
      </c>
      <c r="H1734" s="41"/>
      <c r="I1734" s="42"/>
      <c r="J1734" s="42">
        <v>1</v>
      </c>
      <c r="K1734" s="42"/>
      <c r="L1734" s="42"/>
      <c r="M1734" s="43">
        <f t="shared" si="1624"/>
        <v>1</v>
      </c>
      <c r="N1734" s="42"/>
      <c r="O1734" s="53"/>
      <c r="P1734" s="53"/>
      <c r="Q1734" s="53"/>
      <c r="R1734" s="72"/>
      <c r="S1734" s="24">
        <f t="shared" si="1603"/>
        <v>0</v>
      </c>
      <c r="T1734" s="42"/>
      <c r="U1734" s="53"/>
      <c r="V1734" s="53"/>
      <c r="W1734" s="53"/>
      <c r="X1734" s="72"/>
      <c r="Y1734" s="24">
        <f t="shared" si="1613"/>
        <v>0</v>
      </c>
      <c r="Z1734" s="24">
        <f t="shared" si="1621"/>
        <v>1</v>
      </c>
      <c r="AA1734" s="83">
        <v>45456</v>
      </c>
      <c r="AB1734" s="23"/>
      <c r="AC1734" s="38"/>
      <c r="AD1734" s="39"/>
      <c r="AE1734" s="39"/>
      <c r="AF1734" s="39"/>
      <c r="AG1734" s="39"/>
      <c r="AH1734" s="37">
        <f t="shared" si="1630"/>
        <v>0</v>
      </c>
      <c r="AI1734" s="38"/>
      <c r="AJ1734" s="39"/>
      <c r="AK1734" s="39"/>
      <c r="AL1734" s="39"/>
      <c r="AM1734" s="39"/>
      <c r="AN1734" s="37">
        <f t="shared" si="1631"/>
        <v>0</v>
      </c>
      <c r="AO1734" s="39"/>
      <c r="AP1734" s="56"/>
      <c r="AQ1734" s="56"/>
      <c r="AR1734" s="56"/>
      <c r="AS1734" s="71"/>
      <c r="AT1734" s="16">
        <f t="shared" si="1632"/>
        <v>0</v>
      </c>
      <c r="AU1734" s="39"/>
      <c r="AV1734" s="56"/>
      <c r="AW1734" s="56"/>
      <c r="AX1734" s="56"/>
      <c r="AY1734" s="71"/>
      <c r="AZ1734" s="16">
        <f t="shared" si="1633"/>
        <v>0</v>
      </c>
      <c r="BA1734" s="16">
        <f t="shared" si="1634"/>
        <v>0</v>
      </c>
      <c r="BB1734" s="128"/>
    </row>
    <row r="1735" spans="1:54" ht="14.25" x14ac:dyDescent="0.15">
      <c r="A1735" s="23" t="s">
        <v>48</v>
      </c>
      <c r="B1735" s="41"/>
      <c r="C1735" s="42"/>
      <c r="D1735" s="42">
        <v>1</v>
      </c>
      <c r="E1735" s="42"/>
      <c r="F1735" s="42"/>
      <c r="G1735" s="43">
        <f t="shared" si="1623"/>
        <v>1</v>
      </c>
      <c r="H1735" s="41"/>
      <c r="I1735" s="42"/>
      <c r="J1735" s="42"/>
      <c r="K1735" s="42"/>
      <c r="L1735" s="42">
        <v>1</v>
      </c>
      <c r="M1735" s="43">
        <f t="shared" si="1624"/>
        <v>1</v>
      </c>
      <c r="N1735" s="42"/>
      <c r="O1735" s="53"/>
      <c r="P1735" s="53"/>
      <c r="Q1735" s="53"/>
      <c r="R1735" s="72"/>
      <c r="S1735" s="24">
        <f t="shared" si="1603"/>
        <v>0</v>
      </c>
      <c r="T1735" s="42"/>
      <c r="U1735" s="53"/>
      <c r="V1735" s="53"/>
      <c r="W1735" s="53"/>
      <c r="X1735" s="72"/>
      <c r="Y1735" s="24">
        <f t="shared" si="1613"/>
        <v>0</v>
      </c>
      <c r="Z1735" s="24">
        <f t="shared" si="1621"/>
        <v>2</v>
      </c>
      <c r="AA1735" s="83">
        <v>45454</v>
      </c>
      <c r="AB1735" s="23"/>
      <c r="AC1735" s="38"/>
      <c r="AD1735" s="39"/>
      <c r="AE1735" s="39"/>
      <c r="AF1735" s="39"/>
      <c r="AG1735" s="39"/>
      <c r="AH1735" s="37">
        <f t="shared" si="1630"/>
        <v>0</v>
      </c>
      <c r="AI1735" s="38"/>
      <c r="AJ1735" s="39"/>
      <c r="AK1735" s="39"/>
      <c r="AL1735" s="39"/>
      <c r="AM1735" s="39"/>
      <c r="AN1735" s="37">
        <f t="shared" si="1631"/>
        <v>0</v>
      </c>
      <c r="AO1735" s="39"/>
      <c r="AP1735" s="56"/>
      <c r="AQ1735" s="56"/>
      <c r="AR1735" s="56"/>
      <c r="AS1735" s="71"/>
      <c r="AT1735" s="16">
        <f t="shared" si="1632"/>
        <v>0</v>
      </c>
      <c r="AU1735" s="39"/>
      <c r="AV1735" s="56"/>
      <c r="AW1735" s="56"/>
      <c r="AX1735" s="56"/>
      <c r="AY1735" s="71"/>
      <c r="AZ1735" s="16">
        <f t="shared" si="1633"/>
        <v>0</v>
      </c>
      <c r="BA1735" s="16">
        <f t="shared" si="1634"/>
        <v>0</v>
      </c>
      <c r="BB1735" s="128"/>
    </row>
    <row r="1736" spans="1:54" ht="14.25" x14ac:dyDescent="0.15">
      <c r="A1736" s="23" t="s">
        <v>48</v>
      </c>
      <c r="B1736" s="41"/>
      <c r="C1736" s="42"/>
      <c r="D1736" s="42">
        <v>1</v>
      </c>
      <c r="E1736" s="42"/>
      <c r="F1736" s="42"/>
      <c r="G1736" s="43">
        <f t="shared" si="1623"/>
        <v>1</v>
      </c>
      <c r="H1736" s="41"/>
      <c r="I1736" s="42"/>
      <c r="J1736" s="42"/>
      <c r="K1736" s="42"/>
      <c r="L1736" s="42"/>
      <c r="M1736" s="43">
        <f t="shared" si="1624"/>
        <v>0</v>
      </c>
      <c r="N1736" s="42"/>
      <c r="O1736" s="53"/>
      <c r="P1736" s="53"/>
      <c r="Q1736" s="53"/>
      <c r="R1736" s="72"/>
      <c r="S1736" s="24">
        <f t="shared" si="1603"/>
        <v>0</v>
      </c>
      <c r="T1736" s="42"/>
      <c r="U1736" s="53"/>
      <c r="V1736" s="53"/>
      <c r="W1736" s="53"/>
      <c r="X1736" s="72"/>
      <c r="Y1736" s="24">
        <f t="shared" si="1613"/>
        <v>0</v>
      </c>
      <c r="Z1736" s="24">
        <f t="shared" si="1621"/>
        <v>1</v>
      </c>
      <c r="AA1736" s="83">
        <v>45456</v>
      </c>
      <c r="AB1736" s="23"/>
      <c r="AC1736" s="38"/>
      <c r="AD1736" s="39"/>
      <c r="AE1736" s="39"/>
      <c r="AF1736" s="39"/>
      <c r="AG1736" s="39"/>
      <c r="AH1736" s="37">
        <f t="shared" si="1630"/>
        <v>0</v>
      </c>
      <c r="AI1736" s="38"/>
      <c r="AJ1736" s="39"/>
      <c r="AK1736" s="39"/>
      <c r="AL1736" s="39"/>
      <c r="AM1736" s="39"/>
      <c r="AN1736" s="37">
        <f t="shared" si="1631"/>
        <v>0</v>
      </c>
      <c r="AO1736" s="39"/>
      <c r="AP1736" s="56"/>
      <c r="AQ1736" s="56"/>
      <c r="AR1736" s="56"/>
      <c r="AS1736" s="71"/>
      <c r="AT1736" s="16">
        <f t="shared" si="1632"/>
        <v>0</v>
      </c>
      <c r="AU1736" s="39"/>
      <c r="AV1736" s="56"/>
      <c r="AW1736" s="56"/>
      <c r="AX1736" s="56"/>
      <c r="AY1736" s="71"/>
      <c r="AZ1736" s="16">
        <f t="shared" si="1633"/>
        <v>0</v>
      </c>
      <c r="BA1736" s="16">
        <f t="shared" si="1634"/>
        <v>0</v>
      </c>
      <c r="BB1736" s="128"/>
    </row>
    <row r="1737" spans="1:54" ht="14.25" x14ac:dyDescent="0.15">
      <c r="A1737" s="23" t="s">
        <v>48</v>
      </c>
      <c r="B1737" s="41"/>
      <c r="C1737" s="42">
        <v>1</v>
      </c>
      <c r="D1737" s="42"/>
      <c r="E1737" s="42"/>
      <c r="F1737" s="42"/>
      <c r="G1737" s="43">
        <f t="shared" si="1623"/>
        <v>1</v>
      </c>
      <c r="H1737" s="41"/>
      <c r="I1737" s="42">
        <v>1</v>
      </c>
      <c r="J1737" s="42"/>
      <c r="K1737" s="42"/>
      <c r="L1737" s="42"/>
      <c r="M1737" s="43">
        <f t="shared" si="1624"/>
        <v>1</v>
      </c>
      <c r="N1737" s="42"/>
      <c r="O1737" s="53"/>
      <c r="P1737" s="53"/>
      <c r="Q1737" s="53">
        <v>1</v>
      </c>
      <c r="R1737" s="72"/>
      <c r="S1737" s="24">
        <f t="shared" si="1603"/>
        <v>1</v>
      </c>
      <c r="T1737" s="42"/>
      <c r="U1737" s="53"/>
      <c r="V1737" s="53"/>
      <c r="W1737" s="53"/>
      <c r="X1737" s="72"/>
      <c r="Y1737" s="24">
        <f t="shared" si="1613"/>
        <v>0</v>
      </c>
      <c r="Z1737" s="24">
        <f t="shared" si="1621"/>
        <v>3</v>
      </c>
      <c r="AA1737" s="83">
        <v>45460</v>
      </c>
      <c r="AB1737" s="23"/>
      <c r="AC1737" s="38"/>
      <c r="AD1737" s="39"/>
      <c r="AE1737" s="39"/>
      <c r="AF1737" s="39"/>
      <c r="AG1737" s="39"/>
      <c r="AH1737" s="37">
        <f t="shared" si="1630"/>
        <v>0</v>
      </c>
      <c r="AI1737" s="38"/>
      <c r="AJ1737" s="39"/>
      <c r="AK1737" s="39"/>
      <c r="AL1737" s="39"/>
      <c r="AM1737" s="39"/>
      <c r="AN1737" s="37">
        <f t="shared" si="1631"/>
        <v>0</v>
      </c>
      <c r="AO1737" s="39"/>
      <c r="AP1737" s="56"/>
      <c r="AQ1737" s="56"/>
      <c r="AR1737" s="56"/>
      <c r="AS1737" s="71"/>
      <c r="AT1737" s="16">
        <f t="shared" si="1632"/>
        <v>0</v>
      </c>
      <c r="AU1737" s="39"/>
      <c r="AV1737" s="56"/>
      <c r="AW1737" s="56"/>
      <c r="AX1737" s="56"/>
      <c r="AY1737" s="71"/>
      <c r="AZ1737" s="16">
        <f t="shared" si="1633"/>
        <v>0</v>
      </c>
      <c r="BA1737" s="16">
        <f t="shared" si="1634"/>
        <v>0</v>
      </c>
      <c r="BB1737" s="128"/>
    </row>
    <row r="1738" spans="1:54" ht="14.25" x14ac:dyDescent="0.15">
      <c r="A1738" s="23" t="s">
        <v>48</v>
      </c>
      <c r="B1738" s="41"/>
      <c r="C1738" s="42"/>
      <c r="D1738" s="42">
        <v>1</v>
      </c>
      <c r="E1738" s="42">
        <v>1</v>
      </c>
      <c r="F1738" s="42"/>
      <c r="G1738" s="43">
        <f t="shared" si="1623"/>
        <v>2</v>
      </c>
      <c r="H1738" s="41"/>
      <c r="I1738" s="42"/>
      <c r="J1738" s="42"/>
      <c r="K1738" s="42"/>
      <c r="L1738" s="42"/>
      <c r="M1738" s="43">
        <f t="shared" si="1624"/>
        <v>0</v>
      </c>
      <c r="N1738" s="42"/>
      <c r="O1738" s="53"/>
      <c r="P1738" s="53"/>
      <c r="Q1738" s="53"/>
      <c r="R1738" s="72"/>
      <c r="S1738" s="24">
        <f t="shared" si="1603"/>
        <v>0</v>
      </c>
      <c r="T1738" s="42"/>
      <c r="U1738" s="53"/>
      <c r="V1738" s="53"/>
      <c r="W1738" s="53"/>
      <c r="X1738" s="72"/>
      <c r="Y1738" s="24">
        <f t="shared" si="1613"/>
        <v>0</v>
      </c>
      <c r="Z1738" s="24">
        <f t="shared" si="1621"/>
        <v>2</v>
      </c>
      <c r="AA1738" s="83">
        <v>45461</v>
      </c>
      <c r="AB1738" s="23"/>
      <c r="AC1738" s="38"/>
      <c r="AD1738" s="39"/>
      <c r="AE1738" s="39"/>
      <c r="AF1738" s="39"/>
      <c r="AG1738" s="39"/>
      <c r="AH1738" s="37">
        <f t="shared" ref="AH1738:AH1742" si="1635">SUM(AC1738:AG1738)</f>
        <v>0</v>
      </c>
      <c r="AI1738" s="38"/>
      <c r="AJ1738" s="39"/>
      <c r="AK1738" s="39"/>
      <c r="AL1738" s="39"/>
      <c r="AM1738" s="39"/>
      <c r="AN1738" s="37">
        <f t="shared" si="1631"/>
        <v>0</v>
      </c>
      <c r="AO1738" s="39"/>
      <c r="AP1738" s="56"/>
      <c r="AQ1738" s="56"/>
      <c r="AR1738" s="56"/>
      <c r="AS1738" s="71"/>
      <c r="AT1738" s="16">
        <f t="shared" si="1632"/>
        <v>0</v>
      </c>
      <c r="AU1738" s="39"/>
      <c r="AV1738" s="56"/>
      <c r="AW1738" s="56"/>
      <c r="AX1738" s="56"/>
      <c r="AY1738" s="71"/>
      <c r="AZ1738" s="16">
        <f t="shared" si="1633"/>
        <v>0</v>
      </c>
      <c r="BA1738" s="16">
        <f t="shared" si="1634"/>
        <v>0</v>
      </c>
    </row>
    <row r="1739" spans="1:54" ht="14.25" x14ac:dyDescent="0.15">
      <c r="A1739" s="23" t="s">
        <v>434</v>
      </c>
      <c r="B1739" s="41"/>
      <c r="C1739" s="42"/>
      <c r="D1739" s="42"/>
      <c r="E1739" s="42"/>
      <c r="F1739" s="42"/>
      <c r="G1739" s="43">
        <f t="shared" si="1623"/>
        <v>0</v>
      </c>
      <c r="H1739" s="41"/>
      <c r="I1739" s="42"/>
      <c r="J1739" s="42"/>
      <c r="K1739" s="42"/>
      <c r="L1739" s="42"/>
      <c r="M1739" s="43">
        <f t="shared" si="1624"/>
        <v>0</v>
      </c>
      <c r="N1739" s="42"/>
      <c r="O1739" s="53"/>
      <c r="P1739" s="53"/>
      <c r="Q1739" s="53"/>
      <c r="R1739" s="72"/>
      <c r="S1739" s="24">
        <f t="shared" si="1603"/>
        <v>0</v>
      </c>
      <c r="T1739" s="42"/>
      <c r="U1739" s="53"/>
      <c r="V1739" s="53">
        <v>1</v>
      </c>
      <c r="W1739" s="53"/>
      <c r="X1739" s="72"/>
      <c r="Y1739" s="24">
        <f t="shared" si="1613"/>
        <v>1</v>
      </c>
      <c r="Z1739" s="24">
        <f t="shared" si="1621"/>
        <v>1</v>
      </c>
      <c r="AA1739" s="83">
        <v>45464</v>
      </c>
      <c r="AB1739" s="23"/>
      <c r="AC1739" s="38"/>
      <c r="AD1739" s="39"/>
      <c r="AE1739" s="39"/>
      <c r="AF1739" s="39"/>
      <c r="AG1739" s="39"/>
      <c r="AH1739" s="37">
        <f t="shared" si="1635"/>
        <v>0</v>
      </c>
      <c r="AI1739" s="38"/>
      <c r="AJ1739" s="39"/>
      <c r="AK1739" s="39"/>
      <c r="AL1739" s="39"/>
      <c r="AM1739" s="39"/>
      <c r="AN1739" s="37">
        <f t="shared" si="1631"/>
        <v>0</v>
      </c>
      <c r="AO1739" s="39"/>
      <c r="AP1739" s="56"/>
      <c r="AQ1739" s="56"/>
      <c r="AR1739" s="56"/>
      <c r="AS1739" s="71"/>
      <c r="AT1739" s="16">
        <f t="shared" si="1632"/>
        <v>0</v>
      </c>
      <c r="AU1739" s="39"/>
      <c r="AV1739" s="56"/>
      <c r="AW1739" s="56"/>
      <c r="AX1739" s="56"/>
      <c r="AY1739" s="71"/>
      <c r="AZ1739" s="16">
        <f t="shared" si="1633"/>
        <v>0</v>
      </c>
      <c r="BA1739" s="16">
        <f t="shared" si="1634"/>
        <v>0</v>
      </c>
    </row>
    <row r="1740" spans="1:54" ht="14.25" x14ac:dyDescent="0.15">
      <c r="A1740" s="23" t="s">
        <v>434</v>
      </c>
      <c r="B1740" s="41"/>
      <c r="C1740" s="42"/>
      <c r="D1740" s="42"/>
      <c r="E1740" s="42"/>
      <c r="F1740" s="42"/>
      <c r="G1740" s="43">
        <f t="shared" si="1623"/>
        <v>0</v>
      </c>
      <c r="H1740" s="41"/>
      <c r="I1740" s="42"/>
      <c r="J1740" s="42"/>
      <c r="K1740" s="42">
        <v>1</v>
      </c>
      <c r="L1740" s="42"/>
      <c r="M1740" s="43">
        <f t="shared" si="1624"/>
        <v>1</v>
      </c>
      <c r="N1740" s="42"/>
      <c r="O1740" s="53"/>
      <c r="P1740" s="53"/>
      <c r="Q1740" s="53">
        <v>1</v>
      </c>
      <c r="R1740" s="72"/>
      <c r="S1740" s="24">
        <f t="shared" si="1603"/>
        <v>1</v>
      </c>
      <c r="T1740" s="42"/>
      <c r="U1740" s="53"/>
      <c r="V1740" s="53"/>
      <c r="W1740" s="53"/>
      <c r="X1740" s="72"/>
      <c r="Y1740" s="24">
        <f t="shared" si="1613"/>
        <v>0</v>
      </c>
      <c r="Z1740" s="24">
        <f t="shared" si="1621"/>
        <v>2</v>
      </c>
      <c r="AA1740" s="83">
        <v>45464</v>
      </c>
      <c r="AB1740" s="23"/>
      <c r="AC1740" s="38"/>
      <c r="AD1740" s="39"/>
      <c r="AE1740" s="39"/>
      <c r="AF1740" s="39"/>
      <c r="AG1740" s="39"/>
      <c r="AH1740" s="37">
        <f t="shared" si="1635"/>
        <v>0</v>
      </c>
      <c r="AI1740" s="38"/>
      <c r="AJ1740" s="39"/>
      <c r="AK1740" s="39"/>
      <c r="AL1740" s="39"/>
      <c r="AM1740" s="39"/>
      <c r="AN1740" s="37">
        <f t="shared" si="1631"/>
        <v>0</v>
      </c>
      <c r="AO1740" s="39"/>
      <c r="AP1740" s="56"/>
      <c r="AQ1740" s="56"/>
      <c r="AR1740" s="56"/>
      <c r="AS1740" s="71"/>
      <c r="AT1740" s="16">
        <f t="shared" si="1632"/>
        <v>0</v>
      </c>
      <c r="AU1740" s="39"/>
      <c r="AV1740" s="56"/>
      <c r="AW1740" s="56"/>
      <c r="AX1740" s="56"/>
      <c r="AY1740" s="71"/>
      <c r="AZ1740" s="16">
        <f t="shared" si="1633"/>
        <v>0</v>
      </c>
      <c r="BA1740" s="16">
        <f t="shared" si="1634"/>
        <v>0</v>
      </c>
    </row>
    <row r="1741" spans="1:54" ht="14.25" x14ac:dyDescent="0.15">
      <c r="A1741" s="23" t="s">
        <v>48</v>
      </c>
      <c r="B1741" s="41"/>
      <c r="C1741" s="42"/>
      <c r="D1741" s="42"/>
      <c r="E1741" s="42"/>
      <c r="F1741" s="42"/>
      <c r="G1741" s="43">
        <f t="shared" si="1623"/>
        <v>0</v>
      </c>
      <c r="H1741" s="41"/>
      <c r="I1741" s="42"/>
      <c r="J1741" s="42"/>
      <c r="K1741" s="42">
        <v>1</v>
      </c>
      <c r="L1741" s="42"/>
      <c r="M1741" s="43">
        <f t="shared" si="1624"/>
        <v>1</v>
      </c>
      <c r="N1741" s="42"/>
      <c r="O1741" s="53"/>
      <c r="P1741" s="53"/>
      <c r="Q1741" s="53"/>
      <c r="R1741" s="72"/>
      <c r="S1741" s="24">
        <f t="shared" si="1603"/>
        <v>0</v>
      </c>
      <c r="T1741" s="42"/>
      <c r="U1741" s="53"/>
      <c r="V1741" s="53">
        <v>1</v>
      </c>
      <c r="W1741" s="53"/>
      <c r="X1741" s="72"/>
      <c r="Y1741" s="24">
        <f t="shared" si="1613"/>
        <v>1</v>
      </c>
      <c r="Z1741" s="24">
        <f t="shared" si="1621"/>
        <v>2</v>
      </c>
      <c r="AA1741" s="83">
        <v>45464</v>
      </c>
      <c r="AB1741" s="23"/>
      <c r="AC1741" s="38"/>
      <c r="AD1741" s="39"/>
      <c r="AE1741" s="39"/>
      <c r="AF1741" s="39"/>
      <c r="AG1741" s="39"/>
      <c r="AH1741" s="37">
        <f t="shared" si="1635"/>
        <v>0</v>
      </c>
      <c r="AI1741" s="38"/>
      <c r="AJ1741" s="39"/>
      <c r="AK1741" s="39"/>
      <c r="AL1741" s="39"/>
      <c r="AM1741" s="39"/>
      <c r="AN1741" s="37">
        <f t="shared" si="1631"/>
        <v>0</v>
      </c>
      <c r="AO1741" s="39"/>
      <c r="AP1741" s="56"/>
      <c r="AQ1741" s="56"/>
      <c r="AR1741" s="56"/>
      <c r="AS1741" s="71"/>
      <c r="AT1741" s="16">
        <f t="shared" si="1632"/>
        <v>0</v>
      </c>
      <c r="AU1741" s="39"/>
      <c r="AV1741" s="56"/>
      <c r="AW1741" s="56"/>
      <c r="AX1741" s="56"/>
      <c r="AY1741" s="71"/>
      <c r="AZ1741" s="16">
        <f t="shared" si="1633"/>
        <v>0</v>
      </c>
      <c r="BA1741" s="16">
        <f t="shared" si="1634"/>
        <v>0</v>
      </c>
    </row>
    <row r="1742" spans="1:54" ht="14.25" x14ac:dyDescent="0.15">
      <c r="A1742" s="23" t="s">
        <v>48</v>
      </c>
      <c r="B1742" s="41"/>
      <c r="C1742" s="42"/>
      <c r="D1742" s="42">
        <v>1</v>
      </c>
      <c r="E1742" s="42"/>
      <c r="F1742" s="42"/>
      <c r="G1742" s="43">
        <f t="shared" si="1623"/>
        <v>1</v>
      </c>
      <c r="H1742" s="41"/>
      <c r="I1742" s="42"/>
      <c r="J1742" s="42"/>
      <c r="K1742" s="42"/>
      <c r="L1742" s="42">
        <v>1</v>
      </c>
      <c r="M1742" s="43">
        <f t="shared" si="1624"/>
        <v>1</v>
      </c>
      <c r="N1742" s="42"/>
      <c r="O1742" s="53"/>
      <c r="P1742" s="53">
        <v>1</v>
      </c>
      <c r="Q1742" s="53"/>
      <c r="R1742" s="72"/>
      <c r="S1742" s="24">
        <f t="shared" si="1603"/>
        <v>1</v>
      </c>
      <c r="T1742" s="42"/>
      <c r="U1742" s="53"/>
      <c r="V1742" s="53"/>
      <c r="W1742" s="53"/>
      <c r="X1742" s="72"/>
      <c r="Y1742" s="24">
        <f t="shared" si="1613"/>
        <v>0</v>
      </c>
      <c r="Z1742" s="24">
        <f t="shared" si="1621"/>
        <v>3</v>
      </c>
      <c r="AA1742" s="83">
        <v>45468</v>
      </c>
      <c r="AB1742" s="23"/>
      <c r="AC1742" s="38"/>
      <c r="AD1742" s="39"/>
      <c r="AE1742" s="39"/>
      <c r="AF1742" s="39"/>
      <c r="AG1742" s="39"/>
      <c r="AH1742" s="37">
        <f t="shared" si="1635"/>
        <v>0</v>
      </c>
      <c r="AI1742" s="38"/>
      <c r="AJ1742" s="39"/>
      <c r="AK1742" s="39"/>
      <c r="AL1742" s="39"/>
      <c r="AM1742" s="39"/>
      <c r="AN1742" s="37">
        <f t="shared" si="1631"/>
        <v>0</v>
      </c>
      <c r="AO1742" s="39"/>
      <c r="AP1742" s="56"/>
      <c r="AQ1742" s="56"/>
      <c r="AR1742" s="56"/>
      <c r="AS1742" s="71"/>
      <c r="AT1742" s="16">
        <f t="shared" si="1632"/>
        <v>0</v>
      </c>
      <c r="AU1742" s="39"/>
      <c r="AV1742" s="56"/>
      <c r="AW1742" s="56"/>
      <c r="AX1742" s="56"/>
      <c r="AY1742" s="71"/>
      <c r="AZ1742" s="16">
        <f t="shared" si="1633"/>
        <v>0</v>
      </c>
      <c r="BA1742" s="16">
        <f t="shared" si="1634"/>
        <v>0</v>
      </c>
    </row>
    <row r="1743" spans="1:54" ht="14.25" x14ac:dyDescent="0.15">
      <c r="A1743" s="23" t="s">
        <v>48</v>
      </c>
      <c r="B1743" s="41"/>
      <c r="C1743" s="42"/>
      <c r="D1743" s="42">
        <v>1</v>
      </c>
      <c r="E1743" s="42">
        <v>1</v>
      </c>
      <c r="F1743" s="42"/>
      <c r="G1743" s="43">
        <f t="shared" si="1623"/>
        <v>2</v>
      </c>
      <c r="H1743" s="41"/>
      <c r="I1743" s="42"/>
      <c r="J1743" s="42"/>
      <c r="K1743" s="42"/>
      <c r="L1743" s="42"/>
      <c r="M1743" s="43">
        <f t="shared" si="1624"/>
        <v>0</v>
      </c>
      <c r="N1743" s="42"/>
      <c r="O1743" s="53"/>
      <c r="P1743" s="53"/>
      <c r="Q1743" s="53"/>
      <c r="R1743" s="72"/>
      <c r="S1743" s="24">
        <f t="shared" si="1603"/>
        <v>0</v>
      </c>
      <c r="T1743" s="42"/>
      <c r="U1743" s="53"/>
      <c r="V1743" s="53"/>
      <c r="W1743" s="53"/>
      <c r="X1743" s="72"/>
      <c r="Y1743" s="24">
        <f t="shared" si="1613"/>
        <v>0</v>
      </c>
      <c r="Z1743" s="24">
        <f t="shared" si="1621"/>
        <v>2</v>
      </c>
      <c r="AA1743" s="83">
        <v>45469</v>
      </c>
      <c r="AB1743" s="23"/>
      <c r="AC1743" s="38"/>
      <c r="AD1743" s="39"/>
      <c r="AE1743" s="39"/>
      <c r="AF1743" s="39"/>
      <c r="AG1743" s="39"/>
      <c r="AH1743" s="37">
        <f t="shared" ref="AH1743:AH1749" si="1636">SUM(AC1743:AG1743)</f>
        <v>0</v>
      </c>
      <c r="AI1743" s="38"/>
      <c r="AJ1743" s="39"/>
      <c r="AK1743" s="39"/>
      <c r="AL1743" s="39"/>
      <c r="AM1743" s="39"/>
      <c r="AN1743" s="37">
        <f t="shared" si="1631"/>
        <v>0</v>
      </c>
      <c r="AO1743" s="39"/>
      <c r="AP1743" s="56"/>
      <c r="AQ1743" s="56"/>
      <c r="AR1743" s="56"/>
      <c r="AS1743" s="71"/>
      <c r="AT1743" s="16">
        <f t="shared" si="1632"/>
        <v>0</v>
      </c>
      <c r="AU1743" s="39"/>
      <c r="AV1743" s="56"/>
      <c r="AW1743" s="56"/>
      <c r="AX1743" s="56"/>
      <c r="AY1743" s="71"/>
      <c r="AZ1743" s="16">
        <f t="shared" si="1633"/>
        <v>0</v>
      </c>
      <c r="BA1743" s="16">
        <f t="shared" si="1634"/>
        <v>0</v>
      </c>
    </row>
    <row r="1744" spans="1:54" ht="14.25" x14ac:dyDescent="0.15">
      <c r="A1744" s="23" t="s">
        <v>48</v>
      </c>
      <c r="B1744" s="41"/>
      <c r="C1744" s="42"/>
      <c r="D1744" s="42"/>
      <c r="E1744" s="42"/>
      <c r="F1744" s="42"/>
      <c r="G1744" s="43">
        <f t="shared" si="1623"/>
        <v>0</v>
      </c>
      <c r="H1744" s="41"/>
      <c r="I1744" s="42"/>
      <c r="J1744" s="42">
        <v>1</v>
      </c>
      <c r="K1744" s="42"/>
      <c r="L1744" s="42"/>
      <c r="M1744" s="43">
        <f t="shared" si="1624"/>
        <v>1</v>
      </c>
      <c r="N1744" s="42"/>
      <c r="O1744" s="53"/>
      <c r="P1744" s="53"/>
      <c r="Q1744" s="53"/>
      <c r="R1744" s="72"/>
      <c r="S1744" s="24">
        <f t="shared" si="1603"/>
        <v>0</v>
      </c>
      <c r="T1744" s="42"/>
      <c r="U1744" s="53"/>
      <c r="V1744" s="53"/>
      <c r="W1744" s="53"/>
      <c r="X1744" s="72"/>
      <c r="Y1744" s="24">
        <f t="shared" si="1613"/>
        <v>0</v>
      </c>
      <c r="Z1744" s="24">
        <f t="shared" si="1621"/>
        <v>1</v>
      </c>
      <c r="AA1744" s="83">
        <v>45470</v>
      </c>
      <c r="AB1744" s="23"/>
      <c r="AC1744" s="38"/>
      <c r="AD1744" s="39"/>
      <c r="AE1744" s="39"/>
      <c r="AF1744" s="39"/>
      <c r="AG1744" s="39"/>
      <c r="AH1744" s="37">
        <f t="shared" si="1636"/>
        <v>0</v>
      </c>
      <c r="AI1744" s="38"/>
      <c r="AJ1744" s="39"/>
      <c r="AK1744" s="39"/>
      <c r="AL1744" s="39"/>
      <c r="AM1744" s="39"/>
      <c r="AN1744" s="37">
        <f t="shared" si="1631"/>
        <v>0</v>
      </c>
      <c r="AO1744" s="39"/>
      <c r="AP1744" s="56"/>
      <c r="AQ1744" s="56"/>
      <c r="AR1744" s="56"/>
      <c r="AS1744" s="71"/>
      <c r="AT1744" s="16">
        <f t="shared" si="1632"/>
        <v>0</v>
      </c>
      <c r="AU1744" s="39"/>
      <c r="AV1744" s="56"/>
      <c r="AW1744" s="56"/>
      <c r="AX1744" s="56"/>
      <c r="AY1744" s="71"/>
      <c r="AZ1744" s="16">
        <f t="shared" si="1633"/>
        <v>0</v>
      </c>
      <c r="BA1744" s="16">
        <f t="shared" si="1634"/>
        <v>0</v>
      </c>
    </row>
    <row r="1745" spans="1:53" ht="14.25" x14ac:dyDescent="0.15">
      <c r="A1745" s="23" t="s">
        <v>673</v>
      </c>
      <c r="B1745" s="41"/>
      <c r="C1745" s="42"/>
      <c r="D1745" s="42"/>
      <c r="E1745" s="42"/>
      <c r="F1745" s="42"/>
      <c r="G1745" s="43">
        <f t="shared" si="1623"/>
        <v>0</v>
      </c>
      <c r="H1745" s="41"/>
      <c r="I1745" s="42"/>
      <c r="J1745" s="42"/>
      <c r="K1745" s="42"/>
      <c r="L1745" s="42"/>
      <c r="M1745" s="43">
        <f t="shared" si="1624"/>
        <v>0</v>
      </c>
      <c r="N1745" s="42"/>
      <c r="O1745" s="53"/>
      <c r="P1745" s="53"/>
      <c r="Q1745" s="53">
        <v>-3</v>
      </c>
      <c r="R1745" s="72"/>
      <c r="S1745" s="24">
        <f t="shared" si="1603"/>
        <v>-3</v>
      </c>
      <c r="T1745" s="42"/>
      <c r="U1745" s="53"/>
      <c r="V1745" s="53">
        <v>-3</v>
      </c>
      <c r="W1745" s="53"/>
      <c r="X1745" s="72"/>
      <c r="Y1745" s="24">
        <f t="shared" si="1613"/>
        <v>-3</v>
      </c>
      <c r="Z1745" s="24">
        <f t="shared" si="1621"/>
        <v>-6</v>
      </c>
      <c r="AA1745" s="83">
        <v>45471</v>
      </c>
      <c r="AB1745" s="23"/>
      <c r="AC1745" s="38"/>
      <c r="AD1745" s="39"/>
      <c r="AE1745" s="39"/>
      <c r="AF1745" s="39"/>
      <c r="AG1745" s="39"/>
      <c r="AH1745" s="37">
        <f t="shared" si="1636"/>
        <v>0</v>
      </c>
      <c r="AI1745" s="38"/>
      <c r="AJ1745" s="39"/>
      <c r="AK1745" s="39"/>
      <c r="AL1745" s="39"/>
      <c r="AM1745" s="39"/>
      <c r="AN1745" s="37">
        <f t="shared" si="1631"/>
        <v>0</v>
      </c>
      <c r="AO1745" s="39"/>
      <c r="AP1745" s="56"/>
      <c r="AQ1745" s="56"/>
      <c r="AR1745" s="56"/>
      <c r="AS1745" s="71"/>
      <c r="AT1745" s="16">
        <f t="shared" si="1632"/>
        <v>0</v>
      </c>
      <c r="AU1745" s="39"/>
      <c r="AV1745" s="56"/>
      <c r="AW1745" s="56"/>
      <c r="AX1745" s="56"/>
      <c r="AY1745" s="71"/>
      <c r="AZ1745" s="16">
        <f t="shared" si="1633"/>
        <v>0</v>
      </c>
      <c r="BA1745" s="16">
        <f t="shared" si="1634"/>
        <v>0</v>
      </c>
    </row>
    <row r="1746" spans="1:53" ht="14.25" x14ac:dyDescent="0.15">
      <c r="A1746" s="23" t="s">
        <v>48</v>
      </c>
      <c r="B1746" s="41">
        <v>1</v>
      </c>
      <c r="C1746" s="42"/>
      <c r="D1746" s="42"/>
      <c r="E1746" s="42"/>
      <c r="F1746" s="42"/>
      <c r="G1746" s="43">
        <f t="shared" si="1623"/>
        <v>1</v>
      </c>
      <c r="H1746" s="41"/>
      <c r="I1746" s="42"/>
      <c r="J1746" s="42"/>
      <c r="K1746" s="42"/>
      <c r="L1746" s="42"/>
      <c r="M1746" s="43">
        <f t="shared" si="1624"/>
        <v>0</v>
      </c>
      <c r="N1746" s="42"/>
      <c r="O1746" s="53"/>
      <c r="P1746" s="53"/>
      <c r="Q1746" s="53"/>
      <c r="R1746" s="72"/>
      <c r="S1746" s="24">
        <f t="shared" si="1603"/>
        <v>0</v>
      </c>
      <c r="T1746" s="42"/>
      <c r="U1746" s="53"/>
      <c r="V1746" s="53"/>
      <c r="W1746" s="53"/>
      <c r="X1746" s="72"/>
      <c r="Y1746" s="24">
        <f t="shared" si="1613"/>
        <v>0</v>
      </c>
      <c r="Z1746" s="24">
        <f t="shared" si="1621"/>
        <v>1</v>
      </c>
      <c r="AA1746" s="83">
        <v>45472</v>
      </c>
      <c r="AB1746" s="23"/>
      <c r="AC1746" s="38"/>
      <c r="AD1746" s="39"/>
      <c r="AE1746" s="39"/>
      <c r="AF1746" s="39"/>
      <c r="AG1746" s="39"/>
      <c r="AH1746" s="37">
        <f t="shared" si="1636"/>
        <v>0</v>
      </c>
      <c r="AI1746" s="38"/>
      <c r="AJ1746" s="39"/>
      <c r="AK1746" s="39"/>
      <c r="AL1746" s="39"/>
      <c r="AM1746" s="39"/>
      <c r="AN1746" s="37">
        <f t="shared" si="1631"/>
        <v>0</v>
      </c>
      <c r="AO1746" s="39"/>
      <c r="AP1746" s="56"/>
      <c r="AQ1746" s="56"/>
      <c r="AR1746" s="56"/>
      <c r="AS1746" s="71"/>
      <c r="AT1746" s="16">
        <f t="shared" si="1632"/>
        <v>0</v>
      </c>
      <c r="AU1746" s="39"/>
      <c r="AV1746" s="56"/>
      <c r="AW1746" s="56"/>
      <c r="AX1746" s="56"/>
      <c r="AY1746" s="71"/>
      <c r="AZ1746" s="16">
        <f t="shared" si="1633"/>
        <v>0</v>
      </c>
      <c r="BA1746" s="16">
        <f t="shared" si="1634"/>
        <v>0</v>
      </c>
    </row>
    <row r="1747" spans="1:53" ht="14.25" x14ac:dyDescent="0.15">
      <c r="A1747" s="23" t="s">
        <v>48</v>
      </c>
      <c r="B1747" s="41"/>
      <c r="C1747" s="42"/>
      <c r="D1747" s="42"/>
      <c r="E1747" s="42"/>
      <c r="F1747" s="42"/>
      <c r="G1747" s="43">
        <f t="shared" si="1623"/>
        <v>0</v>
      </c>
      <c r="H1747" s="41"/>
      <c r="I1747" s="42"/>
      <c r="J1747" s="42"/>
      <c r="K1747" s="42">
        <v>1</v>
      </c>
      <c r="L1747" s="42"/>
      <c r="M1747" s="43">
        <f t="shared" si="1624"/>
        <v>1</v>
      </c>
      <c r="N1747" s="42"/>
      <c r="O1747" s="53"/>
      <c r="P1747" s="53"/>
      <c r="Q1747" s="53"/>
      <c r="R1747" s="72"/>
      <c r="S1747" s="24">
        <f t="shared" si="1603"/>
        <v>0</v>
      </c>
      <c r="T1747" s="42"/>
      <c r="U1747" s="53"/>
      <c r="V1747" s="53"/>
      <c r="W1747" s="53"/>
      <c r="X1747" s="72"/>
      <c r="Y1747" s="24">
        <f t="shared" si="1613"/>
        <v>0</v>
      </c>
      <c r="Z1747" s="24">
        <f t="shared" si="1621"/>
        <v>1</v>
      </c>
      <c r="AA1747" s="83">
        <v>45474</v>
      </c>
      <c r="AB1747" s="23"/>
      <c r="AC1747" s="38"/>
      <c r="AD1747" s="39"/>
      <c r="AE1747" s="39"/>
      <c r="AF1747" s="39"/>
      <c r="AG1747" s="39"/>
      <c r="AH1747" s="37">
        <f t="shared" si="1636"/>
        <v>0</v>
      </c>
      <c r="AI1747" s="38"/>
      <c r="AJ1747" s="39"/>
      <c r="AK1747" s="39"/>
      <c r="AL1747" s="39"/>
      <c r="AM1747" s="39"/>
      <c r="AN1747" s="37">
        <f t="shared" si="1631"/>
        <v>0</v>
      </c>
      <c r="AO1747" s="39"/>
      <c r="AP1747" s="56"/>
      <c r="AQ1747" s="56"/>
      <c r="AR1747" s="56"/>
      <c r="AS1747" s="71"/>
      <c r="AT1747" s="16">
        <f t="shared" si="1632"/>
        <v>0</v>
      </c>
      <c r="AU1747" s="39"/>
      <c r="AV1747" s="56"/>
      <c r="AW1747" s="56"/>
      <c r="AX1747" s="56"/>
      <c r="AY1747" s="71"/>
      <c r="AZ1747" s="16">
        <f t="shared" si="1633"/>
        <v>0</v>
      </c>
      <c r="BA1747" s="16">
        <f t="shared" si="1634"/>
        <v>0</v>
      </c>
    </row>
    <row r="1748" spans="1:53" ht="14.25" x14ac:dyDescent="0.15">
      <c r="A1748" s="23" t="s">
        <v>675</v>
      </c>
      <c r="B1748" s="41">
        <v>1</v>
      </c>
      <c r="C1748" s="42"/>
      <c r="D1748" s="42"/>
      <c r="E1748" s="42"/>
      <c r="F1748" s="42"/>
      <c r="G1748" s="43">
        <f t="shared" si="1623"/>
        <v>1</v>
      </c>
      <c r="H1748" s="41"/>
      <c r="I1748" s="42"/>
      <c r="J1748" s="42"/>
      <c r="K1748" s="42"/>
      <c r="L1748" s="42"/>
      <c r="M1748" s="43">
        <f t="shared" si="1624"/>
        <v>0</v>
      </c>
      <c r="N1748" s="42"/>
      <c r="O1748" s="53"/>
      <c r="P1748" s="53"/>
      <c r="Q1748" s="53"/>
      <c r="R1748" s="72"/>
      <c r="S1748" s="24">
        <f t="shared" si="1603"/>
        <v>0</v>
      </c>
      <c r="T1748" s="42"/>
      <c r="U1748" s="53"/>
      <c r="V1748" s="53"/>
      <c r="W1748" s="53"/>
      <c r="X1748" s="72"/>
      <c r="Y1748" s="24">
        <f t="shared" si="1613"/>
        <v>0</v>
      </c>
      <c r="Z1748" s="24">
        <f t="shared" si="1621"/>
        <v>1</v>
      </c>
      <c r="AA1748" s="83">
        <v>45477</v>
      </c>
      <c r="AB1748" s="23"/>
      <c r="AC1748" s="38"/>
      <c r="AD1748" s="39"/>
      <c r="AE1748" s="39"/>
      <c r="AF1748" s="39"/>
      <c r="AG1748" s="39"/>
      <c r="AH1748" s="37">
        <f t="shared" ref="AH1748" si="1637">SUM(AC1748:AG1748)</f>
        <v>0</v>
      </c>
      <c r="AI1748" s="38"/>
      <c r="AJ1748" s="39"/>
      <c r="AK1748" s="39"/>
      <c r="AL1748" s="39"/>
      <c r="AM1748" s="39"/>
      <c r="AN1748" s="37">
        <f t="shared" ref="AN1748" si="1638">SUM(AI1748:AM1748)</f>
        <v>0</v>
      </c>
      <c r="AO1748" s="39"/>
      <c r="AP1748" s="56"/>
      <c r="AQ1748" s="56"/>
      <c r="AR1748" s="56"/>
      <c r="AS1748" s="71"/>
      <c r="AT1748" s="16">
        <f t="shared" ref="AT1748" si="1639">SUM(AO1748:AS1748)</f>
        <v>0</v>
      </c>
      <c r="AU1748" s="39"/>
      <c r="AV1748" s="56"/>
      <c r="AW1748" s="56"/>
      <c r="AX1748" s="56"/>
      <c r="AY1748" s="71"/>
      <c r="AZ1748" s="16">
        <f t="shared" ref="AZ1748" si="1640">SUM(AU1748:AY1748)</f>
        <v>0</v>
      </c>
      <c r="BA1748" s="16">
        <f t="shared" ref="BA1748" si="1641">AH1748+AN1748+AT1748+AZ1748</f>
        <v>0</v>
      </c>
    </row>
    <row r="1749" spans="1:53" ht="14.25" x14ac:dyDescent="0.15">
      <c r="A1749" s="23" t="s">
        <v>395</v>
      </c>
      <c r="B1749" s="41"/>
      <c r="C1749" s="42"/>
      <c r="D1749" s="42"/>
      <c r="E1749" s="42"/>
      <c r="F1749" s="42"/>
      <c r="G1749" s="43">
        <f t="shared" si="1623"/>
        <v>0</v>
      </c>
      <c r="H1749" s="41"/>
      <c r="I1749" s="42">
        <v>1</v>
      </c>
      <c r="J1749" s="42"/>
      <c r="K1749" s="42"/>
      <c r="L1749" s="42"/>
      <c r="M1749" s="43">
        <f t="shared" si="1624"/>
        <v>1</v>
      </c>
      <c r="N1749" s="42"/>
      <c r="O1749" s="53"/>
      <c r="P1749" s="53"/>
      <c r="Q1749" s="53"/>
      <c r="R1749" s="72"/>
      <c r="S1749" s="24">
        <f t="shared" si="1603"/>
        <v>0</v>
      </c>
      <c r="T1749" s="42"/>
      <c r="U1749" s="53"/>
      <c r="V1749" s="53"/>
      <c r="W1749" s="53"/>
      <c r="X1749" s="72"/>
      <c r="Y1749" s="24">
        <f t="shared" si="1613"/>
        <v>0</v>
      </c>
      <c r="Z1749" s="24">
        <f t="shared" si="1621"/>
        <v>1</v>
      </c>
      <c r="AA1749" s="83">
        <v>45475</v>
      </c>
      <c r="AB1749" s="23"/>
      <c r="AC1749" s="38"/>
      <c r="AD1749" s="39"/>
      <c r="AE1749" s="39"/>
      <c r="AF1749" s="39"/>
      <c r="AG1749" s="39"/>
      <c r="AH1749" s="37">
        <f t="shared" si="1636"/>
        <v>0</v>
      </c>
      <c r="AI1749" s="38"/>
      <c r="AJ1749" s="39"/>
      <c r="AK1749" s="39"/>
      <c r="AL1749" s="39"/>
      <c r="AM1749" s="39"/>
      <c r="AN1749" s="37">
        <f t="shared" si="1631"/>
        <v>0</v>
      </c>
      <c r="AO1749" s="39"/>
      <c r="AP1749" s="56"/>
      <c r="AQ1749" s="56"/>
      <c r="AR1749" s="56"/>
      <c r="AS1749" s="71"/>
      <c r="AT1749" s="16">
        <f t="shared" si="1632"/>
        <v>0</v>
      </c>
      <c r="AU1749" s="39"/>
      <c r="AV1749" s="56"/>
      <c r="AW1749" s="56"/>
      <c r="AX1749" s="56"/>
      <c r="AY1749" s="71"/>
      <c r="AZ1749" s="16">
        <f t="shared" si="1633"/>
        <v>0</v>
      </c>
      <c r="BA1749" s="16">
        <f t="shared" si="1634"/>
        <v>0</v>
      </c>
    </row>
    <row r="1750" spans="1:53" ht="14.25" x14ac:dyDescent="0.15">
      <c r="A1750" s="23" t="s">
        <v>395</v>
      </c>
      <c r="B1750" s="41"/>
      <c r="C1750" s="42"/>
      <c r="D1750" s="42"/>
      <c r="E1750" s="42"/>
      <c r="F1750" s="42"/>
      <c r="G1750" s="43">
        <f t="shared" ref="G1750" si="1642">SUM(B1750:F1750)</f>
        <v>0</v>
      </c>
      <c r="H1750" s="41"/>
      <c r="I1750" s="42"/>
      <c r="J1750" s="42">
        <v>1</v>
      </c>
      <c r="K1750" s="42"/>
      <c r="L1750" s="42"/>
      <c r="M1750" s="43">
        <f t="shared" ref="M1750" si="1643">SUM(H1750:L1750)</f>
        <v>1</v>
      </c>
      <c r="N1750" s="42"/>
      <c r="O1750" s="53"/>
      <c r="P1750" s="53"/>
      <c r="Q1750" s="53"/>
      <c r="R1750" s="72"/>
      <c r="S1750" s="24">
        <f>SUM(N1750:R1750)</f>
        <v>0</v>
      </c>
      <c r="T1750" s="42"/>
      <c r="U1750" s="53"/>
      <c r="V1750" s="53"/>
      <c r="W1750" s="53"/>
      <c r="X1750" s="72"/>
      <c r="Y1750" s="24">
        <f>SUM(T1750:X1750)</f>
        <v>0</v>
      </c>
      <c r="Z1750" s="24">
        <f>G1750+M1750+S1750+Y1750</f>
        <v>1</v>
      </c>
      <c r="AA1750" s="83">
        <v>45476</v>
      </c>
      <c r="AB1750" s="23"/>
      <c r="AC1750" s="38"/>
      <c r="AD1750" s="39"/>
      <c r="AE1750" s="39"/>
      <c r="AF1750" s="39"/>
      <c r="AG1750" s="39"/>
      <c r="AH1750" s="37">
        <f t="shared" ref="AH1750:AH1751" si="1644">SUM(AC1750:AG1750)</f>
        <v>0</v>
      </c>
      <c r="AI1750" s="38"/>
      <c r="AJ1750" s="39"/>
      <c r="AK1750" s="39"/>
      <c r="AL1750" s="39"/>
      <c r="AM1750" s="39"/>
      <c r="AN1750" s="37">
        <f t="shared" ref="AN1750:AN1751" si="1645">SUM(AI1750:AM1750)</f>
        <v>0</v>
      </c>
      <c r="AO1750" s="39"/>
      <c r="AP1750" s="56"/>
      <c r="AQ1750" s="56"/>
      <c r="AR1750" s="56"/>
      <c r="AS1750" s="71"/>
      <c r="AT1750" s="16">
        <f t="shared" ref="AT1750:AT1751" si="1646">SUM(AO1750:AS1750)</f>
        <v>0</v>
      </c>
      <c r="AU1750" s="39"/>
      <c r="AV1750" s="56"/>
      <c r="AW1750" s="56"/>
      <c r="AX1750" s="56"/>
      <c r="AY1750" s="71"/>
      <c r="AZ1750" s="16">
        <f t="shared" ref="AZ1750:AZ1751" si="1647">SUM(AU1750:AY1750)</f>
        <v>0</v>
      </c>
      <c r="BA1750" s="16">
        <f t="shared" ref="BA1750:BA1753" si="1648">AH1750+AN1750+AT1750+AZ1750</f>
        <v>0</v>
      </c>
    </row>
    <row r="1751" spans="1:53" ht="15" thickBot="1" x14ac:dyDescent="0.2">
      <c r="A1751" s="23" t="s">
        <v>395</v>
      </c>
      <c r="B1751" s="41"/>
      <c r="C1751" s="42"/>
      <c r="D1751" s="42"/>
      <c r="E1751" s="42"/>
      <c r="F1751" s="42"/>
      <c r="G1751" s="43">
        <f t="shared" ref="G1751" si="1649">SUM(B1751:F1751)</f>
        <v>0</v>
      </c>
      <c r="H1751" s="41"/>
      <c r="I1751" s="42"/>
      <c r="J1751" s="42"/>
      <c r="K1751" s="42"/>
      <c r="L1751" s="42"/>
      <c r="M1751" s="43">
        <f t="shared" ref="M1751" si="1650">SUM(H1751:L1751)</f>
        <v>0</v>
      </c>
      <c r="N1751" s="42"/>
      <c r="O1751" s="53"/>
      <c r="P1751" s="53"/>
      <c r="Q1751" s="53"/>
      <c r="R1751" s="72"/>
      <c r="S1751" s="24">
        <f>SUM(N1751:R1751)</f>
        <v>0</v>
      </c>
      <c r="T1751" s="42"/>
      <c r="U1751" s="53"/>
      <c r="V1751" s="53">
        <v>1</v>
      </c>
      <c r="W1751" s="53"/>
      <c r="X1751" s="72"/>
      <c r="Y1751" s="24">
        <f>SUM(T1751:X1751)</f>
        <v>1</v>
      </c>
      <c r="Z1751" s="24">
        <f>G1751+M1751+S1751+Y1751</f>
        <v>1</v>
      </c>
      <c r="AA1751" s="83">
        <v>45478</v>
      </c>
      <c r="AB1751" s="23"/>
      <c r="AC1751" s="38"/>
      <c r="AD1751" s="39"/>
      <c r="AE1751" s="39"/>
      <c r="AF1751" s="39"/>
      <c r="AG1751" s="39"/>
      <c r="AH1751" s="37">
        <f t="shared" si="1644"/>
        <v>0</v>
      </c>
      <c r="AI1751" s="38"/>
      <c r="AJ1751" s="39"/>
      <c r="AK1751" s="39"/>
      <c r="AL1751" s="39"/>
      <c r="AM1751" s="39"/>
      <c r="AN1751" s="37">
        <f t="shared" si="1645"/>
        <v>0</v>
      </c>
      <c r="AO1751" s="39"/>
      <c r="AP1751" s="56"/>
      <c r="AQ1751" s="56"/>
      <c r="AR1751" s="56"/>
      <c r="AS1751" s="71"/>
      <c r="AT1751" s="16">
        <f t="shared" si="1646"/>
        <v>0</v>
      </c>
      <c r="AU1751" s="39"/>
      <c r="AV1751" s="56"/>
      <c r="AW1751" s="56"/>
      <c r="AX1751" s="56"/>
      <c r="AY1751" s="71"/>
      <c r="AZ1751" s="16">
        <f t="shared" si="1647"/>
        <v>0</v>
      </c>
      <c r="BA1751" s="16">
        <f t="shared" si="1648"/>
        <v>0</v>
      </c>
    </row>
    <row r="1752" spans="1:53" ht="15" thickBot="1" x14ac:dyDescent="0.2">
      <c r="A1752" s="9" t="s">
        <v>13</v>
      </c>
      <c r="B1752" s="25">
        <f>SUM(B1726:B1751)</f>
        <v>2</v>
      </c>
      <c r="C1752" s="26">
        <f>SUM(C1726:C1751)</f>
        <v>2</v>
      </c>
      <c r="D1752" s="26">
        <f>SUM(D1726:D1751)</f>
        <v>7</v>
      </c>
      <c r="E1752" s="26">
        <f>SUM(E1726:E1751)</f>
        <v>2</v>
      </c>
      <c r="F1752" s="27">
        <f>SUM(F1726:F1751)</f>
        <v>1</v>
      </c>
      <c r="G1752" s="19">
        <f>SUM(B1752:F1752)</f>
        <v>14</v>
      </c>
      <c r="H1752" s="25">
        <f>SUM(H1726:H1751)</f>
        <v>0</v>
      </c>
      <c r="I1752" s="26">
        <f>SUM(I1726:I1751)</f>
        <v>3</v>
      </c>
      <c r="J1752" s="26">
        <f>SUM(J1726:J1751)</f>
        <v>3</v>
      </c>
      <c r="K1752" s="26">
        <f>SUM(K1726:K1751)</f>
        <v>6</v>
      </c>
      <c r="L1752" s="27">
        <f>SUM(L1726:L1751)</f>
        <v>1</v>
      </c>
      <c r="M1752" s="25">
        <f>SUM(H1752:L1752)</f>
        <v>13</v>
      </c>
      <c r="N1752" s="65">
        <f>SUM(N1726:N1751)</f>
        <v>0</v>
      </c>
      <c r="O1752" s="18">
        <f>SUM(O1726:O1751)</f>
        <v>1</v>
      </c>
      <c r="P1752" s="18">
        <f>SUM(P1726:P1751)</f>
        <v>1</v>
      </c>
      <c r="Q1752" s="18">
        <f>SUM(Q1726:Q1751)</f>
        <v>-1</v>
      </c>
      <c r="R1752" s="70">
        <f>SUM(R1726:R1751)</f>
        <v>1</v>
      </c>
      <c r="S1752" s="49">
        <f>SUM(N1752:R1752)</f>
        <v>2</v>
      </c>
      <c r="T1752" s="74">
        <f>SUM(T1726:T1751)</f>
        <v>0</v>
      </c>
      <c r="U1752" s="18">
        <f>SUM(U1726:U1751)</f>
        <v>0</v>
      </c>
      <c r="V1752" s="18">
        <f>SUM(V1726:V1751)</f>
        <v>0</v>
      </c>
      <c r="W1752" s="18">
        <f>SUM(W1726:W1751)</f>
        <v>0</v>
      </c>
      <c r="X1752" s="70">
        <f>SUM(X1726:X1751)</f>
        <v>0</v>
      </c>
      <c r="Y1752" s="49">
        <f>SUM(T1752:X1752)</f>
        <v>0</v>
      </c>
      <c r="Z1752" s="137">
        <f>G1752+M1752+S1752+Y1752</f>
        <v>29</v>
      </c>
      <c r="AB1752" s="9" t="s">
        <v>13</v>
      </c>
      <c r="AC1752" s="25">
        <f>SUM(AC1726:AC1751)</f>
        <v>0</v>
      </c>
      <c r="AD1752" s="26">
        <f t="shared" ref="AD1752" si="1651">SUM(AD1726:AD1751)</f>
        <v>4</v>
      </c>
      <c r="AE1752" s="26">
        <f t="shared" ref="AE1752" si="1652">SUM(AE1726:AE1751)</f>
        <v>10</v>
      </c>
      <c r="AF1752" s="26">
        <f t="shared" ref="AF1752" si="1653">SUM(AF1726:AF1751)</f>
        <v>2</v>
      </c>
      <c r="AG1752" s="27">
        <f t="shared" ref="AG1752" si="1654">SUM(AG1726:AG1751)</f>
        <v>0</v>
      </c>
      <c r="AH1752" s="19">
        <f>SUM(AC1752:AG1752)</f>
        <v>16</v>
      </c>
      <c r="AI1752" s="25">
        <f>SUM(AI1726:AI1751)</f>
        <v>1</v>
      </c>
      <c r="AJ1752" s="26">
        <f t="shared" ref="AJ1752" si="1655">SUM(AJ1726:AJ1751)</f>
        <v>5</v>
      </c>
      <c r="AK1752" s="26">
        <f t="shared" ref="AK1752" si="1656">SUM(AK1726:AK1751)</f>
        <v>3</v>
      </c>
      <c r="AL1752" s="26">
        <f t="shared" ref="AL1752" si="1657">SUM(AL1726:AL1751)</f>
        <v>3</v>
      </c>
      <c r="AM1752" s="27">
        <f t="shared" ref="AM1752" si="1658">SUM(AM1726:AM1751)</f>
        <v>0</v>
      </c>
      <c r="AN1752" s="19">
        <f>SUM(AI1752:AM1752)</f>
        <v>12</v>
      </c>
      <c r="AO1752" s="25">
        <f>SUM(AO1726:AO1751)</f>
        <v>0</v>
      </c>
      <c r="AP1752" s="26">
        <f t="shared" ref="AP1752" si="1659">SUM(AP1726:AP1751)</f>
        <v>0</v>
      </c>
      <c r="AQ1752" s="26">
        <f t="shared" ref="AQ1752" si="1660">SUM(AQ1726:AQ1751)</f>
        <v>1</v>
      </c>
      <c r="AR1752" s="26">
        <f t="shared" ref="AR1752" si="1661">SUM(AR1726:AR1751)</f>
        <v>4</v>
      </c>
      <c r="AS1752" s="27">
        <f t="shared" ref="AS1752" si="1662">SUM(AS1726:AS1751)</f>
        <v>0</v>
      </c>
      <c r="AT1752" s="19">
        <f>SUM(AO1752:AS1752)</f>
        <v>5</v>
      </c>
      <c r="AU1752" s="25">
        <f>SUM(AU1726:AU1751)</f>
        <v>3</v>
      </c>
      <c r="AV1752" s="26">
        <f t="shared" ref="AV1752" si="1663">SUM(AV1726:AV1751)</f>
        <v>1</v>
      </c>
      <c r="AW1752" s="26">
        <f t="shared" ref="AW1752" si="1664">SUM(AW1726:AW1751)</f>
        <v>4</v>
      </c>
      <c r="AX1752" s="26">
        <f t="shared" ref="AX1752" si="1665">SUM(AX1726:AX1751)</f>
        <v>5</v>
      </c>
      <c r="AY1752" s="27">
        <f t="shared" ref="AY1752" si="1666">SUM(AY1726:AY1751)</f>
        <v>0</v>
      </c>
      <c r="AZ1752" s="19">
        <f>SUM(AU1752:AY1752)</f>
        <v>13</v>
      </c>
      <c r="BA1752" s="77">
        <f t="shared" si="1648"/>
        <v>46</v>
      </c>
    </row>
    <row r="1753" spans="1:53" ht="15" thickBot="1" x14ac:dyDescent="0.2">
      <c r="A1753" s="32" t="s">
        <v>14</v>
      </c>
      <c r="B1753" s="29">
        <f t="shared" ref="B1753:Y1753" si="1667">B1725-B1752</f>
        <v>4</v>
      </c>
      <c r="C1753" s="30">
        <f t="shared" si="1667"/>
        <v>5</v>
      </c>
      <c r="D1753" s="30">
        <f t="shared" si="1667"/>
        <v>4</v>
      </c>
      <c r="E1753" s="30">
        <f t="shared" si="1667"/>
        <v>4</v>
      </c>
      <c r="F1753" s="31">
        <f t="shared" si="1667"/>
        <v>2</v>
      </c>
      <c r="G1753" s="31">
        <f t="shared" si="1667"/>
        <v>19</v>
      </c>
      <c r="H1753" s="29">
        <f t="shared" si="1667"/>
        <v>4</v>
      </c>
      <c r="I1753" s="30">
        <f t="shared" si="1667"/>
        <v>5</v>
      </c>
      <c r="J1753" s="30">
        <f t="shared" si="1667"/>
        <v>3</v>
      </c>
      <c r="K1753" s="30">
        <f t="shared" si="1667"/>
        <v>4</v>
      </c>
      <c r="L1753" s="31">
        <f t="shared" si="1667"/>
        <v>5</v>
      </c>
      <c r="M1753" s="66">
        <f t="shared" si="1667"/>
        <v>21</v>
      </c>
      <c r="N1753" s="29">
        <f t="shared" si="1667"/>
        <v>5</v>
      </c>
      <c r="O1753" s="30">
        <f t="shared" si="1667"/>
        <v>4</v>
      </c>
      <c r="P1753" s="30">
        <f t="shared" si="1667"/>
        <v>4</v>
      </c>
      <c r="Q1753" s="30">
        <f t="shared" si="1667"/>
        <v>6</v>
      </c>
      <c r="R1753" s="66">
        <f t="shared" si="1667"/>
        <v>5</v>
      </c>
      <c r="S1753" s="33">
        <f t="shared" si="1667"/>
        <v>24</v>
      </c>
      <c r="T1753" s="75">
        <f t="shared" si="1667"/>
        <v>7</v>
      </c>
      <c r="U1753" s="30">
        <f t="shared" si="1667"/>
        <v>5</v>
      </c>
      <c r="V1753" s="30">
        <f t="shared" si="1667"/>
        <v>4</v>
      </c>
      <c r="W1753" s="30">
        <f t="shared" si="1667"/>
        <v>6</v>
      </c>
      <c r="X1753" s="66">
        <f t="shared" si="1667"/>
        <v>5</v>
      </c>
      <c r="Y1753" s="33">
        <f t="shared" si="1667"/>
        <v>27</v>
      </c>
      <c r="Z1753" s="77">
        <f>G1753+M1753+S1753+Y1753</f>
        <v>91</v>
      </c>
      <c r="AB1753" s="32" t="s">
        <v>14</v>
      </c>
      <c r="AC1753" s="29">
        <f>AC1725-AC1752</f>
        <v>81</v>
      </c>
      <c r="AD1753" s="30">
        <f t="shared" ref="AD1753" si="1668">AD1725-AD1752</f>
        <v>42</v>
      </c>
      <c r="AE1753" s="30">
        <f t="shared" ref="AE1753" si="1669">AE1725-AE1752</f>
        <v>43</v>
      </c>
      <c r="AF1753" s="30">
        <f t="shared" ref="AF1753" si="1670">AF1725-AF1752</f>
        <v>22</v>
      </c>
      <c r="AG1753" s="31">
        <f t="shared" ref="AG1753" si="1671">AG1725-AG1752</f>
        <v>14</v>
      </c>
      <c r="AH1753" s="31">
        <f>AH1725-AH1752</f>
        <v>202</v>
      </c>
      <c r="AI1753" s="29">
        <f>AI1725-AI1752</f>
        <v>77</v>
      </c>
      <c r="AJ1753" s="30">
        <f t="shared" ref="AJ1753" si="1672">AJ1725-AJ1752</f>
        <v>63</v>
      </c>
      <c r="AK1753" s="30">
        <f t="shared" ref="AK1753" si="1673">AK1725-AK1752</f>
        <v>70</v>
      </c>
      <c r="AL1753" s="30">
        <f t="shared" ref="AL1753" si="1674">AL1725-AL1752</f>
        <v>53</v>
      </c>
      <c r="AM1753" s="31">
        <f t="shared" ref="AM1753" si="1675">AM1725-AM1752</f>
        <v>69</v>
      </c>
      <c r="AN1753" s="31">
        <f>AN1725-AN1752</f>
        <v>332</v>
      </c>
      <c r="AO1753" s="29">
        <f>AO1725-AO1752</f>
        <v>135</v>
      </c>
      <c r="AP1753" s="30">
        <f t="shared" ref="AP1753" si="1676">AP1725-AP1752</f>
        <v>87</v>
      </c>
      <c r="AQ1753" s="30">
        <f t="shared" ref="AQ1753" si="1677">AQ1725-AQ1752</f>
        <v>88</v>
      </c>
      <c r="AR1753" s="30">
        <f t="shared" ref="AR1753" si="1678">AR1725-AR1752</f>
        <v>106</v>
      </c>
      <c r="AS1753" s="31">
        <f t="shared" ref="AS1753" si="1679">AS1725-AS1752</f>
        <v>124</v>
      </c>
      <c r="AT1753" s="31">
        <f>AT1725-AT1752</f>
        <v>540</v>
      </c>
      <c r="AU1753" s="29">
        <f>AU1725-AU1752</f>
        <v>102</v>
      </c>
      <c r="AV1753" s="30">
        <f t="shared" ref="AV1753" si="1680">AV1725-AV1752</f>
        <v>50</v>
      </c>
      <c r="AW1753" s="30">
        <f t="shared" ref="AW1753" si="1681">AW1725-AW1752</f>
        <v>16</v>
      </c>
      <c r="AX1753" s="30">
        <f t="shared" ref="AX1753" si="1682">AX1725-AX1752</f>
        <v>8</v>
      </c>
      <c r="AY1753" s="31">
        <f t="shared" ref="AY1753" si="1683">AY1725-AY1752</f>
        <v>63</v>
      </c>
      <c r="AZ1753" s="31">
        <f>AZ1725-AZ1752</f>
        <v>239</v>
      </c>
      <c r="BA1753" s="77">
        <f t="shared" si="1648"/>
        <v>1313</v>
      </c>
    </row>
    <row r="1754" spans="1:53" x14ac:dyDescent="0.15">
      <c r="AC1754" s="2">
        <f>AC1752+AC1713+AC1674+AC1635+AC1596+AC1557+AC1518+AC1479+AC1440+AC1401+AC1362+AC1323+AC1284+AC1245+AC1206+AC1167+AC1128+AC1089+AC1050+AC1011+AC972+AC933+AC894+AC855</f>
        <v>130</v>
      </c>
      <c r="AD1754" s="2">
        <f t="shared" ref="AD1754:AG1754" si="1684">AD1752+AD1713+AD1674+AD1635+AD1596+AD1557+AD1518+AD1479+AD1440+AD1401+AD1362+AD1323+AD1284+AD1245+AD1206+AD1167+AD1128+AD1089+AD1050+AD1011+AD972+AD933+AD894+AD855</f>
        <v>202</v>
      </c>
      <c r="AE1754" s="2">
        <f t="shared" si="1684"/>
        <v>191</v>
      </c>
      <c r="AF1754" s="2">
        <f t="shared" si="1684"/>
        <v>174</v>
      </c>
      <c r="AG1754" s="2">
        <f t="shared" si="1684"/>
        <v>142</v>
      </c>
      <c r="AH1754" s="2">
        <f>SUM(AC1754:AG1754)</f>
        <v>839</v>
      </c>
      <c r="AI1754" s="2">
        <f>AI1752+AI1713+AI1674+AI1635+AI1596+AI1557+AI1518+AI1479+AI1440+AI1401+AI1362+AI1323+AI1284+AI1245+AI1206+AI1167+AI1128+AI1089+AI1050+AI1011+AI972+AI933+AI894+AI855</f>
        <v>78</v>
      </c>
      <c r="AJ1754" s="2">
        <f t="shared" ref="AJ1754:AM1754" si="1685">AJ1752+AJ1713+AJ1674+AJ1635+AJ1596+AJ1557+AJ1518+AJ1479+AJ1440+AJ1401+AJ1362+AJ1323+AJ1284+AJ1245+AJ1206+AJ1167+AJ1128+AJ1089+AJ1050+AJ1011+AJ972+AJ933+AJ894+AJ855</f>
        <v>129</v>
      </c>
      <c r="AK1754" s="2">
        <f t="shared" si="1685"/>
        <v>116</v>
      </c>
      <c r="AL1754" s="2">
        <f t="shared" si="1685"/>
        <v>78</v>
      </c>
      <c r="AM1754" s="2">
        <f t="shared" si="1685"/>
        <v>62</v>
      </c>
      <c r="AN1754" s="2">
        <f>SUM(AI1754:AM1754)</f>
        <v>463</v>
      </c>
      <c r="AO1754" s="2">
        <f>AO1752+AO1713+AO1674+AO1635+AO1596+AO1557+AO1518+AO1479+AO1440+AO1401+AO1362+AO1323+AO1284+AO1245+AO1206+AO1167+AO1128+AO1089+AO1050+AO1011+AO972+AO933+AO894+AO855</f>
        <v>34</v>
      </c>
      <c r="AP1754" s="2">
        <f t="shared" ref="AP1754:AR1754" si="1686">AP1752+AP1713+AP1674+AP1635+AP1596+AP1557+AP1518+AP1479+AP1440+AP1401+AP1362+AP1323+AP1284+AP1245+AP1206+AP1167+AP1128+AP1089+AP1050+AP1011+AP972+AP933+AP894+AP855</f>
        <v>59</v>
      </c>
      <c r="AQ1754" s="2">
        <f t="shared" si="1686"/>
        <v>56</v>
      </c>
      <c r="AR1754" s="2">
        <f t="shared" si="1686"/>
        <v>44</v>
      </c>
      <c r="AS1754" s="2">
        <f>AS1752+AS1713+AS1674+AS1635+AS1596+AS1557+AS1518+AS1479+AS1440+AS1401+AS1362+AS1323+AS1284+AS1245+AS1206+AS1167+AS1128+AS1089+AS1050+AS1011+AS972+AS933+AS894+AS855</f>
        <v>38</v>
      </c>
      <c r="AT1754" s="2">
        <f>SUM(AO1754:AS1754)</f>
        <v>231</v>
      </c>
      <c r="AU1754" s="2">
        <f>AU1752+AU1713+AU1674+AU1635+AU1596+AU1557+AU1518+AU1479+AU1440+AU1401+AU1362+AU1323+AU1284+AU1245+AU1206+AU1167+AU1128+AU1089+AU1050+AU1011+AU972+AU933+AU894+AU855</f>
        <v>17</v>
      </c>
      <c r="AV1754" s="2">
        <f t="shared" ref="AV1754:AY1754" si="1687">AV1752+AV1713+AV1674+AV1635+AV1596+AV1557+AV1518+AV1479+AV1440+AV1401+AV1362+AV1323+AV1284+AV1245+AV1206+AV1167+AV1128+AV1089+AV1050+AV1011+AV972+AV933+AV894+AV855</f>
        <v>28</v>
      </c>
      <c r="AW1754" s="2">
        <f t="shared" si="1687"/>
        <v>60</v>
      </c>
      <c r="AX1754" s="2">
        <f t="shared" si="1687"/>
        <v>66</v>
      </c>
      <c r="AY1754" s="2">
        <f t="shared" si="1687"/>
        <v>55</v>
      </c>
      <c r="AZ1754" s="2">
        <f>SUM(AU1754:AY1754)</f>
        <v>226</v>
      </c>
    </row>
    <row r="1755" spans="1:53" x14ac:dyDescent="0.15">
      <c r="AC1755" s="2">
        <f>AC1754/$AH$1715*100</f>
        <v>15.011547344110854</v>
      </c>
      <c r="AD1755" s="2">
        <f t="shared" ref="AD1755:AH1755" si="1688">AD1754/$AH$1715*100</f>
        <v>23.325635103926096</v>
      </c>
      <c r="AE1755" s="2">
        <f t="shared" si="1688"/>
        <v>22.055427251732102</v>
      </c>
      <c r="AF1755" s="2">
        <f t="shared" si="1688"/>
        <v>20.092378752886837</v>
      </c>
      <c r="AG1755" s="2">
        <f t="shared" si="1688"/>
        <v>16.397228637413395</v>
      </c>
      <c r="AH1755" s="2">
        <f t="shared" si="1688"/>
        <v>96.88221709006929</v>
      </c>
      <c r="AI1755" s="2">
        <f>AI1754/$AN$1715*100</f>
        <v>15.789473684210526</v>
      </c>
      <c r="AJ1755" s="2">
        <f t="shared" ref="AJ1755:AN1755" si="1689">AJ1754/$AN$1715*100</f>
        <v>26.113360323886642</v>
      </c>
      <c r="AK1755" s="2">
        <f t="shared" si="1689"/>
        <v>23.481781376518217</v>
      </c>
      <c r="AL1755" s="2">
        <f t="shared" si="1689"/>
        <v>15.789473684210526</v>
      </c>
      <c r="AM1755" s="2">
        <f t="shared" si="1689"/>
        <v>12.550607287449392</v>
      </c>
      <c r="AN1755" s="2">
        <f t="shared" si="1689"/>
        <v>93.724696356275302</v>
      </c>
      <c r="AO1755" s="2">
        <f>AO1754/$AT$1715*100</f>
        <v>14.655172413793101</v>
      </c>
      <c r="AP1755" s="2">
        <f t="shared" ref="AP1755:AT1755" si="1690">AP1754/$AT$1715*100</f>
        <v>25.431034482758619</v>
      </c>
      <c r="AQ1755" s="2">
        <f t="shared" si="1690"/>
        <v>24.137931034482758</v>
      </c>
      <c r="AR1755" s="2">
        <f t="shared" si="1690"/>
        <v>18.96551724137931</v>
      </c>
      <c r="AS1755" s="2">
        <f t="shared" si="1690"/>
        <v>16.379310344827587</v>
      </c>
      <c r="AT1755" s="2">
        <f t="shared" si="1690"/>
        <v>99.568965517241381</v>
      </c>
      <c r="AU1755" s="208">
        <f>AU1754/$AZ$1715*100</f>
        <v>7.981220657276995</v>
      </c>
      <c r="AV1755" s="208">
        <f t="shared" ref="AV1755:AZ1755" si="1691">AV1754/$AZ$1715*100</f>
        <v>13.145539906103288</v>
      </c>
      <c r="AW1755" s="208">
        <f t="shared" si="1691"/>
        <v>28.169014084507044</v>
      </c>
      <c r="AX1755" s="208">
        <f t="shared" si="1691"/>
        <v>30.985915492957744</v>
      </c>
      <c r="AY1755" s="208">
        <f t="shared" si="1691"/>
        <v>25.821596244131456</v>
      </c>
      <c r="AZ1755" s="208">
        <f t="shared" si="1691"/>
        <v>106.10328638497653</v>
      </c>
    </row>
    <row r="1756" spans="1:53" ht="19.5" thickBot="1" x14ac:dyDescent="0.25">
      <c r="A1756" s="1" t="s">
        <v>15</v>
      </c>
      <c r="AB1756" s="1" t="s">
        <v>16</v>
      </c>
    </row>
    <row r="1757" spans="1:53" ht="15" thickBot="1" x14ac:dyDescent="0.2">
      <c r="A1757" s="4"/>
      <c r="B1757" s="245" t="s">
        <v>17</v>
      </c>
      <c r="C1757" s="246"/>
      <c r="D1757" s="246"/>
      <c r="E1757" s="246"/>
      <c r="F1757" s="246"/>
      <c r="G1757" s="247"/>
      <c r="H1757" s="245" t="s">
        <v>18</v>
      </c>
      <c r="I1757" s="246"/>
      <c r="J1757" s="246"/>
      <c r="K1757" s="246"/>
      <c r="L1757" s="246"/>
      <c r="M1757" s="247"/>
      <c r="N1757" s="248" t="s">
        <v>27</v>
      </c>
      <c r="O1757" s="249"/>
      <c r="P1757" s="249"/>
      <c r="Q1757" s="249"/>
      <c r="R1757" s="249"/>
      <c r="S1757" s="250"/>
      <c r="T1757" s="248" t="s">
        <v>28</v>
      </c>
      <c r="U1757" s="249"/>
      <c r="V1757" s="249"/>
      <c r="W1757" s="249"/>
      <c r="X1757" s="249"/>
      <c r="Y1757" s="250"/>
      <c r="Z1757" s="251" t="s">
        <v>1</v>
      </c>
      <c r="AB1757" s="4"/>
      <c r="AC1757" s="253" t="s">
        <v>17</v>
      </c>
      <c r="AD1757" s="249"/>
      <c r="AE1757" s="249"/>
      <c r="AF1757" s="249"/>
      <c r="AG1757" s="249"/>
      <c r="AH1757" s="250"/>
      <c r="AI1757" s="248" t="s">
        <v>18</v>
      </c>
      <c r="AJ1757" s="249"/>
      <c r="AK1757" s="249"/>
      <c r="AL1757" s="249"/>
      <c r="AM1757" s="249"/>
      <c r="AN1757" s="250"/>
      <c r="AO1757" s="248" t="s">
        <v>27</v>
      </c>
      <c r="AP1757" s="249"/>
      <c r="AQ1757" s="249"/>
      <c r="AR1757" s="249"/>
      <c r="AS1757" s="249"/>
      <c r="AT1757" s="250"/>
      <c r="AU1757" s="248" t="s">
        <v>28</v>
      </c>
      <c r="AV1757" s="249"/>
      <c r="AW1757" s="249"/>
      <c r="AX1757" s="249"/>
      <c r="AY1757" s="249"/>
      <c r="AZ1757" s="250"/>
      <c r="BA1757" s="243" t="s">
        <v>1</v>
      </c>
    </row>
    <row r="1758" spans="1:53" ht="15" thickBot="1" x14ac:dyDescent="0.2">
      <c r="A1758" s="9" t="s">
        <v>2</v>
      </c>
      <c r="B1758" s="6" t="s">
        <v>3</v>
      </c>
      <c r="C1758" s="7" t="s">
        <v>4</v>
      </c>
      <c r="D1758" s="7" t="s">
        <v>5</v>
      </c>
      <c r="E1758" s="48" t="s">
        <v>20</v>
      </c>
      <c r="F1758" s="8" t="s">
        <v>21</v>
      </c>
      <c r="G1758" s="5" t="s">
        <v>6</v>
      </c>
      <c r="H1758" s="6" t="s">
        <v>3</v>
      </c>
      <c r="I1758" s="7" t="s">
        <v>4</v>
      </c>
      <c r="J1758" s="7" t="s">
        <v>5</v>
      </c>
      <c r="K1758" s="48" t="s">
        <v>20</v>
      </c>
      <c r="L1758" s="8" t="s">
        <v>21</v>
      </c>
      <c r="M1758" s="5" t="s">
        <v>6</v>
      </c>
      <c r="N1758" s="6" t="s">
        <v>3</v>
      </c>
      <c r="O1758" s="7" t="s">
        <v>4</v>
      </c>
      <c r="P1758" s="7" t="s">
        <v>5</v>
      </c>
      <c r="Q1758" s="48" t="s">
        <v>20</v>
      </c>
      <c r="R1758" s="8" t="s">
        <v>21</v>
      </c>
      <c r="S1758" s="5" t="s">
        <v>6</v>
      </c>
      <c r="T1758" s="7" t="s">
        <v>3</v>
      </c>
      <c r="U1758" s="7" t="s">
        <v>4</v>
      </c>
      <c r="V1758" s="7" t="s">
        <v>5</v>
      </c>
      <c r="W1758" s="48" t="s">
        <v>20</v>
      </c>
      <c r="X1758" s="109" t="s">
        <v>21</v>
      </c>
      <c r="Y1758" s="62" t="s">
        <v>6</v>
      </c>
      <c r="Z1758" s="252"/>
      <c r="AB1758" s="9" t="s">
        <v>2</v>
      </c>
      <c r="AC1758" s="6" t="s">
        <v>3</v>
      </c>
      <c r="AD1758" s="7" t="s">
        <v>4</v>
      </c>
      <c r="AE1758" s="7" t="s">
        <v>5</v>
      </c>
      <c r="AF1758" s="48" t="s">
        <v>20</v>
      </c>
      <c r="AG1758" s="8" t="s">
        <v>21</v>
      </c>
      <c r="AH1758" s="5" t="s">
        <v>6</v>
      </c>
      <c r="AI1758" s="6" t="s">
        <v>3</v>
      </c>
      <c r="AJ1758" s="7" t="s">
        <v>4</v>
      </c>
      <c r="AK1758" s="7" t="s">
        <v>5</v>
      </c>
      <c r="AL1758" s="48" t="s">
        <v>20</v>
      </c>
      <c r="AM1758" s="8" t="s">
        <v>21</v>
      </c>
      <c r="AN1758" s="5" t="s">
        <v>6</v>
      </c>
      <c r="AO1758" s="6" t="s">
        <v>3</v>
      </c>
      <c r="AP1758" s="7" t="s">
        <v>4</v>
      </c>
      <c r="AQ1758" s="7" t="s">
        <v>5</v>
      </c>
      <c r="AR1758" s="48" t="s">
        <v>20</v>
      </c>
      <c r="AS1758" s="8" t="s">
        <v>21</v>
      </c>
      <c r="AT1758" s="5" t="s">
        <v>6</v>
      </c>
      <c r="AU1758" s="7" t="s">
        <v>3</v>
      </c>
      <c r="AV1758" s="7" t="s">
        <v>4</v>
      </c>
      <c r="AW1758" s="7" t="s">
        <v>5</v>
      </c>
      <c r="AX1758" s="48" t="s">
        <v>20</v>
      </c>
      <c r="AY1758" s="109" t="s">
        <v>21</v>
      </c>
      <c r="AZ1758" s="62" t="s">
        <v>6</v>
      </c>
      <c r="BA1758" s="244"/>
    </row>
    <row r="1759" spans="1:53" ht="14.25" x14ac:dyDescent="0.15">
      <c r="A1759" s="103" t="s">
        <v>43</v>
      </c>
      <c r="B1759" s="104">
        <f>B1753</f>
        <v>4</v>
      </c>
      <c r="C1759" s="105">
        <f>C1753</f>
        <v>5</v>
      </c>
      <c r="D1759" s="105">
        <f>D1753</f>
        <v>4</v>
      </c>
      <c r="E1759" s="105">
        <f>E1753</f>
        <v>4</v>
      </c>
      <c r="F1759" s="105">
        <f>F1753</f>
        <v>2</v>
      </c>
      <c r="G1759" s="106">
        <f t="shared" ref="G1759" si="1692">SUM(B1759:F1759)</f>
        <v>19</v>
      </c>
      <c r="H1759" s="104">
        <f>H1753</f>
        <v>4</v>
      </c>
      <c r="I1759" s="105">
        <f>I1753</f>
        <v>5</v>
      </c>
      <c r="J1759" s="105">
        <f>J1753</f>
        <v>3</v>
      </c>
      <c r="K1759" s="105">
        <f>K1753</f>
        <v>4</v>
      </c>
      <c r="L1759" s="105">
        <f>L1753</f>
        <v>5</v>
      </c>
      <c r="M1759" s="107">
        <f t="shared" ref="M1759:M1790" si="1693">SUM(H1759:L1759)</f>
        <v>21</v>
      </c>
      <c r="N1759" s="104">
        <f>N1753</f>
        <v>5</v>
      </c>
      <c r="O1759" s="105">
        <f>O1753</f>
        <v>4</v>
      </c>
      <c r="P1759" s="105">
        <f>P1753</f>
        <v>4</v>
      </c>
      <c r="Q1759" s="105">
        <f>Q1753</f>
        <v>6</v>
      </c>
      <c r="R1759" s="105">
        <f>R1753</f>
        <v>5</v>
      </c>
      <c r="S1759" s="108">
        <f t="shared" ref="S1759:S1788" si="1694">SUM(N1759:R1759)</f>
        <v>24</v>
      </c>
      <c r="T1759" s="104">
        <f>T1753</f>
        <v>7</v>
      </c>
      <c r="U1759" s="105">
        <f>U1753</f>
        <v>5</v>
      </c>
      <c r="V1759" s="105">
        <f>V1753</f>
        <v>4</v>
      </c>
      <c r="W1759" s="105">
        <f>W1753</f>
        <v>6</v>
      </c>
      <c r="X1759" s="105">
        <f>X1753</f>
        <v>5</v>
      </c>
      <c r="Y1759" s="106">
        <f t="shared" ref="Y1759:Y1788" si="1695">SUM(T1759:X1759)</f>
        <v>27</v>
      </c>
      <c r="Z1759" s="106">
        <f t="shared" ref="Z1759:Z1760" si="1696">G1759+M1759+S1759+Y1759</f>
        <v>91</v>
      </c>
      <c r="AB1759" s="103" t="s">
        <v>43</v>
      </c>
      <c r="AC1759" s="104">
        <f>AC1753</f>
        <v>81</v>
      </c>
      <c r="AD1759" s="105">
        <f>AD1753</f>
        <v>42</v>
      </c>
      <c r="AE1759" s="105">
        <f>AE1753</f>
        <v>43</v>
      </c>
      <c r="AF1759" s="105">
        <f>AF1753</f>
        <v>22</v>
      </c>
      <c r="AG1759" s="105">
        <f>AG1753</f>
        <v>14</v>
      </c>
      <c r="AH1759" s="106">
        <f>SUM(AC1759:AG1759)</f>
        <v>202</v>
      </c>
      <c r="AI1759" s="104">
        <f>AI1753</f>
        <v>77</v>
      </c>
      <c r="AJ1759" s="105">
        <f>AJ1753</f>
        <v>63</v>
      </c>
      <c r="AK1759" s="105">
        <f>AK1753</f>
        <v>70</v>
      </c>
      <c r="AL1759" s="105">
        <f>AL1753</f>
        <v>53</v>
      </c>
      <c r="AM1759" s="105">
        <f>AM1753</f>
        <v>69</v>
      </c>
      <c r="AN1759" s="107">
        <f>SUM(AI1759:AM1759)</f>
        <v>332</v>
      </c>
      <c r="AO1759" s="104">
        <f>AO1753</f>
        <v>135</v>
      </c>
      <c r="AP1759" s="105">
        <f>AP1753</f>
        <v>87</v>
      </c>
      <c r="AQ1759" s="105">
        <f>AQ1753</f>
        <v>88</v>
      </c>
      <c r="AR1759" s="105">
        <f>AR1753</f>
        <v>106</v>
      </c>
      <c r="AS1759" s="105">
        <f>AS1753</f>
        <v>124</v>
      </c>
      <c r="AT1759" s="108">
        <f>SUM(AO1759:AS1759)</f>
        <v>540</v>
      </c>
      <c r="AU1759" s="104">
        <f>AU1753</f>
        <v>102</v>
      </c>
      <c r="AV1759" s="105">
        <f>AV1753</f>
        <v>50</v>
      </c>
      <c r="AW1759" s="105">
        <f>AW1753</f>
        <v>16</v>
      </c>
      <c r="AX1759" s="105">
        <f>AX1753</f>
        <v>8</v>
      </c>
      <c r="AY1759" s="105">
        <f>AY1753</f>
        <v>63</v>
      </c>
      <c r="AZ1759" s="106">
        <f>SUM(AU1759:AY1759)</f>
        <v>239</v>
      </c>
      <c r="BA1759" s="106">
        <f>AH1759+AN1759+AT1759+AZ1759</f>
        <v>1313</v>
      </c>
    </row>
    <row r="1760" spans="1:53" ht="14.25" x14ac:dyDescent="0.15">
      <c r="A1760" s="10" t="s">
        <v>181</v>
      </c>
      <c r="B1760" s="14">
        <v>2</v>
      </c>
      <c r="C1760" s="15">
        <v>2</v>
      </c>
      <c r="D1760" s="15">
        <v>2</v>
      </c>
      <c r="E1760" s="15"/>
      <c r="F1760" s="15"/>
      <c r="G1760" s="43">
        <f t="shared" ref="G1760" si="1697">SUM(B1760:F1760)</f>
        <v>6</v>
      </c>
      <c r="H1760" s="14">
        <v>2</v>
      </c>
      <c r="I1760" s="15">
        <v>2</v>
      </c>
      <c r="J1760" s="15">
        <v>5</v>
      </c>
      <c r="K1760" s="15">
        <v>2</v>
      </c>
      <c r="L1760" s="15"/>
      <c r="M1760" s="43">
        <f t="shared" si="1693"/>
        <v>11</v>
      </c>
      <c r="N1760" s="14"/>
      <c r="O1760" s="55"/>
      <c r="P1760" s="55">
        <v>2</v>
      </c>
      <c r="Q1760" s="55"/>
      <c r="R1760" s="67"/>
      <c r="S1760" s="24">
        <f t="shared" si="1694"/>
        <v>2</v>
      </c>
      <c r="T1760" s="15"/>
      <c r="U1760" s="55">
        <v>2</v>
      </c>
      <c r="V1760" s="55">
        <v>2</v>
      </c>
      <c r="W1760" s="55"/>
      <c r="X1760" s="67">
        <v>2</v>
      </c>
      <c r="Y1760" s="24">
        <f t="shared" si="1695"/>
        <v>6</v>
      </c>
      <c r="Z1760" s="24">
        <f t="shared" si="1696"/>
        <v>25</v>
      </c>
      <c r="AA1760" s="83">
        <v>45497</v>
      </c>
      <c r="AB1760" s="10" t="s">
        <v>181</v>
      </c>
      <c r="AC1760" s="14"/>
      <c r="AD1760" s="15"/>
      <c r="AE1760" s="15"/>
      <c r="AF1760" s="15"/>
      <c r="AG1760" s="15"/>
      <c r="AH1760" s="43">
        <f t="shared" ref="AH1760:AH1761" si="1698">SUM(AC1760:AG1760)</f>
        <v>0</v>
      </c>
      <c r="AI1760" s="14"/>
      <c r="AJ1760" s="15"/>
      <c r="AK1760" s="15"/>
      <c r="AL1760" s="15"/>
      <c r="AM1760" s="15"/>
      <c r="AN1760" s="43">
        <f t="shared" ref="AN1760:AN1772" si="1699">SUM(AI1760:AM1760)</f>
        <v>0</v>
      </c>
      <c r="AO1760" s="14"/>
      <c r="AP1760" s="55"/>
      <c r="AQ1760" s="55"/>
      <c r="AR1760" s="55"/>
      <c r="AS1760" s="67"/>
      <c r="AT1760" s="24">
        <f t="shared" ref="AT1760:AT1772" si="1700">SUM(AO1760:AS1760)</f>
        <v>0</v>
      </c>
      <c r="AU1760" s="15"/>
      <c r="AV1760" s="55"/>
      <c r="AW1760" s="55"/>
      <c r="AX1760" s="55"/>
      <c r="AY1760" s="67"/>
      <c r="AZ1760" s="24">
        <f t="shared" ref="AZ1760:AZ1772" si="1701">SUM(AU1760:AY1760)</f>
        <v>0</v>
      </c>
      <c r="BA1760" s="24">
        <f t="shared" ref="BA1760:BA1772" si="1702">AH1760+AN1760+AT1760+AZ1760</f>
        <v>0</v>
      </c>
    </row>
    <row r="1761" spans="1:55" ht="14.25" x14ac:dyDescent="0.15">
      <c r="A1761" s="10" t="s">
        <v>77</v>
      </c>
      <c r="B1761" s="14">
        <v>1</v>
      </c>
      <c r="C1761" s="15"/>
      <c r="D1761" s="15"/>
      <c r="E1761" s="15"/>
      <c r="F1761" s="15"/>
      <c r="G1761" s="43">
        <f t="shared" ref="G1761:G1763" si="1703">SUM(B1761:F1761)</f>
        <v>1</v>
      </c>
      <c r="H1761" s="14"/>
      <c r="I1761" s="15"/>
      <c r="J1761" s="15"/>
      <c r="K1761" s="15">
        <v>1</v>
      </c>
      <c r="L1761" s="15"/>
      <c r="M1761" s="43">
        <f t="shared" ref="M1761:M1763" si="1704">SUM(H1761:L1761)</f>
        <v>1</v>
      </c>
      <c r="N1761" s="14"/>
      <c r="O1761" s="55"/>
      <c r="P1761" s="55"/>
      <c r="Q1761" s="55"/>
      <c r="R1761" s="67"/>
      <c r="S1761" s="24">
        <f t="shared" ref="S1761:S1762" si="1705">SUM(N1761:R1761)</f>
        <v>0</v>
      </c>
      <c r="T1761" s="15"/>
      <c r="U1761" s="55"/>
      <c r="V1761" s="55"/>
      <c r="W1761" s="55"/>
      <c r="X1761" s="67"/>
      <c r="Y1761" s="24">
        <f t="shared" ref="Y1761:Y1763" si="1706">SUM(T1761:X1761)</f>
        <v>0</v>
      </c>
      <c r="Z1761" s="24">
        <f t="shared" ref="Z1761:Z1763" si="1707">G1761+M1761+S1761+Y1761</f>
        <v>2</v>
      </c>
      <c r="AA1761" s="83">
        <v>45498</v>
      </c>
      <c r="AB1761" s="10" t="s">
        <v>181</v>
      </c>
      <c r="AC1761" s="14"/>
      <c r="AD1761" s="15"/>
      <c r="AE1761" s="15"/>
      <c r="AF1761" s="15"/>
      <c r="AG1761" s="15"/>
      <c r="AH1761" s="43">
        <f t="shared" si="1698"/>
        <v>0</v>
      </c>
      <c r="AI1761" s="14"/>
      <c r="AJ1761" s="15"/>
      <c r="AK1761" s="15"/>
      <c r="AL1761" s="15"/>
      <c r="AM1761" s="15"/>
      <c r="AN1761" s="43">
        <f t="shared" si="1699"/>
        <v>0</v>
      </c>
      <c r="AO1761" s="14"/>
      <c r="AP1761" s="55"/>
      <c r="AQ1761" s="55"/>
      <c r="AR1761" s="55"/>
      <c r="AS1761" s="67"/>
      <c r="AT1761" s="24">
        <f t="shared" si="1700"/>
        <v>0</v>
      </c>
      <c r="AU1761" s="15"/>
      <c r="AV1761" s="55"/>
      <c r="AW1761" s="55"/>
      <c r="AX1761" s="55"/>
      <c r="AY1761" s="67"/>
      <c r="AZ1761" s="24">
        <f t="shared" si="1701"/>
        <v>0</v>
      </c>
      <c r="BA1761" s="24">
        <f t="shared" si="1702"/>
        <v>0</v>
      </c>
    </row>
    <row r="1762" spans="1:55" ht="14.25" x14ac:dyDescent="0.15">
      <c r="A1762" s="10" t="s">
        <v>181</v>
      </c>
      <c r="B1762" s="14"/>
      <c r="C1762" s="15"/>
      <c r="D1762" s="15"/>
      <c r="E1762" s="15"/>
      <c r="F1762" s="15"/>
      <c r="G1762" s="43">
        <f t="shared" si="1703"/>
        <v>0</v>
      </c>
      <c r="H1762" s="14"/>
      <c r="I1762" s="15"/>
      <c r="J1762" s="15"/>
      <c r="K1762" s="15">
        <v>3</v>
      </c>
      <c r="L1762" s="15">
        <v>5</v>
      </c>
      <c r="M1762" s="43">
        <f t="shared" si="1704"/>
        <v>8</v>
      </c>
      <c r="N1762" s="14"/>
      <c r="O1762" s="55">
        <v>3</v>
      </c>
      <c r="P1762" s="55"/>
      <c r="Q1762" s="55">
        <v>3</v>
      </c>
      <c r="R1762" s="67"/>
      <c r="S1762" s="24">
        <f t="shared" si="1705"/>
        <v>6</v>
      </c>
      <c r="T1762" s="15"/>
      <c r="U1762" s="55"/>
      <c r="V1762" s="55"/>
      <c r="W1762" s="55"/>
      <c r="X1762" s="67"/>
      <c r="Y1762" s="24">
        <f t="shared" si="1706"/>
        <v>0</v>
      </c>
      <c r="Z1762" s="24">
        <f t="shared" si="1707"/>
        <v>14</v>
      </c>
      <c r="AA1762" s="83">
        <v>45514</v>
      </c>
      <c r="AB1762" s="10" t="s">
        <v>181</v>
      </c>
      <c r="AC1762" s="14"/>
      <c r="AD1762" s="15"/>
      <c r="AE1762" s="15"/>
      <c r="AF1762" s="15"/>
      <c r="AG1762" s="15"/>
      <c r="AH1762" s="43">
        <f t="shared" ref="AH1762" si="1708">SUM(AC1762:AG1762)</f>
        <v>0</v>
      </c>
      <c r="AI1762" s="14"/>
      <c r="AJ1762" s="15"/>
      <c r="AK1762" s="15"/>
      <c r="AL1762" s="15"/>
      <c r="AM1762" s="15"/>
      <c r="AN1762" s="43">
        <f t="shared" si="1699"/>
        <v>0</v>
      </c>
      <c r="AO1762" s="14"/>
      <c r="AP1762" s="55"/>
      <c r="AQ1762" s="55"/>
      <c r="AR1762" s="55"/>
      <c r="AS1762" s="67"/>
      <c r="AT1762" s="24">
        <f t="shared" si="1700"/>
        <v>0</v>
      </c>
      <c r="AU1762" s="15"/>
      <c r="AV1762" s="55"/>
      <c r="AW1762" s="55"/>
      <c r="AX1762" s="55"/>
      <c r="AY1762" s="67"/>
      <c r="AZ1762" s="24">
        <f t="shared" si="1701"/>
        <v>0</v>
      </c>
      <c r="BA1762" s="24">
        <f t="shared" si="1702"/>
        <v>0</v>
      </c>
    </row>
    <row r="1763" spans="1:55" ht="15" thickBot="1" x14ac:dyDescent="0.2">
      <c r="A1763" s="23" t="s">
        <v>684</v>
      </c>
      <c r="B1763" s="41">
        <v>1</v>
      </c>
      <c r="C1763" s="42"/>
      <c r="D1763" s="42"/>
      <c r="E1763" s="42"/>
      <c r="F1763" s="42"/>
      <c r="G1763" s="43">
        <f t="shared" si="1703"/>
        <v>1</v>
      </c>
      <c r="H1763" s="41">
        <v>1</v>
      </c>
      <c r="I1763" s="42"/>
      <c r="J1763" s="42"/>
      <c r="K1763" s="42"/>
      <c r="L1763" s="42"/>
      <c r="M1763" s="43">
        <f t="shared" si="1704"/>
        <v>1</v>
      </c>
      <c r="N1763" s="42">
        <v>1</v>
      </c>
      <c r="O1763" s="53"/>
      <c r="P1763" s="53"/>
      <c r="Q1763" s="53"/>
      <c r="R1763" s="72"/>
      <c r="S1763" s="24">
        <f t="shared" ref="S1763" si="1709">SUM(N1763:R1763)</f>
        <v>1</v>
      </c>
      <c r="T1763" s="42"/>
      <c r="U1763" s="53"/>
      <c r="V1763" s="53"/>
      <c r="W1763" s="53"/>
      <c r="X1763" s="72"/>
      <c r="Y1763" s="24">
        <f t="shared" si="1706"/>
        <v>0</v>
      </c>
      <c r="Z1763" s="24">
        <f t="shared" si="1707"/>
        <v>3</v>
      </c>
      <c r="AA1763" s="83">
        <v>45521</v>
      </c>
      <c r="AB1763" s="10" t="s">
        <v>181</v>
      </c>
      <c r="AC1763" s="14"/>
      <c r="AD1763" s="15"/>
      <c r="AE1763" s="15"/>
      <c r="AF1763" s="15"/>
      <c r="AG1763" s="15"/>
      <c r="AH1763" s="43">
        <f t="shared" ref="AH1763" si="1710">SUM(AC1763:AG1763)</f>
        <v>0</v>
      </c>
      <c r="AI1763" s="14"/>
      <c r="AJ1763" s="15"/>
      <c r="AK1763" s="15"/>
      <c r="AL1763" s="15"/>
      <c r="AM1763" s="15"/>
      <c r="AN1763" s="43">
        <f t="shared" ref="AN1763" si="1711">SUM(AI1763:AM1763)</f>
        <v>0</v>
      </c>
      <c r="AO1763" s="14"/>
      <c r="AP1763" s="55"/>
      <c r="AQ1763" s="55"/>
      <c r="AR1763" s="55"/>
      <c r="AS1763" s="67"/>
      <c r="AT1763" s="24">
        <f t="shared" ref="AT1763" si="1712">SUM(AO1763:AS1763)</f>
        <v>0</v>
      </c>
      <c r="AU1763" s="15"/>
      <c r="AV1763" s="55"/>
      <c r="AW1763" s="55"/>
      <c r="AX1763" s="55"/>
      <c r="AY1763" s="67"/>
      <c r="AZ1763" s="24">
        <f t="shared" ref="AZ1763" si="1713">SUM(AU1763:AY1763)</f>
        <v>0</v>
      </c>
      <c r="BA1763" s="24">
        <f t="shared" ref="BA1763" si="1714">AH1763+AN1763+AT1763+AZ1763</f>
        <v>0</v>
      </c>
    </row>
    <row r="1764" spans="1:55" ht="15" thickBot="1" x14ac:dyDescent="0.2">
      <c r="A1764" s="4" t="s">
        <v>12</v>
      </c>
      <c r="B1764" s="17">
        <f>SUM(B1759:B1763)</f>
        <v>8</v>
      </c>
      <c r="C1764" s="18">
        <f>SUM(C1759:C1763)</f>
        <v>7</v>
      </c>
      <c r="D1764" s="18">
        <f>SUM(D1759:D1763)</f>
        <v>6</v>
      </c>
      <c r="E1764" s="18">
        <f>SUM(E1759:E1763)</f>
        <v>4</v>
      </c>
      <c r="F1764" s="18">
        <f>SUM(F1759:F1763)</f>
        <v>2</v>
      </c>
      <c r="G1764" s="148">
        <f t="shared" ref="G1764:G1790" si="1715">SUM(B1764:F1764)</f>
        <v>27</v>
      </c>
      <c r="H1764" s="17">
        <f>SUM(H1759:H1763)</f>
        <v>7</v>
      </c>
      <c r="I1764" s="18">
        <f>SUM(I1759:I1763)</f>
        <v>7</v>
      </c>
      <c r="J1764" s="18">
        <f>SUM(J1759:J1763)</f>
        <v>8</v>
      </c>
      <c r="K1764" s="18">
        <f>SUM(K1759:K1763)</f>
        <v>10</v>
      </c>
      <c r="L1764" s="18">
        <f>SUM(L1759:L1763)</f>
        <v>10</v>
      </c>
      <c r="M1764" s="17">
        <f t="shared" si="1693"/>
        <v>42</v>
      </c>
      <c r="N1764" s="65">
        <f>SUM(N1759:N1763)</f>
        <v>6</v>
      </c>
      <c r="O1764" s="18">
        <f>SUM(O1759:O1763)</f>
        <v>7</v>
      </c>
      <c r="P1764" s="18">
        <f>SUM(P1759:P1763)</f>
        <v>6</v>
      </c>
      <c r="Q1764" s="18">
        <f>SUM(Q1759:Q1763)</f>
        <v>9</v>
      </c>
      <c r="R1764" s="70">
        <f>SUM(R1759:R1763)</f>
        <v>5</v>
      </c>
      <c r="S1764" s="49">
        <f t="shared" si="1694"/>
        <v>33</v>
      </c>
      <c r="T1764" s="74">
        <f>SUM(T1759:T1763)</f>
        <v>7</v>
      </c>
      <c r="U1764" s="18">
        <f>SUM(U1759:U1763)</f>
        <v>7</v>
      </c>
      <c r="V1764" s="18">
        <f>SUM(V1759:V1763)</f>
        <v>6</v>
      </c>
      <c r="W1764" s="18">
        <f>SUM(W1759:W1763)</f>
        <v>6</v>
      </c>
      <c r="X1764" s="70">
        <f>SUM(X1759:X1763)</f>
        <v>7</v>
      </c>
      <c r="Y1764" s="49">
        <f t="shared" si="1695"/>
        <v>33</v>
      </c>
      <c r="Z1764" s="33">
        <f t="shared" ref="Z1764:Z1788" si="1716">G1764+M1764+S1764+Y1764</f>
        <v>135</v>
      </c>
      <c r="AB1764" s="4" t="s">
        <v>12</v>
      </c>
      <c r="AC1764" s="17">
        <f>SUM(AC1759:AC1763)</f>
        <v>81</v>
      </c>
      <c r="AD1764" s="18">
        <f>SUM(AD1759:AD1763)</f>
        <v>42</v>
      </c>
      <c r="AE1764" s="18">
        <f>SUM(AE1759:AE1763)</f>
        <v>43</v>
      </c>
      <c r="AF1764" s="18">
        <f>SUM(AF1759:AF1763)</f>
        <v>22</v>
      </c>
      <c r="AG1764" s="18">
        <f>SUM(AG1759:AG1763)</f>
        <v>14</v>
      </c>
      <c r="AH1764" s="148">
        <f t="shared" ref="AH1764" si="1717">SUM(AC1764:AG1764)</f>
        <v>202</v>
      </c>
      <c r="AI1764" s="17">
        <f>SUM(AI1759:AI1763)</f>
        <v>77</v>
      </c>
      <c r="AJ1764" s="18">
        <f>SUM(AJ1759:AJ1763)</f>
        <v>63</v>
      </c>
      <c r="AK1764" s="18">
        <f>SUM(AK1759:AK1763)</f>
        <v>70</v>
      </c>
      <c r="AL1764" s="18">
        <f>SUM(AL1759:AL1763)</f>
        <v>53</v>
      </c>
      <c r="AM1764" s="18">
        <f>SUM(AM1759:AM1763)</f>
        <v>69</v>
      </c>
      <c r="AN1764" s="148">
        <f t="shared" si="1699"/>
        <v>332</v>
      </c>
      <c r="AO1764" s="65">
        <f>SUM(AO1759:AO1763)</f>
        <v>135</v>
      </c>
      <c r="AP1764" s="18">
        <f>SUM(AP1759:AP1763)</f>
        <v>87</v>
      </c>
      <c r="AQ1764" s="18">
        <f>SUM(AQ1759:AQ1763)</f>
        <v>88</v>
      </c>
      <c r="AR1764" s="18">
        <f>SUM(AR1759:AR1763)</f>
        <v>106</v>
      </c>
      <c r="AS1764" s="70">
        <f>SUM(AS1759:AS1763)</f>
        <v>124</v>
      </c>
      <c r="AT1764" s="49">
        <f t="shared" si="1700"/>
        <v>540</v>
      </c>
      <c r="AU1764" s="74">
        <f>SUM(AU1759:AU1763)</f>
        <v>102</v>
      </c>
      <c r="AV1764" s="18">
        <f>SUM(AV1759:AV1763)</f>
        <v>50</v>
      </c>
      <c r="AW1764" s="18">
        <f>SUM(AW1759:AW1763)</f>
        <v>16</v>
      </c>
      <c r="AX1764" s="18">
        <f>SUM(AX1759:AX1763)</f>
        <v>8</v>
      </c>
      <c r="AY1764" s="70">
        <f>SUM(AY1759:AY1763)</f>
        <v>63</v>
      </c>
      <c r="AZ1764" s="49">
        <f t="shared" si="1701"/>
        <v>239</v>
      </c>
      <c r="BA1764" s="33">
        <f t="shared" si="1702"/>
        <v>1313</v>
      </c>
    </row>
    <row r="1765" spans="1:55" ht="14.25" x14ac:dyDescent="0.15">
      <c r="A1765" s="23" t="s">
        <v>438</v>
      </c>
      <c r="B1765" s="41">
        <v>1</v>
      </c>
      <c r="C1765" s="42"/>
      <c r="D1765" s="42"/>
      <c r="E1765" s="42"/>
      <c r="F1765" s="42"/>
      <c r="G1765" s="43">
        <f t="shared" ref="G1765:G1788" si="1718">SUM(B1765:F1765)</f>
        <v>1</v>
      </c>
      <c r="H1765" s="41"/>
      <c r="I1765" s="42"/>
      <c r="J1765" s="42"/>
      <c r="K1765" s="42"/>
      <c r="L1765" s="42"/>
      <c r="M1765" s="43">
        <f t="shared" ref="M1765:M1788" si="1719">SUM(H1765:L1765)</f>
        <v>0</v>
      </c>
      <c r="N1765" s="42"/>
      <c r="O1765" s="53"/>
      <c r="P1765" s="53"/>
      <c r="Q1765" s="53"/>
      <c r="R1765" s="72"/>
      <c r="S1765" s="24">
        <f t="shared" si="1694"/>
        <v>0</v>
      </c>
      <c r="T1765" s="42"/>
      <c r="U1765" s="53"/>
      <c r="V1765" s="53"/>
      <c r="W1765" s="53"/>
      <c r="X1765" s="72"/>
      <c r="Y1765" s="24">
        <f t="shared" si="1695"/>
        <v>0</v>
      </c>
      <c r="Z1765" s="24">
        <f t="shared" si="1716"/>
        <v>1</v>
      </c>
      <c r="AA1765" s="83">
        <v>45481</v>
      </c>
      <c r="AB1765" s="23" t="s">
        <v>676</v>
      </c>
      <c r="AC1765" s="38"/>
      <c r="AD1765" s="39">
        <v>1</v>
      </c>
      <c r="AE1765" s="39"/>
      <c r="AF1765" s="39"/>
      <c r="AG1765" s="39"/>
      <c r="AH1765" s="37">
        <f t="shared" ref="AH1765:AH1772" si="1720">SUM(AC1765:AG1765)</f>
        <v>1</v>
      </c>
      <c r="AI1765" s="38"/>
      <c r="AJ1765" s="39"/>
      <c r="AK1765" s="39">
        <v>1</v>
      </c>
      <c r="AL1765" s="39"/>
      <c r="AM1765" s="39"/>
      <c r="AN1765" s="37">
        <f t="shared" si="1699"/>
        <v>1</v>
      </c>
      <c r="AO1765" s="39">
        <v>1</v>
      </c>
      <c r="AP1765" s="56"/>
      <c r="AQ1765" s="56"/>
      <c r="AR1765" s="56"/>
      <c r="AS1765" s="71"/>
      <c r="AT1765" s="16">
        <f t="shared" si="1700"/>
        <v>1</v>
      </c>
      <c r="AU1765" s="39"/>
      <c r="AV1765" s="56">
        <v>1</v>
      </c>
      <c r="AW1765" s="56"/>
      <c r="AX1765" s="56"/>
      <c r="AY1765" s="71"/>
      <c r="AZ1765" s="16">
        <f t="shared" si="1701"/>
        <v>1</v>
      </c>
      <c r="BA1765" s="16">
        <f t="shared" si="1702"/>
        <v>4</v>
      </c>
      <c r="BB1765" s="83">
        <v>45485</v>
      </c>
    </row>
    <row r="1766" spans="1:55" ht="14.25" x14ac:dyDescent="0.15">
      <c r="A1766" s="23" t="s">
        <v>395</v>
      </c>
      <c r="B1766" s="41"/>
      <c r="C1766" s="42">
        <v>1</v>
      </c>
      <c r="D1766" s="42"/>
      <c r="E1766" s="42"/>
      <c r="F1766" s="42"/>
      <c r="G1766" s="43">
        <f t="shared" si="1718"/>
        <v>1</v>
      </c>
      <c r="H1766" s="41"/>
      <c r="I1766" s="42">
        <v>1</v>
      </c>
      <c r="J1766" s="42"/>
      <c r="K1766" s="42"/>
      <c r="L1766" s="42"/>
      <c r="M1766" s="43">
        <f t="shared" si="1719"/>
        <v>1</v>
      </c>
      <c r="N1766" s="42"/>
      <c r="O1766" s="53"/>
      <c r="P1766" s="53"/>
      <c r="Q1766" s="53"/>
      <c r="R1766" s="72"/>
      <c r="S1766" s="24">
        <f t="shared" si="1694"/>
        <v>0</v>
      </c>
      <c r="T1766" s="42"/>
      <c r="U1766" s="53">
        <v>1</v>
      </c>
      <c r="V1766" s="53"/>
      <c r="W1766" s="53"/>
      <c r="X1766" s="72"/>
      <c r="Y1766" s="24">
        <f t="shared" si="1695"/>
        <v>1</v>
      </c>
      <c r="Z1766" s="24">
        <f t="shared" si="1716"/>
        <v>3</v>
      </c>
      <c r="AA1766" s="83">
        <v>45479</v>
      </c>
      <c r="AB1766" s="23" t="s">
        <v>677</v>
      </c>
      <c r="AC1766" s="38"/>
      <c r="AD1766" s="39"/>
      <c r="AE1766" s="39"/>
      <c r="AF1766" s="39"/>
      <c r="AG1766" s="39"/>
      <c r="AH1766" s="37">
        <f t="shared" si="1720"/>
        <v>0</v>
      </c>
      <c r="AI1766" s="38">
        <v>1</v>
      </c>
      <c r="AJ1766" s="39">
        <v>1</v>
      </c>
      <c r="AK1766" s="39"/>
      <c r="AL1766" s="39">
        <v>1</v>
      </c>
      <c r="AM1766" s="39"/>
      <c r="AN1766" s="37">
        <f t="shared" si="1699"/>
        <v>3</v>
      </c>
      <c r="AO1766" s="39"/>
      <c r="AP1766" s="56"/>
      <c r="AQ1766" s="56"/>
      <c r="AR1766" s="56"/>
      <c r="AS1766" s="71"/>
      <c r="AT1766" s="16">
        <f t="shared" si="1700"/>
        <v>0</v>
      </c>
      <c r="AU1766" s="39"/>
      <c r="AV1766" s="56"/>
      <c r="AW1766" s="56">
        <v>2</v>
      </c>
      <c r="AX1766" s="56">
        <v>1</v>
      </c>
      <c r="AY1766" s="71"/>
      <c r="AZ1766" s="16">
        <f t="shared" si="1701"/>
        <v>3</v>
      </c>
      <c r="BA1766" s="16">
        <f t="shared" si="1702"/>
        <v>6</v>
      </c>
      <c r="BB1766" s="83">
        <v>45495</v>
      </c>
    </row>
    <row r="1767" spans="1:55" ht="14.25" x14ac:dyDescent="0.15">
      <c r="A1767" s="23" t="s">
        <v>438</v>
      </c>
      <c r="B1767" s="41"/>
      <c r="C1767" s="42"/>
      <c r="D1767" s="42"/>
      <c r="E1767" s="42"/>
      <c r="F1767" s="42"/>
      <c r="G1767" s="43">
        <f t="shared" si="1718"/>
        <v>0</v>
      </c>
      <c r="H1767" s="41"/>
      <c r="I1767" s="42"/>
      <c r="J1767" s="42"/>
      <c r="K1767" s="42"/>
      <c r="L1767" s="42"/>
      <c r="M1767" s="43">
        <f t="shared" si="1719"/>
        <v>0</v>
      </c>
      <c r="N1767" s="42"/>
      <c r="O1767" s="53"/>
      <c r="P1767" s="53">
        <v>1</v>
      </c>
      <c r="Q1767" s="53"/>
      <c r="R1767" s="72"/>
      <c r="S1767" s="24">
        <f t="shared" si="1694"/>
        <v>1</v>
      </c>
      <c r="T1767" s="42"/>
      <c r="U1767" s="53"/>
      <c r="V1767" s="53"/>
      <c r="W1767" s="53"/>
      <c r="X1767" s="72"/>
      <c r="Y1767" s="24">
        <f t="shared" si="1695"/>
        <v>0</v>
      </c>
      <c r="Z1767" s="24">
        <f t="shared" si="1716"/>
        <v>1</v>
      </c>
      <c r="AA1767" s="83">
        <v>45483</v>
      </c>
      <c r="AB1767" s="23" t="s">
        <v>678</v>
      </c>
      <c r="AC1767" s="38"/>
      <c r="AD1767" s="39"/>
      <c r="AE1767" s="39"/>
      <c r="AF1767" s="39">
        <v>1</v>
      </c>
      <c r="AG1767" s="39"/>
      <c r="AH1767" s="37">
        <f t="shared" si="1720"/>
        <v>1</v>
      </c>
      <c r="AI1767" s="38">
        <v>1</v>
      </c>
      <c r="AJ1767" s="39">
        <v>1</v>
      </c>
      <c r="AK1767" s="39"/>
      <c r="AL1767" s="39">
        <v>2</v>
      </c>
      <c r="AM1767" s="39"/>
      <c r="AN1767" s="37">
        <f t="shared" si="1699"/>
        <v>4</v>
      </c>
      <c r="AO1767" s="39"/>
      <c r="AP1767" s="56"/>
      <c r="AQ1767" s="56"/>
      <c r="AR1767" s="56"/>
      <c r="AS1767" s="71"/>
      <c r="AT1767" s="16">
        <f t="shared" si="1700"/>
        <v>0</v>
      </c>
      <c r="AU1767" s="39"/>
      <c r="AV1767" s="56">
        <v>1</v>
      </c>
      <c r="AW1767" s="56"/>
      <c r="AX1767" s="56"/>
      <c r="AY1767" s="71"/>
      <c r="AZ1767" s="16">
        <f t="shared" si="1701"/>
        <v>1</v>
      </c>
      <c r="BA1767" s="16">
        <f t="shared" si="1702"/>
        <v>6</v>
      </c>
      <c r="BB1767" s="83">
        <v>45502</v>
      </c>
    </row>
    <row r="1768" spans="1:55" ht="14.25" x14ac:dyDescent="0.15">
      <c r="A1768" s="23" t="s">
        <v>395</v>
      </c>
      <c r="B1768" s="41"/>
      <c r="C1768" s="42"/>
      <c r="D1768" s="42">
        <v>1</v>
      </c>
      <c r="E1768" s="42"/>
      <c r="F1768" s="42"/>
      <c r="G1768" s="43">
        <f t="shared" si="1718"/>
        <v>1</v>
      </c>
      <c r="H1768" s="41"/>
      <c r="I1768" s="42">
        <v>1</v>
      </c>
      <c r="J1768" s="42"/>
      <c r="K1768" s="42"/>
      <c r="L1768" s="42"/>
      <c r="M1768" s="43">
        <f t="shared" si="1719"/>
        <v>1</v>
      </c>
      <c r="N1768" s="42"/>
      <c r="O1768" s="53"/>
      <c r="P1768" s="53"/>
      <c r="Q1768" s="53">
        <v>1</v>
      </c>
      <c r="R1768" s="72"/>
      <c r="S1768" s="24">
        <f t="shared" si="1694"/>
        <v>1</v>
      </c>
      <c r="T1768" s="42"/>
      <c r="U1768" s="53"/>
      <c r="V1768" s="53"/>
      <c r="W1768" s="53"/>
      <c r="X1768" s="72"/>
      <c r="Y1768" s="24">
        <f t="shared" si="1695"/>
        <v>0</v>
      </c>
      <c r="Z1768" s="24">
        <f t="shared" si="1716"/>
        <v>3</v>
      </c>
      <c r="AA1768" s="83">
        <v>45481</v>
      </c>
      <c r="AB1768" s="23" t="s">
        <v>126</v>
      </c>
      <c r="AC1768" s="38">
        <v>2</v>
      </c>
      <c r="AD1768" s="39">
        <v>2</v>
      </c>
      <c r="AE1768" s="39">
        <v>2</v>
      </c>
      <c r="AF1768" s="39"/>
      <c r="AG1768" s="39"/>
      <c r="AH1768" s="37">
        <f t="shared" ref="AH1768" si="1721">SUM(AC1768:AG1768)</f>
        <v>6</v>
      </c>
      <c r="AI1768" s="38">
        <v>2</v>
      </c>
      <c r="AJ1768" s="39">
        <v>2</v>
      </c>
      <c r="AK1768" s="39">
        <v>5</v>
      </c>
      <c r="AL1768" s="39">
        <v>2</v>
      </c>
      <c r="AM1768" s="39"/>
      <c r="AN1768" s="37">
        <f t="shared" ref="AN1768" si="1722">SUM(AI1768:AM1768)</f>
        <v>11</v>
      </c>
      <c r="AO1768" s="39"/>
      <c r="AP1768" s="56"/>
      <c r="AQ1768" s="56">
        <v>2</v>
      </c>
      <c r="AR1768" s="56"/>
      <c r="AS1768" s="71"/>
      <c r="AT1768" s="16">
        <f t="shared" ref="AT1768" si="1723">SUM(AO1768:AS1768)</f>
        <v>2</v>
      </c>
      <c r="AU1768" s="39"/>
      <c r="AV1768" s="56">
        <v>2</v>
      </c>
      <c r="AW1768" s="56">
        <v>2</v>
      </c>
      <c r="AX1768" s="56"/>
      <c r="AY1768" s="71">
        <v>2</v>
      </c>
      <c r="AZ1768" s="16">
        <f t="shared" ref="AZ1768" si="1724">SUM(AU1768:AY1768)</f>
        <v>6</v>
      </c>
      <c r="BA1768" s="16">
        <f t="shared" si="1702"/>
        <v>25</v>
      </c>
      <c r="BB1768" s="83">
        <v>45497</v>
      </c>
    </row>
    <row r="1769" spans="1:55" ht="14.25" x14ac:dyDescent="0.15">
      <c r="A1769" s="23" t="s">
        <v>438</v>
      </c>
      <c r="B1769" s="41"/>
      <c r="C1769" s="42"/>
      <c r="D1769" s="42"/>
      <c r="E1769" s="42"/>
      <c r="F1769" s="42"/>
      <c r="G1769" s="43">
        <f t="shared" si="1718"/>
        <v>0</v>
      </c>
      <c r="H1769" s="41"/>
      <c r="I1769" s="42"/>
      <c r="J1769" s="42"/>
      <c r="K1769" s="42"/>
      <c r="L1769" s="42"/>
      <c r="M1769" s="43">
        <f t="shared" si="1719"/>
        <v>0</v>
      </c>
      <c r="N1769" s="42"/>
      <c r="O1769" s="53"/>
      <c r="P1769" s="53"/>
      <c r="Q1769" s="53"/>
      <c r="R1769" s="72"/>
      <c r="S1769" s="24">
        <f t="shared" si="1694"/>
        <v>0</v>
      </c>
      <c r="T1769" s="42"/>
      <c r="U1769" s="53"/>
      <c r="V1769" s="53"/>
      <c r="W1769" s="53"/>
      <c r="X1769" s="72">
        <v>1</v>
      </c>
      <c r="Y1769" s="24">
        <f t="shared" si="1695"/>
        <v>1</v>
      </c>
      <c r="Z1769" s="24">
        <f t="shared" si="1716"/>
        <v>1</v>
      </c>
      <c r="AA1769" s="83">
        <v>45484</v>
      </c>
      <c r="AB1769" s="23" t="s">
        <v>681</v>
      </c>
      <c r="AC1769" s="38"/>
      <c r="AD1769" s="39">
        <v>2</v>
      </c>
      <c r="AE1769" s="39">
        <v>1</v>
      </c>
      <c r="AF1769" s="39"/>
      <c r="AG1769" s="39"/>
      <c r="AH1769" s="37">
        <f t="shared" si="1720"/>
        <v>3</v>
      </c>
      <c r="AI1769" s="38"/>
      <c r="AJ1769" s="39"/>
      <c r="AK1769" s="39">
        <v>2</v>
      </c>
      <c r="AL1769" s="39">
        <v>1</v>
      </c>
      <c r="AM1769" s="39"/>
      <c r="AN1769" s="37">
        <f t="shared" si="1699"/>
        <v>3</v>
      </c>
      <c r="AO1769" s="39"/>
      <c r="AP1769" s="56"/>
      <c r="AQ1769" s="56">
        <v>1</v>
      </c>
      <c r="AR1769" s="56"/>
      <c r="AS1769" s="71"/>
      <c r="AT1769" s="16">
        <f t="shared" si="1700"/>
        <v>1</v>
      </c>
      <c r="AU1769" s="39"/>
      <c r="AV1769" s="56">
        <v>1</v>
      </c>
      <c r="AW1769" s="56">
        <v>2</v>
      </c>
      <c r="AX1769" s="56"/>
      <c r="AY1769" s="71"/>
      <c r="AZ1769" s="16">
        <f t="shared" si="1701"/>
        <v>3</v>
      </c>
      <c r="BA1769" s="16">
        <f t="shared" si="1702"/>
        <v>10</v>
      </c>
      <c r="BB1769" s="83">
        <v>45509</v>
      </c>
      <c r="BC1769" s="111"/>
    </row>
    <row r="1770" spans="1:55" ht="14.25" x14ac:dyDescent="0.15">
      <c r="A1770" s="23" t="s">
        <v>395</v>
      </c>
      <c r="B1770" s="41"/>
      <c r="C1770" s="42"/>
      <c r="D1770" s="42"/>
      <c r="E1770" s="42"/>
      <c r="F1770" s="42"/>
      <c r="G1770" s="43">
        <f t="shared" si="1718"/>
        <v>0</v>
      </c>
      <c r="H1770" s="41">
        <v>1</v>
      </c>
      <c r="I1770" s="42"/>
      <c r="J1770" s="42"/>
      <c r="K1770" s="42"/>
      <c r="L1770" s="42"/>
      <c r="M1770" s="43">
        <f t="shared" si="1719"/>
        <v>1</v>
      </c>
      <c r="N1770" s="42"/>
      <c r="O1770" s="53"/>
      <c r="P1770" s="53"/>
      <c r="Q1770" s="53"/>
      <c r="R1770" s="72"/>
      <c r="S1770" s="24">
        <f t="shared" si="1694"/>
        <v>0</v>
      </c>
      <c r="T1770" s="42"/>
      <c r="U1770" s="53"/>
      <c r="V1770" s="53"/>
      <c r="W1770" s="53"/>
      <c r="X1770" s="72"/>
      <c r="Y1770" s="24">
        <f t="shared" si="1695"/>
        <v>0</v>
      </c>
      <c r="Z1770" s="24">
        <f t="shared" si="1716"/>
        <v>1</v>
      </c>
      <c r="AA1770" s="83">
        <v>45482</v>
      </c>
      <c r="AB1770" s="23" t="s">
        <v>683</v>
      </c>
      <c r="AC1770" s="38"/>
      <c r="AD1770" s="39"/>
      <c r="AE1770" s="39"/>
      <c r="AF1770" s="39">
        <v>0</v>
      </c>
      <c r="AG1770" s="39"/>
      <c r="AH1770" s="37">
        <f t="shared" si="1720"/>
        <v>0</v>
      </c>
      <c r="AI1770" s="38"/>
      <c r="AJ1770" s="39"/>
      <c r="AK1770" s="39"/>
      <c r="AL1770" s="39">
        <v>3</v>
      </c>
      <c r="AM1770" s="39"/>
      <c r="AN1770" s="37">
        <f t="shared" si="1699"/>
        <v>3</v>
      </c>
      <c r="AO1770" s="39"/>
      <c r="AP1770" s="56"/>
      <c r="AQ1770" s="56"/>
      <c r="AR1770" s="56"/>
      <c r="AS1770" s="71"/>
      <c r="AT1770" s="16">
        <f t="shared" si="1700"/>
        <v>0</v>
      </c>
      <c r="AU1770" s="39"/>
      <c r="AV1770" s="56"/>
      <c r="AW1770" s="56">
        <v>1</v>
      </c>
      <c r="AX1770" s="56"/>
      <c r="AY1770" s="71"/>
      <c r="AZ1770" s="16">
        <f t="shared" si="1701"/>
        <v>1</v>
      </c>
      <c r="BA1770" s="16">
        <f t="shared" si="1702"/>
        <v>4</v>
      </c>
      <c r="BB1770" s="83">
        <v>45513</v>
      </c>
      <c r="BC1770" s="111"/>
    </row>
    <row r="1771" spans="1:55" ht="14.25" x14ac:dyDescent="0.15">
      <c r="A1771" s="23" t="s">
        <v>438</v>
      </c>
      <c r="B1771" s="41"/>
      <c r="C1771" s="42"/>
      <c r="D1771" s="42"/>
      <c r="E1771" s="42"/>
      <c r="F1771" s="42">
        <v>1</v>
      </c>
      <c r="G1771" s="43">
        <f t="shared" si="1718"/>
        <v>1</v>
      </c>
      <c r="H1771" s="41"/>
      <c r="I1771" s="42"/>
      <c r="J1771" s="42"/>
      <c r="K1771" s="42"/>
      <c r="L1771" s="42"/>
      <c r="M1771" s="43">
        <f t="shared" si="1719"/>
        <v>0</v>
      </c>
      <c r="N1771" s="42"/>
      <c r="O1771" s="53"/>
      <c r="P1771" s="53"/>
      <c r="Q1771" s="53"/>
      <c r="R1771" s="72"/>
      <c r="S1771" s="24">
        <f t="shared" si="1694"/>
        <v>0</v>
      </c>
      <c r="T1771" s="42"/>
      <c r="U1771" s="53"/>
      <c r="V1771" s="53"/>
      <c r="W1771" s="53"/>
      <c r="X1771" s="72"/>
      <c r="Y1771" s="24">
        <f t="shared" si="1695"/>
        <v>0</v>
      </c>
      <c r="Z1771" s="24">
        <f t="shared" si="1716"/>
        <v>1</v>
      </c>
      <c r="AA1771" s="83">
        <v>45485</v>
      </c>
      <c r="AB1771" s="23" t="s">
        <v>126</v>
      </c>
      <c r="AC1771" s="38"/>
      <c r="AD1771" s="39"/>
      <c r="AE1771" s="39"/>
      <c r="AF1771" s="39"/>
      <c r="AG1771" s="39"/>
      <c r="AH1771" s="37">
        <f t="shared" si="1720"/>
        <v>0</v>
      </c>
      <c r="AI1771" s="38"/>
      <c r="AJ1771" s="39"/>
      <c r="AK1771" s="39"/>
      <c r="AL1771" s="39">
        <v>3</v>
      </c>
      <c r="AM1771" s="39">
        <v>5</v>
      </c>
      <c r="AN1771" s="37">
        <f t="shared" ref="AN1771" si="1725">SUM(AI1771:AM1771)</f>
        <v>8</v>
      </c>
      <c r="AO1771" s="39"/>
      <c r="AP1771" s="56">
        <v>3</v>
      </c>
      <c r="AQ1771" s="56"/>
      <c r="AR1771" s="56">
        <v>3</v>
      </c>
      <c r="AS1771" s="71"/>
      <c r="AT1771" s="16">
        <f t="shared" ref="AT1771" si="1726">SUM(AO1771:AS1771)</f>
        <v>6</v>
      </c>
      <c r="AU1771" s="39"/>
      <c r="AV1771" s="56"/>
      <c r="AW1771" s="56"/>
      <c r="AX1771" s="56"/>
      <c r="AY1771" s="71"/>
      <c r="AZ1771" s="16">
        <f t="shared" ref="AZ1771" si="1727">SUM(AU1771:AY1771)</f>
        <v>0</v>
      </c>
      <c r="BA1771" s="16">
        <f t="shared" si="1702"/>
        <v>14</v>
      </c>
      <c r="BB1771" s="83">
        <v>45514</v>
      </c>
    </row>
    <row r="1772" spans="1:55" ht="14.25" x14ac:dyDescent="0.15">
      <c r="A1772" s="23" t="s">
        <v>395</v>
      </c>
      <c r="B1772" s="41"/>
      <c r="C1772" s="42"/>
      <c r="D1772" s="42"/>
      <c r="E1772" s="42"/>
      <c r="F1772" s="42"/>
      <c r="G1772" s="43">
        <f t="shared" si="1718"/>
        <v>0</v>
      </c>
      <c r="H1772" s="41"/>
      <c r="I1772" s="42"/>
      <c r="J1772" s="42"/>
      <c r="K1772" s="42"/>
      <c r="L1772" s="42"/>
      <c r="M1772" s="43">
        <f t="shared" si="1719"/>
        <v>0</v>
      </c>
      <c r="N1772" s="42"/>
      <c r="O1772" s="53"/>
      <c r="P1772" s="53"/>
      <c r="Q1772" s="53"/>
      <c r="R1772" s="72"/>
      <c r="S1772" s="24">
        <f t="shared" si="1694"/>
        <v>0</v>
      </c>
      <c r="T1772" s="42"/>
      <c r="U1772" s="53"/>
      <c r="V1772" s="53"/>
      <c r="W1772" s="53"/>
      <c r="X1772" s="72">
        <v>1</v>
      </c>
      <c r="Y1772" s="24">
        <f t="shared" si="1695"/>
        <v>1</v>
      </c>
      <c r="Z1772" s="24">
        <f t="shared" si="1716"/>
        <v>1</v>
      </c>
      <c r="AA1772" s="83">
        <v>45483</v>
      </c>
      <c r="AB1772" s="23" t="s">
        <v>685</v>
      </c>
      <c r="AC1772" s="38"/>
      <c r="AD1772" s="39">
        <v>1</v>
      </c>
      <c r="AE1772" s="39"/>
      <c r="AF1772" s="39"/>
      <c r="AG1772" s="39"/>
      <c r="AH1772" s="37">
        <f t="shared" si="1720"/>
        <v>1</v>
      </c>
      <c r="AI1772" s="38"/>
      <c r="AJ1772" s="39">
        <v>1</v>
      </c>
      <c r="AK1772" s="39">
        <v>1</v>
      </c>
      <c r="AL1772" s="39">
        <v>4</v>
      </c>
      <c r="AM1772" s="39"/>
      <c r="AN1772" s="37">
        <f t="shared" si="1699"/>
        <v>6</v>
      </c>
      <c r="AO1772" s="39"/>
      <c r="AP1772" s="56"/>
      <c r="AQ1772" s="56">
        <v>1</v>
      </c>
      <c r="AR1772" s="56">
        <v>1</v>
      </c>
      <c r="AS1772" s="71"/>
      <c r="AT1772" s="16">
        <f t="shared" si="1700"/>
        <v>2</v>
      </c>
      <c r="AU1772" s="39"/>
      <c r="AV1772" s="56"/>
      <c r="AW1772" s="56"/>
      <c r="AX1772" s="56">
        <v>1</v>
      </c>
      <c r="AY1772" s="71"/>
      <c r="AZ1772" s="16">
        <f t="shared" si="1701"/>
        <v>1</v>
      </c>
      <c r="BA1772" s="16">
        <f t="shared" si="1702"/>
        <v>10</v>
      </c>
      <c r="BB1772" s="83">
        <v>45530</v>
      </c>
    </row>
    <row r="1773" spans="1:55" ht="14.25" x14ac:dyDescent="0.15">
      <c r="A1773" s="23" t="s">
        <v>395</v>
      </c>
      <c r="B1773" s="41"/>
      <c r="C1773" s="42"/>
      <c r="D1773" s="42"/>
      <c r="E1773" s="42"/>
      <c r="F1773" s="42"/>
      <c r="G1773" s="43">
        <f t="shared" si="1718"/>
        <v>0</v>
      </c>
      <c r="H1773" s="41"/>
      <c r="I1773" s="42"/>
      <c r="J1773" s="42"/>
      <c r="K1773" s="42"/>
      <c r="L1773" s="42"/>
      <c r="M1773" s="43">
        <f t="shared" si="1719"/>
        <v>0</v>
      </c>
      <c r="N1773" s="42"/>
      <c r="O1773" s="53"/>
      <c r="P1773" s="53">
        <v>1</v>
      </c>
      <c r="Q1773" s="53"/>
      <c r="R1773" s="72"/>
      <c r="S1773" s="24">
        <f t="shared" si="1694"/>
        <v>1</v>
      </c>
      <c r="T1773" s="42"/>
      <c r="U1773" s="53"/>
      <c r="V1773" s="53"/>
      <c r="W1773" s="53"/>
      <c r="X1773" s="72"/>
      <c r="Y1773" s="24">
        <f t="shared" si="1695"/>
        <v>0</v>
      </c>
      <c r="Z1773" s="24">
        <f t="shared" si="1716"/>
        <v>1</v>
      </c>
      <c r="AA1773" s="83">
        <v>45484</v>
      </c>
      <c r="AB1773" s="23" t="s">
        <v>686</v>
      </c>
      <c r="AC1773" s="38"/>
      <c r="AD1773" s="39">
        <v>1</v>
      </c>
      <c r="AE1773" s="39">
        <v>2</v>
      </c>
      <c r="AF1773" s="39"/>
      <c r="AG1773" s="39"/>
      <c r="AH1773" s="37">
        <f t="shared" ref="AH1773:AH1776" si="1728">SUM(AC1773:AG1773)</f>
        <v>3</v>
      </c>
      <c r="AI1773" s="38"/>
      <c r="AJ1773" s="39"/>
      <c r="AK1773" s="39">
        <v>1</v>
      </c>
      <c r="AL1773" s="39"/>
      <c r="AM1773" s="39"/>
      <c r="AN1773" s="37">
        <f t="shared" ref="AN1773:AN1786" si="1729">SUM(AI1773:AM1773)</f>
        <v>1</v>
      </c>
      <c r="AO1773" s="39"/>
      <c r="AP1773" s="56"/>
      <c r="AQ1773" s="56">
        <v>1</v>
      </c>
      <c r="AR1773" s="56"/>
      <c r="AS1773" s="71"/>
      <c r="AT1773" s="16">
        <f t="shared" ref="AT1773:AT1786" si="1730">SUM(AO1773:AS1773)</f>
        <v>1</v>
      </c>
      <c r="AU1773" s="39"/>
      <c r="AV1773" s="56"/>
      <c r="AW1773" s="56"/>
      <c r="AX1773" s="56"/>
      <c r="AY1773" s="71"/>
      <c r="AZ1773" s="16">
        <f t="shared" ref="AZ1773:AZ1786" si="1731">SUM(AU1773:AY1773)</f>
        <v>0</v>
      </c>
      <c r="BA1773" s="16">
        <f t="shared" ref="BA1773:BA1786" si="1732">AH1773+AN1773+AT1773+AZ1773</f>
        <v>5</v>
      </c>
      <c r="BB1773" s="83">
        <v>45534</v>
      </c>
    </row>
    <row r="1774" spans="1:55" ht="14.25" x14ac:dyDescent="0.15">
      <c r="A1774" s="23" t="s">
        <v>438</v>
      </c>
      <c r="B1774" s="41">
        <v>1</v>
      </c>
      <c r="C1774" s="42"/>
      <c r="D1774" s="42"/>
      <c r="E1774" s="42"/>
      <c r="F1774" s="42"/>
      <c r="G1774" s="43">
        <f t="shared" si="1718"/>
        <v>1</v>
      </c>
      <c r="H1774" s="41"/>
      <c r="I1774" s="42"/>
      <c r="J1774" s="42"/>
      <c r="K1774" s="42"/>
      <c r="L1774" s="42"/>
      <c r="M1774" s="43">
        <f t="shared" si="1719"/>
        <v>0</v>
      </c>
      <c r="N1774" s="42"/>
      <c r="O1774" s="53"/>
      <c r="P1774" s="53"/>
      <c r="Q1774" s="53"/>
      <c r="R1774" s="72"/>
      <c r="S1774" s="24">
        <f t="shared" si="1694"/>
        <v>0</v>
      </c>
      <c r="T1774" s="42"/>
      <c r="U1774" s="53">
        <v>1</v>
      </c>
      <c r="V1774" s="53"/>
      <c r="W1774" s="53"/>
      <c r="X1774" s="72"/>
      <c r="Y1774" s="24">
        <f t="shared" si="1695"/>
        <v>1</v>
      </c>
      <c r="Z1774" s="24">
        <f t="shared" si="1716"/>
        <v>2</v>
      </c>
      <c r="AA1774" s="83">
        <v>45491</v>
      </c>
      <c r="AB1774" s="23"/>
      <c r="AC1774" s="38"/>
      <c r="AD1774" s="39"/>
      <c r="AE1774" s="39"/>
      <c r="AF1774" s="39"/>
      <c r="AG1774" s="39"/>
      <c r="AH1774" s="37">
        <f t="shared" si="1728"/>
        <v>0</v>
      </c>
      <c r="AI1774" s="38"/>
      <c r="AJ1774" s="39"/>
      <c r="AK1774" s="39"/>
      <c r="AL1774" s="39"/>
      <c r="AM1774" s="39"/>
      <c r="AN1774" s="37">
        <f t="shared" si="1729"/>
        <v>0</v>
      </c>
      <c r="AO1774" s="39"/>
      <c r="AP1774" s="56"/>
      <c r="AQ1774" s="56"/>
      <c r="AR1774" s="56"/>
      <c r="AS1774" s="71"/>
      <c r="AT1774" s="16">
        <f t="shared" si="1730"/>
        <v>0</v>
      </c>
      <c r="AU1774" s="39"/>
      <c r="AV1774" s="56"/>
      <c r="AW1774" s="56"/>
      <c r="AX1774" s="56"/>
      <c r="AY1774" s="71"/>
      <c r="AZ1774" s="16">
        <f t="shared" si="1731"/>
        <v>0</v>
      </c>
      <c r="BA1774" s="16">
        <f t="shared" si="1732"/>
        <v>0</v>
      </c>
      <c r="BB1774" s="128"/>
    </row>
    <row r="1775" spans="1:55" ht="14.25" x14ac:dyDescent="0.15">
      <c r="A1775" s="23" t="s">
        <v>395</v>
      </c>
      <c r="B1775" s="41"/>
      <c r="C1775" s="42"/>
      <c r="D1775" s="42"/>
      <c r="E1775" s="42"/>
      <c r="F1775" s="42"/>
      <c r="G1775" s="43">
        <f t="shared" si="1718"/>
        <v>0</v>
      </c>
      <c r="H1775" s="41"/>
      <c r="I1775" s="42"/>
      <c r="J1775" s="42">
        <v>1</v>
      </c>
      <c r="K1775" s="42">
        <v>1</v>
      </c>
      <c r="L1775" s="42"/>
      <c r="M1775" s="43">
        <f t="shared" si="1719"/>
        <v>2</v>
      </c>
      <c r="N1775" s="42"/>
      <c r="O1775" s="53"/>
      <c r="P1775" s="53"/>
      <c r="Q1775" s="53"/>
      <c r="R1775" s="72"/>
      <c r="S1775" s="24">
        <f t="shared" si="1694"/>
        <v>0</v>
      </c>
      <c r="T1775" s="42"/>
      <c r="U1775" s="53"/>
      <c r="V1775" s="53"/>
      <c r="W1775" s="53"/>
      <c r="X1775" s="72"/>
      <c r="Y1775" s="24">
        <f t="shared" si="1695"/>
        <v>0</v>
      </c>
      <c r="Z1775" s="24">
        <f t="shared" si="1716"/>
        <v>2</v>
      </c>
      <c r="AA1775" s="83">
        <v>45489</v>
      </c>
      <c r="AB1775" s="23"/>
      <c r="AC1775" s="38"/>
      <c r="AD1775" s="39"/>
      <c r="AE1775" s="39"/>
      <c r="AF1775" s="39"/>
      <c r="AG1775" s="39"/>
      <c r="AH1775" s="37">
        <f t="shared" si="1728"/>
        <v>0</v>
      </c>
      <c r="AI1775" s="38"/>
      <c r="AJ1775" s="39"/>
      <c r="AK1775" s="39"/>
      <c r="AL1775" s="39"/>
      <c r="AM1775" s="39"/>
      <c r="AN1775" s="37">
        <f t="shared" si="1729"/>
        <v>0</v>
      </c>
      <c r="AO1775" s="39"/>
      <c r="AP1775" s="56"/>
      <c r="AQ1775" s="56"/>
      <c r="AR1775" s="56"/>
      <c r="AS1775" s="71"/>
      <c r="AT1775" s="16">
        <f t="shared" si="1730"/>
        <v>0</v>
      </c>
      <c r="AU1775" s="39"/>
      <c r="AV1775" s="56"/>
      <c r="AW1775" s="56"/>
      <c r="AX1775" s="56"/>
      <c r="AY1775" s="71"/>
      <c r="AZ1775" s="16">
        <f t="shared" si="1731"/>
        <v>0</v>
      </c>
      <c r="BA1775" s="16">
        <f t="shared" si="1732"/>
        <v>0</v>
      </c>
      <c r="BB1775" s="128"/>
    </row>
    <row r="1776" spans="1:55" ht="14.25" x14ac:dyDescent="0.15">
      <c r="A1776" s="23" t="s">
        <v>395</v>
      </c>
      <c r="B1776" s="41"/>
      <c r="C1776" s="42"/>
      <c r="D1776" s="42"/>
      <c r="E1776" s="42"/>
      <c r="F1776" s="42"/>
      <c r="G1776" s="43">
        <f t="shared" si="1718"/>
        <v>0</v>
      </c>
      <c r="H1776" s="41"/>
      <c r="I1776" s="42"/>
      <c r="J1776" s="42"/>
      <c r="K1776" s="42"/>
      <c r="L1776" s="42"/>
      <c r="M1776" s="43">
        <f t="shared" si="1719"/>
        <v>0</v>
      </c>
      <c r="N1776" s="42"/>
      <c r="O1776" s="53"/>
      <c r="P1776" s="53"/>
      <c r="Q1776" s="53"/>
      <c r="R1776" s="72">
        <v>1</v>
      </c>
      <c r="S1776" s="24">
        <f t="shared" si="1694"/>
        <v>1</v>
      </c>
      <c r="T1776" s="42"/>
      <c r="U1776" s="53"/>
      <c r="V1776" s="53"/>
      <c r="W1776" s="53"/>
      <c r="X1776" s="72"/>
      <c r="Y1776" s="24">
        <f t="shared" si="1695"/>
        <v>0</v>
      </c>
      <c r="Z1776" s="24">
        <f t="shared" si="1716"/>
        <v>1</v>
      </c>
      <c r="AA1776" s="83">
        <v>45491</v>
      </c>
      <c r="AB1776" s="23"/>
      <c r="AC1776" s="38"/>
      <c r="AD1776" s="39"/>
      <c r="AE1776" s="39"/>
      <c r="AF1776" s="39"/>
      <c r="AG1776" s="39"/>
      <c r="AH1776" s="37">
        <f t="shared" si="1728"/>
        <v>0</v>
      </c>
      <c r="AI1776" s="38"/>
      <c r="AJ1776" s="39"/>
      <c r="AK1776" s="39"/>
      <c r="AL1776" s="39"/>
      <c r="AM1776" s="39"/>
      <c r="AN1776" s="37">
        <f t="shared" si="1729"/>
        <v>0</v>
      </c>
      <c r="AO1776" s="39"/>
      <c r="AP1776" s="56"/>
      <c r="AQ1776" s="56"/>
      <c r="AR1776" s="56"/>
      <c r="AS1776" s="71"/>
      <c r="AT1776" s="16">
        <f t="shared" si="1730"/>
        <v>0</v>
      </c>
      <c r="AU1776" s="39"/>
      <c r="AV1776" s="56"/>
      <c r="AW1776" s="56"/>
      <c r="AX1776" s="56"/>
      <c r="AY1776" s="71"/>
      <c r="AZ1776" s="16">
        <f t="shared" si="1731"/>
        <v>0</v>
      </c>
      <c r="BA1776" s="16">
        <f t="shared" si="1732"/>
        <v>0</v>
      </c>
      <c r="BB1776" s="128"/>
    </row>
    <row r="1777" spans="1:53" ht="14.25" x14ac:dyDescent="0.15">
      <c r="A1777" s="23" t="s">
        <v>438</v>
      </c>
      <c r="B1777" s="41"/>
      <c r="C1777" s="42">
        <v>1</v>
      </c>
      <c r="D1777" s="42"/>
      <c r="E1777" s="42"/>
      <c r="F1777" s="42"/>
      <c r="G1777" s="43">
        <f t="shared" si="1718"/>
        <v>1</v>
      </c>
      <c r="H1777" s="41"/>
      <c r="I1777" s="42"/>
      <c r="J1777" s="42"/>
      <c r="K1777" s="42"/>
      <c r="L1777" s="42"/>
      <c r="M1777" s="43">
        <f t="shared" si="1719"/>
        <v>0</v>
      </c>
      <c r="N1777" s="42"/>
      <c r="O1777" s="53"/>
      <c r="P1777" s="53"/>
      <c r="Q1777" s="53"/>
      <c r="R1777" s="72"/>
      <c r="S1777" s="24">
        <f t="shared" si="1694"/>
        <v>0</v>
      </c>
      <c r="T1777" s="42"/>
      <c r="U1777" s="53"/>
      <c r="V1777" s="53"/>
      <c r="W1777" s="53"/>
      <c r="X1777" s="72"/>
      <c r="Y1777" s="24">
        <f t="shared" si="1695"/>
        <v>0</v>
      </c>
      <c r="Z1777" s="24">
        <f t="shared" si="1716"/>
        <v>1</v>
      </c>
      <c r="AA1777" s="83">
        <v>45495</v>
      </c>
      <c r="AB1777" s="23"/>
      <c r="AC1777" s="38"/>
      <c r="AD1777" s="39"/>
      <c r="AE1777" s="39"/>
      <c r="AF1777" s="39"/>
      <c r="AG1777" s="39"/>
      <c r="AH1777" s="37">
        <f t="shared" ref="AH1777:AH1786" si="1733">SUM(AC1777:AG1777)</f>
        <v>0</v>
      </c>
      <c r="AI1777" s="38"/>
      <c r="AJ1777" s="39"/>
      <c r="AK1777" s="39"/>
      <c r="AL1777" s="39"/>
      <c r="AM1777" s="39"/>
      <c r="AN1777" s="37">
        <f t="shared" si="1729"/>
        <v>0</v>
      </c>
      <c r="AO1777" s="39"/>
      <c r="AP1777" s="56"/>
      <c r="AQ1777" s="56"/>
      <c r="AR1777" s="56"/>
      <c r="AS1777" s="71"/>
      <c r="AT1777" s="16">
        <f t="shared" si="1730"/>
        <v>0</v>
      </c>
      <c r="AU1777" s="39"/>
      <c r="AV1777" s="56"/>
      <c r="AW1777" s="56"/>
      <c r="AX1777" s="56"/>
      <c r="AY1777" s="71"/>
      <c r="AZ1777" s="16">
        <f t="shared" si="1731"/>
        <v>0</v>
      </c>
      <c r="BA1777" s="16">
        <f t="shared" si="1732"/>
        <v>0</v>
      </c>
    </row>
    <row r="1778" spans="1:53" ht="14.25" x14ac:dyDescent="0.15">
      <c r="A1778" s="23" t="s">
        <v>438</v>
      </c>
      <c r="B1778" s="41"/>
      <c r="C1778" s="42"/>
      <c r="D1778" s="42"/>
      <c r="E1778" s="42"/>
      <c r="F1778" s="42"/>
      <c r="G1778" s="43">
        <f t="shared" si="1718"/>
        <v>0</v>
      </c>
      <c r="H1778" s="41"/>
      <c r="I1778" s="42"/>
      <c r="J1778" s="42"/>
      <c r="K1778" s="42"/>
      <c r="L1778" s="42"/>
      <c r="M1778" s="43">
        <f t="shared" si="1719"/>
        <v>0</v>
      </c>
      <c r="N1778" s="42"/>
      <c r="O1778" s="53"/>
      <c r="P1778" s="53"/>
      <c r="Q1778" s="53"/>
      <c r="R1778" s="72"/>
      <c r="S1778" s="24">
        <f t="shared" si="1694"/>
        <v>0</v>
      </c>
      <c r="T1778" s="42"/>
      <c r="U1778" s="53"/>
      <c r="V1778" s="53">
        <v>1</v>
      </c>
      <c r="W1778" s="53"/>
      <c r="X1778" s="72"/>
      <c r="Y1778" s="24">
        <f t="shared" si="1695"/>
        <v>1</v>
      </c>
      <c r="Z1778" s="24">
        <f t="shared" si="1716"/>
        <v>1</v>
      </c>
      <c r="AA1778" s="83">
        <v>45497</v>
      </c>
      <c r="AB1778" s="23"/>
      <c r="AC1778" s="38"/>
      <c r="AD1778" s="39"/>
      <c r="AE1778" s="39"/>
      <c r="AF1778" s="39"/>
      <c r="AG1778" s="39"/>
      <c r="AH1778" s="37">
        <f t="shared" si="1733"/>
        <v>0</v>
      </c>
      <c r="AI1778" s="38"/>
      <c r="AJ1778" s="39"/>
      <c r="AK1778" s="39"/>
      <c r="AL1778" s="39"/>
      <c r="AM1778" s="39"/>
      <c r="AN1778" s="37">
        <f t="shared" si="1729"/>
        <v>0</v>
      </c>
      <c r="AO1778" s="39"/>
      <c r="AP1778" s="56"/>
      <c r="AQ1778" s="56"/>
      <c r="AR1778" s="56"/>
      <c r="AS1778" s="71"/>
      <c r="AT1778" s="16">
        <f t="shared" si="1730"/>
        <v>0</v>
      </c>
      <c r="AU1778" s="39"/>
      <c r="AV1778" s="56"/>
      <c r="AW1778" s="56"/>
      <c r="AX1778" s="56"/>
      <c r="AY1778" s="71"/>
      <c r="AZ1778" s="16">
        <f t="shared" si="1731"/>
        <v>0</v>
      </c>
      <c r="BA1778" s="16">
        <f t="shared" si="1732"/>
        <v>0</v>
      </c>
    </row>
    <row r="1779" spans="1:53" ht="14.25" x14ac:dyDescent="0.15">
      <c r="A1779" s="23" t="s">
        <v>395</v>
      </c>
      <c r="B1779" s="41"/>
      <c r="C1779" s="42"/>
      <c r="D1779" s="42"/>
      <c r="E1779" s="42"/>
      <c r="F1779" s="42"/>
      <c r="G1779" s="43">
        <f t="shared" si="1718"/>
        <v>0</v>
      </c>
      <c r="H1779" s="41"/>
      <c r="I1779" s="42">
        <v>1</v>
      </c>
      <c r="J1779" s="42">
        <v>2</v>
      </c>
      <c r="K1779" s="42">
        <v>1</v>
      </c>
      <c r="L1779" s="42"/>
      <c r="M1779" s="43">
        <f t="shared" si="1719"/>
        <v>4</v>
      </c>
      <c r="N1779" s="42"/>
      <c r="O1779" s="53"/>
      <c r="P1779" s="53"/>
      <c r="Q1779" s="53">
        <v>1</v>
      </c>
      <c r="R1779" s="72"/>
      <c r="S1779" s="24">
        <f t="shared" si="1694"/>
        <v>1</v>
      </c>
      <c r="T1779" s="42"/>
      <c r="U1779" s="53"/>
      <c r="V1779" s="53"/>
      <c r="W1779" s="53"/>
      <c r="X1779" s="72"/>
      <c r="Y1779" s="24">
        <f t="shared" si="1695"/>
        <v>0</v>
      </c>
      <c r="Z1779" s="24">
        <f t="shared" si="1716"/>
        <v>5</v>
      </c>
      <c r="AA1779" s="83">
        <v>45495</v>
      </c>
      <c r="AB1779" s="23"/>
      <c r="AC1779" s="38"/>
      <c r="AD1779" s="39"/>
      <c r="AE1779" s="39"/>
      <c r="AF1779" s="39"/>
      <c r="AG1779" s="39"/>
      <c r="AH1779" s="37">
        <f t="shared" si="1733"/>
        <v>0</v>
      </c>
      <c r="AI1779" s="38"/>
      <c r="AJ1779" s="39"/>
      <c r="AK1779" s="39"/>
      <c r="AL1779" s="39"/>
      <c r="AM1779" s="39"/>
      <c r="AN1779" s="37">
        <f t="shared" si="1729"/>
        <v>0</v>
      </c>
      <c r="AO1779" s="39"/>
      <c r="AP1779" s="56"/>
      <c r="AQ1779" s="56"/>
      <c r="AR1779" s="56"/>
      <c r="AS1779" s="71"/>
      <c r="AT1779" s="16">
        <f t="shared" si="1730"/>
        <v>0</v>
      </c>
      <c r="AU1779" s="39"/>
      <c r="AV1779" s="56"/>
      <c r="AW1779" s="56"/>
      <c r="AX1779" s="56"/>
      <c r="AY1779" s="71"/>
      <c r="AZ1779" s="16">
        <f t="shared" si="1731"/>
        <v>0</v>
      </c>
      <c r="BA1779" s="16">
        <f t="shared" si="1732"/>
        <v>0</v>
      </c>
    </row>
    <row r="1780" spans="1:53" ht="14.25" x14ac:dyDescent="0.15">
      <c r="A1780" s="23" t="s">
        <v>395</v>
      </c>
      <c r="B1780" s="41"/>
      <c r="C1780" s="42"/>
      <c r="D1780" s="42"/>
      <c r="E1780" s="42"/>
      <c r="F1780" s="42"/>
      <c r="G1780" s="43">
        <f t="shared" si="1718"/>
        <v>0</v>
      </c>
      <c r="H1780" s="41"/>
      <c r="I1780" s="42"/>
      <c r="J1780" s="42"/>
      <c r="K1780" s="42"/>
      <c r="L1780" s="42">
        <f>1+1</f>
        <v>2</v>
      </c>
      <c r="M1780" s="43">
        <f t="shared" si="1719"/>
        <v>2</v>
      </c>
      <c r="N1780" s="42"/>
      <c r="O1780" s="53"/>
      <c r="P1780" s="53"/>
      <c r="Q1780" s="53"/>
      <c r="R1780" s="72"/>
      <c r="S1780" s="24">
        <f t="shared" si="1694"/>
        <v>0</v>
      </c>
      <c r="T1780" s="42"/>
      <c r="U1780" s="53">
        <v>1</v>
      </c>
      <c r="V1780" s="53"/>
      <c r="W1780" s="53"/>
      <c r="X1780" s="72"/>
      <c r="Y1780" s="24">
        <f t="shared" si="1695"/>
        <v>1</v>
      </c>
      <c r="Z1780" s="24">
        <f t="shared" si="1716"/>
        <v>3</v>
      </c>
      <c r="AA1780" s="83">
        <v>45496</v>
      </c>
      <c r="AB1780" s="23"/>
      <c r="AC1780" s="38"/>
      <c r="AD1780" s="39"/>
      <c r="AE1780" s="39"/>
      <c r="AF1780" s="39"/>
      <c r="AG1780" s="39"/>
      <c r="AH1780" s="37">
        <f t="shared" si="1733"/>
        <v>0</v>
      </c>
      <c r="AI1780" s="38"/>
      <c r="AJ1780" s="39"/>
      <c r="AK1780" s="39"/>
      <c r="AL1780" s="39"/>
      <c r="AM1780" s="39"/>
      <c r="AN1780" s="37">
        <f t="shared" si="1729"/>
        <v>0</v>
      </c>
      <c r="AO1780" s="39"/>
      <c r="AP1780" s="56"/>
      <c r="AQ1780" s="56"/>
      <c r="AR1780" s="56"/>
      <c r="AS1780" s="71"/>
      <c r="AT1780" s="16">
        <f t="shared" si="1730"/>
        <v>0</v>
      </c>
      <c r="AU1780" s="39"/>
      <c r="AV1780" s="56"/>
      <c r="AW1780" s="56"/>
      <c r="AX1780" s="56"/>
      <c r="AY1780" s="71"/>
      <c r="AZ1780" s="16">
        <f t="shared" si="1731"/>
        <v>0</v>
      </c>
      <c r="BA1780" s="16">
        <f t="shared" si="1732"/>
        <v>0</v>
      </c>
    </row>
    <row r="1781" spans="1:53" ht="14.25" x14ac:dyDescent="0.15">
      <c r="A1781" s="23" t="s">
        <v>395</v>
      </c>
      <c r="B1781" s="41"/>
      <c r="C1781" s="42"/>
      <c r="D1781" s="42"/>
      <c r="E1781" s="42"/>
      <c r="F1781" s="42"/>
      <c r="G1781" s="43">
        <f t="shared" si="1718"/>
        <v>0</v>
      </c>
      <c r="H1781" s="41"/>
      <c r="I1781" s="42"/>
      <c r="J1781" s="42"/>
      <c r="K1781" s="42"/>
      <c r="L1781" s="42"/>
      <c r="M1781" s="43">
        <f t="shared" si="1719"/>
        <v>0</v>
      </c>
      <c r="N1781" s="42"/>
      <c r="O1781" s="53"/>
      <c r="P1781" s="53"/>
      <c r="Q1781" s="53"/>
      <c r="R1781" s="72"/>
      <c r="S1781" s="24">
        <f t="shared" si="1694"/>
        <v>0</v>
      </c>
      <c r="T1781" s="42"/>
      <c r="U1781" s="53"/>
      <c r="V1781" s="53"/>
      <c r="W1781" s="53"/>
      <c r="X1781" s="72">
        <v>1</v>
      </c>
      <c r="Y1781" s="24">
        <f t="shared" si="1695"/>
        <v>1</v>
      </c>
      <c r="Z1781" s="24">
        <f t="shared" si="1716"/>
        <v>1</v>
      </c>
      <c r="AA1781" s="83">
        <v>45497</v>
      </c>
      <c r="AB1781" s="23"/>
      <c r="AC1781" s="38"/>
      <c r="AD1781" s="39"/>
      <c r="AE1781" s="39"/>
      <c r="AF1781" s="39"/>
      <c r="AG1781" s="39"/>
      <c r="AH1781" s="37">
        <f t="shared" si="1733"/>
        <v>0</v>
      </c>
      <c r="AI1781" s="38"/>
      <c r="AJ1781" s="39"/>
      <c r="AK1781" s="39"/>
      <c r="AL1781" s="39"/>
      <c r="AM1781" s="39"/>
      <c r="AN1781" s="37">
        <f t="shared" si="1729"/>
        <v>0</v>
      </c>
      <c r="AO1781" s="39"/>
      <c r="AP1781" s="56"/>
      <c r="AQ1781" s="56"/>
      <c r="AR1781" s="56"/>
      <c r="AS1781" s="71"/>
      <c r="AT1781" s="16">
        <f t="shared" si="1730"/>
        <v>0</v>
      </c>
      <c r="AU1781" s="39"/>
      <c r="AV1781" s="56"/>
      <c r="AW1781" s="56"/>
      <c r="AX1781" s="56"/>
      <c r="AY1781" s="71"/>
      <c r="AZ1781" s="16">
        <f t="shared" si="1731"/>
        <v>0</v>
      </c>
      <c r="BA1781" s="16">
        <f t="shared" si="1732"/>
        <v>0</v>
      </c>
    </row>
    <row r="1782" spans="1:53" ht="14.25" x14ac:dyDescent="0.15">
      <c r="A1782" s="23" t="s">
        <v>395</v>
      </c>
      <c r="B1782" s="41"/>
      <c r="C1782" s="42"/>
      <c r="D1782" s="42">
        <v>1</v>
      </c>
      <c r="E1782" s="42"/>
      <c r="F1782" s="42"/>
      <c r="G1782" s="43">
        <f t="shared" si="1718"/>
        <v>1</v>
      </c>
      <c r="H1782" s="41"/>
      <c r="I1782" s="42"/>
      <c r="J1782" s="42"/>
      <c r="K1782" s="42"/>
      <c r="L1782" s="42">
        <v>1</v>
      </c>
      <c r="M1782" s="43">
        <f t="shared" si="1719"/>
        <v>1</v>
      </c>
      <c r="N1782" s="42"/>
      <c r="O1782" s="53">
        <v>1</v>
      </c>
      <c r="P1782" s="53">
        <v>1</v>
      </c>
      <c r="Q1782" s="53"/>
      <c r="R1782" s="72"/>
      <c r="S1782" s="24">
        <f t="shared" si="1694"/>
        <v>2</v>
      </c>
      <c r="T1782" s="42"/>
      <c r="U1782" s="53"/>
      <c r="V1782" s="53"/>
      <c r="W1782" s="53"/>
      <c r="X1782" s="72"/>
      <c r="Y1782" s="24">
        <f t="shared" si="1695"/>
        <v>0</v>
      </c>
      <c r="Z1782" s="24">
        <f t="shared" si="1716"/>
        <v>4</v>
      </c>
      <c r="AA1782" s="83">
        <v>45499</v>
      </c>
      <c r="AB1782" s="23"/>
      <c r="AC1782" s="38"/>
      <c r="AD1782" s="39"/>
      <c r="AE1782" s="39"/>
      <c r="AF1782" s="39"/>
      <c r="AG1782" s="39"/>
      <c r="AH1782" s="37">
        <f t="shared" si="1733"/>
        <v>0</v>
      </c>
      <c r="AI1782" s="38"/>
      <c r="AJ1782" s="39"/>
      <c r="AK1782" s="39"/>
      <c r="AL1782" s="39"/>
      <c r="AM1782" s="39"/>
      <c r="AN1782" s="37">
        <f t="shared" si="1729"/>
        <v>0</v>
      </c>
      <c r="AO1782" s="39"/>
      <c r="AP1782" s="56"/>
      <c r="AQ1782" s="56"/>
      <c r="AR1782" s="56"/>
      <c r="AS1782" s="71"/>
      <c r="AT1782" s="16">
        <f t="shared" si="1730"/>
        <v>0</v>
      </c>
      <c r="AU1782" s="39"/>
      <c r="AV1782" s="56"/>
      <c r="AW1782" s="56"/>
      <c r="AX1782" s="56"/>
      <c r="AY1782" s="71"/>
      <c r="AZ1782" s="16">
        <f t="shared" si="1731"/>
        <v>0</v>
      </c>
      <c r="BA1782" s="16">
        <f t="shared" si="1732"/>
        <v>0</v>
      </c>
    </row>
    <row r="1783" spans="1:53" ht="14.25" x14ac:dyDescent="0.15">
      <c r="A1783" s="23" t="s">
        <v>395</v>
      </c>
      <c r="B1783" s="41"/>
      <c r="C1783" s="42"/>
      <c r="D1783" s="42"/>
      <c r="E1783" s="42"/>
      <c r="F1783" s="42"/>
      <c r="G1783" s="43">
        <f t="shared" si="1718"/>
        <v>0</v>
      </c>
      <c r="H1783" s="41"/>
      <c r="I1783" s="42"/>
      <c r="J1783" s="42"/>
      <c r="K1783" s="42">
        <v>1</v>
      </c>
      <c r="L1783" s="42">
        <v>2</v>
      </c>
      <c r="M1783" s="43">
        <f t="shared" si="1719"/>
        <v>3</v>
      </c>
      <c r="N1783" s="42"/>
      <c r="O1783" s="53"/>
      <c r="P1783" s="53">
        <v>-1</v>
      </c>
      <c r="Q1783" s="53"/>
      <c r="R1783" s="72"/>
      <c r="S1783" s="24">
        <f t="shared" si="1694"/>
        <v>-1</v>
      </c>
      <c r="T1783" s="42"/>
      <c r="U1783" s="53"/>
      <c r="V1783" s="53"/>
      <c r="W1783" s="53"/>
      <c r="X1783" s="72"/>
      <c r="Y1783" s="24">
        <f t="shared" si="1695"/>
        <v>0</v>
      </c>
      <c r="Z1783" s="24">
        <f t="shared" si="1716"/>
        <v>2</v>
      </c>
      <c r="AA1783" s="83">
        <v>45502</v>
      </c>
      <c r="AB1783" s="23"/>
      <c r="AC1783" s="38"/>
      <c r="AD1783" s="39"/>
      <c r="AE1783" s="39"/>
      <c r="AF1783" s="39"/>
      <c r="AG1783" s="39"/>
      <c r="AH1783" s="37">
        <f t="shared" si="1733"/>
        <v>0</v>
      </c>
      <c r="AI1783" s="38"/>
      <c r="AJ1783" s="39"/>
      <c r="AK1783" s="39"/>
      <c r="AL1783" s="39"/>
      <c r="AM1783" s="39"/>
      <c r="AN1783" s="37">
        <f t="shared" si="1729"/>
        <v>0</v>
      </c>
      <c r="AO1783" s="39"/>
      <c r="AP1783" s="56"/>
      <c r="AQ1783" s="56"/>
      <c r="AR1783" s="56"/>
      <c r="AS1783" s="71"/>
      <c r="AT1783" s="16">
        <f t="shared" si="1730"/>
        <v>0</v>
      </c>
      <c r="AU1783" s="39"/>
      <c r="AV1783" s="56"/>
      <c r="AW1783" s="56"/>
      <c r="AX1783" s="56"/>
      <c r="AY1783" s="71"/>
      <c r="AZ1783" s="16">
        <f t="shared" si="1731"/>
        <v>0</v>
      </c>
      <c r="BA1783" s="16">
        <f t="shared" si="1732"/>
        <v>0</v>
      </c>
    </row>
    <row r="1784" spans="1:53" ht="14.25" x14ac:dyDescent="0.15">
      <c r="A1784" s="23" t="s">
        <v>682</v>
      </c>
      <c r="B1784" s="41"/>
      <c r="C1784" s="42"/>
      <c r="D1784" s="42"/>
      <c r="E1784" s="42"/>
      <c r="F1784" s="42"/>
      <c r="G1784" s="43">
        <f t="shared" si="1718"/>
        <v>0</v>
      </c>
      <c r="H1784" s="41"/>
      <c r="I1784" s="42"/>
      <c r="J1784" s="42"/>
      <c r="K1784" s="42"/>
      <c r="L1784" s="42">
        <v>-1</v>
      </c>
      <c r="M1784" s="43">
        <f t="shared" si="1719"/>
        <v>-1</v>
      </c>
      <c r="N1784" s="42"/>
      <c r="O1784" s="53"/>
      <c r="P1784" s="53"/>
      <c r="Q1784" s="53"/>
      <c r="R1784" s="72"/>
      <c r="S1784" s="24">
        <f t="shared" si="1694"/>
        <v>0</v>
      </c>
      <c r="T1784" s="42"/>
      <c r="U1784" s="53"/>
      <c r="V1784" s="53"/>
      <c r="W1784" s="53"/>
      <c r="X1784" s="72"/>
      <c r="Y1784" s="24">
        <f t="shared" si="1695"/>
        <v>0</v>
      </c>
      <c r="Z1784" s="24">
        <f t="shared" si="1716"/>
        <v>-1</v>
      </c>
      <c r="AA1784" s="83">
        <v>45509</v>
      </c>
      <c r="AB1784" s="23"/>
      <c r="AC1784" s="38"/>
      <c r="AD1784" s="39"/>
      <c r="AE1784" s="39"/>
      <c r="AF1784" s="39"/>
      <c r="AG1784" s="39"/>
      <c r="AH1784" s="37">
        <f t="shared" si="1733"/>
        <v>0</v>
      </c>
      <c r="AI1784" s="38"/>
      <c r="AJ1784" s="39"/>
      <c r="AK1784" s="39"/>
      <c r="AL1784" s="39"/>
      <c r="AM1784" s="39"/>
      <c r="AN1784" s="37">
        <f t="shared" si="1729"/>
        <v>0</v>
      </c>
      <c r="AO1784" s="39"/>
      <c r="AP1784" s="56"/>
      <c r="AQ1784" s="56"/>
      <c r="AR1784" s="56"/>
      <c r="AS1784" s="71"/>
      <c r="AT1784" s="16">
        <f t="shared" si="1730"/>
        <v>0</v>
      </c>
      <c r="AU1784" s="39"/>
      <c r="AV1784" s="56"/>
      <c r="AW1784" s="56"/>
      <c r="AX1784" s="56"/>
      <c r="AY1784" s="71"/>
      <c r="AZ1784" s="16">
        <f t="shared" si="1731"/>
        <v>0</v>
      </c>
      <c r="BA1784" s="16">
        <f t="shared" si="1732"/>
        <v>0</v>
      </c>
    </row>
    <row r="1785" spans="1:53" ht="14.25" x14ac:dyDescent="0.15">
      <c r="A1785" s="23" t="s">
        <v>395</v>
      </c>
      <c r="B1785" s="41"/>
      <c r="C1785" s="42"/>
      <c r="D1785" s="42"/>
      <c r="E1785" s="42"/>
      <c r="F1785" s="42"/>
      <c r="G1785" s="43">
        <f t="shared" si="1718"/>
        <v>0</v>
      </c>
      <c r="H1785" s="41"/>
      <c r="I1785" s="42"/>
      <c r="J1785" s="42"/>
      <c r="K1785" s="42">
        <v>1</v>
      </c>
      <c r="L1785" s="42"/>
      <c r="M1785" s="43">
        <f t="shared" si="1719"/>
        <v>1</v>
      </c>
      <c r="N1785" s="42"/>
      <c r="O1785" s="53"/>
      <c r="P1785" s="53"/>
      <c r="Q1785" s="53">
        <v>1</v>
      </c>
      <c r="R1785" s="72"/>
      <c r="S1785" s="24">
        <f t="shared" si="1694"/>
        <v>1</v>
      </c>
      <c r="T1785" s="42"/>
      <c r="U1785" s="53"/>
      <c r="V1785" s="53"/>
      <c r="W1785" s="53"/>
      <c r="X1785" s="72"/>
      <c r="Y1785" s="24">
        <f t="shared" si="1695"/>
        <v>0</v>
      </c>
      <c r="Z1785" s="24">
        <f t="shared" si="1716"/>
        <v>2</v>
      </c>
      <c r="AA1785" s="83">
        <v>45509</v>
      </c>
      <c r="AB1785" s="23"/>
      <c r="AC1785" s="38"/>
      <c r="AD1785" s="39"/>
      <c r="AE1785" s="39"/>
      <c r="AF1785" s="39"/>
      <c r="AG1785" s="39"/>
      <c r="AH1785" s="37">
        <f t="shared" si="1733"/>
        <v>0</v>
      </c>
      <c r="AI1785" s="38"/>
      <c r="AJ1785" s="39"/>
      <c r="AK1785" s="39"/>
      <c r="AL1785" s="39"/>
      <c r="AM1785" s="39"/>
      <c r="AN1785" s="37">
        <f t="shared" si="1729"/>
        <v>0</v>
      </c>
      <c r="AO1785" s="39"/>
      <c r="AP1785" s="56"/>
      <c r="AQ1785" s="56"/>
      <c r="AR1785" s="56"/>
      <c r="AS1785" s="71"/>
      <c r="AT1785" s="16">
        <f t="shared" si="1730"/>
        <v>0</v>
      </c>
      <c r="AU1785" s="39"/>
      <c r="AV1785" s="56"/>
      <c r="AW1785" s="56"/>
      <c r="AX1785" s="56"/>
      <c r="AY1785" s="71"/>
      <c r="AZ1785" s="16">
        <f t="shared" si="1731"/>
        <v>0</v>
      </c>
      <c r="BA1785" s="16">
        <f t="shared" si="1732"/>
        <v>0</v>
      </c>
    </row>
    <row r="1786" spans="1:53" ht="14.25" x14ac:dyDescent="0.15">
      <c r="A1786" s="23" t="s">
        <v>438</v>
      </c>
      <c r="B1786" s="41"/>
      <c r="C1786" s="42"/>
      <c r="D1786" s="42"/>
      <c r="E1786" s="42"/>
      <c r="F1786" s="42"/>
      <c r="G1786" s="43">
        <f t="shared" si="1718"/>
        <v>0</v>
      </c>
      <c r="H1786" s="41"/>
      <c r="I1786" s="42"/>
      <c r="J1786" s="42"/>
      <c r="K1786" s="42"/>
      <c r="L1786" s="42"/>
      <c r="M1786" s="43">
        <f t="shared" si="1719"/>
        <v>0</v>
      </c>
      <c r="N1786" s="42"/>
      <c r="O1786" s="53">
        <v>1</v>
      </c>
      <c r="P1786" s="53"/>
      <c r="Q1786" s="53"/>
      <c r="R1786" s="72"/>
      <c r="S1786" s="24">
        <f t="shared" si="1694"/>
        <v>1</v>
      </c>
      <c r="T1786" s="42"/>
      <c r="U1786" s="53"/>
      <c r="V1786" s="53"/>
      <c r="W1786" s="53"/>
      <c r="X1786" s="72"/>
      <c r="Y1786" s="24">
        <f t="shared" si="1695"/>
        <v>0</v>
      </c>
      <c r="Z1786" s="24">
        <f t="shared" si="1716"/>
        <v>1</v>
      </c>
      <c r="AA1786" s="83">
        <v>45523</v>
      </c>
      <c r="AB1786" s="23"/>
      <c r="AC1786" s="38"/>
      <c r="AD1786" s="39"/>
      <c r="AE1786" s="39"/>
      <c r="AF1786" s="39"/>
      <c r="AG1786" s="39"/>
      <c r="AH1786" s="37">
        <f t="shared" si="1733"/>
        <v>0</v>
      </c>
      <c r="AI1786" s="38"/>
      <c r="AJ1786" s="39"/>
      <c r="AK1786" s="39"/>
      <c r="AL1786" s="39"/>
      <c r="AM1786" s="39"/>
      <c r="AN1786" s="37">
        <f t="shared" si="1729"/>
        <v>0</v>
      </c>
      <c r="AO1786" s="39"/>
      <c r="AP1786" s="56"/>
      <c r="AQ1786" s="56"/>
      <c r="AR1786" s="56"/>
      <c r="AS1786" s="71"/>
      <c r="AT1786" s="16">
        <f t="shared" si="1730"/>
        <v>0</v>
      </c>
      <c r="AU1786" s="39"/>
      <c r="AV1786" s="56"/>
      <c r="AW1786" s="56"/>
      <c r="AX1786" s="56"/>
      <c r="AY1786" s="71"/>
      <c r="AZ1786" s="16">
        <f t="shared" si="1731"/>
        <v>0</v>
      </c>
      <c r="BA1786" s="16">
        <f t="shared" si="1732"/>
        <v>0</v>
      </c>
    </row>
    <row r="1787" spans="1:53" ht="14.25" x14ac:dyDescent="0.15">
      <c r="A1787" s="23" t="s">
        <v>496</v>
      </c>
      <c r="B1787" s="41"/>
      <c r="C1787" s="42"/>
      <c r="D1787" s="42"/>
      <c r="E1787" s="42"/>
      <c r="F1787" s="42"/>
      <c r="G1787" s="43">
        <f t="shared" si="1718"/>
        <v>0</v>
      </c>
      <c r="H1787" s="41"/>
      <c r="I1787" s="42"/>
      <c r="J1787" s="42">
        <v>1</v>
      </c>
      <c r="K1787" s="42"/>
      <c r="L1787" s="42"/>
      <c r="M1787" s="43">
        <f t="shared" si="1719"/>
        <v>1</v>
      </c>
      <c r="N1787" s="42"/>
      <c r="O1787" s="53"/>
      <c r="P1787" s="53"/>
      <c r="Q1787" s="53"/>
      <c r="R1787" s="72"/>
      <c r="S1787" s="24">
        <f t="shared" si="1694"/>
        <v>0</v>
      </c>
      <c r="T1787" s="42"/>
      <c r="U1787" s="53"/>
      <c r="V1787" s="53"/>
      <c r="W1787" s="53"/>
      <c r="X1787" s="72"/>
      <c r="Y1787" s="24">
        <f t="shared" si="1695"/>
        <v>0</v>
      </c>
      <c r="Z1787" s="24">
        <f t="shared" si="1716"/>
        <v>1</v>
      </c>
      <c r="AA1787" s="83">
        <v>45520</v>
      </c>
      <c r="AB1787" s="23"/>
      <c r="AC1787" s="38"/>
      <c r="AD1787" s="39"/>
      <c r="AE1787" s="39"/>
      <c r="AF1787" s="39"/>
      <c r="AG1787" s="39"/>
      <c r="AH1787" s="37">
        <f t="shared" ref="AH1787:AH1790" si="1734">SUM(AC1787:AG1787)</f>
        <v>0</v>
      </c>
      <c r="AI1787" s="38"/>
      <c r="AJ1787" s="39"/>
      <c r="AK1787" s="39"/>
      <c r="AL1787" s="39"/>
      <c r="AM1787" s="39"/>
      <c r="AN1787" s="37">
        <f t="shared" ref="AN1787:AN1790" si="1735">SUM(AI1787:AM1787)</f>
        <v>0</v>
      </c>
      <c r="AO1787" s="39"/>
      <c r="AP1787" s="56"/>
      <c r="AQ1787" s="56"/>
      <c r="AR1787" s="56"/>
      <c r="AS1787" s="71"/>
      <c r="AT1787" s="16">
        <f t="shared" ref="AT1787:AT1790" si="1736">SUM(AO1787:AS1787)</f>
        <v>0</v>
      </c>
      <c r="AU1787" s="39"/>
      <c r="AV1787" s="56"/>
      <c r="AW1787" s="56"/>
      <c r="AX1787" s="56"/>
      <c r="AY1787" s="71"/>
      <c r="AZ1787" s="16">
        <f t="shared" ref="AZ1787:AZ1790" si="1737">SUM(AU1787:AY1787)</f>
        <v>0</v>
      </c>
      <c r="BA1787" s="16">
        <f t="shared" ref="BA1787:BA1792" si="1738">AH1787+AN1787+AT1787+AZ1787</f>
        <v>0</v>
      </c>
    </row>
    <row r="1788" spans="1:53" ht="14.25" x14ac:dyDescent="0.15">
      <c r="A1788" s="23" t="s">
        <v>395</v>
      </c>
      <c r="B1788" s="41"/>
      <c r="C1788" s="42">
        <v>1</v>
      </c>
      <c r="D1788" s="42"/>
      <c r="E1788" s="42"/>
      <c r="F1788" s="42"/>
      <c r="G1788" s="43">
        <f t="shared" si="1718"/>
        <v>1</v>
      </c>
      <c r="H1788" s="41"/>
      <c r="I1788" s="42"/>
      <c r="J1788" s="42"/>
      <c r="K1788" s="42"/>
      <c r="L1788" s="42">
        <v>1</v>
      </c>
      <c r="M1788" s="43">
        <f t="shared" si="1719"/>
        <v>1</v>
      </c>
      <c r="N1788" s="42"/>
      <c r="O1788" s="53"/>
      <c r="P1788" s="53"/>
      <c r="Q1788" s="53"/>
      <c r="R1788" s="72">
        <v>1</v>
      </c>
      <c r="S1788" s="24">
        <f t="shared" si="1694"/>
        <v>1</v>
      </c>
      <c r="T1788" s="42"/>
      <c r="U1788" s="53"/>
      <c r="V1788" s="53"/>
      <c r="W1788" s="53"/>
      <c r="X1788" s="72"/>
      <c r="Y1788" s="24">
        <f t="shared" si="1695"/>
        <v>0</v>
      </c>
      <c r="Z1788" s="24">
        <f t="shared" si="1716"/>
        <v>3</v>
      </c>
      <c r="AA1788" s="83">
        <v>45520</v>
      </c>
      <c r="AB1788" s="23"/>
      <c r="AC1788" s="38"/>
      <c r="AD1788" s="39"/>
      <c r="AE1788" s="39"/>
      <c r="AF1788" s="39"/>
      <c r="AG1788" s="39"/>
      <c r="AH1788" s="37">
        <f t="shared" si="1734"/>
        <v>0</v>
      </c>
      <c r="AI1788" s="38"/>
      <c r="AJ1788" s="39"/>
      <c r="AK1788" s="39"/>
      <c r="AL1788" s="39"/>
      <c r="AM1788" s="39"/>
      <c r="AN1788" s="37">
        <f t="shared" si="1735"/>
        <v>0</v>
      </c>
      <c r="AO1788" s="39"/>
      <c r="AP1788" s="56"/>
      <c r="AQ1788" s="56"/>
      <c r="AR1788" s="56"/>
      <c r="AS1788" s="71"/>
      <c r="AT1788" s="16">
        <f t="shared" si="1736"/>
        <v>0</v>
      </c>
      <c r="AU1788" s="39"/>
      <c r="AV1788" s="56"/>
      <c r="AW1788" s="56"/>
      <c r="AX1788" s="56"/>
      <c r="AY1788" s="71"/>
      <c r="AZ1788" s="16">
        <f t="shared" si="1737"/>
        <v>0</v>
      </c>
      <c r="BA1788" s="16">
        <f t="shared" si="1738"/>
        <v>0</v>
      </c>
    </row>
    <row r="1789" spans="1:53" ht="14.25" x14ac:dyDescent="0.15">
      <c r="A1789" s="23" t="s">
        <v>395</v>
      </c>
      <c r="B1789" s="41"/>
      <c r="C1789" s="42"/>
      <c r="D1789" s="42"/>
      <c r="E1789" s="42"/>
      <c r="F1789" s="42"/>
      <c r="G1789" s="43">
        <f t="shared" si="1715"/>
        <v>0</v>
      </c>
      <c r="H1789" s="41"/>
      <c r="I1789" s="42"/>
      <c r="J1789" s="42"/>
      <c r="K1789" s="42"/>
      <c r="L1789" s="42"/>
      <c r="M1789" s="43">
        <f t="shared" si="1693"/>
        <v>0</v>
      </c>
      <c r="N1789" s="42"/>
      <c r="O1789" s="53"/>
      <c r="P1789" s="53"/>
      <c r="Q1789" s="53"/>
      <c r="R1789" s="72"/>
      <c r="S1789" s="24">
        <f>SUM(N1789:R1789)</f>
        <v>0</v>
      </c>
      <c r="T1789" s="42"/>
      <c r="U1789" s="53">
        <v>1</v>
      </c>
      <c r="V1789" s="53"/>
      <c r="W1789" s="53"/>
      <c r="X1789" s="72"/>
      <c r="Y1789" s="24">
        <f>SUM(T1789:X1789)</f>
        <v>1</v>
      </c>
      <c r="Z1789" s="24">
        <f>G1789+M1789+S1789+Y1789</f>
        <v>1</v>
      </c>
      <c r="AA1789" s="83">
        <v>45523</v>
      </c>
      <c r="AB1789" s="23"/>
      <c r="AC1789" s="38"/>
      <c r="AD1789" s="39"/>
      <c r="AE1789" s="39"/>
      <c r="AF1789" s="39"/>
      <c r="AG1789" s="39"/>
      <c r="AH1789" s="37">
        <f t="shared" si="1734"/>
        <v>0</v>
      </c>
      <c r="AI1789" s="38"/>
      <c r="AJ1789" s="39"/>
      <c r="AK1789" s="39"/>
      <c r="AL1789" s="39"/>
      <c r="AM1789" s="39"/>
      <c r="AN1789" s="37">
        <f t="shared" si="1735"/>
        <v>0</v>
      </c>
      <c r="AO1789" s="39"/>
      <c r="AP1789" s="56"/>
      <c r="AQ1789" s="56"/>
      <c r="AR1789" s="56"/>
      <c r="AS1789" s="71"/>
      <c r="AT1789" s="16">
        <f t="shared" si="1736"/>
        <v>0</v>
      </c>
      <c r="AU1789" s="39"/>
      <c r="AV1789" s="56"/>
      <c r="AW1789" s="56"/>
      <c r="AX1789" s="56"/>
      <c r="AY1789" s="71"/>
      <c r="AZ1789" s="16">
        <f t="shared" si="1737"/>
        <v>0</v>
      </c>
      <c r="BA1789" s="16">
        <f t="shared" si="1738"/>
        <v>0</v>
      </c>
    </row>
    <row r="1790" spans="1:53" ht="15" thickBot="1" x14ac:dyDescent="0.2">
      <c r="A1790" s="122"/>
      <c r="B1790" s="210"/>
      <c r="C1790" s="211"/>
      <c r="D1790" s="211"/>
      <c r="E1790" s="211"/>
      <c r="F1790" s="211"/>
      <c r="G1790" s="212">
        <f t="shared" si="1715"/>
        <v>0</v>
      </c>
      <c r="H1790" s="210"/>
      <c r="I1790" s="211"/>
      <c r="J1790" s="211"/>
      <c r="K1790" s="211"/>
      <c r="L1790" s="211"/>
      <c r="M1790" s="212">
        <f t="shared" si="1693"/>
        <v>0</v>
      </c>
      <c r="N1790" s="211"/>
      <c r="O1790" s="213"/>
      <c r="P1790" s="213"/>
      <c r="Q1790" s="213"/>
      <c r="R1790" s="214"/>
      <c r="S1790" s="169">
        <f>SUM(N1790:R1790)</f>
        <v>0</v>
      </c>
      <c r="T1790" s="211"/>
      <c r="U1790" s="213"/>
      <c r="V1790" s="213"/>
      <c r="W1790" s="213"/>
      <c r="X1790" s="214"/>
      <c r="Y1790" s="169">
        <f>SUM(T1790:X1790)</f>
        <v>0</v>
      </c>
      <c r="Z1790" s="169">
        <f>G1790+M1790+S1790+Y1790</f>
        <v>0</v>
      </c>
      <c r="AA1790" s="215"/>
      <c r="AB1790" s="23"/>
      <c r="AC1790" s="38"/>
      <c r="AD1790" s="39"/>
      <c r="AE1790" s="39"/>
      <c r="AF1790" s="39"/>
      <c r="AG1790" s="39"/>
      <c r="AH1790" s="37">
        <f t="shared" si="1734"/>
        <v>0</v>
      </c>
      <c r="AI1790" s="38"/>
      <c r="AJ1790" s="39"/>
      <c r="AK1790" s="39"/>
      <c r="AL1790" s="39"/>
      <c r="AM1790" s="39"/>
      <c r="AN1790" s="37">
        <f t="shared" si="1735"/>
        <v>0</v>
      </c>
      <c r="AO1790" s="39"/>
      <c r="AP1790" s="56"/>
      <c r="AQ1790" s="56"/>
      <c r="AR1790" s="56"/>
      <c r="AS1790" s="71"/>
      <c r="AT1790" s="16">
        <f t="shared" si="1736"/>
        <v>0</v>
      </c>
      <c r="AU1790" s="39"/>
      <c r="AV1790" s="56"/>
      <c r="AW1790" s="56"/>
      <c r="AX1790" s="56"/>
      <c r="AY1790" s="71"/>
      <c r="AZ1790" s="16">
        <f t="shared" si="1737"/>
        <v>0</v>
      </c>
      <c r="BA1790" s="16">
        <f t="shared" si="1738"/>
        <v>0</v>
      </c>
    </row>
    <row r="1791" spans="1:53" ht="15" thickBot="1" x14ac:dyDescent="0.2">
      <c r="A1791" s="9" t="s">
        <v>13</v>
      </c>
      <c r="B1791" s="25">
        <f>SUM(B1765:B1790)</f>
        <v>2</v>
      </c>
      <c r="C1791" s="26">
        <f>SUM(C1765:C1790)</f>
        <v>3</v>
      </c>
      <c r="D1791" s="26">
        <f>SUM(D1765:D1790)</f>
        <v>2</v>
      </c>
      <c r="E1791" s="26">
        <f>SUM(E1765:E1790)</f>
        <v>0</v>
      </c>
      <c r="F1791" s="27">
        <f>SUM(F1765:F1790)</f>
        <v>1</v>
      </c>
      <c r="G1791" s="19">
        <f>SUM(B1791:F1791)</f>
        <v>8</v>
      </c>
      <c r="H1791" s="25">
        <f>SUM(H1765:H1790)</f>
        <v>1</v>
      </c>
      <c r="I1791" s="26">
        <f>SUM(I1765:I1790)</f>
        <v>3</v>
      </c>
      <c r="J1791" s="26">
        <f>SUM(J1765:J1790)</f>
        <v>4</v>
      </c>
      <c r="K1791" s="26">
        <f>SUM(K1765:K1790)</f>
        <v>4</v>
      </c>
      <c r="L1791" s="27">
        <f>SUM(L1765:L1790)</f>
        <v>5</v>
      </c>
      <c r="M1791" s="25">
        <f>SUM(H1791:L1791)</f>
        <v>17</v>
      </c>
      <c r="N1791" s="65">
        <f>SUM(N1765:N1790)</f>
        <v>0</v>
      </c>
      <c r="O1791" s="18">
        <f>SUM(O1765:O1790)</f>
        <v>2</v>
      </c>
      <c r="P1791" s="18">
        <f>SUM(P1765:P1790)</f>
        <v>2</v>
      </c>
      <c r="Q1791" s="18">
        <f>SUM(Q1765:Q1790)</f>
        <v>3</v>
      </c>
      <c r="R1791" s="70">
        <f>SUM(R1765:R1790)</f>
        <v>2</v>
      </c>
      <c r="S1791" s="49">
        <f>SUM(N1791:R1791)</f>
        <v>9</v>
      </c>
      <c r="T1791" s="74">
        <f>SUM(T1765:T1790)</f>
        <v>0</v>
      </c>
      <c r="U1791" s="18">
        <f>SUM(U1765:U1790)</f>
        <v>4</v>
      </c>
      <c r="V1791" s="18">
        <f>SUM(V1765:V1790)</f>
        <v>1</v>
      </c>
      <c r="W1791" s="18">
        <f>SUM(W1765:W1790)</f>
        <v>0</v>
      </c>
      <c r="X1791" s="70">
        <f>SUM(X1765:X1790)</f>
        <v>3</v>
      </c>
      <c r="Y1791" s="49">
        <f>SUM(T1791:X1791)</f>
        <v>8</v>
      </c>
      <c r="Z1791" s="137">
        <f>G1791+M1791+S1791+Y1791</f>
        <v>42</v>
      </c>
      <c r="AB1791" s="9" t="s">
        <v>13</v>
      </c>
      <c r="AC1791" s="25">
        <f>SUM(AC1765:AC1790)</f>
        <v>2</v>
      </c>
      <c r="AD1791" s="26">
        <f t="shared" ref="AD1791" si="1739">SUM(AD1765:AD1790)</f>
        <v>7</v>
      </c>
      <c r="AE1791" s="26">
        <f t="shared" ref="AE1791" si="1740">SUM(AE1765:AE1790)</f>
        <v>5</v>
      </c>
      <c r="AF1791" s="26">
        <f t="shared" ref="AF1791" si="1741">SUM(AF1765:AF1790)</f>
        <v>1</v>
      </c>
      <c r="AG1791" s="27">
        <f t="shared" ref="AG1791" si="1742">SUM(AG1765:AG1790)</f>
        <v>0</v>
      </c>
      <c r="AH1791" s="19">
        <f>SUM(AC1791:AG1791)</f>
        <v>15</v>
      </c>
      <c r="AI1791" s="25">
        <f>SUM(AI1765:AI1790)</f>
        <v>4</v>
      </c>
      <c r="AJ1791" s="26">
        <f t="shared" ref="AJ1791" si="1743">SUM(AJ1765:AJ1790)</f>
        <v>5</v>
      </c>
      <c r="AK1791" s="26">
        <f t="shared" ref="AK1791" si="1744">SUM(AK1765:AK1790)</f>
        <v>10</v>
      </c>
      <c r="AL1791" s="26">
        <f t="shared" ref="AL1791" si="1745">SUM(AL1765:AL1790)</f>
        <v>16</v>
      </c>
      <c r="AM1791" s="27">
        <f t="shared" ref="AM1791" si="1746">SUM(AM1765:AM1790)</f>
        <v>5</v>
      </c>
      <c r="AN1791" s="19">
        <f>SUM(AI1791:AM1791)</f>
        <v>40</v>
      </c>
      <c r="AO1791" s="25">
        <f>SUM(AO1765:AO1790)</f>
        <v>1</v>
      </c>
      <c r="AP1791" s="26">
        <f t="shared" ref="AP1791" si="1747">SUM(AP1765:AP1790)</f>
        <v>3</v>
      </c>
      <c r="AQ1791" s="26">
        <f t="shared" ref="AQ1791" si="1748">SUM(AQ1765:AQ1790)</f>
        <v>5</v>
      </c>
      <c r="AR1791" s="26">
        <f t="shared" ref="AR1791" si="1749">SUM(AR1765:AR1790)</f>
        <v>4</v>
      </c>
      <c r="AS1791" s="27">
        <f t="shared" ref="AS1791" si="1750">SUM(AS1765:AS1790)</f>
        <v>0</v>
      </c>
      <c r="AT1791" s="19">
        <f>SUM(AO1791:AS1791)</f>
        <v>13</v>
      </c>
      <c r="AU1791" s="25">
        <f>SUM(AU1765:AU1790)</f>
        <v>0</v>
      </c>
      <c r="AV1791" s="26">
        <f t="shared" ref="AV1791" si="1751">SUM(AV1765:AV1790)</f>
        <v>5</v>
      </c>
      <c r="AW1791" s="26">
        <f t="shared" ref="AW1791" si="1752">SUM(AW1765:AW1790)</f>
        <v>7</v>
      </c>
      <c r="AX1791" s="26">
        <f t="shared" ref="AX1791" si="1753">SUM(AX1765:AX1790)</f>
        <v>2</v>
      </c>
      <c r="AY1791" s="27">
        <f t="shared" ref="AY1791" si="1754">SUM(AY1765:AY1790)</f>
        <v>2</v>
      </c>
      <c r="AZ1791" s="19">
        <f>SUM(AU1791:AY1791)</f>
        <v>16</v>
      </c>
      <c r="BA1791" s="77">
        <f t="shared" si="1738"/>
        <v>84</v>
      </c>
    </row>
    <row r="1792" spans="1:53" ht="15" thickBot="1" x14ac:dyDescent="0.2">
      <c r="A1792" s="32" t="s">
        <v>14</v>
      </c>
      <c r="B1792" s="29">
        <f t="shared" ref="B1792:Y1792" si="1755">B1764-B1791</f>
        <v>6</v>
      </c>
      <c r="C1792" s="30">
        <f t="shared" si="1755"/>
        <v>4</v>
      </c>
      <c r="D1792" s="30">
        <f t="shared" si="1755"/>
        <v>4</v>
      </c>
      <c r="E1792" s="30">
        <f t="shared" si="1755"/>
        <v>4</v>
      </c>
      <c r="F1792" s="31">
        <f t="shared" si="1755"/>
        <v>1</v>
      </c>
      <c r="G1792" s="31">
        <f t="shared" si="1755"/>
        <v>19</v>
      </c>
      <c r="H1792" s="29">
        <f t="shared" si="1755"/>
        <v>6</v>
      </c>
      <c r="I1792" s="30">
        <f t="shared" si="1755"/>
        <v>4</v>
      </c>
      <c r="J1792" s="30">
        <f t="shared" si="1755"/>
        <v>4</v>
      </c>
      <c r="K1792" s="30">
        <f t="shared" si="1755"/>
        <v>6</v>
      </c>
      <c r="L1792" s="31">
        <f t="shared" si="1755"/>
        <v>5</v>
      </c>
      <c r="M1792" s="66">
        <f t="shared" si="1755"/>
        <v>25</v>
      </c>
      <c r="N1792" s="29">
        <f t="shared" si="1755"/>
        <v>6</v>
      </c>
      <c r="O1792" s="30">
        <f t="shared" si="1755"/>
        <v>5</v>
      </c>
      <c r="P1792" s="30">
        <f t="shared" si="1755"/>
        <v>4</v>
      </c>
      <c r="Q1792" s="30">
        <f t="shared" si="1755"/>
        <v>6</v>
      </c>
      <c r="R1792" s="66">
        <f t="shared" si="1755"/>
        <v>3</v>
      </c>
      <c r="S1792" s="33">
        <f t="shared" si="1755"/>
        <v>24</v>
      </c>
      <c r="T1792" s="75">
        <f t="shared" si="1755"/>
        <v>7</v>
      </c>
      <c r="U1792" s="30">
        <f t="shared" si="1755"/>
        <v>3</v>
      </c>
      <c r="V1792" s="30">
        <f t="shared" si="1755"/>
        <v>5</v>
      </c>
      <c r="W1792" s="30">
        <f t="shared" si="1755"/>
        <v>6</v>
      </c>
      <c r="X1792" s="66">
        <f t="shared" si="1755"/>
        <v>4</v>
      </c>
      <c r="Y1792" s="33">
        <f t="shared" si="1755"/>
        <v>25</v>
      </c>
      <c r="Z1792" s="77">
        <f>G1792+M1792+S1792+Y1792</f>
        <v>93</v>
      </c>
      <c r="AB1792" s="32" t="s">
        <v>14</v>
      </c>
      <c r="AC1792" s="29">
        <f>AC1764-AC1791</f>
        <v>79</v>
      </c>
      <c r="AD1792" s="30">
        <f t="shared" ref="AD1792" si="1756">AD1764-AD1791</f>
        <v>35</v>
      </c>
      <c r="AE1792" s="30">
        <f t="shared" ref="AE1792" si="1757">AE1764-AE1791</f>
        <v>38</v>
      </c>
      <c r="AF1792" s="30">
        <f t="shared" ref="AF1792" si="1758">AF1764-AF1791</f>
        <v>21</v>
      </c>
      <c r="AG1792" s="31">
        <f t="shared" ref="AG1792" si="1759">AG1764-AG1791</f>
        <v>14</v>
      </c>
      <c r="AH1792" s="31">
        <f>AH1764-AH1791</f>
        <v>187</v>
      </c>
      <c r="AI1792" s="29">
        <f>AI1764-AI1791</f>
        <v>73</v>
      </c>
      <c r="AJ1792" s="30">
        <f t="shared" ref="AJ1792" si="1760">AJ1764-AJ1791</f>
        <v>58</v>
      </c>
      <c r="AK1792" s="30">
        <f t="shared" ref="AK1792" si="1761">AK1764-AK1791</f>
        <v>60</v>
      </c>
      <c r="AL1792" s="30">
        <f t="shared" ref="AL1792" si="1762">AL1764-AL1791</f>
        <v>37</v>
      </c>
      <c r="AM1792" s="31">
        <f t="shared" ref="AM1792" si="1763">AM1764-AM1791</f>
        <v>64</v>
      </c>
      <c r="AN1792" s="31">
        <f>AN1764-AN1791</f>
        <v>292</v>
      </c>
      <c r="AO1792" s="29">
        <f>AO1764-AO1791</f>
        <v>134</v>
      </c>
      <c r="AP1792" s="30">
        <f t="shared" ref="AP1792" si="1764">AP1764-AP1791</f>
        <v>84</v>
      </c>
      <c r="AQ1792" s="30">
        <f t="shared" ref="AQ1792" si="1765">AQ1764-AQ1791</f>
        <v>83</v>
      </c>
      <c r="AR1792" s="30">
        <f t="shared" ref="AR1792" si="1766">AR1764-AR1791</f>
        <v>102</v>
      </c>
      <c r="AS1792" s="31">
        <f t="shared" ref="AS1792" si="1767">AS1764-AS1791</f>
        <v>124</v>
      </c>
      <c r="AT1792" s="31">
        <f>AT1764-AT1791</f>
        <v>527</v>
      </c>
      <c r="AU1792" s="29">
        <f>AU1764-AU1791</f>
        <v>102</v>
      </c>
      <c r="AV1792" s="30">
        <f t="shared" ref="AV1792" si="1768">AV1764-AV1791</f>
        <v>45</v>
      </c>
      <c r="AW1792" s="30">
        <f t="shared" ref="AW1792" si="1769">AW1764-AW1791</f>
        <v>9</v>
      </c>
      <c r="AX1792" s="30">
        <f t="shared" ref="AX1792" si="1770">AX1764-AX1791</f>
        <v>6</v>
      </c>
      <c r="AY1792" s="31">
        <f t="shared" ref="AY1792" si="1771">AY1764-AY1791</f>
        <v>61</v>
      </c>
      <c r="AZ1792" s="31">
        <f>AZ1764-AZ1791</f>
        <v>223</v>
      </c>
      <c r="BA1792" s="77">
        <f t="shared" si="1738"/>
        <v>1229</v>
      </c>
    </row>
    <row r="1793" spans="1:55" x14ac:dyDescent="0.15">
      <c r="AC1793" s="2">
        <f>AC1791+AC1752+AC1713+AC1674+AC1635+AC1596+AC1557+AC1518+AC1479+AC1440+AC1401+AC1362+AC1323+AC1284+AC1245+AC1206+AC1167+AC1128+AC1089+AC1050+AC1011+AC972+AC933+AC894</f>
        <v>61</v>
      </c>
      <c r="AD1793" s="2">
        <f t="shared" ref="AD1793:AG1793" si="1772">AD1791+AD1752+AD1713+AD1674+AD1635+AD1596+AD1557+AD1518+AD1479+AD1440+AD1401+AD1362+AD1323+AD1284+AD1245+AD1206+AD1167+AD1128+AD1089+AD1050+AD1011+AD972+AD933+AD894</f>
        <v>123</v>
      </c>
      <c r="AE1793" s="2">
        <f t="shared" si="1772"/>
        <v>143</v>
      </c>
      <c r="AF1793" s="2">
        <f t="shared" si="1772"/>
        <v>145</v>
      </c>
      <c r="AG1793" s="2">
        <f t="shared" si="1772"/>
        <v>128</v>
      </c>
      <c r="AH1793" s="2">
        <f>SUM(AC1793:AG1793)</f>
        <v>600</v>
      </c>
      <c r="AI1793" s="2">
        <f>AI1791+AI1752+AI1713+AI1674+AI1635+AI1596+AI1557+AI1518+AI1479+AI1440+AI1401+AI1362+AI1323+AI1284+AI1245+AI1206+AI1167+AI1128+AI1089+AI1050+AI1011+AI972+AI933+AI894</f>
        <v>42</v>
      </c>
      <c r="AJ1793" s="2">
        <f t="shared" ref="AJ1793:AM1793" si="1773">AJ1791+AJ1752+AJ1713+AJ1674+AJ1635+AJ1596+AJ1557+AJ1518+AJ1479+AJ1440+AJ1401+AJ1362+AJ1323+AJ1284+AJ1245+AJ1206+AJ1167+AJ1128+AJ1089+AJ1050+AJ1011+AJ972+AJ933+AJ894</f>
        <v>89</v>
      </c>
      <c r="AK1793" s="2">
        <f t="shared" si="1773"/>
        <v>101</v>
      </c>
      <c r="AL1793" s="2">
        <f t="shared" si="1773"/>
        <v>74</v>
      </c>
      <c r="AM1793" s="2">
        <f t="shared" si="1773"/>
        <v>62</v>
      </c>
      <c r="AN1793" s="2">
        <f>SUM(AI1793:AM1793)</f>
        <v>368</v>
      </c>
      <c r="AO1793" s="2">
        <f>AO1791+AO1752+AO1713+AO1674+AO1635+AO1596+AO1557+AO1518+AO1479+AO1440+AO1401+AO1362+AO1323+AO1284+AO1245+AO1206+AO1167+AO1128+AO1089+AO1050+AO1011+AO972+AO933+AO894</f>
        <v>35</v>
      </c>
      <c r="AP1793" s="2">
        <f t="shared" ref="AP1793:AR1793" si="1774">AP1791+AP1752+AP1713+AP1674+AP1635+AP1596+AP1557+AP1518+AP1479+AP1440+AP1401+AP1362+AP1323+AP1284+AP1245+AP1206+AP1167+AP1128+AP1089+AP1050+AP1011+AP972+AP933+AP894</f>
        <v>57</v>
      </c>
      <c r="AQ1793" s="2">
        <f t="shared" si="1774"/>
        <v>51</v>
      </c>
      <c r="AR1793" s="2">
        <f t="shared" si="1774"/>
        <v>48</v>
      </c>
      <c r="AS1793" s="2">
        <f>AS1791+AS1752+AS1713+AS1674+AS1635+AS1596+AS1557+AS1518+AS1479+AS1440+AS1401+AS1362+AS1323+AS1284+AS1245+AS1206+AS1167+AS1128+AS1089+AS1050+AS1011+AS972+AS933+AS894</f>
        <v>36</v>
      </c>
      <c r="AT1793" s="2">
        <f>SUM(AO1793:AS1793)</f>
        <v>227</v>
      </c>
      <c r="AU1793" s="2">
        <f>AU1791+AU1752+AU1713+AU1674+AU1635+AU1596+AU1557+AU1518+AU1479+AU1440+AU1401+AU1362+AU1323+AU1284+AU1245+AU1206+AU1167+AU1128+AU1089+AU1050+AU1011+AU972+AU933+AU894</f>
        <v>17</v>
      </c>
      <c r="AV1793" s="2">
        <f t="shared" ref="AV1793:AY1793" si="1775">AV1791+AV1752+AV1713+AV1674+AV1635+AV1596+AV1557+AV1518+AV1479+AV1440+AV1401+AV1362+AV1323+AV1284+AV1245+AV1206+AV1167+AV1128+AV1089+AV1050+AV1011+AV972+AV933+AV894</f>
        <v>31</v>
      </c>
      <c r="AW1793" s="2">
        <f t="shared" si="1775"/>
        <v>64</v>
      </c>
      <c r="AX1793" s="2">
        <f t="shared" si="1775"/>
        <v>66</v>
      </c>
      <c r="AY1793" s="2">
        <f t="shared" si="1775"/>
        <v>56</v>
      </c>
      <c r="AZ1793" s="2">
        <f>SUM(AU1793:AY1793)</f>
        <v>234</v>
      </c>
    </row>
    <row r="1794" spans="1:55" x14ac:dyDescent="0.15">
      <c r="AC1794" s="2">
        <f>AC1793/$AH$1715*100</f>
        <v>7.0438799076212479</v>
      </c>
      <c r="AD1794" s="2">
        <f t="shared" ref="AD1794:AH1794" si="1776">AD1793/$AH$1715*100</f>
        <v>14.203233256351039</v>
      </c>
      <c r="AE1794" s="2">
        <f t="shared" si="1776"/>
        <v>16.51270207852194</v>
      </c>
      <c r="AF1794" s="2">
        <f t="shared" si="1776"/>
        <v>16.74364896073903</v>
      </c>
      <c r="AG1794" s="2">
        <f t="shared" si="1776"/>
        <v>14.780600461893764</v>
      </c>
      <c r="AH1794" s="2">
        <f t="shared" si="1776"/>
        <v>69.284064665127019</v>
      </c>
      <c r="AI1794" s="2">
        <f>AI1793/$AN$1715*100</f>
        <v>8.5020242914979747</v>
      </c>
      <c r="AJ1794" s="2">
        <f t="shared" ref="AJ1794:AN1794" si="1777">AJ1793/$AN$1715*100</f>
        <v>18.016194331983808</v>
      </c>
      <c r="AK1794" s="2">
        <f t="shared" si="1777"/>
        <v>20.445344129554655</v>
      </c>
      <c r="AL1794" s="2">
        <f t="shared" si="1777"/>
        <v>14.979757085020243</v>
      </c>
      <c r="AM1794" s="2">
        <f t="shared" si="1777"/>
        <v>12.550607287449392</v>
      </c>
      <c r="AN1794" s="2">
        <f t="shared" si="1777"/>
        <v>74.493927125506076</v>
      </c>
      <c r="AO1794" s="2">
        <f>AO1793/$AT$1715*100</f>
        <v>15.086206896551724</v>
      </c>
      <c r="AP1794" s="2">
        <f t="shared" ref="AP1794:AT1794" si="1778">AP1793/$AT$1715*100</f>
        <v>24.568965517241377</v>
      </c>
      <c r="AQ1794" s="2">
        <f t="shared" si="1778"/>
        <v>21.982758620689655</v>
      </c>
      <c r="AR1794" s="2">
        <f t="shared" si="1778"/>
        <v>20.689655172413794</v>
      </c>
      <c r="AS1794" s="2">
        <f t="shared" si="1778"/>
        <v>15.517241379310345</v>
      </c>
      <c r="AT1794" s="2">
        <f t="shared" si="1778"/>
        <v>97.84482758620689</v>
      </c>
      <c r="AU1794" s="208">
        <f>AU1793/$AZ$1715*100</f>
        <v>7.981220657276995</v>
      </c>
      <c r="AV1794" s="208">
        <f t="shared" ref="AV1794:AZ1794" si="1779">AV1793/$AZ$1715*100</f>
        <v>14.553990610328638</v>
      </c>
      <c r="AW1794" s="208">
        <f t="shared" si="1779"/>
        <v>30.046948356807512</v>
      </c>
      <c r="AX1794" s="208">
        <f t="shared" si="1779"/>
        <v>30.985915492957744</v>
      </c>
      <c r="AY1794" s="208">
        <f t="shared" si="1779"/>
        <v>26.291079812206576</v>
      </c>
      <c r="AZ1794" s="208">
        <f t="shared" si="1779"/>
        <v>109.85915492957747</v>
      </c>
    </row>
    <row r="1795" spans="1:55" ht="19.5" thickBot="1" x14ac:dyDescent="0.25">
      <c r="A1795" s="1" t="s">
        <v>15</v>
      </c>
      <c r="AB1795" s="1" t="s">
        <v>16</v>
      </c>
    </row>
    <row r="1796" spans="1:55" ht="15" thickBot="1" x14ac:dyDescent="0.2">
      <c r="A1796" s="4"/>
      <c r="B1796" s="245" t="s">
        <v>17</v>
      </c>
      <c r="C1796" s="246"/>
      <c r="D1796" s="246"/>
      <c r="E1796" s="246"/>
      <c r="F1796" s="246"/>
      <c r="G1796" s="247"/>
      <c r="H1796" s="245" t="s">
        <v>18</v>
      </c>
      <c r="I1796" s="246"/>
      <c r="J1796" s="246"/>
      <c r="K1796" s="246"/>
      <c r="L1796" s="246"/>
      <c r="M1796" s="247"/>
      <c r="N1796" s="248" t="s">
        <v>27</v>
      </c>
      <c r="O1796" s="249"/>
      <c r="P1796" s="249"/>
      <c r="Q1796" s="249"/>
      <c r="R1796" s="249"/>
      <c r="S1796" s="250"/>
      <c r="T1796" s="248" t="s">
        <v>28</v>
      </c>
      <c r="U1796" s="249"/>
      <c r="V1796" s="249"/>
      <c r="W1796" s="249"/>
      <c r="X1796" s="249"/>
      <c r="Y1796" s="250"/>
      <c r="Z1796" s="251" t="s">
        <v>1</v>
      </c>
      <c r="AB1796" s="4"/>
      <c r="AC1796" s="253" t="s">
        <v>17</v>
      </c>
      <c r="AD1796" s="249"/>
      <c r="AE1796" s="249"/>
      <c r="AF1796" s="249"/>
      <c r="AG1796" s="249"/>
      <c r="AH1796" s="250"/>
      <c r="AI1796" s="248" t="s">
        <v>18</v>
      </c>
      <c r="AJ1796" s="249"/>
      <c r="AK1796" s="249"/>
      <c r="AL1796" s="249"/>
      <c r="AM1796" s="249"/>
      <c r="AN1796" s="250"/>
      <c r="AO1796" s="248" t="s">
        <v>27</v>
      </c>
      <c r="AP1796" s="249"/>
      <c r="AQ1796" s="249"/>
      <c r="AR1796" s="249"/>
      <c r="AS1796" s="249"/>
      <c r="AT1796" s="250"/>
      <c r="AU1796" s="248" t="s">
        <v>28</v>
      </c>
      <c r="AV1796" s="249"/>
      <c r="AW1796" s="249"/>
      <c r="AX1796" s="249"/>
      <c r="AY1796" s="249"/>
      <c r="AZ1796" s="250"/>
      <c r="BA1796" s="243" t="s">
        <v>1</v>
      </c>
    </row>
    <row r="1797" spans="1:55" ht="15" thickBot="1" x14ac:dyDescent="0.2">
      <c r="A1797" s="9" t="s">
        <v>2</v>
      </c>
      <c r="B1797" s="6" t="s">
        <v>3</v>
      </c>
      <c r="C1797" s="7" t="s">
        <v>4</v>
      </c>
      <c r="D1797" s="7" t="s">
        <v>5</v>
      </c>
      <c r="E1797" s="48" t="s">
        <v>20</v>
      </c>
      <c r="F1797" s="8" t="s">
        <v>21</v>
      </c>
      <c r="G1797" s="5" t="s">
        <v>6</v>
      </c>
      <c r="H1797" s="6" t="s">
        <v>3</v>
      </c>
      <c r="I1797" s="7" t="s">
        <v>4</v>
      </c>
      <c r="J1797" s="7" t="s">
        <v>5</v>
      </c>
      <c r="K1797" s="48" t="s">
        <v>20</v>
      </c>
      <c r="L1797" s="8" t="s">
        <v>21</v>
      </c>
      <c r="M1797" s="5" t="s">
        <v>6</v>
      </c>
      <c r="N1797" s="6" t="s">
        <v>3</v>
      </c>
      <c r="O1797" s="7" t="s">
        <v>4</v>
      </c>
      <c r="P1797" s="7" t="s">
        <v>5</v>
      </c>
      <c r="Q1797" s="48" t="s">
        <v>20</v>
      </c>
      <c r="R1797" s="8" t="s">
        <v>21</v>
      </c>
      <c r="S1797" s="5" t="s">
        <v>6</v>
      </c>
      <c r="T1797" s="7" t="s">
        <v>3</v>
      </c>
      <c r="U1797" s="7" t="s">
        <v>4</v>
      </c>
      <c r="V1797" s="7" t="s">
        <v>5</v>
      </c>
      <c r="W1797" s="48" t="s">
        <v>20</v>
      </c>
      <c r="X1797" s="109" t="s">
        <v>21</v>
      </c>
      <c r="Y1797" s="62" t="s">
        <v>6</v>
      </c>
      <c r="Z1797" s="252"/>
      <c r="AB1797" s="9" t="s">
        <v>2</v>
      </c>
      <c r="AC1797" s="6" t="s">
        <v>3</v>
      </c>
      <c r="AD1797" s="7" t="s">
        <v>4</v>
      </c>
      <c r="AE1797" s="7" t="s">
        <v>5</v>
      </c>
      <c r="AF1797" s="48" t="s">
        <v>20</v>
      </c>
      <c r="AG1797" s="8" t="s">
        <v>21</v>
      </c>
      <c r="AH1797" s="5" t="s">
        <v>6</v>
      </c>
      <c r="AI1797" s="6" t="s">
        <v>3</v>
      </c>
      <c r="AJ1797" s="7" t="s">
        <v>4</v>
      </c>
      <c r="AK1797" s="7" t="s">
        <v>5</v>
      </c>
      <c r="AL1797" s="48" t="s">
        <v>20</v>
      </c>
      <c r="AM1797" s="8" t="s">
        <v>21</v>
      </c>
      <c r="AN1797" s="5" t="s">
        <v>6</v>
      </c>
      <c r="AO1797" s="6" t="s">
        <v>3</v>
      </c>
      <c r="AP1797" s="7" t="s">
        <v>4</v>
      </c>
      <c r="AQ1797" s="7" t="s">
        <v>5</v>
      </c>
      <c r="AR1797" s="48" t="s">
        <v>20</v>
      </c>
      <c r="AS1797" s="8" t="s">
        <v>21</v>
      </c>
      <c r="AT1797" s="5" t="s">
        <v>6</v>
      </c>
      <c r="AU1797" s="7" t="s">
        <v>3</v>
      </c>
      <c r="AV1797" s="7" t="s">
        <v>4</v>
      </c>
      <c r="AW1797" s="7" t="s">
        <v>5</v>
      </c>
      <c r="AX1797" s="48" t="s">
        <v>20</v>
      </c>
      <c r="AY1797" s="109" t="s">
        <v>21</v>
      </c>
      <c r="AZ1797" s="62" t="s">
        <v>6</v>
      </c>
      <c r="BA1797" s="244"/>
    </row>
    <row r="1798" spans="1:55" ht="14.25" x14ac:dyDescent="0.15">
      <c r="A1798" s="103" t="s">
        <v>43</v>
      </c>
      <c r="B1798" s="104">
        <f>B1792</f>
        <v>6</v>
      </c>
      <c r="C1798" s="105">
        <f>C1792</f>
        <v>4</v>
      </c>
      <c r="D1798" s="105">
        <f>D1792</f>
        <v>4</v>
      </c>
      <c r="E1798" s="105">
        <f>E1792</f>
        <v>4</v>
      </c>
      <c r="F1798" s="105">
        <f>F1792</f>
        <v>1</v>
      </c>
      <c r="G1798" s="106">
        <f t="shared" ref="G1798" si="1780">SUM(B1798:F1798)</f>
        <v>19</v>
      </c>
      <c r="H1798" s="104">
        <f>H1792</f>
        <v>6</v>
      </c>
      <c r="I1798" s="105">
        <f>I1792</f>
        <v>4</v>
      </c>
      <c r="J1798" s="105">
        <f>J1792</f>
        <v>4</v>
      </c>
      <c r="K1798" s="105">
        <f>K1792</f>
        <v>6</v>
      </c>
      <c r="L1798" s="105">
        <f>L1792</f>
        <v>5</v>
      </c>
      <c r="M1798" s="107">
        <f t="shared" ref="M1798:M1825" si="1781">SUM(H1798:L1798)</f>
        <v>25</v>
      </c>
      <c r="N1798" s="104">
        <f>N1792</f>
        <v>6</v>
      </c>
      <c r="O1798" s="105">
        <f>O1792</f>
        <v>5</v>
      </c>
      <c r="P1798" s="105">
        <f>P1792</f>
        <v>4</v>
      </c>
      <c r="Q1798" s="105">
        <f>Q1792</f>
        <v>6</v>
      </c>
      <c r="R1798" s="105">
        <f>R1792</f>
        <v>3</v>
      </c>
      <c r="S1798" s="108">
        <f t="shared" ref="S1798:S1825" si="1782">SUM(N1798:R1798)</f>
        <v>24</v>
      </c>
      <c r="T1798" s="104">
        <f>T1792</f>
        <v>7</v>
      </c>
      <c r="U1798" s="105">
        <f>U1792</f>
        <v>3</v>
      </c>
      <c r="V1798" s="105">
        <f>V1792</f>
        <v>5</v>
      </c>
      <c r="W1798" s="105">
        <f>W1792</f>
        <v>6</v>
      </c>
      <c r="X1798" s="105">
        <f>X1792</f>
        <v>4</v>
      </c>
      <c r="Y1798" s="106">
        <f t="shared" ref="Y1798:Y1825" si="1783">SUM(T1798:X1798)</f>
        <v>25</v>
      </c>
      <c r="Z1798" s="106">
        <f t="shared" ref="Z1798:Z1825" si="1784">G1798+M1798+S1798+Y1798</f>
        <v>93</v>
      </c>
      <c r="AB1798" s="103" t="s">
        <v>43</v>
      </c>
      <c r="AC1798" s="104">
        <f>AC1792</f>
        <v>79</v>
      </c>
      <c r="AD1798" s="105">
        <f t="shared" ref="AD1798:AG1798" si="1785">AD1792</f>
        <v>35</v>
      </c>
      <c r="AE1798" s="105">
        <f t="shared" si="1785"/>
        <v>38</v>
      </c>
      <c r="AF1798" s="105">
        <f t="shared" si="1785"/>
        <v>21</v>
      </c>
      <c r="AG1798" s="105">
        <f t="shared" si="1785"/>
        <v>14</v>
      </c>
      <c r="AH1798" s="106">
        <f>SUM(AC1798:AG1798)</f>
        <v>187</v>
      </c>
      <c r="AI1798" s="104">
        <f>AI1792</f>
        <v>73</v>
      </c>
      <c r="AJ1798" s="105">
        <f t="shared" ref="AJ1798:AM1798" si="1786">AJ1792</f>
        <v>58</v>
      </c>
      <c r="AK1798" s="105">
        <f t="shared" si="1786"/>
        <v>60</v>
      </c>
      <c r="AL1798" s="105">
        <f t="shared" si="1786"/>
        <v>37</v>
      </c>
      <c r="AM1798" s="105">
        <f t="shared" si="1786"/>
        <v>64</v>
      </c>
      <c r="AN1798" s="106">
        <f>SUM(AI1798:AM1798)</f>
        <v>292</v>
      </c>
      <c r="AO1798" s="104">
        <f>AO1792</f>
        <v>134</v>
      </c>
      <c r="AP1798" s="105">
        <f t="shared" ref="AP1798:AS1798" si="1787">AP1792</f>
        <v>84</v>
      </c>
      <c r="AQ1798" s="105">
        <f t="shared" si="1787"/>
        <v>83</v>
      </c>
      <c r="AR1798" s="105">
        <f t="shared" si="1787"/>
        <v>102</v>
      </c>
      <c r="AS1798" s="105">
        <f t="shared" si="1787"/>
        <v>124</v>
      </c>
      <c r="AT1798" s="106">
        <f>SUM(AO1798:AS1798)</f>
        <v>527</v>
      </c>
      <c r="AU1798" s="104">
        <f>AU1792</f>
        <v>102</v>
      </c>
      <c r="AV1798" s="105">
        <f t="shared" ref="AV1798:AY1798" si="1788">AV1792</f>
        <v>45</v>
      </c>
      <c r="AW1798" s="105">
        <f t="shared" si="1788"/>
        <v>9</v>
      </c>
      <c r="AX1798" s="105">
        <f t="shared" si="1788"/>
        <v>6</v>
      </c>
      <c r="AY1798" s="105">
        <f t="shared" si="1788"/>
        <v>61</v>
      </c>
      <c r="AZ1798" s="106">
        <f>SUM(AU1798:AY1798)</f>
        <v>223</v>
      </c>
      <c r="BA1798" s="106">
        <f>AH1798+AN1798+AT1798+AZ1798</f>
        <v>1229</v>
      </c>
    </row>
    <row r="1799" spans="1:55" ht="14.25" x14ac:dyDescent="0.15">
      <c r="A1799" s="10" t="s">
        <v>616</v>
      </c>
      <c r="B1799" s="14">
        <v>-1</v>
      </c>
      <c r="C1799" s="15">
        <v>0</v>
      </c>
      <c r="D1799" s="15">
        <v>1</v>
      </c>
      <c r="E1799" s="15">
        <v>0</v>
      </c>
      <c r="F1799" s="15">
        <v>1</v>
      </c>
      <c r="G1799" s="43">
        <f t="shared" ref="G1799:G1802" si="1789">SUM(B1799:F1799)</f>
        <v>1</v>
      </c>
      <c r="H1799" s="14">
        <v>0</v>
      </c>
      <c r="I1799" s="15">
        <v>0</v>
      </c>
      <c r="J1799" s="15">
        <v>0</v>
      </c>
      <c r="K1799" s="15">
        <v>0</v>
      </c>
      <c r="L1799" s="15">
        <v>0</v>
      </c>
      <c r="M1799" s="43">
        <f t="shared" ref="M1799:M1802" si="1790">SUM(H1799:L1799)</f>
        <v>0</v>
      </c>
      <c r="N1799" s="14">
        <v>0</v>
      </c>
      <c r="O1799" s="55">
        <v>0</v>
      </c>
      <c r="P1799" s="55">
        <v>0</v>
      </c>
      <c r="Q1799" s="55">
        <v>1</v>
      </c>
      <c r="R1799" s="67">
        <v>0</v>
      </c>
      <c r="S1799" s="24">
        <f t="shared" ref="S1799:S1802" si="1791">SUM(N1799:R1799)</f>
        <v>1</v>
      </c>
      <c r="T1799" s="15">
        <v>-1</v>
      </c>
      <c r="U1799" s="55">
        <v>0</v>
      </c>
      <c r="V1799" s="55">
        <v>0</v>
      </c>
      <c r="W1799" s="55">
        <v>-1</v>
      </c>
      <c r="X1799" s="67">
        <v>0</v>
      </c>
      <c r="Y1799" s="24">
        <f t="shared" ref="Y1799:Y1802" si="1792">SUM(T1799:X1799)</f>
        <v>-2</v>
      </c>
      <c r="Z1799" s="24">
        <f t="shared" si="1784"/>
        <v>0</v>
      </c>
      <c r="AA1799" s="93">
        <v>45530</v>
      </c>
      <c r="AB1799" s="10" t="s">
        <v>181</v>
      </c>
      <c r="AC1799" s="14"/>
      <c r="AD1799" s="15"/>
      <c r="AE1799" s="15"/>
      <c r="AF1799" s="15"/>
      <c r="AG1799" s="15"/>
      <c r="AH1799" s="43">
        <f t="shared" ref="AH1799:AH1800" si="1793">SUM(AC1799:AG1799)</f>
        <v>0</v>
      </c>
      <c r="AI1799" s="14"/>
      <c r="AJ1799" s="15"/>
      <c r="AK1799" s="15"/>
      <c r="AL1799" s="15"/>
      <c r="AM1799" s="15"/>
      <c r="AN1799" s="43">
        <f t="shared" ref="AN1799:AN1800" si="1794">SUM(AI1799:AM1799)</f>
        <v>0</v>
      </c>
      <c r="AO1799" s="14"/>
      <c r="AP1799" s="55"/>
      <c r="AQ1799" s="55"/>
      <c r="AR1799" s="55"/>
      <c r="AS1799" s="67"/>
      <c r="AT1799" s="24">
        <f t="shared" ref="AT1799:AT1800" si="1795">SUM(AO1799:AS1799)</f>
        <v>0</v>
      </c>
      <c r="AU1799" s="15"/>
      <c r="AV1799" s="55"/>
      <c r="AW1799" s="55"/>
      <c r="AX1799" s="55"/>
      <c r="AY1799" s="67"/>
      <c r="AZ1799" s="24">
        <f t="shared" ref="AZ1799:AZ1800" si="1796">SUM(AU1799:AY1799)</f>
        <v>0</v>
      </c>
      <c r="BA1799" s="24">
        <f t="shared" ref="BA1799:BA1825" si="1797">AH1799+AN1799+AT1799+AZ1799</f>
        <v>0</v>
      </c>
    </row>
    <row r="1800" spans="1:55" ht="14.25" x14ac:dyDescent="0.15">
      <c r="A1800" s="10" t="s">
        <v>77</v>
      </c>
      <c r="B1800" s="14"/>
      <c r="C1800" s="15"/>
      <c r="D1800" s="15"/>
      <c r="E1800" s="15"/>
      <c r="F1800" s="15"/>
      <c r="G1800" s="43">
        <f t="shared" si="1789"/>
        <v>0</v>
      </c>
      <c r="H1800" s="14"/>
      <c r="I1800" s="15"/>
      <c r="J1800" s="15"/>
      <c r="K1800" s="15"/>
      <c r="L1800" s="15"/>
      <c r="M1800" s="43">
        <f t="shared" si="1790"/>
        <v>0</v>
      </c>
      <c r="N1800" s="14"/>
      <c r="O1800" s="55">
        <v>1</v>
      </c>
      <c r="P1800" s="55"/>
      <c r="Q1800" s="55"/>
      <c r="R1800" s="67"/>
      <c r="S1800" s="24">
        <f t="shared" si="1791"/>
        <v>1</v>
      </c>
      <c r="T1800" s="15"/>
      <c r="U1800" s="55"/>
      <c r="V1800" s="55">
        <v>1</v>
      </c>
      <c r="W1800" s="55"/>
      <c r="X1800" s="67"/>
      <c r="Y1800" s="24">
        <f t="shared" si="1792"/>
        <v>1</v>
      </c>
      <c r="Z1800" s="24">
        <f t="shared" si="1784"/>
        <v>2</v>
      </c>
      <c r="AA1800" s="93">
        <v>45533</v>
      </c>
      <c r="AB1800" s="10" t="s">
        <v>181</v>
      </c>
      <c r="AC1800" s="14"/>
      <c r="AD1800" s="15"/>
      <c r="AE1800" s="15"/>
      <c r="AF1800" s="15"/>
      <c r="AG1800" s="15"/>
      <c r="AH1800" s="43">
        <f t="shared" si="1793"/>
        <v>0</v>
      </c>
      <c r="AI1800" s="14"/>
      <c r="AJ1800" s="15"/>
      <c r="AK1800" s="15"/>
      <c r="AL1800" s="15"/>
      <c r="AM1800" s="15"/>
      <c r="AN1800" s="43">
        <f t="shared" si="1794"/>
        <v>0</v>
      </c>
      <c r="AO1800" s="14"/>
      <c r="AP1800" s="55"/>
      <c r="AQ1800" s="55"/>
      <c r="AR1800" s="55"/>
      <c r="AS1800" s="67"/>
      <c r="AT1800" s="24">
        <f t="shared" si="1795"/>
        <v>0</v>
      </c>
      <c r="AU1800" s="15"/>
      <c r="AV1800" s="55"/>
      <c r="AW1800" s="55"/>
      <c r="AX1800" s="55"/>
      <c r="AY1800" s="67"/>
      <c r="AZ1800" s="24">
        <f t="shared" si="1796"/>
        <v>0</v>
      </c>
      <c r="BA1800" s="24">
        <f t="shared" si="1797"/>
        <v>0</v>
      </c>
    </row>
    <row r="1801" spans="1:55" ht="14.25" x14ac:dyDescent="0.15">
      <c r="A1801" s="10" t="s">
        <v>181</v>
      </c>
      <c r="B1801" s="14"/>
      <c r="C1801" s="15">
        <v>3</v>
      </c>
      <c r="D1801" s="15">
        <v>3</v>
      </c>
      <c r="E1801" s="15"/>
      <c r="F1801" s="15"/>
      <c r="G1801" s="43">
        <f t="shared" si="1789"/>
        <v>6</v>
      </c>
      <c r="H1801" s="14"/>
      <c r="I1801" s="15">
        <v>3</v>
      </c>
      <c r="J1801" s="15"/>
      <c r="K1801" s="15">
        <v>3</v>
      </c>
      <c r="L1801" s="15">
        <v>3</v>
      </c>
      <c r="M1801" s="43">
        <f t="shared" si="1790"/>
        <v>9</v>
      </c>
      <c r="N1801" s="14"/>
      <c r="O1801" s="55"/>
      <c r="P1801" s="55"/>
      <c r="Q1801" s="55"/>
      <c r="R1801" s="67">
        <v>3</v>
      </c>
      <c r="S1801" s="24">
        <f t="shared" si="1791"/>
        <v>3</v>
      </c>
      <c r="T1801" s="15"/>
      <c r="U1801" s="55">
        <v>3</v>
      </c>
      <c r="V1801" s="55"/>
      <c r="W1801" s="55"/>
      <c r="X1801" s="67"/>
      <c r="Y1801" s="24">
        <f t="shared" si="1792"/>
        <v>3</v>
      </c>
      <c r="Z1801" s="24">
        <f t="shared" si="1784"/>
        <v>21</v>
      </c>
      <c r="AA1801" s="83">
        <v>45542</v>
      </c>
      <c r="AB1801" s="10" t="s">
        <v>181</v>
      </c>
      <c r="AC1801" s="14"/>
      <c r="AD1801" s="15"/>
      <c r="AE1801" s="15"/>
      <c r="AF1801" s="15"/>
      <c r="AG1801" s="15"/>
      <c r="AH1801" s="43">
        <f t="shared" ref="AH1801" si="1798">SUM(AC1801:AG1801)</f>
        <v>0</v>
      </c>
      <c r="AI1801" s="14"/>
      <c r="AJ1801" s="15"/>
      <c r="AK1801" s="15"/>
      <c r="AL1801" s="15"/>
      <c r="AM1801" s="15"/>
      <c r="AN1801" s="43">
        <f t="shared" ref="AN1801" si="1799">SUM(AI1801:AM1801)</f>
        <v>0</v>
      </c>
      <c r="AO1801" s="14"/>
      <c r="AP1801" s="55"/>
      <c r="AQ1801" s="55"/>
      <c r="AR1801" s="55"/>
      <c r="AS1801" s="67"/>
      <c r="AT1801" s="24">
        <f t="shared" ref="AT1801" si="1800">SUM(AO1801:AS1801)</f>
        <v>0</v>
      </c>
      <c r="AU1801" s="15"/>
      <c r="AV1801" s="55"/>
      <c r="AW1801" s="55"/>
      <c r="AX1801" s="55"/>
      <c r="AY1801" s="67"/>
      <c r="AZ1801" s="24">
        <f t="shared" ref="AZ1801" si="1801">SUM(AU1801:AY1801)</f>
        <v>0</v>
      </c>
      <c r="BA1801" s="24">
        <f t="shared" ref="BA1801" si="1802">AH1801+AN1801+AT1801+AZ1801</f>
        <v>0</v>
      </c>
    </row>
    <row r="1802" spans="1:55" ht="15" thickBot="1" x14ac:dyDescent="0.2">
      <c r="A1802" s="10" t="s">
        <v>181</v>
      </c>
      <c r="B1802" s="14">
        <v>3</v>
      </c>
      <c r="C1802" s="15"/>
      <c r="D1802" s="15">
        <v>3</v>
      </c>
      <c r="E1802" s="15"/>
      <c r="F1802" s="15"/>
      <c r="G1802" s="43">
        <f t="shared" si="1789"/>
        <v>6</v>
      </c>
      <c r="H1802" s="14"/>
      <c r="I1802" s="15">
        <v>3</v>
      </c>
      <c r="J1802" s="15">
        <v>3</v>
      </c>
      <c r="K1802" s="15"/>
      <c r="L1802" s="15"/>
      <c r="M1802" s="43">
        <f t="shared" si="1790"/>
        <v>6</v>
      </c>
      <c r="N1802" s="14"/>
      <c r="O1802" s="55"/>
      <c r="P1802" s="55">
        <v>3</v>
      </c>
      <c r="Q1802" s="55"/>
      <c r="R1802" s="67"/>
      <c r="S1802" s="24">
        <f t="shared" si="1791"/>
        <v>3</v>
      </c>
      <c r="T1802" s="15"/>
      <c r="U1802" s="55"/>
      <c r="V1802" s="55"/>
      <c r="W1802" s="55"/>
      <c r="X1802" s="67">
        <v>3</v>
      </c>
      <c r="Y1802" s="24">
        <f t="shared" si="1792"/>
        <v>3</v>
      </c>
      <c r="Z1802" s="24">
        <f t="shared" si="1784"/>
        <v>18</v>
      </c>
      <c r="AA1802" s="83">
        <v>45556</v>
      </c>
      <c r="AB1802" s="10" t="s">
        <v>181</v>
      </c>
      <c r="AC1802" s="14"/>
      <c r="AD1802" s="15"/>
      <c r="AE1802" s="15"/>
      <c r="AF1802" s="15"/>
      <c r="AG1802" s="15"/>
      <c r="AH1802" s="43">
        <f t="shared" ref="AH1802" si="1803">SUM(AC1802:AG1802)</f>
        <v>0</v>
      </c>
      <c r="AI1802" s="14"/>
      <c r="AJ1802" s="15"/>
      <c r="AK1802" s="15"/>
      <c r="AL1802" s="15"/>
      <c r="AM1802" s="15"/>
      <c r="AN1802" s="43">
        <f t="shared" ref="AN1802" si="1804">SUM(AI1802:AM1802)</f>
        <v>0</v>
      </c>
      <c r="AO1802" s="14"/>
      <c r="AP1802" s="55"/>
      <c r="AQ1802" s="55"/>
      <c r="AR1802" s="55"/>
      <c r="AS1802" s="67"/>
      <c r="AT1802" s="24">
        <f t="shared" ref="AT1802" si="1805">SUM(AO1802:AS1802)</f>
        <v>0</v>
      </c>
      <c r="AU1802" s="15"/>
      <c r="AV1802" s="55"/>
      <c r="AW1802" s="55"/>
      <c r="AX1802" s="55"/>
      <c r="AY1802" s="67"/>
      <c r="AZ1802" s="24">
        <f t="shared" ref="AZ1802" si="1806">SUM(AU1802:AY1802)</f>
        <v>0</v>
      </c>
      <c r="BA1802" s="24">
        <f t="shared" ref="BA1802" si="1807">AH1802+AN1802+AT1802+AZ1802</f>
        <v>0</v>
      </c>
    </row>
    <row r="1803" spans="1:55" ht="15" thickBot="1" x14ac:dyDescent="0.2">
      <c r="A1803" s="4" t="s">
        <v>12</v>
      </c>
      <c r="B1803" s="17">
        <f>SUM(B1798:B1802)</f>
        <v>8</v>
      </c>
      <c r="C1803" s="18">
        <f>SUM(C1798:C1802)</f>
        <v>7</v>
      </c>
      <c r="D1803" s="18">
        <f>SUM(D1798:D1802)</f>
        <v>11</v>
      </c>
      <c r="E1803" s="18">
        <f>SUM(E1798:E1802)</f>
        <v>4</v>
      </c>
      <c r="F1803" s="18">
        <f>SUM(F1798:F1802)</f>
        <v>2</v>
      </c>
      <c r="G1803" s="148">
        <f t="shared" ref="G1803:G1825" si="1808">SUM(B1803:F1803)</f>
        <v>32</v>
      </c>
      <c r="H1803" s="17">
        <f>SUM(H1798:H1802)</f>
        <v>6</v>
      </c>
      <c r="I1803" s="18">
        <f>SUM(I1798:I1802)</f>
        <v>10</v>
      </c>
      <c r="J1803" s="18">
        <f>SUM(J1798:J1802)</f>
        <v>7</v>
      </c>
      <c r="K1803" s="18">
        <f>SUM(K1798:K1802)</f>
        <v>9</v>
      </c>
      <c r="L1803" s="18">
        <f>SUM(L1798:L1802)</f>
        <v>8</v>
      </c>
      <c r="M1803" s="17">
        <f t="shared" si="1781"/>
        <v>40</v>
      </c>
      <c r="N1803" s="65">
        <f>SUM(N1798:N1802)</f>
        <v>6</v>
      </c>
      <c r="O1803" s="18">
        <f>SUM(O1798:O1802)</f>
        <v>6</v>
      </c>
      <c r="P1803" s="18">
        <f>SUM(P1798:P1802)</f>
        <v>7</v>
      </c>
      <c r="Q1803" s="18">
        <f>SUM(Q1798:Q1802)</f>
        <v>7</v>
      </c>
      <c r="R1803" s="70">
        <f>SUM(R1798:R1802)</f>
        <v>6</v>
      </c>
      <c r="S1803" s="49">
        <f t="shared" si="1782"/>
        <v>32</v>
      </c>
      <c r="T1803" s="74">
        <f>SUM(T1798:T1802)</f>
        <v>6</v>
      </c>
      <c r="U1803" s="18">
        <f>SUM(U1798:U1802)</f>
        <v>6</v>
      </c>
      <c r="V1803" s="18">
        <f>SUM(V1798:V1802)</f>
        <v>6</v>
      </c>
      <c r="W1803" s="18">
        <f>SUM(W1798:W1802)</f>
        <v>5</v>
      </c>
      <c r="X1803" s="70">
        <f>SUM(X1798:X1802)</f>
        <v>7</v>
      </c>
      <c r="Y1803" s="49">
        <f t="shared" si="1783"/>
        <v>30</v>
      </c>
      <c r="Z1803" s="33">
        <f t="shared" si="1784"/>
        <v>134</v>
      </c>
      <c r="AB1803" s="4" t="s">
        <v>12</v>
      </c>
      <c r="AC1803" s="17">
        <f>SUM(AC1798:AC1802)</f>
        <v>79</v>
      </c>
      <c r="AD1803" s="18">
        <f t="shared" ref="AD1803" si="1809">SUM(AD1798:AD1802)</f>
        <v>35</v>
      </c>
      <c r="AE1803" s="18">
        <f t="shared" ref="AE1803" si="1810">SUM(AE1798:AE1802)</f>
        <v>38</v>
      </c>
      <c r="AF1803" s="18">
        <f t="shared" ref="AF1803" si="1811">SUM(AF1798:AF1802)</f>
        <v>21</v>
      </c>
      <c r="AG1803" s="18">
        <f t="shared" ref="AG1803" si="1812">SUM(AG1798:AG1802)</f>
        <v>14</v>
      </c>
      <c r="AH1803" s="148">
        <f>SUM(AC1803:AG1803)</f>
        <v>187</v>
      </c>
      <c r="AI1803" s="17">
        <f>SUM(AI1798:AI1802)</f>
        <v>73</v>
      </c>
      <c r="AJ1803" s="18">
        <f t="shared" ref="AJ1803" si="1813">SUM(AJ1798:AJ1802)</f>
        <v>58</v>
      </c>
      <c r="AK1803" s="18">
        <f t="shared" ref="AK1803" si="1814">SUM(AK1798:AK1802)</f>
        <v>60</v>
      </c>
      <c r="AL1803" s="18">
        <f t="shared" ref="AL1803" si="1815">SUM(AL1798:AL1802)</f>
        <v>37</v>
      </c>
      <c r="AM1803" s="18">
        <f t="shared" ref="AM1803" si="1816">SUM(AM1798:AM1802)</f>
        <v>64</v>
      </c>
      <c r="AN1803" s="148">
        <f>SUM(AI1803:AM1803)</f>
        <v>292</v>
      </c>
      <c r="AO1803" s="17">
        <f>SUM(AO1798:AO1802)</f>
        <v>134</v>
      </c>
      <c r="AP1803" s="18">
        <f t="shared" ref="AP1803" si="1817">SUM(AP1798:AP1802)</f>
        <v>84</v>
      </c>
      <c r="AQ1803" s="18">
        <f t="shared" ref="AQ1803" si="1818">SUM(AQ1798:AQ1802)</f>
        <v>83</v>
      </c>
      <c r="AR1803" s="18">
        <f t="shared" ref="AR1803" si="1819">SUM(AR1798:AR1802)</f>
        <v>102</v>
      </c>
      <c r="AS1803" s="18">
        <f t="shared" ref="AS1803" si="1820">SUM(AS1798:AS1802)</f>
        <v>124</v>
      </c>
      <c r="AT1803" s="148">
        <f>SUM(AO1803:AS1803)</f>
        <v>527</v>
      </c>
      <c r="AU1803" s="17">
        <f>SUM(AU1798:AU1802)</f>
        <v>102</v>
      </c>
      <c r="AV1803" s="18">
        <f t="shared" ref="AV1803" si="1821">SUM(AV1798:AV1802)</f>
        <v>45</v>
      </c>
      <c r="AW1803" s="18">
        <f t="shared" ref="AW1803" si="1822">SUM(AW1798:AW1802)</f>
        <v>9</v>
      </c>
      <c r="AX1803" s="18">
        <f t="shared" ref="AX1803" si="1823">SUM(AX1798:AX1802)</f>
        <v>6</v>
      </c>
      <c r="AY1803" s="18">
        <f t="shared" ref="AY1803" si="1824">SUM(AY1798:AY1802)</f>
        <v>61</v>
      </c>
      <c r="AZ1803" s="148">
        <f>SUM(AU1803:AY1803)</f>
        <v>223</v>
      </c>
      <c r="BA1803" s="33">
        <f>AH1803+AN1803+AT1803+AZ1803</f>
        <v>1229</v>
      </c>
    </row>
    <row r="1804" spans="1:55" ht="14.25" x14ac:dyDescent="0.15">
      <c r="A1804" s="23" t="s">
        <v>395</v>
      </c>
      <c r="B1804" s="41"/>
      <c r="C1804" s="42"/>
      <c r="D1804" s="42"/>
      <c r="E1804" s="42"/>
      <c r="F1804" s="42"/>
      <c r="G1804" s="43">
        <f t="shared" si="1808"/>
        <v>0</v>
      </c>
      <c r="H1804" s="41"/>
      <c r="I1804" s="42"/>
      <c r="J1804" s="42"/>
      <c r="K1804" s="42">
        <v>1</v>
      </c>
      <c r="L1804" s="42"/>
      <c r="M1804" s="43">
        <f t="shared" si="1781"/>
        <v>1</v>
      </c>
      <c r="N1804" s="42"/>
      <c r="O1804" s="53"/>
      <c r="P1804" s="53"/>
      <c r="Q1804" s="53"/>
      <c r="R1804" s="72"/>
      <c r="S1804" s="24">
        <f t="shared" si="1782"/>
        <v>0</v>
      </c>
      <c r="T1804" s="42"/>
      <c r="U1804" s="53"/>
      <c r="V1804" s="53"/>
      <c r="W1804" s="53"/>
      <c r="X1804" s="72"/>
      <c r="Y1804" s="24">
        <f t="shared" si="1783"/>
        <v>0</v>
      </c>
      <c r="Z1804" s="24">
        <f t="shared" si="1784"/>
        <v>1</v>
      </c>
      <c r="AA1804" s="83">
        <v>45525</v>
      </c>
      <c r="AB1804" s="23" t="s">
        <v>688</v>
      </c>
      <c r="AC1804" s="41"/>
      <c r="AD1804" s="42"/>
      <c r="AE1804" s="42"/>
      <c r="AF1804" s="42"/>
      <c r="AG1804" s="42"/>
      <c r="AH1804" s="43">
        <f t="shared" ref="AH1804:AH1825" si="1825">SUM(AC1804:AG1804)</f>
        <v>0</v>
      </c>
      <c r="AI1804" s="41"/>
      <c r="AJ1804" s="42">
        <v>2</v>
      </c>
      <c r="AK1804" s="42">
        <v>2</v>
      </c>
      <c r="AL1804" s="42">
        <v>2</v>
      </c>
      <c r="AM1804" s="42"/>
      <c r="AN1804" s="43">
        <f t="shared" ref="AN1804:AN1825" si="1826">SUM(AI1804:AM1804)</f>
        <v>6</v>
      </c>
      <c r="AO1804" s="42"/>
      <c r="AP1804" s="53"/>
      <c r="AQ1804" s="53"/>
      <c r="AR1804" s="53">
        <v>2</v>
      </c>
      <c r="AS1804" s="72"/>
      <c r="AT1804" s="24">
        <f t="shared" ref="AT1804:AT1825" si="1827">SUM(AO1804:AS1804)</f>
        <v>2</v>
      </c>
      <c r="AU1804" s="42"/>
      <c r="AV1804" s="53"/>
      <c r="AW1804" s="53"/>
      <c r="AX1804" s="53"/>
      <c r="AY1804" s="72"/>
      <c r="AZ1804" s="24">
        <f t="shared" ref="AZ1804:AZ1825" si="1828">SUM(AU1804:AY1804)</f>
        <v>0</v>
      </c>
      <c r="BA1804" s="24">
        <f t="shared" si="1797"/>
        <v>8</v>
      </c>
      <c r="BB1804" s="83">
        <v>45544</v>
      </c>
    </row>
    <row r="1805" spans="1:55" ht="14.25" x14ac:dyDescent="0.15">
      <c r="A1805" s="23" t="s">
        <v>395</v>
      </c>
      <c r="B1805" s="41"/>
      <c r="C1805" s="42"/>
      <c r="D1805" s="42"/>
      <c r="E1805" s="42"/>
      <c r="F1805" s="42"/>
      <c r="G1805" s="43">
        <f t="shared" ref="G1805:G1824" si="1829">SUM(B1805:F1805)</f>
        <v>0</v>
      </c>
      <c r="H1805" s="41"/>
      <c r="I1805" s="42"/>
      <c r="J1805" s="42"/>
      <c r="K1805" s="42"/>
      <c r="L1805" s="42">
        <v>1</v>
      </c>
      <c r="M1805" s="43">
        <f t="shared" ref="M1805:M1824" si="1830">SUM(H1805:L1805)</f>
        <v>1</v>
      </c>
      <c r="N1805" s="42"/>
      <c r="O1805" s="53"/>
      <c r="P1805" s="53"/>
      <c r="Q1805" s="53"/>
      <c r="R1805" s="72"/>
      <c r="S1805" s="24">
        <f t="shared" ref="S1805:S1824" si="1831">SUM(N1805:R1805)</f>
        <v>0</v>
      </c>
      <c r="T1805" s="42"/>
      <c r="U1805" s="53"/>
      <c r="V1805" s="53"/>
      <c r="W1805" s="53"/>
      <c r="X1805" s="72"/>
      <c r="Y1805" s="24">
        <f t="shared" ref="Y1805:Y1824" si="1832">SUM(T1805:X1805)</f>
        <v>0</v>
      </c>
      <c r="Z1805" s="24">
        <f t="shared" ref="Z1805:Z1824" si="1833">G1805+M1805+S1805+Y1805</f>
        <v>1</v>
      </c>
      <c r="AA1805" s="83">
        <v>45526</v>
      </c>
      <c r="AB1805" s="23" t="s">
        <v>126</v>
      </c>
      <c r="AC1805" s="41"/>
      <c r="AD1805" s="42">
        <v>3</v>
      </c>
      <c r="AE1805" s="42">
        <v>3</v>
      </c>
      <c r="AF1805" s="42"/>
      <c r="AG1805" s="42"/>
      <c r="AH1805" s="43">
        <f t="shared" ref="AH1805" si="1834">SUM(AC1805:AG1805)</f>
        <v>6</v>
      </c>
      <c r="AI1805" s="41"/>
      <c r="AJ1805" s="42">
        <v>3</v>
      </c>
      <c r="AK1805" s="42"/>
      <c r="AL1805" s="42">
        <v>3</v>
      </c>
      <c r="AM1805" s="42">
        <v>3</v>
      </c>
      <c r="AN1805" s="43">
        <f t="shared" ref="AN1805" si="1835">SUM(AI1805:AM1805)</f>
        <v>9</v>
      </c>
      <c r="AO1805" s="42"/>
      <c r="AP1805" s="53"/>
      <c r="AQ1805" s="53"/>
      <c r="AR1805" s="53"/>
      <c r="AS1805" s="72">
        <v>3</v>
      </c>
      <c r="AT1805" s="24">
        <f t="shared" ref="AT1805" si="1836">SUM(AO1805:AS1805)</f>
        <v>3</v>
      </c>
      <c r="AU1805" s="42"/>
      <c r="AV1805" s="53">
        <v>3</v>
      </c>
      <c r="AW1805" s="53"/>
      <c r="AX1805" s="53"/>
      <c r="AY1805" s="72"/>
      <c r="AZ1805" s="24">
        <f t="shared" ref="AZ1805" si="1837">SUM(AU1805:AY1805)</f>
        <v>3</v>
      </c>
      <c r="BA1805" s="24">
        <f t="shared" si="1797"/>
        <v>21</v>
      </c>
      <c r="BB1805" s="83">
        <v>45542</v>
      </c>
    </row>
    <row r="1806" spans="1:55" ht="14.25" x14ac:dyDescent="0.15">
      <c r="A1806" s="23" t="s">
        <v>395</v>
      </c>
      <c r="B1806" s="41"/>
      <c r="C1806" s="42"/>
      <c r="D1806" s="42"/>
      <c r="E1806" s="42"/>
      <c r="F1806" s="42"/>
      <c r="G1806" s="43">
        <f t="shared" si="1829"/>
        <v>0</v>
      </c>
      <c r="H1806" s="41"/>
      <c r="I1806" s="42"/>
      <c r="J1806" s="42"/>
      <c r="K1806" s="42">
        <v>1</v>
      </c>
      <c r="L1806" s="42"/>
      <c r="M1806" s="43">
        <f t="shared" si="1830"/>
        <v>1</v>
      </c>
      <c r="N1806" s="42"/>
      <c r="O1806" s="53"/>
      <c r="P1806" s="53"/>
      <c r="Q1806" s="53"/>
      <c r="R1806" s="72"/>
      <c r="S1806" s="24">
        <f t="shared" si="1831"/>
        <v>0</v>
      </c>
      <c r="T1806" s="42"/>
      <c r="U1806" s="53"/>
      <c r="V1806" s="53"/>
      <c r="W1806" s="53"/>
      <c r="X1806" s="72"/>
      <c r="Y1806" s="24">
        <f t="shared" si="1832"/>
        <v>0</v>
      </c>
      <c r="Z1806" s="24">
        <f t="shared" si="1833"/>
        <v>1</v>
      </c>
      <c r="AA1806" s="83">
        <v>45532</v>
      </c>
      <c r="AB1806" s="23" t="s">
        <v>689</v>
      </c>
      <c r="AC1806" s="41"/>
      <c r="AD1806" s="42"/>
      <c r="AE1806" s="42">
        <v>3</v>
      </c>
      <c r="AF1806" s="42"/>
      <c r="AG1806" s="42"/>
      <c r="AH1806" s="43">
        <f t="shared" si="1825"/>
        <v>3</v>
      </c>
      <c r="AI1806" s="41">
        <v>1</v>
      </c>
      <c r="AJ1806" s="42"/>
      <c r="AK1806" s="42">
        <v>2</v>
      </c>
      <c r="AL1806" s="42"/>
      <c r="AM1806" s="42"/>
      <c r="AN1806" s="43">
        <f t="shared" si="1826"/>
        <v>3</v>
      </c>
      <c r="AO1806" s="42"/>
      <c r="AP1806" s="53"/>
      <c r="AQ1806" s="53"/>
      <c r="AR1806" s="53"/>
      <c r="AS1806" s="72"/>
      <c r="AT1806" s="24">
        <f t="shared" si="1827"/>
        <v>0</v>
      </c>
      <c r="AU1806" s="42"/>
      <c r="AV1806" s="53"/>
      <c r="AW1806" s="53"/>
      <c r="AX1806" s="53">
        <v>3</v>
      </c>
      <c r="AY1806" s="72"/>
      <c r="AZ1806" s="24">
        <f t="shared" si="1828"/>
        <v>3</v>
      </c>
      <c r="BA1806" s="24">
        <f t="shared" si="1797"/>
        <v>9</v>
      </c>
      <c r="BB1806" s="83">
        <v>45548</v>
      </c>
    </row>
    <row r="1807" spans="1:55" ht="14.25" x14ac:dyDescent="0.15">
      <c r="A1807" s="23" t="s">
        <v>687</v>
      </c>
      <c r="B1807" s="41"/>
      <c r="C1807" s="42"/>
      <c r="D1807" s="42"/>
      <c r="E1807" s="42">
        <v>1</v>
      </c>
      <c r="F1807" s="42"/>
      <c r="G1807" s="43">
        <f t="shared" si="1829"/>
        <v>1</v>
      </c>
      <c r="H1807" s="41"/>
      <c r="I1807" s="42"/>
      <c r="J1807" s="42"/>
      <c r="K1807" s="42"/>
      <c r="L1807" s="42"/>
      <c r="M1807" s="43">
        <f t="shared" si="1830"/>
        <v>0</v>
      </c>
      <c r="N1807" s="42"/>
      <c r="O1807" s="53"/>
      <c r="P1807" s="53"/>
      <c r="Q1807" s="53"/>
      <c r="R1807" s="72"/>
      <c r="S1807" s="24">
        <f t="shared" si="1831"/>
        <v>0</v>
      </c>
      <c r="T1807" s="42"/>
      <c r="U1807" s="53"/>
      <c r="V1807" s="53"/>
      <c r="W1807" s="53"/>
      <c r="X1807" s="72"/>
      <c r="Y1807" s="24">
        <f t="shared" si="1832"/>
        <v>0</v>
      </c>
      <c r="Z1807" s="24">
        <f t="shared" si="1833"/>
        <v>1</v>
      </c>
      <c r="AA1807" s="83">
        <v>45534</v>
      </c>
      <c r="AB1807" s="23" t="s">
        <v>126</v>
      </c>
      <c r="AC1807" s="41">
        <v>3</v>
      </c>
      <c r="AD1807" s="42"/>
      <c r="AE1807" s="42">
        <v>3</v>
      </c>
      <c r="AF1807" s="42"/>
      <c r="AG1807" s="42"/>
      <c r="AH1807" s="43">
        <f t="shared" ref="AH1807" si="1838">SUM(AC1807:AG1807)</f>
        <v>6</v>
      </c>
      <c r="AI1807" s="41"/>
      <c r="AJ1807" s="42">
        <v>3</v>
      </c>
      <c r="AK1807" s="42">
        <v>3</v>
      </c>
      <c r="AL1807" s="42"/>
      <c r="AM1807" s="42"/>
      <c r="AN1807" s="43">
        <f t="shared" ref="AN1807" si="1839">SUM(AI1807:AM1807)</f>
        <v>6</v>
      </c>
      <c r="AO1807" s="42"/>
      <c r="AP1807" s="53"/>
      <c r="AQ1807" s="53">
        <v>3</v>
      </c>
      <c r="AR1807" s="53"/>
      <c r="AS1807" s="72"/>
      <c r="AT1807" s="24">
        <f t="shared" ref="AT1807" si="1840">SUM(AO1807:AS1807)</f>
        <v>3</v>
      </c>
      <c r="AU1807" s="42"/>
      <c r="AV1807" s="53"/>
      <c r="AW1807" s="53"/>
      <c r="AX1807" s="53"/>
      <c r="AY1807" s="72">
        <v>3</v>
      </c>
      <c r="AZ1807" s="24">
        <f t="shared" ref="AZ1807" si="1841">SUM(AU1807:AY1807)</f>
        <v>3</v>
      </c>
      <c r="BA1807" s="24">
        <f t="shared" si="1797"/>
        <v>18</v>
      </c>
      <c r="BB1807" s="83">
        <v>45556</v>
      </c>
    </row>
    <row r="1808" spans="1:55" ht="14.25" x14ac:dyDescent="0.15">
      <c r="A1808" s="23" t="s">
        <v>438</v>
      </c>
      <c r="B1808" s="41"/>
      <c r="C1808" s="42"/>
      <c r="D1808" s="42"/>
      <c r="E1808" s="42"/>
      <c r="F1808" s="42"/>
      <c r="G1808" s="43">
        <f t="shared" si="1829"/>
        <v>0</v>
      </c>
      <c r="H1808" s="41"/>
      <c r="I1808" s="42"/>
      <c r="J1808" s="42"/>
      <c r="K1808" s="42"/>
      <c r="L1808" s="42"/>
      <c r="M1808" s="43">
        <f t="shared" si="1830"/>
        <v>0</v>
      </c>
      <c r="N1808" s="42"/>
      <c r="O1808" s="53"/>
      <c r="P1808" s="53"/>
      <c r="Q1808" s="53"/>
      <c r="R1808" s="72"/>
      <c r="S1808" s="24">
        <f t="shared" si="1831"/>
        <v>0</v>
      </c>
      <c r="T1808" s="42"/>
      <c r="U1808" s="53">
        <v>1</v>
      </c>
      <c r="V1808" s="53"/>
      <c r="W1808" s="53"/>
      <c r="X1808" s="72"/>
      <c r="Y1808" s="24">
        <f t="shared" si="1832"/>
        <v>1</v>
      </c>
      <c r="Z1808" s="24">
        <f t="shared" si="1833"/>
        <v>1</v>
      </c>
      <c r="AA1808" s="83">
        <v>45540</v>
      </c>
      <c r="AB1808" s="23" t="s">
        <v>126</v>
      </c>
      <c r="AC1808" s="41"/>
      <c r="AD1808" s="42"/>
      <c r="AE1808" s="42">
        <v>3</v>
      </c>
      <c r="AF1808" s="42"/>
      <c r="AG1808" s="42"/>
      <c r="AH1808" s="43">
        <f t="shared" ref="AH1808:AH1809" si="1842">SUM(AC1808:AG1808)</f>
        <v>3</v>
      </c>
      <c r="AI1808" s="41"/>
      <c r="AJ1808" s="42"/>
      <c r="AK1808" s="42"/>
      <c r="AL1808" s="42">
        <v>3</v>
      </c>
      <c r="AM1808" s="42"/>
      <c r="AN1808" s="43">
        <f t="shared" ref="AN1808:AN1809" si="1843">SUM(AI1808:AM1808)</f>
        <v>3</v>
      </c>
      <c r="AO1808" s="42"/>
      <c r="AP1808" s="53"/>
      <c r="AQ1808" s="53"/>
      <c r="AR1808" s="53"/>
      <c r="AS1808" s="72"/>
      <c r="AT1808" s="24">
        <f t="shared" ref="AT1808:AT1809" si="1844">SUM(AO1808:AS1808)</f>
        <v>0</v>
      </c>
      <c r="AU1808" s="42"/>
      <c r="AV1808" s="53"/>
      <c r="AW1808" s="53">
        <v>3</v>
      </c>
      <c r="AX1808" s="53"/>
      <c r="AY1808" s="72"/>
      <c r="AZ1808" s="24">
        <f t="shared" ref="AZ1808:AZ1809" si="1845">SUM(AU1808:AY1808)</f>
        <v>3</v>
      </c>
      <c r="BA1808" s="24">
        <f t="shared" si="1797"/>
        <v>9</v>
      </c>
      <c r="BB1808" s="83">
        <v>45565</v>
      </c>
      <c r="BC1808" s="111"/>
    </row>
    <row r="1809" spans="1:55" ht="14.25" x14ac:dyDescent="0.15">
      <c r="A1809" s="23" t="s">
        <v>496</v>
      </c>
      <c r="B1809" s="41"/>
      <c r="C1809" s="42"/>
      <c r="D1809" s="42"/>
      <c r="E1809" s="42"/>
      <c r="F1809" s="42"/>
      <c r="G1809" s="43">
        <f t="shared" si="1829"/>
        <v>0</v>
      </c>
      <c r="H1809" s="41"/>
      <c r="I1809" s="42"/>
      <c r="J1809" s="42"/>
      <c r="K1809" s="42">
        <v>1</v>
      </c>
      <c r="L1809" s="42"/>
      <c r="M1809" s="43">
        <f t="shared" si="1830"/>
        <v>1</v>
      </c>
      <c r="N1809" s="42"/>
      <c r="O1809" s="53"/>
      <c r="P1809" s="53"/>
      <c r="Q1809" s="53"/>
      <c r="R1809" s="72"/>
      <c r="S1809" s="24">
        <f t="shared" si="1831"/>
        <v>0</v>
      </c>
      <c r="T1809" s="42"/>
      <c r="U1809" s="53"/>
      <c r="V1809" s="53"/>
      <c r="W1809" s="53"/>
      <c r="X1809" s="72"/>
      <c r="Y1809" s="24">
        <f t="shared" si="1832"/>
        <v>0</v>
      </c>
      <c r="Z1809" s="24">
        <f t="shared" si="1833"/>
        <v>1</v>
      </c>
      <c r="AA1809" s="83">
        <v>45539</v>
      </c>
      <c r="AB1809" s="23" t="s">
        <v>438</v>
      </c>
      <c r="AC1809" s="41"/>
      <c r="AD1809" s="42"/>
      <c r="AE1809" s="42"/>
      <c r="AF1809" s="42">
        <v>1</v>
      </c>
      <c r="AG1809" s="42"/>
      <c r="AH1809" s="43">
        <f t="shared" si="1842"/>
        <v>1</v>
      </c>
      <c r="AI1809" s="41"/>
      <c r="AJ1809" s="42"/>
      <c r="AK1809" s="42"/>
      <c r="AL1809" s="42"/>
      <c r="AM1809" s="42"/>
      <c r="AN1809" s="43">
        <f t="shared" si="1843"/>
        <v>0</v>
      </c>
      <c r="AO1809" s="42"/>
      <c r="AP1809" s="53"/>
      <c r="AQ1809" s="53"/>
      <c r="AR1809" s="53"/>
      <c r="AS1809" s="72"/>
      <c r="AT1809" s="24">
        <f t="shared" si="1844"/>
        <v>0</v>
      </c>
      <c r="AU1809" s="42"/>
      <c r="AV1809" s="53"/>
      <c r="AW1809" s="53"/>
      <c r="AX1809" s="53"/>
      <c r="AY1809" s="72"/>
      <c r="AZ1809" s="24">
        <f t="shared" si="1845"/>
        <v>0</v>
      </c>
      <c r="BA1809" s="24">
        <f t="shared" si="1797"/>
        <v>1</v>
      </c>
      <c r="BB1809" s="83">
        <v>45567</v>
      </c>
      <c r="BC1809" s="111"/>
    </row>
    <row r="1810" spans="1:55" ht="14.25" x14ac:dyDescent="0.15">
      <c r="A1810" s="23" t="s">
        <v>395</v>
      </c>
      <c r="B1810" s="41"/>
      <c r="C1810" s="42"/>
      <c r="D1810" s="42"/>
      <c r="E1810" s="42"/>
      <c r="F1810" s="42"/>
      <c r="G1810" s="43">
        <f t="shared" si="1829"/>
        <v>0</v>
      </c>
      <c r="H1810" s="41"/>
      <c r="I1810" s="42">
        <v>1</v>
      </c>
      <c r="J1810" s="42"/>
      <c r="K1810" s="42"/>
      <c r="L1810" s="42"/>
      <c r="M1810" s="43">
        <f t="shared" si="1830"/>
        <v>1</v>
      </c>
      <c r="N1810" s="42"/>
      <c r="O1810" s="53"/>
      <c r="P1810" s="53"/>
      <c r="Q1810" s="53"/>
      <c r="R1810" s="72"/>
      <c r="S1810" s="24">
        <f t="shared" si="1831"/>
        <v>0</v>
      </c>
      <c r="T1810" s="42"/>
      <c r="U1810" s="53"/>
      <c r="V1810" s="53"/>
      <c r="W1810" s="53"/>
      <c r="X1810" s="72"/>
      <c r="Y1810" s="24">
        <f t="shared" si="1832"/>
        <v>0</v>
      </c>
      <c r="Z1810" s="24">
        <f t="shared" si="1833"/>
        <v>1</v>
      </c>
      <c r="AA1810" s="83">
        <v>45539</v>
      </c>
      <c r="AB1810" s="23" t="s">
        <v>126</v>
      </c>
      <c r="AC1810" s="41"/>
      <c r="AD1810" s="42"/>
      <c r="AE1810" s="42"/>
      <c r="AF1810" s="42">
        <v>5</v>
      </c>
      <c r="AG1810" s="42">
        <v>3</v>
      </c>
      <c r="AH1810" s="43">
        <f t="shared" ref="AH1810:AH1811" si="1846">SUM(AC1810:AG1810)</f>
        <v>8</v>
      </c>
      <c r="AI1810" s="41"/>
      <c r="AJ1810" s="42"/>
      <c r="AK1810" s="42"/>
      <c r="AL1810" s="42"/>
      <c r="AM1810" s="42"/>
      <c r="AN1810" s="43">
        <f t="shared" ref="AN1810:AN1811" si="1847">SUM(AI1810:AM1810)</f>
        <v>0</v>
      </c>
      <c r="AO1810" s="42"/>
      <c r="AP1810" s="53"/>
      <c r="AQ1810" s="53"/>
      <c r="AR1810" s="53"/>
      <c r="AS1810" s="72">
        <v>3</v>
      </c>
      <c r="AT1810" s="24">
        <f t="shared" ref="AT1810:AT1811" si="1848">SUM(AO1810:AS1810)</f>
        <v>3</v>
      </c>
      <c r="AU1810" s="42"/>
      <c r="AV1810" s="53"/>
      <c r="AW1810" s="53"/>
      <c r="AX1810" s="53"/>
      <c r="AY1810" s="72"/>
      <c r="AZ1810" s="24">
        <f t="shared" ref="AZ1810:AZ1811" si="1849">SUM(AU1810:AY1810)</f>
        <v>0</v>
      </c>
      <c r="BA1810" s="24">
        <f t="shared" si="1797"/>
        <v>11</v>
      </c>
      <c r="BB1810" s="83">
        <v>45566</v>
      </c>
    </row>
    <row r="1811" spans="1:55" ht="14.25" x14ac:dyDescent="0.15">
      <c r="A1811" s="23" t="s">
        <v>395</v>
      </c>
      <c r="B1811" s="41"/>
      <c r="C1811" s="42">
        <v>1</v>
      </c>
      <c r="D1811" s="42">
        <v>1</v>
      </c>
      <c r="E1811" s="42"/>
      <c r="F1811" s="42"/>
      <c r="G1811" s="43">
        <f t="shared" si="1829"/>
        <v>2</v>
      </c>
      <c r="H1811" s="41"/>
      <c r="I1811" s="42"/>
      <c r="J1811" s="42"/>
      <c r="K1811" s="42">
        <v>1</v>
      </c>
      <c r="L1811" s="42">
        <v>1</v>
      </c>
      <c r="M1811" s="43">
        <f t="shared" si="1830"/>
        <v>2</v>
      </c>
      <c r="N1811" s="42">
        <v>1</v>
      </c>
      <c r="O1811" s="53">
        <v>1</v>
      </c>
      <c r="P1811" s="53"/>
      <c r="Q1811" s="53"/>
      <c r="R1811" s="72">
        <v>1</v>
      </c>
      <c r="S1811" s="24">
        <f t="shared" si="1831"/>
        <v>3</v>
      </c>
      <c r="T1811" s="42"/>
      <c r="U1811" s="53"/>
      <c r="V1811" s="53"/>
      <c r="W1811" s="53"/>
      <c r="X1811" s="72"/>
      <c r="Y1811" s="24">
        <f t="shared" si="1832"/>
        <v>0</v>
      </c>
      <c r="Z1811" s="24">
        <f t="shared" si="1833"/>
        <v>7</v>
      </c>
      <c r="AA1811" s="83">
        <v>45540</v>
      </c>
      <c r="AB1811" s="23" t="s">
        <v>496</v>
      </c>
      <c r="AC1811" s="41"/>
      <c r="AD1811" s="42"/>
      <c r="AE1811" s="42"/>
      <c r="AF1811" s="42"/>
      <c r="AG1811" s="42"/>
      <c r="AH1811" s="43">
        <f t="shared" si="1846"/>
        <v>0</v>
      </c>
      <c r="AI1811" s="41"/>
      <c r="AJ1811" s="42"/>
      <c r="AK1811" s="42"/>
      <c r="AL1811" s="42"/>
      <c r="AM1811" s="42"/>
      <c r="AN1811" s="43">
        <f t="shared" si="1847"/>
        <v>0</v>
      </c>
      <c r="AO1811" s="42"/>
      <c r="AP1811" s="53"/>
      <c r="AQ1811" s="53"/>
      <c r="AR1811" s="53"/>
      <c r="AS1811" s="72">
        <v>1</v>
      </c>
      <c r="AT1811" s="24">
        <f t="shared" si="1848"/>
        <v>1</v>
      </c>
      <c r="AU1811" s="42"/>
      <c r="AV1811" s="53"/>
      <c r="AW1811" s="53"/>
      <c r="AX1811" s="53"/>
      <c r="AY1811" s="72"/>
      <c r="AZ1811" s="24">
        <f t="shared" si="1849"/>
        <v>0</v>
      </c>
      <c r="BA1811" s="24">
        <f t="shared" si="1797"/>
        <v>1</v>
      </c>
      <c r="BB1811" s="83">
        <v>45572</v>
      </c>
    </row>
    <row r="1812" spans="1:55" ht="14.25" x14ac:dyDescent="0.15">
      <c r="A1812" s="23" t="s">
        <v>438</v>
      </c>
      <c r="B1812" s="41"/>
      <c r="C1812" s="42"/>
      <c r="D1812" s="42"/>
      <c r="E1812" s="42">
        <v>1</v>
      </c>
      <c r="F1812" s="42"/>
      <c r="G1812" s="43">
        <f t="shared" si="1829"/>
        <v>1</v>
      </c>
      <c r="H1812" s="41"/>
      <c r="I1812" s="42"/>
      <c r="J1812" s="42"/>
      <c r="K1812" s="42"/>
      <c r="L1812" s="42"/>
      <c r="M1812" s="43">
        <f t="shared" si="1830"/>
        <v>0</v>
      </c>
      <c r="N1812" s="42"/>
      <c r="O1812" s="53"/>
      <c r="P1812" s="53"/>
      <c r="Q1812" s="53"/>
      <c r="R1812" s="72"/>
      <c r="S1812" s="24">
        <f t="shared" si="1831"/>
        <v>0</v>
      </c>
      <c r="T1812" s="42"/>
      <c r="U1812" s="53"/>
      <c r="V1812" s="53"/>
      <c r="W1812" s="53"/>
      <c r="X1812" s="72"/>
      <c r="Y1812" s="24">
        <f t="shared" si="1832"/>
        <v>0</v>
      </c>
      <c r="Z1812" s="24">
        <f t="shared" si="1833"/>
        <v>1</v>
      </c>
      <c r="AA1812" s="83">
        <v>45544</v>
      </c>
      <c r="AB1812" s="23" t="s">
        <v>126</v>
      </c>
      <c r="AC1812" s="41"/>
      <c r="AD1812" s="42">
        <v>3</v>
      </c>
      <c r="AE1812" s="42"/>
      <c r="AF1812" s="42"/>
      <c r="AG1812" s="42"/>
      <c r="AH1812" s="43">
        <f t="shared" ref="AH1812" si="1850">SUM(AC1812:AG1812)</f>
        <v>3</v>
      </c>
      <c r="AI1812" s="41"/>
      <c r="AJ1812" s="42"/>
      <c r="AK1812" s="42"/>
      <c r="AL1812" s="42">
        <v>3</v>
      </c>
      <c r="AM1812" s="42">
        <v>3</v>
      </c>
      <c r="AN1812" s="43">
        <f t="shared" ref="AN1812" si="1851">SUM(AI1812:AM1812)</f>
        <v>6</v>
      </c>
      <c r="AO1812" s="42"/>
      <c r="AP1812" s="53"/>
      <c r="AQ1812" s="53"/>
      <c r="AR1812" s="53"/>
      <c r="AS1812" s="72"/>
      <c r="AT1812" s="24">
        <f t="shared" ref="AT1812" si="1852">SUM(AO1812:AS1812)</f>
        <v>0</v>
      </c>
      <c r="AU1812" s="42"/>
      <c r="AV1812" s="53"/>
      <c r="AW1812" s="53"/>
      <c r="AX1812" s="53"/>
      <c r="AY1812" s="72"/>
      <c r="AZ1812" s="24">
        <f t="shared" ref="AZ1812" si="1853">SUM(AU1812:AY1812)</f>
        <v>0</v>
      </c>
      <c r="BA1812" s="24">
        <f t="shared" si="1797"/>
        <v>9</v>
      </c>
      <c r="BB1812" s="83">
        <v>45574</v>
      </c>
    </row>
    <row r="1813" spans="1:55" ht="14.25" x14ac:dyDescent="0.15">
      <c r="A1813" s="23" t="s">
        <v>395</v>
      </c>
      <c r="B1813" s="41"/>
      <c r="C1813" s="42"/>
      <c r="D1813" s="42">
        <v>1</v>
      </c>
      <c r="E1813" s="42"/>
      <c r="F1813" s="42"/>
      <c r="G1813" s="43">
        <f t="shared" si="1829"/>
        <v>1</v>
      </c>
      <c r="H1813" s="41"/>
      <c r="I1813" s="42"/>
      <c r="J1813" s="42"/>
      <c r="K1813" s="42"/>
      <c r="L1813" s="42"/>
      <c r="M1813" s="43">
        <f t="shared" si="1830"/>
        <v>0</v>
      </c>
      <c r="N1813" s="42"/>
      <c r="O1813" s="53"/>
      <c r="P1813" s="53"/>
      <c r="Q1813" s="53"/>
      <c r="R1813" s="72"/>
      <c r="S1813" s="24">
        <f t="shared" si="1831"/>
        <v>0</v>
      </c>
      <c r="T1813" s="42"/>
      <c r="U1813" s="53"/>
      <c r="V1813" s="53">
        <v>1</v>
      </c>
      <c r="W1813" s="53"/>
      <c r="X1813" s="72"/>
      <c r="Y1813" s="24">
        <f t="shared" si="1832"/>
        <v>1</v>
      </c>
      <c r="Z1813" s="24">
        <f t="shared" si="1833"/>
        <v>2</v>
      </c>
      <c r="AA1813" s="83">
        <v>45541</v>
      </c>
      <c r="AB1813" s="23"/>
      <c r="AC1813" s="41"/>
      <c r="AD1813" s="42"/>
      <c r="AE1813" s="42"/>
      <c r="AF1813" s="42"/>
      <c r="AG1813" s="42"/>
      <c r="AH1813" s="43">
        <f t="shared" si="1825"/>
        <v>0</v>
      </c>
      <c r="AI1813" s="41"/>
      <c r="AJ1813" s="42"/>
      <c r="AK1813" s="42"/>
      <c r="AL1813" s="42"/>
      <c r="AM1813" s="42"/>
      <c r="AN1813" s="43">
        <f t="shared" si="1826"/>
        <v>0</v>
      </c>
      <c r="AO1813" s="42"/>
      <c r="AP1813" s="53"/>
      <c r="AQ1813" s="53"/>
      <c r="AR1813" s="53"/>
      <c r="AS1813" s="72"/>
      <c r="AT1813" s="24">
        <f t="shared" si="1827"/>
        <v>0</v>
      </c>
      <c r="AU1813" s="42"/>
      <c r="AV1813" s="53"/>
      <c r="AW1813" s="53"/>
      <c r="AX1813" s="53"/>
      <c r="AY1813" s="72"/>
      <c r="AZ1813" s="24">
        <f t="shared" si="1828"/>
        <v>0</v>
      </c>
      <c r="BA1813" s="24">
        <f t="shared" si="1797"/>
        <v>0</v>
      </c>
      <c r="BB1813" s="83"/>
    </row>
    <row r="1814" spans="1:55" ht="14.25" x14ac:dyDescent="0.15">
      <c r="A1814" s="23" t="s">
        <v>395</v>
      </c>
      <c r="B1814" s="41"/>
      <c r="C1814" s="42"/>
      <c r="D1814" s="42"/>
      <c r="E1814" s="42"/>
      <c r="F1814" s="42"/>
      <c r="G1814" s="43">
        <f t="shared" si="1829"/>
        <v>0</v>
      </c>
      <c r="H1814" s="41"/>
      <c r="I1814" s="42"/>
      <c r="J1814" s="42"/>
      <c r="K1814" s="42"/>
      <c r="L1814" s="42">
        <v>1</v>
      </c>
      <c r="M1814" s="43">
        <f t="shared" si="1830"/>
        <v>1</v>
      </c>
      <c r="N1814" s="42"/>
      <c r="O1814" s="53"/>
      <c r="P1814" s="53">
        <v>1</v>
      </c>
      <c r="Q1814" s="53"/>
      <c r="R1814" s="72"/>
      <c r="S1814" s="24">
        <f t="shared" si="1831"/>
        <v>1</v>
      </c>
      <c r="T1814" s="42"/>
      <c r="U1814" s="53"/>
      <c r="V1814" s="53">
        <v>1</v>
      </c>
      <c r="W1814" s="53"/>
      <c r="X1814" s="72"/>
      <c r="Y1814" s="24">
        <f t="shared" si="1832"/>
        <v>1</v>
      </c>
      <c r="Z1814" s="24">
        <f t="shared" si="1833"/>
        <v>3</v>
      </c>
      <c r="AA1814" s="83">
        <v>45544</v>
      </c>
      <c r="AB1814" s="23"/>
      <c r="AC1814" s="41"/>
      <c r="AD1814" s="42"/>
      <c r="AE1814" s="42"/>
      <c r="AF1814" s="42"/>
      <c r="AG1814" s="42"/>
      <c r="AH1814" s="43">
        <f t="shared" si="1825"/>
        <v>0</v>
      </c>
      <c r="AI1814" s="41"/>
      <c r="AJ1814" s="42"/>
      <c r="AK1814" s="42"/>
      <c r="AL1814" s="42"/>
      <c r="AM1814" s="42"/>
      <c r="AN1814" s="43">
        <f t="shared" si="1826"/>
        <v>0</v>
      </c>
      <c r="AO1814" s="42"/>
      <c r="AP1814" s="53"/>
      <c r="AQ1814" s="53"/>
      <c r="AR1814" s="53"/>
      <c r="AS1814" s="72"/>
      <c r="AT1814" s="24">
        <f t="shared" si="1827"/>
        <v>0</v>
      </c>
      <c r="AU1814" s="42"/>
      <c r="AV1814" s="53"/>
      <c r="AW1814" s="53"/>
      <c r="AX1814" s="53"/>
      <c r="AY1814" s="72"/>
      <c r="AZ1814" s="24">
        <f t="shared" si="1828"/>
        <v>0</v>
      </c>
      <c r="BA1814" s="24">
        <f t="shared" si="1797"/>
        <v>0</v>
      </c>
      <c r="BB1814" s="83"/>
    </row>
    <row r="1815" spans="1:55" ht="14.25" x14ac:dyDescent="0.15">
      <c r="A1815" s="23" t="s">
        <v>395</v>
      </c>
      <c r="B1815" s="41"/>
      <c r="C1815" s="42"/>
      <c r="D1815" s="42"/>
      <c r="E1815" s="42"/>
      <c r="F1815" s="42"/>
      <c r="G1815" s="43">
        <f t="shared" si="1829"/>
        <v>0</v>
      </c>
      <c r="H1815" s="41"/>
      <c r="I1815" s="42"/>
      <c r="J1815" s="42"/>
      <c r="K1815" s="42"/>
      <c r="L1815" s="42">
        <v>1</v>
      </c>
      <c r="M1815" s="43">
        <f t="shared" si="1830"/>
        <v>1</v>
      </c>
      <c r="N1815" s="42"/>
      <c r="O1815" s="53"/>
      <c r="P1815" s="53"/>
      <c r="Q1815" s="53"/>
      <c r="R1815" s="72"/>
      <c r="S1815" s="24">
        <f t="shared" si="1831"/>
        <v>0</v>
      </c>
      <c r="T1815" s="42"/>
      <c r="U1815" s="53"/>
      <c r="V1815" s="53"/>
      <c r="W1815" s="53"/>
      <c r="X1815" s="72"/>
      <c r="Y1815" s="24">
        <f t="shared" si="1832"/>
        <v>0</v>
      </c>
      <c r="Z1815" s="24">
        <f t="shared" si="1833"/>
        <v>1</v>
      </c>
      <c r="AA1815" s="83">
        <v>45545</v>
      </c>
      <c r="AB1815" s="23"/>
      <c r="AC1815" s="41"/>
      <c r="AD1815" s="42"/>
      <c r="AE1815" s="42"/>
      <c r="AF1815" s="42"/>
      <c r="AG1815" s="42"/>
      <c r="AH1815" s="43">
        <f t="shared" si="1825"/>
        <v>0</v>
      </c>
      <c r="AI1815" s="41"/>
      <c r="AJ1815" s="42"/>
      <c r="AK1815" s="42"/>
      <c r="AL1815" s="42"/>
      <c r="AM1815" s="42"/>
      <c r="AN1815" s="43">
        <f t="shared" si="1826"/>
        <v>0</v>
      </c>
      <c r="AO1815" s="42"/>
      <c r="AP1815" s="53"/>
      <c r="AQ1815" s="53"/>
      <c r="AR1815" s="53"/>
      <c r="AS1815" s="72"/>
      <c r="AT1815" s="24">
        <f t="shared" si="1827"/>
        <v>0</v>
      </c>
      <c r="AU1815" s="42"/>
      <c r="AV1815" s="53"/>
      <c r="AW1815" s="53"/>
      <c r="AX1815" s="53"/>
      <c r="AY1815" s="72"/>
      <c r="AZ1815" s="24">
        <f t="shared" si="1828"/>
        <v>0</v>
      </c>
      <c r="BA1815" s="24">
        <f t="shared" si="1797"/>
        <v>0</v>
      </c>
      <c r="BB1815" s="83"/>
    </row>
    <row r="1816" spans="1:55" ht="14.25" x14ac:dyDescent="0.15">
      <c r="A1816" s="23" t="s">
        <v>438</v>
      </c>
      <c r="B1816" s="41"/>
      <c r="C1816" s="42"/>
      <c r="D1816" s="42">
        <v>1</v>
      </c>
      <c r="E1816" s="42"/>
      <c r="F1816" s="42"/>
      <c r="G1816" s="43">
        <f t="shared" si="1829"/>
        <v>1</v>
      </c>
      <c r="H1816" s="41"/>
      <c r="I1816" s="42"/>
      <c r="J1816" s="42"/>
      <c r="K1816" s="42"/>
      <c r="L1816" s="42"/>
      <c r="M1816" s="43">
        <f t="shared" si="1830"/>
        <v>0</v>
      </c>
      <c r="N1816" s="42"/>
      <c r="O1816" s="53"/>
      <c r="P1816" s="53"/>
      <c r="Q1816" s="53"/>
      <c r="R1816" s="72"/>
      <c r="S1816" s="24">
        <f t="shared" si="1831"/>
        <v>0</v>
      </c>
      <c r="T1816" s="42"/>
      <c r="U1816" s="53"/>
      <c r="V1816" s="53"/>
      <c r="W1816" s="53"/>
      <c r="X1816" s="72"/>
      <c r="Y1816" s="24">
        <f t="shared" si="1832"/>
        <v>0</v>
      </c>
      <c r="Z1816" s="24">
        <f t="shared" si="1833"/>
        <v>1</v>
      </c>
      <c r="AA1816" s="83">
        <v>45548</v>
      </c>
      <c r="AB1816" s="23"/>
      <c r="AC1816" s="41"/>
      <c r="AD1816" s="42"/>
      <c r="AE1816" s="42"/>
      <c r="AF1816" s="42"/>
      <c r="AG1816" s="42"/>
      <c r="AH1816" s="43">
        <f t="shared" si="1825"/>
        <v>0</v>
      </c>
      <c r="AI1816" s="41"/>
      <c r="AJ1816" s="42"/>
      <c r="AK1816" s="42"/>
      <c r="AL1816" s="42"/>
      <c r="AM1816" s="42"/>
      <c r="AN1816" s="43">
        <f t="shared" si="1826"/>
        <v>0</v>
      </c>
      <c r="AO1816" s="42"/>
      <c r="AP1816" s="53"/>
      <c r="AQ1816" s="53"/>
      <c r="AR1816" s="53"/>
      <c r="AS1816" s="72"/>
      <c r="AT1816" s="24">
        <f t="shared" si="1827"/>
        <v>0</v>
      </c>
      <c r="AU1816" s="42"/>
      <c r="AV1816" s="53"/>
      <c r="AW1816" s="53"/>
      <c r="AX1816" s="53"/>
      <c r="AY1816" s="72"/>
      <c r="AZ1816" s="24">
        <f t="shared" si="1828"/>
        <v>0</v>
      </c>
      <c r="BA1816" s="24">
        <f t="shared" si="1797"/>
        <v>0</v>
      </c>
      <c r="BB1816" s="83"/>
    </row>
    <row r="1817" spans="1:55" ht="14.25" x14ac:dyDescent="0.15">
      <c r="A1817" s="23" t="s">
        <v>395</v>
      </c>
      <c r="B1817" s="41"/>
      <c r="C1817" s="42"/>
      <c r="D1817" s="42"/>
      <c r="E1817" s="42"/>
      <c r="F1817" s="42"/>
      <c r="G1817" s="43">
        <f t="shared" si="1829"/>
        <v>0</v>
      </c>
      <c r="H1817" s="41"/>
      <c r="I1817" s="42">
        <v>1</v>
      </c>
      <c r="J1817" s="42"/>
      <c r="K1817" s="42"/>
      <c r="L1817" s="42">
        <v>-1</v>
      </c>
      <c r="M1817" s="43">
        <f t="shared" si="1830"/>
        <v>0</v>
      </c>
      <c r="N1817" s="42"/>
      <c r="O1817" s="53"/>
      <c r="P1817" s="53"/>
      <c r="Q1817" s="53"/>
      <c r="R1817" s="72"/>
      <c r="S1817" s="24">
        <f t="shared" si="1831"/>
        <v>0</v>
      </c>
      <c r="T1817" s="42"/>
      <c r="U1817" s="53"/>
      <c r="V1817" s="53"/>
      <c r="W1817" s="53"/>
      <c r="X1817" s="72"/>
      <c r="Y1817" s="24">
        <f t="shared" si="1832"/>
        <v>0</v>
      </c>
      <c r="Z1817" s="24">
        <f t="shared" si="1833"/>
        <v>0</v>
      </c>
      <c r="AA1817" s="83">
        <v>45546</v>
      </c>
      <c r="AB1817" s="23"/>
      <c r="AC1817" s="41"/>
      <c r="AD1817" s="42"/>
      <c r="AE1817" s="42"/>
      <c r="AF1817" s="42"/>
      <c r="AG1817" s="42"/>
      <c r="AH1817" s="43">
        <f t="shared" si="1825"/>
        <v>0</v>
      </c>
      <c r="AI1817" s="41"/>
      <c r="AJ1817" s="42"/>
      <c r="AK1817" s="42"/>
      <c r="AL1817" s="42"/>
      <c r="AM1817" s="42"/>
      <c r="AN1817" s="43">
        <f t="shared" si="1826"/>
        <v>0</v>
      </c>
      <c r="AO1817" s="42"/>
      <c r="AP1817" s="53"/>
      <c r="AQ1817" s="53"/>
      <c r="AR1817" s="53"/>
      <c r="AS1817" s="72"/>
      <c r="AT1817" s="24">
        <f t="shared" si="1827"/>
        <v>0</v>
      </c>
      <c r="AU1817" s="42"/>
      <c r="AV1817" s="53"/>
      <c r="AW1817" s="53"/>
      <c r="AX1817" s="53"/>
      <c r="AY1817" s="72"/>
      <c r="AZ1817" s="24">
        <f t="shared" si="1828"/>
        <v>0</v>
      </c>
      <c r="BA1817" s="24">
        <f t="shared" si="1797"/>
        <v>0</v>
      </c>
      <c r="BB1817" s="83"/>
    </row>
    <row r="1818" spans="1:55" ht="14.25" x14ac:dyDescent="0.15">
      <c r="A1818" s="23" t="s">
        <v>438</v>
      </c>
      <c r="B1818" s="41"/>
      <c r="C1818" s="42"/>
      <c r="D1818" s="42"/>
      <c r="E1818" s="42"/>
      <c r="F1818" s="42"/>
      <c r="G1818" s="43">
        <f t="shared" si="1829"/>
        <v>0</v>
      </c>
      <c r="H1818" s="41"/>
      <c r="I1818" s="42"/>
      <c r="J1818" s="42"/>
      <c r="K1818" s="42">
        <v>1</v>
      </c>
      <c r="L1818" s="42"/>
      <c r="M1818" s="43">
        <f t="shared" si="1830"/>
        <v>1</v>
      </c>
      <c r="N1818" s="42"/>
      <c r="O1818" s="53">
        <v>1</v>
      </c>
      <c r="P1818" s="53"/>
      <c r="Q1818" s="53"/>
      <c r="R1818" s="72"/>
      <c r="S1818" s="24">
        <f t="shared" si="1831"/>
        <v>1</v>
      </c>
      <c r="T1818" s="42"/>
      <c r="U1818" s="53"/>
      <c r="V1818" s="53"/>
      <c r="W1818" s="53"/>
      <c r="X1818" s="72"/>
      <c r="Y1818" s="24">
        <f t="shared" si="1832"/>
        <v>0</v>
      </c>
      <c r="Z1818" s="24">
        <f t="shared" si="1833"/>
        <v>2</v>
      </c>
      <c r="AA1818" s="83">
        <v>45552</v>
      </c>
      <c r="AB1818" s="23"/>
      <c r="AC1818" s="41"/>
      <c r="AD1818" s="42"/>
      <c r="AE1818" s="42"/>
      <c r="AF1818" s="42"/>
      <c r="AG1818" s="42"/>
      <c r="AH1818" s="43">
        <f t="shared" si="1825"/>
        <v>0</v>
      </c>
      <c r="AI1818" s="41"/>
      <c r="AJ1818" s="42"/>
      <c r="AK1818" s="42"/>
      <c r="AL1818" s="42"/>
      <c r="AM1818" s="42"/>
      <c r="AN1818" s="43">
        <f t="shared" si="1826"/>
        <v>0</v>
      </c>
      <c r="AO1818" s="42"/>
      <c r="AP1818" s="53"/>
      <c r="AQ1818" s="53"/>
      <c r="AR1818" s="53"/>
      <c r="AS1818" s="72"/>
      <c r="AT1818" s="24">
        <f t="shared" si="1827"/>
        <v>0</v>
      </c>
      <c r="AU1818" s="42"/>
      <c r="AV1818" s="53"/>
      <c r="AW1818" s="53"/>
      <c r="AX1818" s="53"/>
      <c r="AY1818" s="72"/>
      <c r="AZ1818" s="24">
        <f t="shared" si="1828"/>
        <v>0</v>
      </c>
      <c r="BA1818" s="24">
        <f t="shared" si="1797"/>
        <v>0</v>
      </c>
      <c r="BB1818" s="83"/>
    </row>
    <row r="1819" spans="1:55" ht="14.25" x14ac:dyDescent="0.15">
      <c r="A1819" s="23" t="s">
        <v>395</v>
      </c>
      <c r="B1819" s="41"/>
      <c r="C1819" s="42"/>
      <c r="D1819" s="42">
        <v>1</v>
      </c>
      <c r="E1819" s="42"/>
      <c r="F1819" s="42"/>
      <c r="G1819" s="43">
        <f t="shared" si="1829"/>
        <v>1</v>
      </c>
      <c r="H1819" s="41"/>
      <c r="I1819" s="42"/>
      <c r="J1819" s="42"/>
      <c r="K1819" s="42"/>
      <c r="L1819" s="42">
        <v>1</v>
      </c>
      <c r="M1819" s="43">
        <f t="shared" si="1830"/>
        <v>1</v>
      </c>
      <c r="N1819" s="42"/>
      <c r="O1819" s="53"/>
      <c r="P1819" s="53"/>
      <c r="Q1819" s="53"/>
      <c r="R1819" s="72"/>
      <c r="S1819" s="24">
        <f t="shared" si="1831"/>
        <v>0</v>
      </c>
      <c r="T1819" s="42"/>
      <c r="U1819" s="53"/>
      <c r="V1819" s="53"/>
      <c r="W1819" s="53"/>
      <c r="X1819" s="72"/>
      <c r="Y1819" s="24">
        <f t="shared" si="1832"/>
        <v>0</v>
      </c>
      <c r="Z1819" s="24">
        <f t="shared" si="1833"/>
        <v>2</v>
      </c>
      <c r="AA1819" s="83">
        <v>45548</v>
      </c>
      <c r="AB1819" s="23"/>
      <c r="AC1819" s="41"/>
      <c r="AD1819" s="42"/>
      <c r="AE1819" s="42"/>
      <c r="AF1819" s="42"/>
      <c r="AG1819" s="42"/>
      <c r="AH1819" s="43">
        <f t="shared" si="1825"/>
        <v>0</v>
      </c>
      <c r="AI1819" s="41"/>
      <c r="AJ1819" s="42"/>
      <c r="AK1819" s="42"/>
      <c r="AL1819" s="42"/>
      <c r="AM1819" s="42"/>
      <c r="AN1819" s="43">
        <f t="shared" si="1826"/>
        <v>0</v>
      </c>
      <c r="AO1819" s="42"/>
      <c r="AP1819" s="53"/>
      <c r="AQ1819" s="53"/>
      <c r="AR1819" s="53"/>
      <c r="AS1819" s="72"/>
      <c r="AT1819" s="24">
        <f t="shared" si="1827"/>
        <v>0</v>
      </c>
      <c r="AU1819" s="42"/>
      <c r="AV1819" s="53"/>
      <c r="AW1819" s="53"/>
      <c r="AX1819" s="53"/>
      <c r="AY1819" s="72"/>
      <c r="AZ1819" s="24">
        <f t="shared" si="1828"/>
        <v>0</v>
      </c>
      <c r="BA1819" s="24">
        <f t="shared" si="1797"/>
        <v>0</v>
      </c>
      <c r="BB1819" s="83"/>
    </row>
    <row r="1820" spans="1:55" ht="14.25" x14ac:dyDescent="0.15">
      <c r="A1820" s="23" t="s">
        <v>438</v>
      </c>
      <c r="B1820" s="41">
        <v>1</v>
      </c>
      <c r="C1820" s="42"/>
      <c r="D1820" s="42">
        <v>1</v>
      </c>
      <c r="E1820" s="42"/>
      <c r="F1820" s="42"/>
      <c r="G1820" s="43">
        <f t="shared" si="1829"/>
        <v>2</v>
      </c>
      <c r="H1820" s="41">
        <v>1</v>
      </c>
      <c r="I1820" s="42"/>
      <c r="J1820" s="42"/>
      <c r="K1820" s="42"/>
      <c r="L1820" s="42"/>
      <c r="M1820" s="43">
        <f t="shared" si="1830"/>
        <v>1</v>
      </c>
      <c r="N1820" s="42"/>
      <c r="O1820" s="53"/>
      <c r="P1820" s="53"/>
      <c r="Q1820" s="53"/>
      <c r="R1820" s="72"/>
      <c r="S1820" s="24">
        <f t="shared" si="1831"/>
        <v>0</v>
      </c>
      <c r="T1820" s="42"/>
      <c r="U1820" s="53"/>
      <c r="V1820" s="53"/>
      <c r="W1820" s="53"/>
      <c r="X1820" s="72"/>
      <c r="Y1820" s="24">
        <f t="shared" si="1832"/>
        <v>0</v>
      </c>
      <c r="Z1820" s="24">
        <f t="shared" si="1833"/>
        <v>3</v>
      </c>
      <c r="AA1820" s="83">
        <v>45554</v>
      </c>
      <c r="AB1820" s="23"/>
      <c r="AC1820" s="41"/>
      <c r="AD1820" s="42"/>
      <c r="AE1820" s="42"/>
      <c r="AF1820" s="42"/>
      <c r="AG1820" s="42"/>
      <c r="AH1820" s="43">
        <f t="shared" si="1825"/>
        <v>0</v>
      </c>
      <c r="AI1820" s="41"/>
      <c r="AJ1820" s="42"/>
      <c r="AK1820" s="42"/>
      <c r="AL1820" s="42"/>
      <c r="AM1820" s="42"/>
      <c r="AN1820" s="43">
        <f t="shared" si="1826"/>
        <v>0</v>
      </c>
      <c r="AO1820" s="42"/>
      <c r="AP1820" s="53"/>
      <c r="AQ1820" s="53"/>
      <c r="AR1820" s="53"/>
      <c r="AS1820" s="72"/>
      <c r="AT1820" s="24">
        <f t="shared" si="1827"/>
        <v>0</v>
      </c>
      <c r="AU1820" s="42"/>
      <c r="AV1820" s="53"/>
      <c r="AW1820" s="53"/>
      <c r="AX1820" s="53"/>
      <c r="AY1820" s="72"/>
      <c r="AZ1820" s="24">
        <f t="shared" si="1828"/>
        <v>0</v>
      </c>
      <c r="BA1820" s="24">
        <f t="shared" si="1797"/>
        <v>0</v>
      </c>
      <c r="BB1820" s="83"/>
    </row>
    <row r="1821" spans="1:55" ht="14.25" x14ac:dyDescent="0.15">
      <c r="A1821" s="23" t="s">
        <v>395</v>
      </c>
      <c r="B1821" s="41"/>
      <c r="C1821" s="42"/>
      <c r="D1821" s="42"/>
      <c r="E1821" s="42"/>
      <c r="F1821" s="42"/>
      <c r="G1821" s="43">
        <f t="shared" si="1829"/>
        <v>0</v>
      </c>
      <c r="H1821" s="41"/>
      <c r="I1821" s="42">
        <v>1</v>
      </c>
      <c r="J1821" s="42"/>
      <c r="K1821" s="42"/>
      <c r="L1821" s="42"/>
      <c r="M1821" s="43">
        <f t="shared" si="1830"/>
        <v>1</v>
      </c>
      <c r="N1821" s="42"/>
      <c r="O1821" s="53"/>
      <c r="P1821" s="53"/>
      <c r="Q1821" s="53"/>
      <c r="R1821" s="72"/>
      <c r="S1821" s="24">
        <f t="shared" si="1831"/>
        <v>0</v>
      </c>
      <c r="T1821" s="42"/>
      <c r="U1821" s="53">
        <v>1</v>
      </c>
      <c r="V1821" s="53"/>
      <c r="W1821" s="53"/>
      <c r="X1821" s="72">
        <v>1</v>
      </c>
      <c r="Y1821" s="24">
        <f t="shared" si="1832"/>
        <v>2</v>
      </c>
      <c r="Z1821" s="24">
        <f t="shared" si="1833"/>
        <v>3</v>
      </c>
      <c r="AA1821" s="83">
        <v>45552</v>
      </c>
      <c r="AB1821" s="23"/>
      <c r="AC1821" s="41"/>
      <c r="AD1821" s="42"/>
      <c r="AE1821" s="42"/>
      <c r="AF1821" s="42"/>
      <c r="AG1821" s="42"/>
      <c r="AH1821" s="43">
        <f t="shared" si="1825"/>
        <v>0</v>
      </c>
      <c r="AI1821" s="41"/>
      <c r="AJ1821" s="42"/>
      <c r="AK1821" s="42"/>
      <c r="AL1821" s="42"/>
      <c r="AM1821" s="42"/>
      <c r="AN1821" s="43">
        <f t="shared" si="1826"/>
        <v>0</v>
      </c>
      <c r="AO1821" s="42"/>
      <c r="AP1821" s="53"/>
      <c r="AQ1821" s="53"/>
      <c r="AR1821" s="53"/>
      <c r="AS1821" s="72"/>
      <c r="AT1821" s="24">
        <f t="shared" si="1827"/>
        <v>0</v>
      </c>
      <c r="AU1821" s="42"/>
      <c r="AV1821" s="53"/>
      <c r="AW1821" s="53"/>
      <c r="AX1821" s="53"/>
      <c r="AY1821" s="72"/>
      <c r="AZ1821" s="24">
        <f t="shared" si="1828"/>
        <v>0</v>
      </c>
      <c r="BA1821" s="24">
        <f t="shared" si="1797"/>
        <v>0</v>
      </c>
      <c r="BB1821" s="83"/>
    </row>
    <row r="1822" spans="1:55" ht="14.25" x14ac:dyDescent="0.15">
      <c r="A1822" s="23" t="s">
        <v>438</v>
      </c>
      <c r="B1822" s="41">
        <v>1</v>
      </c>
      <c r="C1822" s="42"/>
      <c r="D1822" s="42"/>
      <c r="E1822" s="42"/>
      <c r="F1822" s="42"/>
      <c r="G1822" s="43">
        <f t="shared" si="1829"/>
        <v>1</v>
      </c>
      <c r="H1822" s="41"/>
      <c r="I1822" s="42"/>
      <c r="J1822" s="42">
        <v>1</v>
      </c>
      <c r="K1822" s="42"/>
      <c r="L1822" s="42"/>
      <c r="M1822" s="43">
        <f t="shared" si="1830"/>
        <v>1</v>
      </c>
      <c r="N1822" s="42"/>
      <c r="O1822" s="53"/>
      <c r="P1822" s="53"/>
      <c r="Q1822" s="53"/>
      <c r="R1822" s="72"/>
      <c r="S1822" s="24">
        <f t="shared" si="1831"/>
        <v>0</v>
      </c>
      <c r="T1822" s="42"/>
      <c r="U1822" s="53"/>
      <c r="V1822" s="53"/>
      <c r="W1822" s="53"/>
      <c r="X1822" s="72"/>
      <c r="Y1822" s="24">
        <f t="shared" si="1832"/>
        <v>0</v>
      </c>
      <c r="Z1822" s="24">
        <f t="shared" si="1833"/>
        <v>2</v>
      </c>
      <c r="AA1822" s="83">
        <v>45555</v>
      </c>
      <c r="AB1822" s="23"/>
      <c r="AC1822" s="41"/>
      <c r="AD1822" s="42"/>
      <c r="AE1822" s="42"/>
      <c r="AF1822" s="42"/>
      <c r="AG1822" s="42"/>
      <c r="AH1822" s="43">
        <f t="shared" si="1825"/>
        <v>0</v>
      </c>
      <c r="AI1822" s="41"/>
      <c r="AJ1822" s="42"/>
      <c r="AK1822" s="42"/>
      <c r="AL1822" s="42"/>
      <c r="AM1822" s="42"/>
      <c r="AN1822" s="43">
        <f t="shared" si="1826"/>
        <v>0</v>
      </c>
      <c r="AO1822" s="42"/>
      <c r="AP1822" s="53"/>
      <c r="AQ1822" s="53"/>
      <c r="AR1822" s="53"/>
      <c r="AS1822" s="72"/>
      <c r="AT1822" s="24">
        <f t="shared" si="1827"/>
        <v>0</v>
      </c>
      <c r="AU1822" s="42"/>
      <c r="AV1822" s="53"/>
      <c r="AW1822" s="53"/>
      <c r="AX1822" s="53"/>
      <c r="AY1822" s="72"/>
      <c r="AZ1822" s="24">
        <f t="shared" si="1828"/>
        <v>0</v>
      </c>
      <c r="BA1822" s="24">
        <f t="shared" si="1797"/>
        <v>0</v>
      </c>
      <c r="BB1822" s="83"/>
    </row>
    <row r="1823" spans="1:55" ht="14.25" x14ac:dyDescent="0.15">
      <c r="A1823" s="23" t="s">
        <v>395</v>
      </c>
      <c r="B1823" s="41"/>
      <c r="C1823" s="42"/>
      <c r="D1823" s="42"/>
      <c r="E1823" s="42"/>
      <c r="F1823" s="42"/>
      <c r="G1823" s="43">
        <f t="shared" si="1829"/>
        <v>0</v>
      </c>
      <c r="H1823" s="41"/>
      <c r="I1823" s="42">
        <v>1</v>
      </c>
      <c r="J1823" s="42"/>
      <c r="K1823" s="42"/>
      <c r="L1823" s="42"/>
      <c r="M1823" s="43">
        <f t="shared" si="1830"/>
        <v>1</v>
      </c>
      <c r="N1823" s="42"/>
      <c r="O1823" s="53"/>
      <c r="P1823" s="53"/>
      <c r="Q1823" s="53"/>
      <c r="R1823" s="72"/>
      <c r="S1823" s="24">
        <f t="shared" si="1831"/>
        <v>0</v>
      </c>
      <c r="T1823" s="42"/>
      <c r="U1823" s="53"/>
      <c r="V1823" s="53"/>
      <c r="W1823" s="53"/>
      <c r="X1823" s="72"/>
      <c r="Y1823" s="24">
        <f t="shared" si="1832"/>
        <v>0</v>
      </c>
      <c r="Z1823" s="24">
        <f t="shared" si="1833"/>
        <v>1</v>
      </c>
      <c r="AA1823" s="83">
        <v>45553</v>
      </c>
      <c r="AB1823" s="23"/>
      <c r="AC1823" s="41"/>
      <c r="AD1823" s="42"/>
      <c r="AE1823" s="42"/>
      <c r="AF1823" s="42"/>
      <c r="AG1823" s="42"/>
      <c r="AH1823" s="43">
        <f t="shared" si="1825"/>
        <v>0</v>
      </c>
      <c r="AI1823" s="41"/>
      <c r="AJ1823" s="42"/>
      <c r="AK1823" s="42"/>
      <c r="AL1823" s="42"/>
      <c r="AM1823" s="42"/>
      <c r="AN1823" s="43">
        <f t="shared" si="1826"/>
        <v>0</v>
      </c>
      <c r="AO1823" s="42"/>
      <c r="AP1823" s="53"/>
      <c r="AQ1823" s="53"/>
      <c r="AR1823" s="53"/>
      <c r="AS1823" s="72"/>
      <c r="AT1823" s="24">
        <f t="shared" si="1827"/>
        <v>0</v>
      </c>
      <c r="AU1823" s="42"/>
      <c r="AV1823" s="53"/>
      <c r="AW1823" s="53"/>
      <c r="AX1823" s="53"/>
      <c r="AY1823" s="72"/>
      <c r="AZ1823" s="24">
        <f t="shared" si="1828"/>
        <v>0</v>
      </c>
      <c r="BA1823" s="24">
        <f t="shared" si="1797"/>
        <v>0</v>
      </c>
      <c r="BB1823" s="83"/>
    </row>
    <row r="1824" spans="1:55" ht="14.25" x14ac:dyDescent="0.15">
      <c r="A1824" s="23" t="s">
        <v>438</v>
      </c>
      <c r="B1824" s="41"/>
      <c r="C1824" s="42">
        <v>1</v>
      </c>
      <c r="D1824" s="42">
        <v>1</v>
      </c>
      <c r="E1824" s="42">
        <v>1</v>
      </c>
      <c r="F1824" s="42"/>
      <c r="G1824" s="43">
        <f t="shared" si="1829"/>
        <v>3</v>
      </c>
      <c r="H1824" s="41"/>
      <c r="I1824" s="42"/>
      <c r="J1824" s="42"/>
      <c r="K1824" s="42"/>
      <c r="L1824" s="42"/>
      <c r="M1824" s="43">
        <f t="shared" si="1830"/>
        <v>0</v>
      </c>
      <c r="N1824" s="42"/>
      <c r="O1824" s="53"/>
      <c r="P1824" s="53"/>
      <c r="Q1824" s="53"/>
      <c r="R1824" s="72"/>
      <c r="S1824" s="24">
        <f t="shared" si="1831"/>
        <v>0</v>
      </c>
      <c r="T1824" s="42"/>
      <c r="U1824" s="53"/>
      <c r="V1824" s="53"/>
      <c r="W1824" s="53"/>
      <c r="X1824" s="72"/>
      <c r="Y1824" s="24">
        <f t="shared" si="1832"/>
        <v>0</v>
      </c>
      <c r="Z1824" s="24">
        <f t="shared" si="1833"/>
        <v>3</v>
      </c>
      <c r="AA1824" s="83">
        <v>45555</v>
      </c>
      <c r="AB1824" s="23"/>
      <c r="AC1824" s="41"/>
      <c r="AD1824" s="42"/>
      <c r="AE1824" s="42"/>
      <c r="AF1824" s="42"/>
      <c r="AG1824" s="42"/>
      <c r="AH1824" s="43">
        <f t="shared" si="1825"/>
        <v>0</v>
      </c>
      <c r="AI1824" s="41"/>
      <c r="AJ1824" s="42"/>
      <c r="AK1824" s="42"/>
      <c r="AL1824" s="42"/>
      <c r="AM1824" s="42"/>
      <c r="AN1824" s="43">
        <f t="shared" si="1826"/>
        <v>0</v>
      </c>
      <c r="AO1824" s="42"/>
      <c r="AP1824" s="53"/>
      <c r="AQ1824" s="53"/>
      <c r="AR1824" s="53"/>
      <c r="AS1824" s="72"/>
      <c r="AT1824" s="24">
        <f t="shared" si="1827"/>
        <v>0</v>
      </c>
      <c r="AU1824" s="42"/>
      <c r="AV1824" s="53"/>
      <c r="AW1824" s="53"/>
      <c r="AX1824" s="53"/>
      <c r="AY1824" s="72"/>
      <c r="AZ1824" s="24">
        <f t="shared" si="1828"/>
        <v>0</v>
      </c>
      <c r="BA1824" s="24">
        <f t="shared" si="1797"/>
        <v>0</v>
      </c>
      <c r="BB1824" s="83"/>
    </row>
    <row r="1825" spans="1:54" ht="14.25" x14ac:dyDescent="0.15">
      <c r="A1825" s="23" t="s">
        <v>395</v>
      </c>
      <c r="B1825" s="41"/>
      <c r="C1825" s="42">
        <v>1</v>
      </c>
      <c r="D1825" s="42"/>
      <c r="E1825" s="42"/>
      <c r="F1825" s="42"/>
      <c r="G1825" s="43">
        <f t="shared" si="1808"/>
        <v>1</v>
      </c>
      <c r="H1825" s="41"/>
      <c r="I1825" s="42"/>
      <c r="J1825" s="42"/>
      <c r="K1825" s="42"/>
      <c r="L1825" s="42"/>
      <c r="M1825" s="43">
        <f t="shared" si="1781"/>
        <v>0</v>
      </c>
      <c r="N1825" s="42"/>
      <c r="O1825" s="53"/>
      <c r="P1825" s="53"/>
      <c r="Q1825" s="53"/>
      <c r="R1825" s="72"/>
      <c r="S1825" s="24">
        <f t="shared" si="1782"/>
        <v>0</v>
      </c>
      <c r="T1825" s="42"/>
      <c r="U1825" s="53"/>
      <c r="V1825" s="53"/>
      <c r="W1825" s="53"/>
      <c r="X1825" s="72"/>
      <c r="Y1825" s="24">
        <f t="shared" si="1783"/>
        <v>0</v>
      </c>
      <c r="Z1825" s="24">
        <f t="shared" si="1784"/>
        <v>1</v>
      </c>
      <c r="AA1825" s="83">
        <v>45555</v>
      </c>
      <c r="AB1825" s="23"/>
      <c r="AC1825" s="41"/>
      <c r="AD1825" s="42"/>
      <c r="AE1825" s="42"/>
      <c r="AF1825" s="42"/>
      <c r="AG1825" s="42"/>
      <c r="AH1825" s="43">
        <f t="shared" si="1825"/>
        <v>0</v>
      </c>
      <c r="AI1825" s="41"/>
      <c r="AJ1825" s="42"/>
      <c r="AK1825" s="42"/>
      <c r="AL1825" s="42"/>
      <c r="AM1825" s="42"/>
      <c r="AN1825" s="43">
        <f t="shared" si="1826"/>
        <v>0</v>
      </c>
      <c r="AO1825" s="42"/>
      <c r="AP1825" s="53"/>
      <c r="AQ1825" s="53"/>
      <c r="AR1825" s="53"/>
      <c r="AS1825" s="72"/>
      <c r="AT1825" s="24">
        <f t="shared" si="1827"/>
        <v>0</v>
      </c>
      <c r="AU1825" s="42"/>
      <c r="AV1825" s="53"/>
      <c r="AW1825" s="53"/>
      <c r="AX1825" s="53"/>
      <c r="AY1825" s="72"/>
      <c r="AZ1825" s="24">
        <f t="shared" si="1828"/>
        <v>0</v>
      </c>
      <c r="BA1825" s="24">
        <f t="shared" si="1797"/>
        <v>0</v>
      </c>
      <c r="BB1825" s="83"/>
    </row>
    <row r="1826" spans="1:54" ht="14.25" x14ac:dyDescent="0.15">
      <c r="A1826" s="23" t="s">
        <v>438</v>
      </c>
      <c r="B1826" s="41">
        <v>2</v>
      </c>
      <c r="C1826" s="42"/>
      <c r="D1826" s="42"/>
      <c r="E1826" s="42"/>
      <c r="F1826" s="42"/>
      <c r="G1826" s="43">
        <f t="shared" ref="G1826:G1829" si="1854">SUM(B1826:F1826)</f>
        <v>2</v>
      </c>
      <c r="H1826" s="41"/>
      <c r="I1826" s="42"/>
      <c r="J1826" s="42"/>
      <c r="K1826" s="42"/>
      <c r="L1826" s="42"/>
      <c r="M1826" s="43">
        <f t="shared" ref="M1826:M1829" si="1855">SUM(H1826:L1826)</f>
        <v>0</v>
      </c>
      <c r="N1826" s="42"/>
      <c r="O1826" s="53"/>
      <c r="P1826" s="53"/>
      <c r="Q1826" s="53"/>
      <c r="R1826" s="72"/>
      <c r="S1826" s="24">
        <f t="shared" ref="S1826:S1828" si="1856">SUM(N1826:R1826)</f>
        <v>0</v>
      </c>
      <c r="T1826" s="42"/>
      <c r="U1826" s="53"/>
      <c r="V1826" s="53"/>
      <c r="W1826" s="53"/>
      <c r="X1826" s="72"/>
      <c r="Y1826" s="24">
        <f t="shared" ref="Y1826:Y1828" si="1857">SUM(T1826:X1826)</f>
        <v>0</v>
      </c>
      <c r="Z1826" s="24">
        <f t="shared" ref="Z1826:Z1828" si="1858">G1826+M1826+S1826+Y1826</f>
        <v>2</v>
      </c>
      <c r="AA1826" s="83">
        <v>45561</v>
      </c>
      <c r="AB1826" s="23"/>
      <c r="AC1826" s="41"/>
      <c r="AD1826" s="42"/>
      <c r="AE1826" s="42"/>
      <c r="AF1826" s="42"/>
      <c r="AG1826" s="42"/>
      <c r="AH1826" s="43">
        <f t="shared" ref="AH1826:AH1827" si="1859">SUM(AC1826:AG1826)</f>
        <v>0</v>
      </c>
      <c r="AI1826" s="41"/>
      <c r="AJ1826" s="42"/>
      <c r="AK1826" s="42"/>
      <c r="AL1826" s="42"/>
      <c r="AM1826" s="42"/>
      <c r="AN1826" s="43">
        <f t="shared" ref="AN1826:AN1827" si="1860">SUM(AI1826:AM1826)</f>
        <v>0</v>
      </c>
      <c r="AO1826" s="42"/>
      <c r="AP1826" s="53"/>
      <c r="AQ1826" s="53"/>
      <c r="AR1826" s="53"/>
      <c r="AS1826" s="72"/>
      <c r="AT1826" s="24">
        <f t="shared" ref="AT1826:AT1827" si="1861">SUM(AO1826:AS1826)</f>
        <v>0</v>
      </c>
      <c r="AU1826" s="42"/>
      <c r="AV1826" s="53"/>
      <c r="AW1826" s="53"/>
      <c r="AX1826" s="53"/>
      <c r="AY1826" s="72"/>
      <c r="AZ1826" s="24">
        <f t="shared" ref="AZ1826:AZ1827" si="1862">SUM(AU1826:AY1826)</f>
        <v>0</v>
      </c>
      <c r="BA1826" s="24">
        <f t="shared" ref="BA1826:BA1827" si="1863">AH1826+AN1826+AT1826+AZ1826</f>
        <v>0</v>
      </c>
      <c r="BB1826" s="83"/>
    </row>
    <row r="1827" spans="1:54" ht="14.25" x14ac:dyDescent="0.15">
      <c r="A1827" s="23" t="s">
        <v>395</v>
      </c>
      <c r="B1827" s="41"/>
      <c r="C1827" s="42"/>
      <c r="D1827" s="42"/>
      <c r="E1827" s="42"/>
      <c r="F1827" s="42"/>
      <c r="G1827" s="43">
        <f t="shared" si="1854"/>
        <v>0</v>
      </c>
      <c r="H1827" s="41"/>
      <c r="I1827" s="42"/>
      <c r="J1827" s="42">
        <v>1</v>
      </c>
      <c r="K1827" s="42">
        <v>1</v>
      </c>
      <c r="L1827" s="42"/>
      <c r="M1827" s="43">
        <f t="shared" si="1855"/>
        <v>2</v>
      </c>
      <c r="N1827" s="42"/>
      <c r="O1827" s="53"/>
      <c r="P1827" s="53"/>
      <c r="Q1827" s="53"/>
      <c r="R1827" s="72">
        <v>1</v>
      </c>
      <c r="S1827" s="24">
        <f t="shared" si="1856"/>
        <v>1</v>
      </c>
      <c r="T1827" s="42"/>
      <c r="U1827" s="53"/>
      <c r="V1827" s="53"/>
      <c r="W1827" s="53"/>
      <c r="X1827" s="72"/>
      <c r="Y1827" s="24">
        <f t="shared" si="1857"/>
        <v>0</v>
      </c>
      <c r="Z1827" s="24">
        <f t="shared" si="1858"/>
        <v>3</v>
      </c>
      <c r="AA1827" s="83">
        <v>45556</v>
      </c>
      <c r="AB1827" s="23"/>
      <c r="AC1827" s="41"/>
      <c r="AD1827" s="42"/>
      <c r="AE1827" s="42"/>
      <c r="AF1827" s="42"/>
      <c r="AG1827" s="42"/>
      <c r="AH1827" s="43">
        <f t="shared" si="1859"/>
        <v>0</v>
      </c>
      <c r="AI1827" s="41"/>
      <c r="AJ1827" s="42"/>
      <c r="AK1827" s="42"/>
      <c r="AL1827" s="42"/>
      <c r="AM1827" s="42"/>
      <c r="AN1827" s="43">
        <f t="shared" si="1860"/>
        <v>0</v>
      </c>
      <c r="AO1827" s="42"/>
      <c r="AP1827" s="53"/>
      <c r="AQ1827" s="53"/>
      <c r="AR1827" s="53"/>
      <c r="AS1827" s="72"/>
      <c r="AT1827" s="24">
        <f t="shared" si="1861"/>
        <v>0</v>
      </c>
      <c r="AU1827" s="42"/>
      <c r="AV1827" s="53"/>
      <c r="AW1827" s="53"/>
      <c r="AX1827" s="53"/>
      <c r="AY1827" s="72"/>
      <c r="AZ1827" s="24">
        <f t="shared" si="1862"/>
        <v>0</v>
      </c>
      <c r="BA1827" s="24">
        <f t="shared" si="1863"/>
        <v>0</v>
      </c>
      <c r="BB1827" s="83"/>
    </row>
    <row r="1828" spans="1:54" ht="14.25" x14ac:dyDescent="0.15">
      <c r="A1828" s="23" t="s">
        <v>496</v>
      </c>
      <c r="B1828" s="41"/>
      <c r="C1828" s="42"/>
      <c r="D1828" s="42"/>
      <c r="E1828" s="42"/>
      <c r="F1828" s="42"/>
      <c r="G1828" s="43">
        <f t="shared" si="1854"/>
        <v>0</v>
      </c>
      <c r="H1828" s="41"/>
      <c r="I1828" s="42"/>
      <c r="J1828" s="42"/>
      <c r="K1828" s="42"/>
      <c r="L1828" s="42"/>
      <c r="M1828" s="43">
        <f t="shared" si="1855"/>
        <v>0</v>
      </c>
      <c r="N1828" s="42"/>
      <c r="O1828" s="53"/>
      <c r="P1828" s="53"/>
      <c r="Q1828" s="53"/>
      <c r="R1828" s="72"/>
      <c r="S1828" s="24">
        <f t="shared" si="1856"/>
        <v>0</v>
      </c>
      <c r="T1828" s="42"/>
      <c r="U1828" s="53"/>
      <c r="V1828" s="53">
        <v>1</v>
      </c>
      <c r="W1828" s="53"/>
      <c r="X1828" s="72"/>
      <c r="Y1828" s="24">
        <f t="shared" si="1857"/>
        <v>1</v>
      </c>
      <c r="Z1828" s="24">
        <f t="shared" si="1858"/>
        <v>1</v>
      </c>
      <c r="AA1828" s="83">
        <v>45560</v>
      </c>
      <c r="AB1828" s="23"/>
      <c r="AC1828" s="41"/>
      <c r="AD1828" s="42"/>
      <c r="AE1828" s="42"/>
      <c r="AF1828" s="42"/>
      <c r="AG1828" s="42"/>
      <c r="AH1828" s="43">
        <f t="shared" ref="AH1828" si="1864">SUM(AC1828:AG1828)</f>
        <v>0</v>
      </c>
      <c r="AI1828" s="41"/>
      <c r="AJ1828" s="42"/>
      <c r="AK1828" s="42"/>
      <c r="AL1828" s="42"/>
      <c r="AM1828" s="42"/>
      <c r="AN1828" s="43">
        <f t="shared" ref="AN1828" si="1865">SUM(AI1828:AM1828)</f>
        <v>0</v>
      </c>
      <c r="AO1828" s="42"/>
      <c r="AP1828" s="53"/>
      <c r="AQ1828" s="53"/>
      <c r="AR1828" s="53"/>
      <c r="AS1828" s="72"/>
      <c r="AT1828" s="24">
        <f t="shared" ref="AT1828" si="1866">SUM(AO1828:AS1828)</f>
        <v>0</v>
      </c>
      <c r="AU1828" s="42"/>
      <c r="AV1828" s="53"/>
      <c r="AW1828" s="53"/>
      <c r="AX1828" s="53"/>
      <c r="AY1828" s="72"/>
      <c r="AZ1828" s="24">
        <f t="shared" ref="AZ1828" si="1867">SUM(AU1828:AY1828)</f>
        <v>0</v>
      </c>
      <c r="BA1828" s="24">
        <f t="shared" ref="BA1828" si="1868">AH1828+AN1828+AT1828+AZ1828</f>
        <v>0</v>
      </c>
      <c r="BB1828" s="83"/>
    </row>
    <row r="1829" spans="1:54" ht="15" thickBot="1" x14ac:dyDescent="0.2">
      <c r="A1829" s="23"/>
      <c r="B1829" s="210"/>
      <c r="C1829" s="211"/>
      <c r="D1829" s="211"/>
      <c r="E1829" s="211"/>
      <c r="F1829" s="211"/>
      <c r="G1829" s="212">
        <f t="shared" si="1854"/>
        <v>0</v>
      </c>
      <c r="H1829" s="210"/>
      <c r="I1829" s="211"/>
      <c r="J1829" s="211"/>
      <c r="K1829" s="211"/>
      <c r="L1829" s="211"/>
      <c r="M1829" s="212">
        <f t="shared" si="1855"/>
        <v>0</v>
      </c>
      <c r="N1829" s="211"/>
      <c r="O1829" s="213"/>
      <c r="P1829" s="213"/>
      <c r="Q1829" s="213"/>
      <c r="R1829" s="214"/>
      <c r="S1829" s="169">
        <f>SUM(N1829:R1829)</f>
        <v>0</v>
      </c>
      <c r="T1829" s="211"/>
      <c r="U1829" s="213"/>
      <c r="V1829" s="213"/>
      <c r="W1829" s="213"/>
      <c r="X1829" s="214"/>
      <c r="Y1829" s="169">
        <f>SUM(T1829:X1829)</f>
        <v>0</v>
      </c>
      <c r="Z1829" s="169">
        <f>G1829+M1829+S1829+Y1829</f>
        <v>0</v>
      </c>
      <c r="AA1829" s="215"/>
      <c r="AB1829" s="23" t="s">
        <v>540</v>
      </c>
      <c r="AC1829" s="38"/>
      <c r="AD1829" s="39"/>
      <c r="AE1829" s="39"/>
      <c r="AF1829" s="39"/>
      <c r="AG1829" s="39"/>
      <c r="AH1829" s="37">
        <f t="shared" ref="AH1829" si="1869">SUM(AC1829:AG1829)</f>
        <v>0</v>
      </c>
      <c r="AI1829" s="38"/>
      <c r="AJ1829" s="39"/>
      <c r="AK1829" s="39"/>
      <c r="AL1829" s="39"/>
      <c r="AM1829" s="39"/>
      <c r="AN1829" s="37">
        <f t="shared" ref="AN1829" si="1870">SUM(AI1829:AM1829)</f>
        <v>0</v>
      </c>
      <c r="AO1829" s="39"/>
      <c r="AP1829" s="56"/>
      <c r="AQ1829" s="56"/>
      <c r="AR1829" s="56"/>
      <c r="AS1829" s="71"/>
      <c r="AT1829" s="16">
        <f t="shared" ref="AT1829" si="1871">SUM(AO1829:AS1829)</f>
        <v>0</v>
      </c>
      <c r="AU1829" s="39"/>
      <c r="AV1829" s="56"/>
      <c r="AW1829" s="56"/>
      <c r="AX1829" s="56"/>
      <c r="AY1829" s="71"/>
      <c r="AZ1829" s="16">
        <f t="shared" ref="AZ1829" si="1872">SUM(AU1829:AY1829)</f>
        <v>0</v>
      </c>
      <c r="BA1829" s="16">
        <f t="shared" ref="BA1829:BA1831" si="1873">AH1829+AN1829+AT1829+AZ1829</f>
        <v>0</v>
      </c>
      <c r="BB1829" s="128" t="s">
        <v>537</v>
      </c>
    </row>
    <row r="1830" spans="1:54" ht="15" thickBot="1" x14ac:dyDescent="0.2">
      <c r="A1830" s="9" t="s">
        <v>13</v>
      </c>
      <c r="B1830" s="25">
        <f>SUM(B1804:B1829)</f>
        <v>4</v>
      </c>
      <c r="C1830" s="26">
        <f>SUM(C1804:C1829)</f>
        <v>3</v>
      </c>
      <c r="D1830" s="26">
        <f>SUM(D1804:D1829)</f>
        <v>6</v>
      </c>
      <c r="E1830" s="26">
        <f>SUM(E1804:E1829)</f>
        <v>3</v>
      </c>
      <c r="F1830" s="27">
        <f>SUM(F1804:F1829)</f>
        <v>0</v>
      </c>
      <c r="G1830" s="19">
        <f>SUM(B1830:F1830)</f>
        <v>16</v>
      </c>
      <c r="H1830" s="25">
        <f>SUM(H1804:H1829)</f>
        <v>1</v>
      </c>
      <c r="I1830" s="26">
        <f>SUM(I1804:I1829)</f>
        <v>4</v>
      </c>
      <c r="J1830" s="26">
        <f>SUM(J1804:J1829)</f>
        <v>2</v>
      </c>
      <c r="K1830" s="26">
        <f>SUM(K1804:K1829)</f>
        <v>6</v>
      </c>
      <c r="L1830" s="27">
        <f>SUM(L1804:L1829)</f>
        <v>4</v>
      </c>
      <c r="M1830" s="25">
        <f>SUM(H1830:L1830)</f>
        <v>17</v>
      </c>
      <c r="N1830" s="65">
        <f>SUM(N1804:N1829)</f>
        <v>1</v>
      </c>
      <c r="O1830" s="18">
        <f>SUM(O1804:O1829)</f>
        <v>2</v>
      </c>
      <c r="P1830" s="18">
        <f>SUM(P1804:P1829)</f>
        <v>1</v>
      </c>
      <c r="Q1830" s="18">
        <f>SUM(Q1804:Q1829)</f>
        <v>0</v>
      </c>
      <c r="R1830" s="70">
        <f>SUM(R1804:R1829)</f>
        <v>2</v>
      </c>
      <c r="S1830" s="49">
        <f>SUM(N1830:R1830)</f>
        <v>6</v>
      </c>
      <c r="T1830" s="74">
        <f>SUM(T1804:T1829)</f>
        <v>0</v>
      </c>
      <c r="U1830" s="18">
        <f>SUM(U1804:U1829)</f>
        <v>2</v>
      </c>
      <c r="V1830" s="18">
        <f>SUM(V1804:V1829)</f>
        <v>3</v>
      </c>
      <c r="W1830" s="18">
        <f>SUM(W1804:W1829)</f>
        <v>0</v>
      </c>
      <c r="X1830" s="70">
        <f>SUM(X1804:X1829)</f>
        <v>1</v>
      </c>
      <c r="Y1830" s="49">
        <f>SUM(T1830:X1830)</f>
        <v>6</v>
      </c>
      <c r="Z1830" s="137">
        <f>G1830+M1830+S1830+Y1830</f>
        <v>45</v>
      </c>
      <c r="AB1830" s="9" t="s">
        <v>13</v>
      </c>
      <c r="AC1830" s="25">
        <f>SUM(AC1804:AC1829)</f>
        <v>3</v>
      </c>
      <c r="AD1830" s="26">
        <f t="shared" ref="AD1830" si="1874">SUM(AD1804:AD1829)</f>
        <v>6</v>
      </c>
      <c r="AE1830" s="26">
        <f t="shared" ref="AE1830" si="1875">SUM(AE1804:AE1829)</f>
        <v>12</v>
      </c>
      <c r="AF1830" s="26">
        <f t="shared" ref="AF1830" si="1876">SUM(AF1804:AF1829)</f>
        <v>6</v>
      </c>
      <c r="AG1830" s="27">
        <f t="shared" ref="AG1830" si="1877">SUM(AG1804:AG1829)</f>
        <v>3</v>
      </c>
      <c r="AH1830" s="19">
        <f>SUM(AC1830:AG1830)</f>
        <v>30</v>
      </c>
      <c r="AI1830" s="25">
        <f>SUM(AI1804:AI1829)</f>
        <v>1</v>
      </c>
      <c r="AJ1830" s="26">
        <f t="shared" ref="AJ1830" si="1878">SUM(AJ1804:AJ1829)</f>
        <v>8</v>
      </c>
      <c r="AK1830" s="26">
        <f t="shared" ref="AK1830" si="1879">SUM(AK1804:AK1829)</f>
        <v>7</v>
      </c>
      <c r="AL1830" s="26">
        <f t="shared" ref="AL1830" si="1880">SUM(AL1804:AL1829)</f>
        <v>11</v>
      </c>
      <c r="AM1830" s="27">
        <f t="shared" ref="AM1830" si="1881">SUM(AM1804:AM1829)</f>
        <v>6</v>
      </c>
      <c r="AN1830" s="19">
        <f>SUM(AI1830:AM1830)</f>
        <v>33</v>
      </c>
      <c r="AO1830" s="25">
        <f>SUM(AO1804:AO1829)</f>
        <v>0</v>
      </c>
      <c r="AP1830" s="26">
        <f t="shared" ref="AP1830" si="1882">SUM(AP1804:AP1829)</f>
        <v>0</v>
      </c>
      <c r="AQ1830" s="26">
        <f t="shared" ref="AQ1830" si="1883">SUM(AQ1804:AQ1829)</f>
        <v>3</v>
      </c>
      <c r="AR1830" s="26">
        <f t="shared" ref="AR1830" si="1884">SUM(AR1804:AR1829)</f>
        <v>2</v>
      </c>
      <c r="AS1830" s="27">
        <f t="shared" ref="AS1830" si="1885">SUM(AS1804:AS1829)</f>
        <v>7</v>
      </c>
      <c r="AT1830" s="19">
        <f>SUM(AO1830:AS1830)</f>
        <v>12</v>
      </c>
      <c r="AU1830" s="25">
        <f>SUM(AU1804:AU1829)</f>
        <v>0</v>
      </c>
      <c r="AV1830" s="26">
        <f t="shared" ref="AV1830" si="1886">SUM(AV1804:AV1829)</f>
        <v>3</v>
      </c>
      <c r="AW1830" s="26">
        <f t="shared" ref="AW1830" si="1887">SUM(AW1804:AW1829)</f>
        <v>3</v>
      </c>
      <c r="AX1830" s="26">
        <f t="shared" ref="AX1830" si="1888">SUM(AX1804:AX1829)</f>
        <v>3</v>
      </c>
      <c r="AY1830" s="27">
        <f t="shared" ref="AY1830" si="1889">SUM(AY1804:AY1829)</f>
        <v>3</v>
      </c>
      <c r="AZ1830" s="19">
        <f>SUM(AU1830:AY1830)</f>
        <v>12</v>
      </c>
      <c r="BA1830" s="77">
        <f t="shared" si="1873"/>
        <v>87</v>
      </c>
    </row>
    <row r="1831" spans="1:54" ht="15" thickBot="1" x14ac:dyDescent="0.2">
      <c r="A1831" s="32" t="s">
        <v>14</v>
      </c>
      <c r="B1831" s="29">
        <f t="shared" ref="B1831:Y1831" si="1890">B1803-B1830</f>
        <v>4</v>
      </c>
      <c r="C1831" s="30">
        <f t="shared" si="1890"/>
        <v>4</v>
      </c>
      <c r="D1831" s="30">
        <f t="shared" si="1890"/>
        <v>5</v>
      </c>
      <c r="E1831" s="30">
        <f t="shared" si="1890"/>
        <v>1</v>
      </c>
      <c r="F1831" s="31">
        <f t="shared" si="1890"/>
        <v>2</v>
      </c>
      <c r="G1831" s="31">
        <f t="shared" si="1890"/>
        <v>16</v>
      </c>
      <c r="H1831" s="29">
        <f t="shared" si="1890"/>
        <v>5</v>
      </c>
      <c r="I1831" s="30">
        <f t="shared" si="1890"/>
        <v>6</v>
      </c>
      <c r="J1831" s="30">
        <f t="shared" si="1890"/>
        <v>5</v>
      </c>
      <c r="K1831" s="30">
        <f t="shared" si="1890"/>
        <v>3</v>
      </c>
      <c r="L1831" s="31">
        <f t="shared" si="1890"/>
        <v>4</v>
      </c>
      <c r="M1831" s="66">
        <f t="shared" si="1890"/>
        <v>23</v>
      </c>
      <c r="N1831" s="29">
        <f t="shared" si="1890"/>
        <v>5</v>
      </c>
      <c r="O1831" s="30">
        <f t="shared" si="1890"/>
        <v>4</v>
      </c>
      <c r="P1831" s="30">
        <f t="shared" si="1890"/>
        <v>6</v>
      </c>
      <c r="Q1831" s="30">
        <f t="shared" si="1890"/>
        <v>7</v>
      </c>
      <c r="R1831" s="66">
        <f t="shared" si="1890"/>
        <v>4</v>
      </c>
      <c r="S1831" s="33">
        <f t="shared" si="1890"/>
        <v>26</v>
      </c>
      <c r="T1831" s="75">
        <f t="shared" si="1890"/>
        <v>6</v>
      </c>
      <c r="U1831" s="30">
        <f t="shared" si="1890"/>
        <v>4</v>
      </c>
      <c r="V1831" s="30">
        <f t="shared" si="1890"/>
        <v>3</v>
      </c>
      <c r="W1831" s="30">
        <f t="shared" si="1890"/>
        <v>5</v>
      </c>
      <c r="X1831" s="66">
        <f t="shared" si="1890"/>
        <v>6</v>
      </c>
      <c r="Y1831" s="33">
        <f t="shared" si="1890"/>
        <v>24</v>
      </c>
      <c r="Z1831" s="77">
        <f>G1831+M1831+S1831+Y1831</f>
        <v>89</v>
      </c>
      <c r="AB1831" s="32" t="s">
        <v>14</v>
      </c>
      <c r="AC1831" s="29">
        <f>AC1803-AC1830</f>
        <v>76</v>
      </c>
      <c r="AD1831" s="30">
        <f t="shared" ref="AD1831" si="1891">AD1803-AD1830</f>
        <v>29</v>
      </c>
      <c r="AE1831" s="30">
        <f t="shared" ref="AE1831" si="1892">AE1803-AE1830</f>
        <v>26</v>
      </c>
      <c r="AF1831" s="30">
        <f t="shared" ref="AF1831" si="1893">AF1803-AF1830</f>
        <v>15</v>
      </c>
      <c r="AG1831" s="31">
        <f t="shared" ref="AG1831" si="1894">AG1803-AG1830</f>
        <v>11</v>
      </c>
      <c r="AH1831" s="31">
        <f>AH1803-AH1830</f>
        <v>157</v>
      </c>
      <c r="AI1831" s="29">
        <f>AI1803-AI1830</f>
        <v>72</v>
      </c>
      <c r="AJ1831" s="30">
        <f t="shared" ref="AJ1831" si="1895">AJ1803-AJ1830</f>
        <v>50</v>
      </c>
      <c r="AK1831" s="30">
        <f t="shared" ref="AK1831" si="1896">AK1803-AK1830</f>
        <v>53</v>
      </c>
      <c r="AL1831" s="30">
        <f t="shared" ref="AL1831" si="1897">AL1803-AL1830</f>
        <v>26</v>
      </c>
      <c r="AM1831" s="31">
        <f t="shared" ref="AM1831" si="1898">AM1803-AM1830</f>
        <v>58</v>
      </c>
      <c r="AN1831" s="31">
        <f>AN1803-AN1830</f>
        <v>259</v>
      </c>
      <c r="AO1831" s="29">
        <f>AO1803-AO1830</f>
        <v>134</v>
      </c>
      <c r="AP1831" s="30">
        <f t="shared" ref="AP1831" si="1899">AP1803-AP1830</f>
        <v>84</v>
      </c>
      <c r="AQ1831" s="30">
        <f t="shared" ref="AQ1831" si="1900">AQ1803-AQ1830</f>
        <v>80</v>
      </c>
      <c r="AR1831" s="30">
        <f t="shared" ref="AR1831" si="1901">AR1803-AR1830</f>
        <v>100</v>
      </c>
      <c r="AS1831" s="31">
        <f t="shared" ref="AS1831" si="1902">AS1803-AS1830</f>
        <v>117</v>
      </c>
      <c r="AT1831" s="31">
        <f>AT1803-AT1830</f>
        <v>515</v>
      </c>
      <c r="AU1831" s="29">
        <f>AU1803-AU1830</f>
        <v>102</v>
      </c>
      <c r="AV1831" s="30">
        <f t="shared" ref="AV1831" si="1903">AV1803-AV1830</f>
        <v>42</v>
      </c>
      <c r="AW1831" s="30">
        <f t="shared" ref="AW1831" si="1904">AW1803-AW1830</f>
        <v>6</v>
      </c>
      <c r="AX1831" s="30">
        <f t="shared" ref="AX1831" si="1905">AX1803-AX1830</f>
        <v>3</v>
      </c>
      <c r="AY1831" s="31">
        <f t="shared" ref="AY1831" si="1906">AY1803-AY1830</f>
        <v>58</v>
      </c>
      <c r="AZ1831" s="31">
        <f>AZ1803-AZ1830</f>
        <v>211</v>
      </c>
      <c r="BA1831" s="77">
        <f t="shared" si="1873"/>
        <v>1142</v>
      </c>
    </row>
    <row r="1833" spans="1:54" x14ac:dyDescent="0.15">
      <c r="AU1833" s="208"/>
      <c r="AV1833" s="208"/>
      <c r="AW1833" s="208"/>
      <c r="AX1833" s="208"/>
      <c r="AY1833" s="208"/>
      <c r="AZ1833" s="208"/>
    </row>
    <row r="1834" spans="1:54" ht="19.5" thickBot="1" x14ac:dyDescent="0.25">
      <c r="A1834" s="1" t="s">
        <v>15</v>
      </c>
      <c r="AB1834" s="1" t="s">
        <v>16</v>
      </c>
    </row>
    <row r="1835" spans="1:54" ht="15" thickBot="1" x14ac:dyDescent="0.2">
      <c r="A1835" s="4"/>
      <c r="B1835" s="245" t="s">
        <v>17</v>
      </c>
      <c r="C1835" s="246"/>
      <c r="D1835" s="246"/>
      <c r="E1835" s="246"/>
      <c r="F1835" s="246"/>
      <c r="G1835" s="247"/>
      <c r="H1835" s="245" t="s">
        <v>18</v>
      </c>
      <c r="I1835" s="246"/>
      <c r="J1835" s="246"/>
      <c r="K1835" s="246"/>
      <c r="L1835" s="246"/>
      <c r="M1835" s="247"/>
      <c r="N1835" s="248" t="s">
        <v>27</v>
      </c>
      <c r="O1835" s="249"/>
      <c r="P1835" s="249"/>
      <c r="Q1835" s="249"/>
      <c r="R1835" s="249"/>
      <c r="S1835" s="250"/>
      <c r="T1835" s="248" t="s">
        <v>28</v>
      </c>
      <c r="U1835" s="249"/>
      <c r="V1835" s="249"/>
      <c r="W1835" s="249"/>
      <c r="X1835" s="249"/>
      <c r="Y1835" s="250"/>
      <c r="Z1835" s="251" t="s">
        <v>1</v>
      </c>
      <c r="AB1835" s="4"/>
      <c r="AC1835" s="253" t="s">
        <v>17</v>
      </c>
      <c r="AD1835" s="249"/>
      <c r="AE1835" s="249"/>
      <c r="AF1835" s="249"/>
      <c r="AG1835" s="249"/>
      <c r="AH1835" s="250"/>
      <c r="AI1835" s="248" t="s">
        <v>18</v>
      </c>
      <c r="AJ1835" s="249"/>
      <c r="AK1835" s="249"/>
      <c r="AL1835" s="249"/>
      <c r="AM1835" s="249"/>
      <c r="AN1835" s="250"/>
      <c r="AO1835" s="248" t="s">
        <v>27</v>
      </c>
      <c r="AP1835" s="249"/>
      <c r="AQ1835" s="249"/>
      <c r="AR1835" s="249"/>
      <c r="AS1835" s="249"/>
      <c r="AT1835" s="250"/>
      <c r="AU1835" s="248" t="s">
        <v>28</v>
      </c>
      <c r="AV1835" s="249"/>
      <c r="AW1835" s="249"/>
      <c r="AX1835" s="249"/>
      <c r="AY1835" s="249"/>
      <c r="AZ1835" s="250"/>
      <c r="BA1835" s="243" t="s">
        <v>1</v>
      </c>
    </row>
    <row r="1836" spans="1:54" ht="15" thickBot="1" x14ac:dyDescent="0.2">
      <c r="A1836" s="9" t="s">
        <v>2</v>
      </c>
      <c r="B1836" s="6" t="s">
        <v>3</v>
      </c>
      <c r="C1836" s="7" t="s">
        <v>4</v>
      </c>
      <c r="D1836" s="7" t="s">
        <v>5</v>
      </c>
      <c r="E1836" s="48" t="s">
        <v>20</v>
      </c>
      <c r="F1836" s="8" t="s">
        <v>21</v>
      </c>
      <c r="G1836" s="5" t="s">
        <v>6</v>
      </c>
      <c r="H1836" s="6" t="s">
        <v>3</v>
      </c>
      <c r="I1836" s="7" t="s">
        <v>4</v>
      </c>
      <c r="J1836" s="7" t="s">
        <v>5</v>
      </c>
      <c r="K1836" s="48" t="s">
        <v>20</v>
      </c>
      <c r="L1836" s="8" t="s">
        <v>21</v>
      </c>
      <c r="M1836" s="5" t="s">
        <v>6</v>
      </c>
      <c r="N1836" s="6" t="s">
        <v>3</v>
      </c>
      <c r="O1836" s="7" t="s">
        <v>4</v>
      </c>
      <c r="P1836" s="7" t="s">
        <v>5</v>
      </c>
      <c r="Q1836" s="48" t="s">
        <v>20</v>
      </c>
      <c r="R1836" s="8" t="s">
        <v>21</v>
      </c>
      <c r="S1836" s="5" t="s">
        <v>6</v>
      </c>
      <c r="T1836" s="7" t="s">
        <v>3</v>
      </c>
      <c r="U1836" s="7" t="s">
        <v>4</v>
      </c>
      <c r="V1836" s="7" t="s">
        <v>5</v>
      </c>
      <c r="W1836" s="48" t="s">
        <v>20</v>
      </c>
      <c r="X1836" s="109" t="s">
        <v>21</v>
      </c>
      <c r="Y1836" s="62" t="s">
        <v>6</v>
      </c>
      <c r="Z1836" s="252"/>
      <c r="AB1836" s="9" t="s">
        <v>2</v>
      </c>
      <c r="AC1836" s="6" t="s">
        <v>3</v>
      </c>
      <c r="AD1836" s="7" t="s">
        <v>4</v>
      </c>
      <c r="AE1836" s="7" t="s">
        <v>5</v>
      </c>
      <c r="AF1836" s="48" t="s">
        <v>20</v>
      </c>
      <c r="AG1836" s="8" t="s">
        <v>21</v>
      </c>
      <c r="AH1836" s="5" t="s">
        <v>6</v>
      </c>
      <c r="AI1836" s="6" t="s">
        <v>3</v>
      </c>
      <c r="AJ1836" s="7" t="s">
        <v>4</v>
      </c>
      <c r="AK1836" s="7" t="s">
        <v>5</v>
      </c>
      <c r="AL1836" s="48" t="s">
        <v>20</v>
      </c>
      <c r="AM1836" s="8" t="s">
        <v>21</v>
      </c>
      <c r="AN1836" s="5" t="s">
        <v>6</v>
      </c>
      <c r="AO1836" s="6" t="s">
        <v>3</v>
      </c>
      <c r="AP1836" s="7" t="s">
        <v>4</v>
      </c>
      <c r="AQ1836" s="7" t="s">
        <v>5</v>
      </c>
      <c r="AR1836" s="48" t="s">
        <v>20</v>
      </c>
      <c r="AS1836" s="8" t="s">
        <v>21</v>
      </c>
      <c r="AT1836" s="5" t="s">
        <v>6</v>
      </c>
      <c r="AU1836" s="7" t="s">
        <v>3</v>
      </c>
      <c r="AV1836" s="7" t="s">
        <v>4</v>
      </c>
      <c r="AW1836" s="7" t="s">
        <v>5</v>
      </c>
      <c r="AX1836" s="48" t="s">
        <v>20</v>
      </c>
      <c r="AY1836" s="109" t="s">
        <v>21</v>
      </c>
      <c r="AZ1836" s="62" t="s">
        <v>6</v>
      </c>
      <c r="BA1836" s="244"/>
    </row>
    <row r="1837" spans="1:54" ht="14.25" x14ac:dyDescent="0.15">
      <c r="A1837" s="103" t="s">
        <v>43</v>
      </c>
      <c r="B1837" s="104">
        <f>B1831</f>
        <v>4</v>
      </c>
      <c r="C1837" s="105">
        <f>C1831</f>
        <v>4</v>
      </c>
      <c r="D1837" s="105">
        <f>D1831</f>
        <v>5</v>
      </c>
      <c r="E1837" s="105">
        <f>E1831</f>
        <v>1</v>
      </c>
      <c r="F1837" s="105">
        <f>F1831</f>
        <v>2</v>
      </c>
      <c r="G1837" s="106">
        <f t="shared" ref="G1837" si="1907">SUM(B1837:F1837)</f>
        <v>16</v>
      </c>
      <c r="H1837" s="104">
        <f>H1831</f>
        <v>5</v>
      </c>
      <c r="I1837" s="105">
        <f>I1831</f>
        <v>6</v>
      </c>
      <c r="J1837" s="105">
        <f>J1831</f>
        <v>5</v>
      </c>
      <c r="K1837" s="105">
        <f>K1831</f>
        <v>3</v>
      </c>
      <c r="L1837" s="105">
        <f>L1831</f>
        <v>4</v>
      </c>
      <c r="M1837" s="107">
        <f t="shared" ref="M1837" si="1908">SUM(H1837:L1837)</f>
        <v>23</v>
      </c>
      <c r="N1837" s="104">
        <f>N1831</f>
        <v>5</v>
      </c>
      <c r="O1837" s="105">
        <f>O1831</f>
        <v>4</v>
      </c>
      <c r="P1837" s="105">
        <f>P1831</f>
        <v>6</v>
      </c>
      <c r="Q1837" s="105">
        <f>Q1831</f>
        <v>7</v>
      </c>
      <c r="R1837" s="105">
        <f>R1831</f>
        <v>4</v>
      </c>
      <c r="S1837" s="108">
        <f t="shared" ref="S1837" si="1909">SUM(N1837:R1837)</f>
        <v>26</v>
      </c>
      <c r="T1837" s="104">
        <f>T1831</f>
        <v>6</v>
      </c>
      <c r="U1837" s="105">
        <f>U1831</f>
        <v>4</v>
      </c>
      <c r="V1837" s="105">
        <f>V1831</f>
        <v>3</v>
      </c>
      <c r="W1837" s="105">
        <f>W1831</f>
        <v>5</v>
      </c>
      <c r="X1837" s="105">
        <f>X1831</f>
        <v>6</v>
      </c>
      <c r="Y1837" s="106">
        <f t="shared" ref="Y1837" si="1910">SUM(T1837:X1837)</f>
        <v>24</v>
      </c>
      <c r="Z1837" s="106">
        <f t="shared" ref="Z1837:Z1868" si="1911">G1837+M1837+S1837+Y1837</f>
        <v>89</v>
      </c>
      <c r="AB1837" s="103" t="s">
        <v>43</v>
      </c>
      <c r="AC1837" s="104">
        <f>AC1831</f>
        <v>76</v>
      </c>
      <c r="AD1837" s="105">
        <f t="shared" ref="AD1837:AG1837" si="1912">AD1831</f>
        <v>29</v>
      </c>
      <c r="AE1837" s="105">
        <f t="shared" si="1912"/>
        <v>26</v>
      </c>
      <c r="AF1837" s="105">
        <f t="shared" si="1912"/>
        <v>15</v>
      </c>
      <c r="AG1837" s="105">
        <f t="shared" si="1912"/>
        <v>11</v>
      </c>
      <c r="AH1837" s="106">
        <f>SUM(AC1837:AG1837)</f>
        <v>157</v>
      </c>
      <c r="AI1837" s="104">
        <f>AI1831</f>
        <v>72</v>
      </c>
      <c r="AJ1837" s="105">
        <f t="shared" ref="AJ1837:AM1837" si="1913">AJ1831</f>
        <v>50</v>
      </c>
      <c r="AK1837" s="105">
        <f t="shared" si="1913"/>
        <v>53</v>
      </c>
      <c r="AL1837" s="105">
        <f t="shared" si="1913"/>
        <v>26</v>
      </c>
      <c r="AM1837" s="105">
        <f t="shared" si="1913"/>
        <v>58</v>
      </c>
      <c r="AN1837" s="106">
        <f>SUM(AI1837:AM1837)</f>
        <v>259</v>
      </c>
      <c r="AO1837" s="104">
        <f>AO1831</f>
        <v>134</v>
      </c>
      <c r="AP1837" s="105">
        <f t="shared" ref="AP1837:AS1837" si="1914">AP1831</f>
        <v>84</v>
      </c>
      <c r="AQ1837" s="105">
        <f t="shared" si="1914"/>
        <v>80</v>
      </c>
      <c r="AR1837" s="105">
        <f t="shared" si="1914"/>
        <v>100</v>
      </c>
      <c r="AS1837" s="105">
        <f t="shared" si="1914"/>
        <v>117</v>
      </c>
      <c r="AT1837" s="106">
        <f>SUM(AO1837:AS1837)</f>
        <v>515</v>
      </c>
      <c r="AU1837" s="104">
        <f>AU1831</f>
        <v>102</v>
      </c>
      <c r="AV1837" s="105">
        <f t="shared" ref="AV1837:AY1837" si="1915">AV1831</f>
        <v>42</v>
      </c>
      <c r="AW1837" s="105">
        <f t="shared" si="1915"/>
        <v>6</v>
      </c>
      <c r="AX1837" s="105">
        <f t="shared" si="1915"/>
        <v>3</v>
      </c>
      <c r="AY1837" s="105">
        <f t="shared" si="1915"/>
        <v>58</v>
      </c>
      <c r="AZ1837" s="106">
        <f>SUM(AU1837:AY1837)</f>
        <v>211</v>
      </c>
      <c r="BA1837" s="106">
        <f>AH1837+AN1837+AT1837+AZ1837</f>
        <v>1142</v>
      </c>
    </row>
    <row r="1838" spans="1:54" ht="14.25" x14ac:dyDescent="0.15">
      <c r="A1838" s="10" t="s">
        <v>181</v>
      </c>
      <c r="B1838" s="14"/>
      <c r="C1838" s="15"/>
      <c r="D1838" s="15">
        <v>3</v>
      </c>
      <c r="E1838" s="15"/>
      <c r="F1838" s="15"/>
      <c r="G1838" s="43">
        <f t="shared" ref="G1838:G1841" si="1916">SUM(B1838:F1838)</f>
        <v>3</v>
      </c>
      <c r="H1838" s="14"/>
      <c r="I1838" s="15"/>
      <c r="J1838" s="15"/>
      <c r="K1838" s="15">
        <v>3</v>
      </c>
      <c r="L1838" s="15"/>
      <c r="M1838" s="43">
        <f t="shared" ref="M1838:M1841" si="1917">SUM(H1838:L1838)</f>
        <v>3</v>
      </c>
      <c r="N1838" s="14"/>
      <c r="O1838" s="55"/>
      <c r="P1838" s="55"/>
      <c r="Q1838" s="55"/>
      <c r="R1838" s="67"/>
      <c r="S1838" s="24">
        <f t="shared" ref="S1838:S1841" si="1918">SUM(N1838:R1838)</f>
        <v>0</v>
      </c>
      <c r="T1838" s="15"/>
      <c r="U1838" s="55"/>
      <c r="V1838" s="55">
        <v>3</v>
      </c>
      <c r="W1838" s="55"/>
      <c r="X1838" s="67"/>
      <c r="Y1838" s="24">
        <f t="shared" ref="Y1838:Y1841" si="1919">SUM(T1838:X1838)</f>
        <v>3</v>
      </c>
      <c r="Z1838" s="24">
        <f t="shared" si="1911"/>
        <v>9</v>
      </c>
      <c r="AA1838" s="83">
        <v>45565</v>
      </c>
      <c r="AB1838" s="10" t="s">
        <v>181</v>
      </c>
      <c r="AC1838" s="14"/>
      <c r="AD1838" s="15"/>
      <c r="AE1838" s="15"/>
      <c r="AF1838" s="15"/>
      <c r="AG1838" s="15"/>
      <c r="AH1838" s="43">
        <f t="shared" ref="AH1838:AH1839" si="1920">SUM(AC1838:AG1838)</f>
        <v>0</v>
      </c>
      <c r="AI1838" s="14"/>
      <c r="AJ1838" s="15"/>
      <c r="AK1838" s="15"/>
      <c r="AL1838" s="15"/>
      <c r="AM1838" s="15"/>
      <c r="AN1838" s="43">
        <f t="shared" ref="AN1838:AN1839" si="1921">SUM(AI1838:AM1838)</f>
        <v>0</v>
      </c>
      <c r="AO1838" s="14"/>
      <c r="AP1838" s="55"/>
      <c r="AQ1838" s="55"/>
      <c r="AR1838" s="55"/>
      <c r="AS1838" s="67"/>
      <c r="AT1838" s="24">
        <f t="shared" ref="AT1838:AT1839" si="1922">SUM(AO1838:AS1838)</f>
        <v>0</v>
      </c>
      <c r="AU1838" s="15"/>
      <c r="AV1838" s="55"/>
      <c r="AW1838" s="55"/>
      <c r="AX1838" s="55"/>
      <c r="AY1838" s="67"/>
      <c r="AZ1838" s="24">
        <f t="shared" ref="AZ1838:AZ1839" si="1923">SUM(AU1838:AY1838)</f>
        <v>0</v>
      </c>
      <c r="BA1838" s="24">
        <f t="shared" ref="BA1838:BA1856" si="1924">AH1838+AN1838+AT1838+AZ1838</f>
        <v>0</v>
      </c>
    </row>
    <row r="1839" spans="1:54" ht="14.25" x14ac:dyDescent="0.15">
      <c r="A1839" s="10" t="s">
        <v>77</v>
      </c>
      <c r="B1839" s="14">
        <v>1</v>
      </c>
      <c r="C1839" s="15"/>
      <c r="D1839" s="15">
        <v>1</v>
      </c>
      <c r="E1839" s="15"/>
      <c r="F1839" s="15"/>
      <c r="G1839" s="43">
        <f t="shared" si="1916"/>
        <v>2</v>
      </c>
      <c r="H1839" s="14"/>
      <c r="I1839" s="15"/>
      <c r="J1839" s="15"/>
      <c r="K1839" s="15"/>
      <c r="L1839" s="15"/>
      <c r="M1839" s="43">
        <f t="shared" si="1917"/>
        <v>0</v>
      </c>
      <c r="N1839" s="14"/>
      <c r="O1839" s="55">
        <v>1</v>
      </c>
      <c r="P1839" s="55"/>
      <c r="Q1839" s="55"/>
      <c r="R1839" s="67"/>
      <c r="S1839" s="24">
        <f t="shared" si="1918"/>
        <v>1</v>
      </c>
      <c r="T1839" s="15"/>
      <c r="U1839" s="55"/>
      <c r="V1839" s="55"/>
      <c r="W1839" s="55"/>
      <c r="X1839" s="67"/>
      <c r="Y1839" s="24">
        <f t="shared" si="1919"/>
        <v>0</v>
      </c>
      <c r="Z1839" s="24">
        <f t="shared" si="1911"/>
        <v>3</v>
      </c>
      <c r="AA1839" s="83">
        <v>45562</v>
      </c>
      <c r="AB1839" s="10" t="s">
        <v>181</v>
      </c>
      <c r="AC1839" s="14"/>
      <c r="AD1839" s="15"/>
      <c r="AE1839" s="15"/>
      <c r="AF1839" s="15"/>
      <c r="AG1839" s="15"/>
      <c r="AH1839" s="43">
        <f t="shared" si="1920"/>
        <v>0</v>
      </c>
      <c r="AI1839" s="14"/>
      <c r="AJ1839" s="15"/>
      <c r="AK1839" s="15"/>
      <c r="AL1839" s="15"/>
      <c r="AM1839" s="15"/>
      <c r="AN1839" s="43">
        <f t="shared" si="1921"/>
        <v>0</v>
      </c>
      <c r="AO1839" s="14"/>
      <c r="AP1839" s="55"/>
      <c r="AQ1839" s="55"/>
      <c r="AR1839" s="55"/>
      <c r="AS1839" s="67"/>
      <c r="AT1839" s="24">
        <f t="shared" si="1922"/>
        <v>0</v>
      </c>
      <c r="AU1839" s="15"/>
      <c r="AV1839" s="55"/>
      <c r="AW1839" s="55"/>
      <c r="AX1839" s="55"/>
      <c r="AY1839" s="67"/>
      <c r="AZ1839" s="24">
        <f t="shared" si="1923"/>
        <v>0</v>
      </c>
      <c r="BA1839" s="24">
        <f t="shared" si="1924"/>
        <v>0</v>
      </c>
    </row>
    <row r="1840" spans="1:54" ht="14.25" x14ac:dyDescent="0.15">
      <c r="A1840" s="10" t="s">
        <v>181</v>
      </c>
      <c r="B1840" s="14"/>
      <c r="C1840" s="15"/>
      <c r="D1840" s="15"/>
      <c r="E1840" s="15">
        <v>5</v>
      </c>
      <c r="F1840" s="15">
        <v>3</v>
      </c>
      <c r="G1840" s="43">
        <f t="shared" si="1916"/>
        <v>8</v>
      </c>
      <c r="H1840" s="14"/>
      <c r="I1840" s="15"/>
      <c r="J1840" s="15"/>
      <c r="K1840" s="15"/>
      <c r="L1840" s="15"/>
      <c r="M1840" s="43">
        <f t="shared" si="1917"/>
        <v>0</v>
      </c>
      <c r="N1840" s="14"/>
      <c r="O1840" s="55"/>
      <c r="P1840" s="55"/>
      <c r="Q1840" s="55"/>
      <c r="R1840" s="67">
        <v>3</v>
      </c>
      <c r="S1840" s="24">
        <f t="shared" si="1918"/>
        <v>3</v>
      </c>
      <c r="T1840" s="15"/>
      <c r="U1840" s="55"/>
      <c r="V1840" s="55"/>
      <c r="W1840" s="55"/>
      <c r="X1840" s="67"/>
      <c r="Y1840" s="24">
        <f t="shared" si="1919"/>
        <v>0</v>
      </c>
      <c r="Z1840" s="24">
        <f t="shared" si="1911"/>
        <v>11</v>
      </c>
      <c r="AA1840" s="83">
        <v>45566</v>
      </c>
      <c r="AB1840" s="10" t="s">
        <v>181</v>
      </c>
      <c r="AC1840" s="14"/>
      <c r="AD1840" s="15"/>
      <c r="AE1840" s="15"/>
      <c r="AF1840" s="15"/>
      <c r="AG1840" s="15"/>
      <c r="AH1840" s="43">
        <f t="shared" ref="AH1840:AH1841" si="1925">SUM(AC1840:AG1840)</f>
        <v>0</v>
      </c>
      <c r="AI1840" s="14"/>
      <c r="AJ1840" s="15"/>
      <c r="AK1840" s="15"/>
      <c r="AL1840" s="15"/>
      <c r="AM1840" s="15"/>
      <c r="AN1840" s="43">
        <f t="shared" ref="AN1840:AN1841" si="1926">SUM(AI1840:AM1840)</f>
        <v>0</v>
      </c>
      <c r="AO1840" s="14"/>
      <c r="AP1840" s="55"/>
      <c r="AQ1840" s="55"/>
      <c r="AR1840" s="55"/>
      <c r="AS1840" s="67"/>
      <c r="AT1840" s="24">
        <f t="shared" ref="AT1840:AT1841" si="1927">SUM(AO1840:AS1840)</f>
        <v>0</v>
      </c>
      <c r="AU1840" s="15"/>
      <c r="AV1840" s="55"/>
      <c r="AW1840" s="55"/>
      <c r="AX1840" s="55"/>
      <c r="AY1840" s="67"/>
      <c r="AZ1840" s="24">
        <f t="shared" ref="AZ1840:AZ1841" si="1928">SUM(AU1840:AY1840)</f>
        <v>0</v>
      </c>
      <c r="BA1840" s="24">
        <f t="shared" ref="BA1840:BA1841" si="1929">AH1840+AN1840+AT1840+AZ1840</f>
        <v>0</v>
      </c>
    </row>
    <row r="1841" spans="1:55" ht="15" thickBot="1" x14ac:dyDescent="0.2">
      <c r="A1841" s="10" t="s">
        <v>181</v>
      </c>
      <c r="B1841" s="14"/>
      <c r="C1841" s="15">
        <v>3</v>
      </c>
      <c r="D1841" s="15"/>
      <c r="E1841" s="15"/>
      <c r="F1841" s="15"/>
      <c r="G1841" s="43">
        <f t="shared" si="1916"/>
        <v>3</v>
      </c>
      <c r="H1841" s="14"/>
      <c r="I1841" s="15"/>
      <c r="J1841" s="15"/>
      <c r="K1841" s="15">
        <v>3</v>
      </c>
      <c r="L1841" s="15">
        <v>3</v>
      </c>
      <c r="M1841" s="43">
        <f t="shared" si="1917"/>
        <v>6</v>
      </c>
      <c r="N1841" s="14"/>
      <c r="O1841" s="55"/>
      <c r="P1841" s="55"/>
      <c r="Q1841" s="55"/>
      <c r="R1841" s="67"/>
      <c r="S1841" s="24">
        <f t="shared" si="1918"/>
        <v>0</v>
      </c>
      <c r="T1841" s="15"/>
      <c r="U1841" s="55"/>
      <c r="V1841" s="55"/>
      <c r="W1841" s="55"/>
      <c r="X1841" s="67"/>
      <c r="Y1841" s="24">
        <f t="shared" si="1919"/>
        <v>0</v>
      </c>
      <c r="Z1841" s="24">
        <f t="shared" si="1911"/>
        <v>9</v>
      </c>
      <c r="AA1841" s="83">
        <v>45574</v>
      </c>
      <c r="AB1841" s="10" t="s">
        <v>181</v>
      </c>
      <c r="AC1841" s="14"/>
      <c r="AD1841" s="15"/>
      <c r="AE1841" s="15"/>
      <c r="AF1841" s="15"/>
      <c r="AG1841" s="15"/>
      <c r="AH1841" s="43">
        <f t="shared" si="1925"/>
        <v>0</v>
      </c>
      <c r="AI1841" s="14"/>
      <c r="AJ1841" s="15"/>
      <c r="AK1841" s="15"/>
      <c r="AL1841" s="15"/>
      <c r="AM1841" s="15"/>
      <c r="AN1841" s="43">
        <f t="shared" si="1926"/>
        <v>0</v>
      </c>
      <c r="AO1841" s="14"/>
      <c r="AP1841" s="55"/>
      <c r="AQ1841" s="55"/>
      <c r="AR1841" s="55"/>
      <c r="AS1841" s="67"/>
      <c r="AT1841" s="24">
        <f t="shared" si="1927"/>
        <v>0</v>
      </c>
      <c r="AU1841" s="15"/>
      <c r="AV1841" s="55"/>
      <c r="AW1841" s="55"/>
      <c r="AX1841" s="55"/>
      <c r="AY1841" s="67"/>
      <c r="AZ1841" s="24">
        <f t="shared" si="1928"/>
        <v>0</v>
      </c>
      <c r="BA1841" s="24">
        <f t="shared" si="1929"/>
        <v>0</v>
      </c>
    </row>
    <row r="1842" spans="1:55" ht="15" thickBot="1" x14ac:dyDescent="0.2">
      <c r="A1842" s="4" t="s">
        <v>12</v>
      </c>
      <c r="B1842" s="17">
        <f>SUM(B1837:B1841)</f>
        <v>5</v>
      </c>
      <c r="C1842" s="18">
        <f>SUM(C1837:C1841)</f>
        <v>7</v>
      </c>
      <c r="D1842" s="18">
        <f>SUM(D1837:D1841)</f>
        <v>9</v>
      </c>
      <c r="E1842" s="18">
        <f>SUM(E1837:E1841)</f>
        <v>6</v>
      </c>
      <c r="F1842" s="18">
        <f>SUM(F1837:F1841)</f>
        <v>5</v>
      </c>
      <c r="G1842" s="148">
        <f t="shared" ref="G1842:G1868" si="1930">SUM(B1842:F1842)</f>
        <v>32</v>
      </c>
      <c r="H1842" s="17">
        <f>SUM(H1837:H1841)</f>
        <v>5</v>
      </c>
      <c r="I1842" s="18">
        <f>SUM(I1837:I1841)</f>
        <v>6</v>
      </c>
      <c r="J1842" s="18">
        <f>SUM(J1837:J1841)</f>
        <v>5</v>
      </c>
      <c r="K1842" s="18">
        <f>SUM(K1837:K1841)</f>
        <v>9</v>
      </c>
      <c r="L1842" s="18">
        <f>SUM(L1837:L1841)</f>
        <v>7</v>
      </c>
      <c r="M1842" s="17">
        <f t="shared" ref="M1842:M1868" si="1931">SUM(H1842:L1842)</f>
        <v>32</v>
      </c>
      <c r="N1842" s="65">
        <f>SUM(N1837:N1841)</f>
        <v>5</v>
      </c>
      <c r="O1842" s="18">
        <f>SUM(O1837:O1841)</f>
        <v>5</v>
      </c>
      <c r="P1842" s="18">
        <f>SUM(P1837:P1841)</f>
        <v>6</v>
      </c>
      <c r="Q1842" s="18">
        <f>SUM(Q1837:Q1841)</f>
        <v>7</v>
      </c>
      <c r="R1842" s="70">
        <f>SUM(R1837:R1841)</f>
        <v>7</v>
      </c>
      <c r="S1842" s="49">
        <f t="shared" ref="S1842:S1868" si="1932">SUM(N1842:R1842)</f>
        <v>30</v>
      </c>
      <c r="T1842" s="74">
        <f>SUM(T1837:T1841)</f>
        <v>6</v>
      </c>
      <c r="U1842" s="18">
        <f>SUM(U1837:U1841)</f>
        <v>4</v>
      </c>
      <c r="V1842" s="18">
        <f>SUM(V1837:V1841)</f>
        <v>6</v>
      </c>
      <c r="W1842" s="18">
        <f>SUM(W1837:W1841)</f>
        <v>5</v>
      </c>
      <c r="X1842" s="70">
        <f>SUM(X1837:X1841)</f>
        <v>6</v>
      </c>
      <c r="Y1842" s="49">
        <f t="shared" ref="Y1842:Y1868" si="1933">SUM(T1842:X1842)</f>
        <v>27</v>
      </c>
      <c r="Z1842" s="33">
        <f t="shared" si="1911"/>
        <v>121</v>
      </c>
      <c r="AB1842" s="4" t="s">
        <v>12</v>
      </c>
      <c r="AC1842" s="17">
        <f>SUM(AC1837:AC1841)</f>
        <v>76</v>
      </c>
      <c r="AD1842" s="18">
        <f t="shared" ref="AD1842" si="1934">SUM(AD1837:AD1841)</f>
        <v>29</v>
      </c>
      <c r="AE1842" s="18">
        <f t="shared" ref="AE1842" si="1935">SUM(AE1837:AE1841)</f>
        <v>26</v>
      </c>
      <c r="AF1842" s="18">
        <f t="shared" ref="AF1842" si="1936">SUM(AF1837:AF1841)</f>
        <v>15</v>
      </c>
      <c r="AG1842" s="18">
        <f t="shared" ref="AG1842" si="1937">SUM(AG1837:AG1841)</f>
        <v>11</v>
      </c>
      <c r="AH1842" s="148">
        <f>SUM(AC1842:AG1842)</f>
        <v>157</v>
      </c>
      <c r="AI1842" s="17">
        <f>SUM(AI1837:AI1841)</f>
        <v>72</v>
      </c>
      <c r="AJ1842" s="18">
        <f t="shared" ref="AJ1842" si="1938">SUM(AJ1837:AJ1841)</f>
        <v>50</v>
      </c>
      <c r="AK1842" s="18">
        <f t="shared" ref="AK1842" si="1939">SUM(AK1837:AK1841)</f>
        <v>53</v>
      </c>
      <c r="AL1842" s="18">
        <f t="shared" ref="AL1842" si="1940">SUM(AL1837:AL1841)</f>
        <v>26</v>
      </c>
      <c r="AM1842" s="18">
        <f t="shared" ref="AM1842" si="1941">SUM(AM1837:AM1841)</f>
        <v>58</v>
      </c>
      <c r="AN1842" s="148">
        <f>SUM(AI1842:AM1842)</f>
        <v>259</v>
      </c>
      <c r="AO1842" s="17">
        <f>SUM(AO1837:AO1841)</f>
        <v>134</v>
      </c>
      <c r="AP1842" s="18">
        <f t="shared" ref="AP1842" si="1942">SUM(AP1837:AP1841)</f>
        <v>84</v>
      </c>
      <c r="AQ1842" s="18">
        <f t="shared" ref="AQ1842" si="1943">SUM(AQ1837:AQ1841)</f>
        <v>80</v>
      </c>
      <c r="AR1842" s="18">
        <f t="shared" ref="AR1842" si="1944">SUM(AR1837:AR1841)</f>
        <v>100</v>
      </c>
      <c r="AS1842" s="18">
        <f t="shared" ref="AS1842" si="1945">SUM(AS1837:AS1841)</f>
        <v>117</v>
      </c>
      <c r="AT1842" s="148">
        <f>SUM(AO1842:AS1842)</f>
        <v>515</v>
      </c>
      <c r="AU1842" s="17">
        <f>SUM(AU1837:AU1841)</f>
        <v>102</v>
      </c>
      <c r="AV1842" s="18">
        <f t="shared" ref="AV1842" si="1946">SUM(AV1837:AV1841)</f>
        <v>42</v>
      </c>
      <c r="AW1842" s="18">
        <f t="shared" ref="AW1842" si="1947">SUM(AW1837:AW1841)</f>
        <v>6</v>
      </c>
      <c r="AX1842" s="18">
        <f t="shared" ref="AX1842" si="1948">SUM(AX1837:AX1841)</f>
        <v>3</v>
      </c>
      <c r="AY1842" s="18">
        <f t="shared" ref="AY1842" si="1949">SUM(AY1837:AY1841)</f>
        <v>58</v>
      </c>
      <c r="AZ1842" s="148">
        <f>SUM(AU1842:AY1842)</f>
        <v>211</v>
      </c>
      <c r="BA1842" s="33">
        <f>AH1842+AN1842+AT1842+AZ1842</f>
        <v>1142</v>
      </c>
    </row>
    <row r="1843" spans="1:55" ht="14.25" x14ac:dyDescent="0.15">
      <c r="A1843" s="23" t="s">
        <v>395</v>
      </c>
      <c r="B1843" s="41"/>
      <c r="C1843" s="42"/>
      <c r="D1843" s="42"/>
      <c r="E1843" s="42"/>
      <c r="F1843" s="42"/>
      <c r="G1843" s="43">
        <f t="shared" ref="G1843:G1866" si="1950">SUM(B1843:F1843)</f>
        <v>0</v>
      </c>
      <c r="H1843" s="41"/>
      <c r="I1843" s="42">
        <v>1</v>
      </c>
      <c r="J1843" s="42"/>
      <c r="K1843" s="42"/>
      <c r="L1843" s="42"/>
      <c r="M1843" s="43">
        <f t="shared" ref="M1843:M1866" si="1951">SUM(H1843:L1843)</f>
        <v>1</v>
      </c>
      <c r="N1843" s="42"/>
      <c r="O1843" s="53"/>
      <c r="P1843" s="53"/>
      <c r="Q1843" s="53"/>
      <c r="R1843" s="72"/>
      <c r="S1843" s="24">
        <f t="shared" ref="S1843:S1866" si="1952">SUM(N1843:R1843)</f>
        <v>0</v>
      </c>
      <c r="T1843" s="42"/>
      <c r="U1843" s="53"/>
      <c r="V1843" s="53"/>
      <c r="W1843" s="53"/>
      <c r="X1843" s="72">
        <v>1</v>
      </c>
      <c r="Y1843" s="24">
        <f t="shared" ref="Y1843:Y1866" si="1953">SUM(T1843:X1843)</f>
        <v>1</v>
      </c>
      <c r="Z1843" s="24">
        <f t="shared" ref="Z1843:Z1866" si="1954">G1843+M1843+S1843+Y1843</f>
        <v>2</v>
      </c>
      <c r="AA1843" s="83">
        <v>45559</v>
      </c>
      <c r="AB1843" s="23" t="s">
        <v>126</v>
      </c>
      <c r="AC1843" s="41"/>
      <c r="AD1843" s="42"/>
      <c r="AE1843" s="42"/>
      <c r="AF1843" s="42"/>
      <c r="AG1843" s="42">
        <v>3</v>
      </c>
      <c r="AH1843" s="43">
        <f t="shared" ref="AH1843:AH1856" si="1955">SUM(AC1843:AG1843)</f>
        <v>3</v>
      </c>
      <c r="AI1843" s="41"/>
      <c r="AJ1843" s="42"/>
      <c r="AK1843" s="42"/>
      <c r="AL1843" s="42">
        <v>3</v>
      </c>
      <c r="AM1843" s="42"/>
      <c r="AN1843" s="43">
        <f t="shared" ref="AN1843" si="1956">SUM(AI1843:AM1843)</f>
        <v>3</v>
      </c>
      <c r="AO1843" s="42"/>
      <c r="AP1843" s="53"/>
      <c r="AQ1843" s="53"/>
      <c r="AR1843" s="53"/>
      <c r="AS1843" s="72"/>
      <c r="AT1843" s="24">
        <f t="shared" ref="AT1843" si="1957">SUM(AO1843:AS1843)</f>
        <v>0</v>
      </c>
      <c r="AU1843" s="42"/>
      <c r="AV1843" s="53"/>
      <c r="AW1843" s="53"/>
      <c r="AX1843" s="53"/>
      <c r="AY1843" s="72"/>
      <c r="AZ1843" s="24">
        <f t="shared" ref="AZ1843" si="1958">SUM(AU1843:AY1843)</f>
        <v>0</v>
      </c>
      <c r="BA1843" s="24">
        <f t="shared" si="1924"/>
        <v>6</v>
      </c>
      <c r="BB1843" s="83">
        <v>45587</v>
      </c>
    </row>
    <row r="1844" spans="1:55" ht="14.25" x14ac:dyDescent="0.15">
      <c r="A1844" s="23" t="s">
        <v>690</v>
      </c>
      <c r="B1844" s="41"/>
      <c r="C1844" s="42"/>
      <c r="D1844" s="42"/>
      <c r="E1844" s="42">
        <v>1</v>
      </c>
      <c r="F1844" s="42"/>
      <c r="G1844" s="43">
        <f t="shared" si="1950"/>
        <v>1</v>
      </c>
      <c r="H1844" s="41"/>
      <c r="I1844" s="42"/>
      <c r="J1844" s="42"/>
      <c r="K1844" s="42"/>
      <c r="L1844" s="42"/>
      <c r="M1844" s="43">
        <f t="shared" si="1951"/>
        <v>0</v>
      </c>
      <c r="N1844" s="42"/>
      <c r="O1844" s="53"/>
      <c r="P1844" s="53"/>
      <c r="Q1844" s="53"/>
      <c r="R1844" s="72"/>
      <c r="S1844" s="24">
        <f t="shared" si="1952"/>
        <v>0</v>
      </c>
      <c r="T1844" s="42"/>
      <c r="U1844" s="53"/>
      <c r="V1844" s="53"/>
      <c r="W1844" s="53"/>
      <c r="X1844" s="72"/>
      <c r="Y1844" s="24">
        <f t="shared" si="1953"/>
        <v>0</v>
      </c>
      <c r="Z1844" s="24">
        <f t="shared" si="1954"/>
        <v>1</v>
      </c>
      <c r="AA1844" s="83">
        <v>45562</v>
      </c>
      <c r="AB1844" s="23"/>
      <c r="AC1844" s="41"/>
      <c r="AD1844" s="42"/>
      <c r="AE1844" s="42"/>
      <c r="AF1844" s="42"/>
      <c r="AG1844" s="42"/>
      <c r="AH1844" s="43">
        <f t="shared" ref="AH1844:AH1855" si="1959">SUM(AC1844:AG1844)</f>
        <v>0</v>
      </c>
      <c r="AI1844" s="41"/>
      <c r="AJ1844" s="42"/>
      <c r="AK1844" s="42"/>
      <c r="AL1844" s="42"/>
      <c r="AM1844" s="42"/>
      <c r="AN1844" s="43">
        <f t="shared" ref="AN1844:AN1855" si="1960">SUM(AI1844:AM1844)</f>
        <v>0</v>
      </c>
      <c r="AO1844" s="42"/>
      <c r="AP1844" s="53"/>
      <c r="AQ1844" s="53"/>
      <c r="AR1844" s="53"/>
      <c r="AS1844" s="72"/>
      <c r="AT1844" s="24">
        <f t="shared" ref="AT1844:AT1855" si="1961">SUM(AO1844:AS1844)</f>
        <v>0</v>
      </c>
      <c r="AU1844" s="42"/>
      <c r="AV1844" s="53"/>
      <c r="AW1844" s="53"/>
      <c r="AX1844" s="53"/>
      <c r="AY1844" s="72"/>
      <c r="AZ1844" s="24">
        <f t="shared" ref="AZ1844:AZ1855" si="1962">SUM(AU1844:AY1844)</f>
        <v>0</v>
      </c>
      <c r="BA1844" s="24">
        <f t="shared" ref="BA1844:BA1855" si="1963">AH1844+AN1844+AT1844+AZ1844</f>
        <v>0</v>
      </c>
      <c r="BB1844" s="83"/>
    </row>
    <row r="1845" spans="1:55" ht="14.25" x14ac:dyDescent="0.15">
      <c r="A1845" s="23" t="s">
        <v>438</v>
      </c>
      <c r="B1845" s="41"/>
      <c r="C1845" s="42"/>
      <c r="D1845" s="42"/>
      <c r="E1845" s="42"/>
      <c r="F1845" s="42"/>
      <c r="G1845" s="43">
        <f t="shared" si="1950"/>
        <v>0</v>
      </c>
      <c r="H1845" s="41"/>
      <c r="I1845" s="42"/>
      <c r="J1845" s="42"/>
      <c r="K1845" s="42">
        <v>1</v>
      </c>
      <c r="L1845" s="42"/>
      <c r="M1845" s="43">
        <f t="shared" si="1951"/>
        <v>1</v>
      </c>
      <c r="N1845" s="42"/>
      <c r="O1845" s="53"/>
      <c r="P1845" s="53"/>
      <c r="Q1845" s="53"/>
      <c r="R1845" s="72"/>
      <c r="S1845" s="24">
        <f t="shared" si="1952"/>
        <v>0</v>
      </c>
      <c r="T1845" s="42"/>
      <c r="U1845" s="53"/>
      <c r="V1845" s="53"/>
      <c r="W1845" s="53"/>
      <c r="X1845" s="72"/>
      <c r="Y1845" s="24">
        <f t="shared" si="1953"/>
        <v>0</v>
      </c>
      <c r="Z1845" s="24">
        <f t="shared" si="1954"/>
        <v>1</v>
      </c>
      <c r="AA1845" s="83">
        <v>45562</v>
      </c>
      <c r="AB1845" s="23"/>
      <c r="AC1845" s="41"/>
      <c r="AD1845" s="42"/>
      <c r="AE1845" s="42"/>
      <c r="AF1845" s="42"/>
      <c r="AG1845" s="42"/>
      <c r="AH1845" s="43">
        <f t="shared" si="1959"/>
        <v>0</v>
      </c>
      <c r="AI1845" s="41"/>
      <c r="AJ1845" s="42"/>
      <c r="AK1845" s="42"/>
      <c r="AL1845" s="42"/>
      <c r="AM1845" s="42"/>
      <c r="AN1845" s="43">
        <f t="shared" si="1960"/>
        <v>0</v>
      </c>
      <c r="AO1845" s="42"/>
      <c r="AP1845" s="53"/>
      <c r="AQ1845" s="53"/>
      <c r="AR1845" s="53"/>
      <c r="AS1845" s="72"/>
      <c r="AT1845" s="24">
        <f t="shared" si="1961"/>
        <v>0</v>
      </c>
      <c r="AU1845" s="42"/>
      <c r="AV1845" s="53"/>
      <c r="AW1845" s="53"/>
      <c r="AX1845" s="53"/>
      <c r="AY1845" s="72"/>
      <c r="AZ1845" s="24">
        <f t="shared" si="1962"/>
        <v>0</v>
      </c>
      <c r="BA1845" s="24">
        <f t="shared" si="1963"/>
        <v>0</v>
      </c>
      <c r="BB1845" s="83"/>
    </row>
    <row r="1846" spans="1:55" ht="14.25" x14ac:dyDescent="0.15">
      <c r="A1846" s="23" t="s">
        <v>395</v>
      </c>
      <c r="B1846" s="41"/>
      <c r="C1846" s="42">
        <v>-1</v>
      </c>
      <c r="D1846" s="42">
        <v>2</v>
      </c>
      <c r="E1846" s="42"/>
      <c r="F1846" s="42"/>
      <c r="G1846" s="43">
        <f t="shared" si="1950"/>
        <v>1</v>
      </c>
      <c r="H1846" s="41"/>
      <c r="I1846" s="42"/>
      <c r="J1846" s="42"/>
      <c r="K1846" s="42"/>
      <c r="L1846" s="42"/>
      <c r="M1846" s="43">
        <f t="shared" si="1951"/>
        <v>0</v>
      </c>
      <c r="N1846" s="42"/>
      <c r="O1846" s="53"/>
      <c r="P1846" s="53"/>
      <c r="Q1846" s="53"/>
      <c r="R1846" s="72"/>
      <c r="S1846" s="24">
        <f t="shared" si="1952"/>
        <v>0</v>
      </c>
      <c r="T1846" s="42"/>
      <c r="U1846" s="53"/>
      <c r="V1846" s="53"/>
      <c r="W1846" s="53"/>
      <c r="X1846" s="72"/>
      <c r="Y1846" s="24">
        <f t="shared" si="1953"/>
        <v>0</v>
      </c>
      <c r="Z1846" s="24">
        <f t="shared" si="1954"/>
        <v>1</v>
      </c>
      <c r="AA1846" s="83">
        <v>45561</v>
      </c>
      <c r="AB1846" s="23"/>
      <c r="AC1846" s="41"/>
      <c r="AD1846" s="42"/>
      <c r="AE1846" s="42"/>
      <c r="AF1846" s="42"/>
      <c r="AG1846" s="42"/>
      <c r="AH1846" s="43">
        <f t="shared" si="1959"/>
        <v>0</v>
      </c>
      <c r="AI1846" s="41"/>
      <c r="AJ1846" s="42"/>
      <c r="AK1846" s="42"/>
      <c r="AL1846" s="42"/>
      <c r="AM1846" s="42"/>
      <c r="AN1846" s="43">
        <f t="shared" si="1960"/>
        <v>0</v>
      </c>
      <c r="AO1846" s="42"/>
      <c r="AP1846" s="53"/>
      <c r="AQ1846" s="53"/>
      <c r="AR1846" s="53"/>
      <c r="AS1846" s="72"/>
      <c r="AT1846" s="24">
        <f t="shared" si="1961"/>
        <v>0</v>
      </c>
      <c r="AU1846" s="42"/>
      <c r="AV1846" s="53"/>
      <c r="AW1846" s="53"/>
      <c r="AX1846" s="53"/>
      <c r="AY1846" s="72"/>
      <c r="AZ1846" s="24">
        <f t="shared" si="1962"/>
        <v>0</v>
      </c>
      <c r="BA1846" s="24">
        <f t="shared" si="1963"/>
        <v>0</v>
      </c>
      <c r="BB1846" s="83"/>
    </row>
    <row r="1847" spans="1:55" ht="14.25" x14ac:dyDescent="0.15">
      <c r="A1847" s="23" t="s">
        <v>395</v>
      </c>
      <c r="B1847" s="41"/>
      <c r="C1847" s="42"/>
      <c r="D1847" s="42"/>
      <c r="E1847" s="42"/>
      <c r="F1847" s="42"/>
      <c r="G1847" s="43">
        <f t="shared" ref="G1847" si="1964">SUM(B1847:F1847)</f>
        <v>0</v>
      </c>
      <c r="H1847" s="41"/>
      <c r="I1847" s="42"/>
      <c r="J1847" s="42"/>
      <c r="K1847" s="42">
        <v>1</v>
      </c>
      <c r="L1847" s="42"/>
      <c r="M1847" s="43">
        <f t="shared" ref="M1847" si="1965">SUM(H1847:L1847)</f>
        <v>1</v>
      </c>
      <c r="N1847" s="42"/>
      <c r="O1847" s="53"/>
      <c r="P1847" s="53"/>
      <c r="Q1847" s="53"/>
      <c r="R1847" s="72">
        <v>1</v>
      </c>
      <c r="S1847" s="24">
        <f t="shared" ref="S1847" si="1966">SUM(N1847:R1847)</f>
        <v>1</v>
      </c>
      <c r="T1847" s="42"/>
      <c r="U1847" s="53"/>
      <c r="V1847" s="53"/>
      <c r="W1847" s="53"/>
      <c r="X1847" s="72"/>
      <c r="Y1847" s="24">
        <f t="shared" ref="Y1847" si="1967">SUM(T1847:X1847)</f>
        <v>0</v>
      </c>
      <c r="Z1847" s="24">
        <f t="shared" ref="Z1847" si="1968">G1847+M1847+S1847+Y1847</f>
        <v>2</v>
      </c>
      <c r="AA1847" s="83">
        <v>45565</v>
      </c>
      <c r="AB1847" s="23"/>
      <c r="AC1847" s="41"/>
      <c r="AD1847" s="42"/>
      <c r="AE1847" s="42"/>
      <c r="AF1847" s="42"/>
      <c r="AG1847" s="42"/>
      <c r="AH1847" s="43">
        <f t="shared" si="1959"/>
        <v>0</v>
      </c>
      <c r="AI1847" s="41"/>
      <c r="AJ1847" s="42"/>
      <c r="AK1847" s="42"/>
      <c r="AL1847" s="42"/>
      <c r="AM1847" s="42"/>
      <c r="AN1847" s="43">
        <f t="shared" si="1960"/>
        <v>0</v>
      </c>
      <c r="AO1847" s="42"/>
      <c r="AP1847" s="53"/>
      <c r="AQ1847" s="53"/>
      <c r="AR1847" s="53"/>
      <c r="AS1847" s="72"/>
      <c r="AT1847" s="24">
        <f t="shared" si="1961"/>
        <v>0</v>
      </c>
      <c r="AU1847" s="42"/>
      <c r="AV1847" s="53"/>
      <c r="AW1847" s="53"/>
      <c r="AX1847" s="53"/>
      <c r="AY1847" s="72"/>
      <c r="AZ1847" s="24">
        <f t="shared" si="1962"/>
        <v>0</v>
      </c>
      <c r="BA1847" s="24">
        <f t="shared" si="1963"/>
        <v>0</v>
      </c>
      <c r="BB1847" s="83"/>
      <c r="BC1847" s="111"/>
    </row>
    <row r="1848" spans="1:55" ht="14.25" x14ac:dyDescent="0.15">
      <c r="A1848" s="23" t="s">
        <v>438</v>
      </c>
      <c r="B1848" s="41"/>
      <c r="C1848" s="42">
        <v>1</v>
      </c>
      <c r="D1848" s="42"/>
      <c r="E1848" s="42"/>
      <c r="F1848" s="42"/>
      <c r="G1848" s="43">
        <f t="shared" si="1950"/>
        <v>1</v>
      </c>
      <c r="H1848" s="41"/>
      <c r="I1848" s="42"/>
      <c r="J1848" s="42"/>
      <c r="K1848" s="42"/>
      <c r="L1848" s="42"/>
      <c r="M1848" s="43">
        <f t="shared" si="1951"/>
        <v>0</v>
      </c>
      <c r="N1848" s="42"/>
      <c r="O1848" s="53"/>
      <c r="P1848" s="53"/>
      <c r="Q1848" s="53"/>
      <c r="R1848" s="72"/>
      <c r="S1848" s="24">
        <f t="shared" si="1952"/>
        <v>0</v>
      </c>
      <c r="T1848" s="42"/>
      <c r="U1848" s="53"/>
      <c r="V1848" s="53"/>
      <c r="W1848" s="53"/>
      <c r="X1848" s="72"/>
      <c r="Y1848" s="24">
        <f t="shared" si="1953"/>
        <v>0</v>
      </c>
      <c r="Z1848" s="24">
        <f t="shared" si="1954"/>
        <v>1</v>
      </c>
      <c r="AA1848" s="83">
        <v>45568</v>
      </c>
      <c r="AB1848" s="23"/>
      <c r="AC1848" s="41"/>
      <c r="AD1848" s="42"/>
      <c r="AE1848" s="42"/>
      <c r="AF1848" s="42"/>
      <c r="AG1848" s="42"/>
      <c r="AH1848" s="43">
        <f t="shared" si="1959"/>
        <v>0</v>
      </c>
      <c r="AI1848" s="41"/>
      <c r="AJ1848" s="42"/>
      <c r="AK1848" s="42"/>
      <c r="AL1848" s="42"/>
      <c r="AM1848" s="42"/>
      <c r="AN1848" s="43">
        <f t="shared" si="1960"/>
        <v>0</v>
      </c>
      <c r="AO1848" s="42"/>
      <c r="AP1848" s="53"/>
      <c r="AQ1848" s="53"/>
      <c r="AR1848" s="53"/>
      <c r="AS1848" s="72"/>
      <c r="AT1848" s="24">
        <f t="shared" si="1961"/>
        <v>0</v>
      </c>
      <c r="AU1848" s="42"/>
      <c r="AV1848" s="53"/>
      <c r="AW1848" s="53"/>
      <c r="AX1848" s="53"/>
      <c r="AY1848" s="72"/>
      <c r="AZ1848" s="24">
        <f t="shared" si="1962"/>
        <v>0</v>
      </c>
      <c r="BA1848" s="24">
        <f t="shared" si="1963"/>
        <v>0</v>
      </c>
      <c r="BB1848" s="83"/>
      <c r="BC1848" s="111"/>
    </row>
    <row r="1849" spans="1:55" ht="14.25" x14ac:dyDescent="0.15">
      <c r="A1849" s="23" t="s">
        <v>395</v>
      </c>
      <c r="B1849" s="41"/>
      <c r="C1849" s="42"/>
      <c r="D1849" s="42"/>
      <c r="E1849" s="42"/>
      <c r="F1849" s="42"/>
      <c r="G1849" s="43">
        <f t="shared" si="1950"/>
        <v>0</v>
      </c>
      <c r="H1849" s="41"/>
      <c r="I1849" s="42"/>
      <c r="J1849" s="42"/>
      <c r="K1849" s="42">
        <v>1</v>
      </c>
      <c r="L1849" s="42"/>
      <c r="M1849" s="43">
        <f t="shared" si="1951"/>
        <v>1</v>
      </c>
      <c r="N1849" s="42"/>
      <c r="O1849" s="53"/>
      <c r="P1849" s="53"/>
      <c r="Q1849" s="53"/>
      <c r="R1849" s="72"/>
      <c r="S1849" s="24">
        <f t="shared" si="1952"/>
        <v>0</v>
      </c>
      <c r="T1849" s="42"/>
      <c r="U1849" s="53"/>
      <c r="V1849" s="53"/>
      <c r="W1849" s="53"/>
      <c r="X1849" s="72"/>
      <c r="Y1849" s="24">
        <f t="shared" si="1953"/>
        <v>0</v>
      </c>
      <c r="Z1849" s="24">
        <f t="shared" si="1954"/>
        <v>1</v>
      </c>
      <c r="AA1849" s="83">
        <v>45566</v>
      </c>
      <c r="AB1849" s="23"/>
      <c r="AC1849" s="41"/>
      <c r="AD1849" s="42"/>
      <c r="AE1849" s="42"/>
      <c r="AF1849" s="42"/>
      <c r="AG1849" s="42"/>
      <c r="AH1849" s="43">
        <f t="shared" si="1959"/>
        <v>0</v>
      </c>
      <c r="AI1849" s="41"/>
      <c r="AJ1849" s="42"/>
      <c r="AK1849" s="42"/>
      <c r="AL1849" s="42"/>
      <c r="AM1849" s="42"/>
      <c r="AN1849" s="43">
        <f t="shared" si="1960"/>
        <v>0</v>
      </c>
      <c r="AO1849" s="42"/>
      <c r="AP1849" s="53"/>
      <c r="AQ1849" s="53"/>
      <c r="AR1849" s="53"/>
      <c r="AS1849" s="72"/>
      <c r="AT1849" s="24">
        <f t="shared" si="1961"/>
        <v>0</v>
      </c>
      <c r="AU1849" s="42"/>
      <c r="AV1849" s="53"/>
      <c r="AW1849" s="53"/>
      <c r="AX1849" s="53"/>
      <c r="AY1849" s="72"/>
      <c r="AZ1849" s="24">
        <f t="shared" si="1962"/>
        <v>0</v>
      </c>
      <c r="BA1849" s="24">
        <f t="shared" si="1963"/>
        <v>0</v>
      </c>
      <c r="BB1849" s="83"/>
    </row>
    <row r="1850" spans="1:55" ht="14.25" x14ac:dyDescent="0.15">
      <c r="A1850" s="23" t="s">
        <v>395</v>
      </c>
      <c r="B1850" s="41"/>
      <c r="C1850" s="42">
        <v>1</v>
      </c>
      <c r="D1850" s="42"/>
      <c r="E1850" s="42"/>
      <c r="F1850" s="42"/>
      <c r="G1850" s="43">
        <f t="shared" si="1950"/>
        <v>1</v>
      </c>
      <c r="H1850" s="41"/>
      <c r="I1850" s="42"/>
      <c r="J1850" s="42"/>
      <c r="K1850" s="42"/>
      <c r="L1850" s="42"/>
      <c r="M1850" s="43">
        <f t="shared" si="1951"/>
        <v>0</v>
      </c>
      <c r="N1850" s="42"/>
      <c r="O1850" s="53"/>
      <c r="P1850" s="53"/>
      <c r="Q1850" s="53"/>
      <c r="R1850" s="72">
        <v>1</v>
      </c>
      <c r="S1850" s="24">
        <f t="shared" si="1952"/>
        <v>1</v>
      </c>
      <c r="T1850" s="42">
        <v>1</v>
      </c>
      <c r="U1850" s="53"/>
      <c r="V1850" s="53"/>
      <c r="W1850" s="53"/>
      <c r="X1850" s="72"/>
      <c r="Y1850" s="24">
        <f t="shared" si="1953"/>
        <v>1</v>
      </c>
      <c r="Z1850" s="24">
        <f t="shared" si="1954"/>
        <v>3</v>
      </c>
      <c r="AA1850" s="83">
        <v>45570</v>
      </c>
      <c r="AB1850" s="23"/>
      <c r="AC1850" s="41"/>
      <c r="AD1850" s="42"/>
      <c r="AE1850" s="42"/>
      <c r="AF1850" s="42"/>
      <c r="AG1850" s="42"/>
      <c r="AH1850" s="43">
        <f t="shared" si="1959"/>
        <v>0</v>
      </c>
      <c r="AI1850" s="41"/>
      <c r="AJ1850" s="42"/>
      <c r="AK1850" s="42"/>
      <c r="AL1850" s="42"/>
      <c r="AM1850" s="42"/>
      <c r="AN1850" s="43">
        <f t="shared" si="1960"/>
        <v>0</v>
      </c>
      <c r="AO1850" s="42"/>
      <c r="AP1850" s="53"/>
      <c r="AQ1850" s="53"/>
      <c r="AR1850" s="53"/>
      <c r="AS1850" s="72"/>
      <c r="AT1850" s="24">
        <f t="shared" si="1961"/>
        <v>0</v>
      </c>
      <c r="AU1850" s="42"/>
      <c r="AV1850" s="53"/>
      <c r="AW1850" s="53"/>
      <c r="AX1850" s="53"/>
      <c r="AY1850" s="72"/>
      <c r="AZ1850" s="24">
        <f t="shared" si="1962"/>
        <v>0</v>
      </c>
      <c r="BA1850" s="24">
        <f t="shared" si="1963"/>
        <v>0</v>
      </c>
      <c r="BB1850" s="83"/>
    </row>
    <row r="1851" spans="1:55" ht="14.25" x14ac:dyDescent="0.15">
      <c r="A1851" s="23" t="s">
        <v>438</v>
      </c>
      <c r="B1851" s="41"/>
      <c r="C1851" s="42">
        <v>1</v>
      </c>
      <c r="D1851" s="42"/>
      <c r="E1851" s="42"/>
      <c r="F1851" s="42"/>
      <c r="G1851" s="43">
        <f t="shared" si="1950"/>
        <v>1</v>
      </c>
      <c r="H1851" s="41"/>
      <c r="I1851" s="42"/>
      <c r="J1851" s="42"/>
      <c r="K1851" s="42"/>
      <c r="L1851" s="42"/>
      <c r="M1851" s="43">
        <f t="shared" si="1951"/>
        <v>0</v>
      </c>
      <c r="N1851" s="42"/>
      <c r="O1851" s="53"/>
      <c r="P1851" s="53"/>
      <c r="Q1851" s="53"/>
      <c r="R1851" s="72"/>
      <c r="S1851" s="24">
        <f t="shared" si="1952"/>
        <v>0</v>
      </c>
      <c r="T1851" s="42"/>
      <c r="U1851" s="53"/>
      <c r="V1851" s="53"/>
      <c r="W1851" s="53"/>
      <c r="X1851" s="72"/>
      <c r="Y1851" s="24">
        <f t="shared" si="1953"/>
        <v>0</v>
      </c>
      <c r="Z1851" s="24">
        <f t="shared" si="1954"/>
        <v>1</v>
      </c>
      <c r="AA1851" s="83">
        <v>45574</v>
      </c>
      <c r="AB1851" s="23"/>
      <c r="AC1851" s="41"/>
      <c r="AD1851" s="42"/>
      <c r="AE1851" s="42"/>
      <c r="AF1851" s="42"/>
      <c r="AG1851" s="42"/>
      <c r="AH1851" s="43">
        <f t="shared" si="1959"/>
        <v>0</v>
      </c>
      <c r="AI1851" s="41"/>
      <c r="AJ1851" s="42"/>
      <c r="AK1851" s="42"/>
      <c r="AL1851" s="42"/>
      <c r="AM1851" s="42"/>
      <c r="AN1851" s="43">
        <f t="shared" si="1960"/>
        <v>0</v>
      </c>
      <c r="AO1851" s="42"/>
      <c r="AP1851" s="53"/>
      <c r="AQ1851" s="53"/>
      <c r="AR1851" s="53"/>
      <c r="AS1851" s="72"/>
      <c r="AT1851" s="24">
        <f t="shared" si="1961"/>
        <v>0</v>
      </c>
      <c r="AU1851" s="42"/>
      <c r="AV1851" s="53"/>
      <c r="AW1851" s="53"/>
      <c r="AX1851" s="53"/>
      <c r="AY1851" s="72"/>
      <c r="AZ1851" s="24">
        <f t="shared" si="1962"/>
        <v>0</v>
      </c>
      <c r="BA1851" s="24">
        <f t="shared" si="1963"/>
        <v>0</v>
      </c>
      <c r="BB1851" s="83"/>
    </row>
    <row r="1852" spans="1:55" ht="14.25" x14ac:dyDescent="0.15">
      <c r="A1852" s="23" t="s">
        <v>395</v>
      </c>
      <c r="B1852" s="41"/>
      <c r="C1852" s="42"/>
      <c r="D1852" s="42"/>
      <c r="E1852" s="42"/>
      <c r="F1852" s="42"/>
      <c r="G1852" s="43">
        <f t="shared" ref="G1852" si="1969">SUM(B1852:F1852)</f>
        <v>0</v>
      </c>
      <c r="H1852" s="41"/>
      <c r="I1852" s="42"/>
      <c r="J1852" s="42"/>
      <c r="K1852" s="42">
        <v>1</v>
      </c>
      <c r="L1852" s="42">
        <v>1</v>
      </c>
      <c r="M1852" s="43">
        <f t="shared" ref="M1852" si="1970">SUM(H1852:L1852)</f>
        <v>2</v>
      </c>
      <c r="N1852" s="42">
        <v>1</v>
      </c>
      <c r="O1852" s="53"/>
      <c r="P1852" s="53"/>
      <c r="Q1852" s="53"/>
      <c r="R1852" s="72"/>
      <c r="S1852" s="24">
        <f t="shared" ref="S1852" si="1971">SUM(N1852:R1852)</f>
        <v>1</v>
      </c>
      <c r="T1852" s="42"/>
      <c r="U1852" s="53"/>
      <c r="V1852" s="53"/>
      <c r="W1852" s="53"/>
      <c r="X1852" s="72"/>
      <c r="Y1852" s="24">
        <f t="shared" ref="Y1852" si="1972">SUM(T1852:X1852)</f>
        <v>0</v>
      </c>
      <c r="Z1852" s="24">
        <f t="shared" ref="Z1852" si="1973">G1852+M1852+S1852+Y1852</f>
        <v>3</v>
      </c>
      <c r="AA1852" s="83">
        <v>45572</v>
      </c>
      <c r="AB1852" s="23"/>
      <c r="AC1852" s="41"/>
      <c r="AD1852" s="42"/>
      <c r="AE1852" s="42"/>
      <c r="AF1852" s="42"/>
      <c r="AG1852" s="42"/>
      <c r="AH1852" s="43">
        <f t="shared" si="1959"/>
        <v>0</v>
      </c>
      <c r="AI1852" s="41"/>
      <c r="AJ1852" s="42"/>
      <c r="AK1852" s="42"/>
      <c r="AL1852" s="42"/>
      <c r="AM1852" s="42"/>
      <c r="AN1852" s="43">
        <f t="shared" si="1960"/>
        <v>0</v>
      </c>
      <c r="AO1852" s="42"/>
      <c r="AP1852" s="53"/>
      <c r="AQ1852" s="53"/>
      <c r="AR1852" s="53"/>
      <c r="AS1852" s="72"/>
      <c r="AT1852" s="24">
        <f t="shared" si="1961"/>
        <v>0</v>
      </c>
      <c r="AU1852" s="42"/>
      <c r="AV1852" s="53"/>
      <c r="AW1852" s="53"/>
      <c r="AX1852" s="53"/>
      <c r="AY1852" s="72"/>
      <c r="AZ1852" s="24">
        <f t="shared" si="1962"/>
        <v>0</v>
      </c>
      <c r="BA1852" s="24">
        <f t="shared" si="1963"/>
        <v>0</v>
      </c>
      <c r="BB1852" s="83"/>
    </row>
    <row r="1853" spans="1:55" ht="14.25" x14ac:dyDescent="0.15">
      <c r="A1853" s="23" t="s">
        <v>395</v>
      </c>
      <c r="B1853" s="41"/>
      <c r="C1853" s="42"/>
      <c r="D1853" s="42"/>
      <c r="E1853" s="42"/>
      <c r="F1853" s="42"/>
      <c r="G1853" s="43">
        <f t="shared" si="1950"/>
        <v>0</v>
      </c>
      <c r="H1853" s="41"/>
      <c r="I1853" s="42"/>
      <c r="J1853" s="42"/>
      <c r="K1853" s="42">
        <v>1</v>
      </c>
      <c r="L1853" s="42"/>
      <c r="M1853" s="43">
        <f t="shared" si="1951"/>
        <v>1</v>
      </c>
      <c r="N1853" s="42"/>
      <c r="O1853" s="53"/>
      <c r="P1853" s="53"/>
      <c r="Q1853" s="53"/>
      <c r="R1853" s="72"/>
      <c r="S1853" s="24">
        <f t="shared" si="1952"/>
        <v>0</v>
      </c>
      <c r="T1853" s="42"/>
      <c r="U1853" s="53"/>
      <c r="V1853" s="53"/>
      <c r="W1853" s="53"/>
      <c r="X1853" s="72"/>
      <c r="Y1853" s="24">
        <f t="shared" si="1953"/>
        <v>0</v>
      </c>
      <c r="Z1853" s="24">
        <f t="shared" si="1954"/>
        <v>1</v>
      </c>
      <c r="AA1853" s="83">
        <v>45574</v>
      </c>
      <c r="AB1853" s="23"/>
      <c r="AC1853" s="41"/>
      <c r="AD1853" s="42"/>
      <c r="AE1853" s="42"/>
      <c r="AF1853" s="42"/>
      <c r="AG1853" s="42"/>
      <c r="AH1853" s="43">
        <f t="shared" si="1959"/>
        <v>0</v>
      </c>
      <c r="AI1853" s="41"/>
      <c r="AJ1853" s="42"/>
      <c r="AK1853" s="42"/>
      <c r="AL1853" s="42"/>
      <c r="AM1853" s="42"/>
      <c r="AN1853" s="43">
        <f t="shared" si="1960"/>
        <v>0</v>
      </c>
      <c r="AO1853" s="42"/>
      <c r="AP1853" s="53"/>
      <c r="AQ1853" s="53"/>
      <c r="AR1853" s="53"/>
      <c r="AS1853" s="72"/>
      <c r="AT1853" s="24">
        <f t="shared" si="1961"/>
        <v>0</v>
      </c>
      <c r="AU1853" s="42"/>
      <c r="AV1853" s="53"/>
      <c r="AW1853" s="53"/>
      <c r="AX1853" s="53"/>
      <c r="AY1853" s="72"/>
      <c r="AZ1853" s="24">
        <f t="shared" si="1962"/>
        <v>0</v>
      </c>
      <c r="BA1853" s="24">
        <f t="shared" si="1963"/>
        <v>0</v>
      </c>
      <c r="BB1853" s="83"/>
    </row>
    <row r="1854" spans="1:55" ht="14.25" x14ac:dyDescent="0.15">
      <c r="A1854" s="23" t="s">
        <v>395</v>
      </c>
      <c r="B1854" s="41"/>
      <c r="C1854" s="42"/>
      <c r="D1854" s="42"/>
      <c r="E1854" s="42"/>
      <c r="F1854" s="42"/>
      <c r="G1854" s="43">
        <f t="shared" si="1950"/>
        <v>0</v>
      </c>
      <c r="H1854" s="41"/>
      <c r="I1854" s="42">
        <v>1</v>
      </c>
      <c r="J1854" s="42"/>
      <c r="K1854" s="42">
        <v>2</v>
      </c>
      <c r="L1854" s="42"/>
      <c r="M1854" s="43">
        <f t="shared" si="1951"/>
        <v>3</v>
      </c>
      <c r="N1854" s="42"/>
      <c r="O1854" s="53"/>
      <c r="P1854" s="53"/>
      <c r="Q1854" s="53"/>
      <c r="R1854" s="72"/>
      <c r="S1854" s="24">
        <f t="shared" si="1952"/>
        <v>0</v>
      </c>
      <c r="T1854" s="42"/>
      <c r="U1854" s="53"/>
      <c r="V1854" s="53"/>
      <c r="W1854" s="53"/>
      <c r="X1854" s="72"/>
      <c r="Y1854" s="24">
        <f t="shared" si="1953"/>
        <v>0</v>
      </c>
      <c r="Z1854" s="24">
        <f t="shared" si="1954"/>
        <v>3</v>
      </c>
      <c r="AA1854" s="83">
        <v>45575</v>
      </c>
      <c r="AB1854" s="23"/>
      <c r="AC1854" s="41"/>
      <c r="AD1854" s="42"/>
      <c r="AE1854" s="42"/>
      <c r="AF1854" s="42"/>
      <c r="AG1854" s="42"/>
      <c r="AH1854" s="43">
        <f t="shared" si="1959"/>
        <v>0</v>
      </c>
      <c r="AI1854" s="41"/>
      <c r="AJ1854" s="42"/>
      <c r="AK1854" s="42"/>
      <c r="AL1854" s="42"/>
      <c r="AM1854" s="42"/>
      <c r="AN1854" s="43">
        <f t="shared" si="1960"/>
        <v>0</v>
      </c>
      <c r="AO1854" s="42"/>
      <c r="AP1854" s="53"/>
      <c r="AQ1854" s="53"/>
      <c r="AR1854" s="53"/>
      <c r="AS1854" s="72"/>
      <c r="AT1854" s="24">
        <f t="shared" si="1961"/>
        <v>0</v>
      </c>
      <c r="AU1854" s="42"/>
      <c r="AV1854" s="53"/>
      <c r="AW1854" s="53"/>
      <c r="AX1854" s="53"/>
      <c r="AY1854" s="72"/>
      <c r="AZ1854" s="24">
        <f t="shared" si="1962"/>
        <v>0</v>
      </c>
      <c r="BA1854" s="24">
        <f t="shared" si="1963"/>
        <v>0</v>
      </c>
      <c r="BB1854" s="83"/>
    </row>
    <row r="1855" spans="1:55" ht="14.25" x14ac:dyDescent="0.15">
      <c r="A1855" s="23" t="s">
        <v>438</v>
      </c>
      <c r="B1855" s="41"/>
      <c r="C1855" s="42"/>
      <c r="D1855" s="42"/>
      <c r="E1855" s="42">
        <v>1</v>
      </c>
      <c r="F1855" s="42"/>
      <c r="G1855" s="43">
        <f t="shared" si="1950"/>
        <v>1</v>
      </c>
      <c r="H1855" s="41"/>
      <c r="I1855" s="42"/>
      <c r="J1855" s="42"/>
      <c r="K1855" s="42"/>
      <c r="L1855" s="42"/>
      <c r="M1855" s="43">
        <f t="shared" si="1951"/>
        <v>0</v>
      </c>
      <c r="N1855" s="42"/>
      <c r="O1855" s="53"/>
      <c r="P1855" s="53"/>
      <c r="Q1855" s="53"/>
      <c r="R1855" s="72"/>
      <c r="S1855" s="24">
        <f t="shared" si="1952"/>
        <v>0</v>
      </c>
      <c r="T1855" s="42"/>
      <c r="U1855" s="53"/>
      <c r="V1855" s="53"/>
      <c r="W1855" s="53"/>
      <c r="X1855" s="72"/>
      <c r="Y1855" s="24">
        <f t="shared" si="1953"/>
        <v>0</v>
      </c>
      <c r="Z1855" s="24">
        <f t="shared" si="1954"/>
        <v>1</v>
      </c>
      <c r="AA1855" s="83">
        <v>45580</v>
      </c>
      <c r="AB1855" s="23"/>
      <c r="AC1855" s="41"/>
      <c r="AD1855" s="42"/>
      <c r="AE1855" s="42"/>
      <c r="AF1855" s="42"/>
      <c r="AG1855" s="42"/>
      <c r="AH1855" s="43">
        <f t="shared" si="1959"/>
        <v>0</v>
      </c>
      <c r="AI1855" s="41"/>
      <c r="AJ1855" s="42"/>
      <c r="AK1855" s="42"/>
      <c r="AL1855" s="42"/>
      <c r="AM1855" s="42"/>
      <c r="AN1855" s="43">
        <f t="shared" si="1960"/>
        <v>0</v>
      </c>
      <c r="AO1855" s="42"/>
      <c r="AP1855" s="53"/>
      <c r="AQ1855" s="53"/>
      <c r="AR1855" s="53"/>
      <c r="AS1855" s="72"/>
      <c r="AT1855" s="24">
        <f t="shared" si="1961"/>
        <v>0</v>
      </c>
      <c r="AU1855" s="42"/>
      <c r="AV1855" s="53"/>
      <c r="AW1855" s="53"/>
      <c r="AX1855" s="53"/>
      <c r="AY1855" s="72"/>
      <c r="AZ1855" s="24">
        <f t="shared" si="1962"/>
        <v>0</v>
      </c>
      <c r="BA1855" s="24">
        <f t="shared" si="1963"/>
        <v>0</v>
      </c>
      <c r="BB1855" s="83"/>
    </row>
    <row r="1856" spans="1:55" ht="14.25" x14ac:dyDescent="0.15">
      <c r="A1856" s="23" t="s">
        <v>395</v>
      </c>
      <c r="B1856" s="41"/>
      <c r="C1856" s="42">
        <v>1</v>
      </c>
      <c r="D1856" s="42"/>
      <c r="E1856" s="42"/>
      <c r="F1856" s="42"/>
      <c r="G1856" s="43">
        <f t="shared" si="1950"/>
        <v>1</v>
      </c>
      <c r="H1856" s="41"/>
      <c r="I1856" s="42"/>
      <c r="J1856" s="42"/>
      <c r="K1856" s="42"/>
      <c r="L1856" s="42"/>
      <c r="M1856" s="43">
        <f t="shared" si="1951"/>
        <v>0</v>
      </c>
      <c r="N1856" s="42"/>
      <c r="O1856" s="53"/>
      <c r="P1856" s="53"/>
      <c r="Q1856" s="53"/>
      <c r="R1856" s="72"/>
      <c r="S1856" s="24">
        <f t="shared" si="1952"/>
        <v>0</v>
      </c>
      <c r="T1856" s="42"/>
      <c r="U1856" s="53"/>
      <c r="V1856" s="53"/>
      <c r="W1856" s="53"/>
      <c r="X1856" s="72"/>
      <c r="Y1856" s="24">
        <f t="shared" si="1953"/>
        <v>0</v>
      </c>
      <c r="Z1856" s="24">
        <f t="shared" si="1954"/>
        <v>1</v>
      </c>
      <c r="AA1856" s="83">
        <v>45576</v>
      </c>
      <c r="AB1856" s="23"/>
      <c r="AC1856" s="41"/>
      <c r="AD1856" s="42"/>
      <c r="AE1856" s="42"/>
      <c r="AF1856" s="42"/>
      <c r="AG1856" s="42"/>
      <c r="AH1856" s="43">
        <f t="shared" si="1955"/>
        <v>0</v>
      </c>
      <c r="AI1856" s="41"/>
      <c r="AJ1856" s="42"/>
      <c r="AK1856" s="42"/>
      <c r="AL1856" s="42"/>
      <c r="AM1856" s="42"/>
      <c r="AN1856" s="43">
        <f t="shared" ref="AN1856" si="1974">SUM(AI1856:AM1856)</f>
        <v>0</v>
      </c>
      <c r="AO1856" s="42"/>
      <c r="AP1856" s="53"/>
      <c r="AQ1856" s="53"/>
      <c r="AR1856" s="53"/>
      <c r="AS1856" s="72"/>
      <c r="AT1856" s="24">
        <f t="shared" ref="AT1856" si="1975">SUM(AO1856:AS1856)</f>
        <v>0</v>
      </c>
      <c r="AU1856" s="42"/>
      <c r="AV1856" s="53"/>
      <c r="AW1856" s="53"/>
      <c r="AX1856" s="53"/>
      <c r="AY1856" s="72"/>
      <c r="AZ1856" s="24">
        <f t="shared" ref="AZ1856" si="1976">SUM(AU1856:AY1856)</f>
        <v>0</v>
      </c>
      <c r="BA1856" s="24">
        <f t="shared" si="1924"/>
        <v>0</v>
      </c>
      <c r="BB1856" s="83"/>
    </row>
    <row r="1857" spans="1:54" ht="14.25" x14ac:dyDescent="0.15">
      <c r="A1857" s="23" t="s">
        <v>395</v>
      </c>
      <c r="B1857" s="41"/>
      <c r="C1857" s="42">
        <v>1</v>
      </c>
      <c r="D1857" s="42"/>
      <c r="E1857" s="42"/>
      <c r="F1857" s="42"/>
      <c r="G1857" s="43">
        <f t="shared" si="1950"/>
        <v>1</v>
      </c>
      <c r="H1857" s="41"/>
      <c r="I1857" s="42"/>
      <c r="J1857" s="42"/>
      <c r="K1857" s="42"/>
      <c r="L1857" s="42"/>
      <c r="M1857" s="43">
        <f t="shared" si="1951"/>
        <v>0</v>
      </c>
      <c r="N1857" s="42"/>
      <c r="O1857" s="53"/>
      <c r="P1857" s="53">
        <v>1</v>
      </c>
      <c r="Q1857" s="53"/>
      <c r="R1857" s="72"/>
      <c r="S1857" s="24">
        <f t="shared" si="1952"/>
        <v>1</v>
      </c>
      <c r="T1857" s="42"/>
      <c r="U1857" s="53"/>
      <c r="V1857" s="53"/>
      <c r="W1857" s="53"/>
      <c r="X1857" s="72"/>
      <c r="Y1857" s="24">
        <f t="shared" si="1953"/>
        <v>0</v>
      </c>
      <c r="Z1857" s="24">
        <f t="shared" si="1954"/>
        <v>2</v>
      </c>
      <c r="AA1857" s="83">
        <v>45580</v>
      </c>
      <c r="AB1857" s="23"/>
      <c r="AC1857" s="41"/>
      <c r="AD1857" s="42"/>
      <c r="AE1857" s="42"/>
      <c r="AF1857" s="42"/>
      <c r="AG1857" s="42"/>
      <c r="AH1857" s="43">
        <f t="shared" ref="AH1857:AH1860" si="1977">SUM(AC1857:AG1857)</f>
        <v>0</v>
      </c>
      <c r="AI1857" s="41"/>
      <c r="AJ1857" s="42"/>
      <c r="AK1857" s="42"/>
      <c r="AL1857" s="42"/>
      <c r="AM1857" s="42"/>
      <c r="AN1857" s="43">
        <f t="shared" ref="AN1857:AN1860" si="1978">SUM(AI1857:AM1857)</f>
        <v>0</v>
      </c>
      <c r="AO1857" s="42"/>
      <c r="AP1857" s="53"/>
      <c r="AQ1857" s="53"/>
      <c r="AR1857" s="53"/>
      <c r="AS1857" s="72"/>
      <c r="AT1857" s="24">
        <f t="shared" ref="AT1857:AT1860" si="1979">SUM(AO1857:AS1857)</f>
        <v>0</v>
      </c>
      <c r="AU1857" s="42"/>
      <c r="AV1857" s="53"/>
      <c r="AW1857" s="53"/>
      <c r="AX1857" s="53"/>
      <c r="AY1857" s="72"/>
      <c r="AZ1857" s="24">
        <f t="shared" ref="AZ1857:AZ1860" si="1980">SUM(AU1857:AY1857)</f>
        <v>0</v>
      </c>
      <c r="BA1857" s="24">
        <f t="shared" ref="BA1857:BA1860" si="1981">AH1857+AN1857+AT1857+AZ1857</f>
        <v>0</v>
      </c>
      <c r="BB1857" s="83"/>
    </row>
    <row r="1858" spans="1:54" ht="14.25" x14ac:dyDescent="0.15">
      <c r="A1858" s="23" t="s">
        <v>438</v>
      </c>
      <c r="B1858" s="41">
        <v>1</v>
      </c>
      <c r="C1858" s="42"/>
      <c r="D1858" s="42"/>
      <c r="E1858" s="42"/>
      <c r="F1858" s="42"/>
      <c r="G1858" s="43">
        <f t="shared" si="1950"/>
        <v>1</v>
      </c>
      <c r="H1858" s="41">
        <v>1</v>
      </c>
      <c r="I1858" s="42"/>
      <c r="J1858" s="42"/>
      <c r="K1858" s="42"/>
      <c r="L1858" s="42"/>
      <c r="M1858" s="43">
        <f t="shared" si="1951"/>
        <v>1</v>
      </c>
      <c r="N1858" s="42"/>
      <c r="O1858" s="53"/>
      <c r="P1858" s="53"/>
      <c r="Q1858" s="53"/>
      <c r="R1858" s="72"/>
      <c r="S1858" s="24">
        <f t="shared" si="1952"/>
        <v>0</v>
      </c>
      <c r="T1858" s="42"/>
      <c r="U1858" s="53"/>
      <c r="V1858" s="53"/>
      <c r="W1858" s="53"/>
      <c r="X1858" s="72"/>
      <c r="Y1858" s="24">
        <f t="shared" si="1953"/>
        <v>0</v>
      </c>
      <c r="Z1858" s="24">
        <f t="shared" si="1954"/>
        <v>2</v>
      </c>
      <c r="AA1858" s="83">
        <v>45583</v>
      </c>
      <c r="AB1858" s="23"/>
      <c r="AC1858" s="41"/>
      <c r="AD1858" s="42"/>
      <c r="AE1858" s="42"/>
      <c r="AF1858" s="42"/>
      <c r="AG1858" s="42"/>
      <c r="AH1858" s="43">
        <f t="shared" si="1977"/>
        <v>0</v>
      </c>
      <c r="AI1858" s="41"/>
      <c r="AJ1858" s="42"/>
      <c r="AK1858" s="42"/>
      <c r="AL1858" s="42"/>
      <c r="AM1858" s="42"/>
      <c r="AN1858" s="43">
        <f t="shared" si="1978"/>
        <v>0</v>
      </c>
      <c r="AO1858" s="42"/>
      <c r="AP1858" s="53"/>
      <c r="AQ1858" s="53"/>
      <c r="AR1858" s="53"/>
      <c r="AS1858" s="72"/>
      <c r="AT1858" s="24">
        <f t="shared" si="1979"/>
        <v>0</v>
      </c>
      <c r="AU1858" s="42"/>
      <c r="AV1858" s="53"/>
      <c r="AW1858" s="53"/>
      <c r="AX1858" s="53"/>
      <c r="AY1858" s="72"/>
      <c r="AZ1858" s="24">
        <f t="shared" si="1980"/>
        <v>0</v>
      </c>
      <c r="BA1858" s="24">
        <f t="shared" si="1981"/>
        <v>0</v>
      </c>
      <c r="BB1858" s="83"/>
    </row>
    <row r="1859" spans="1:54" ht="14.25" x14ac:dyDescent="0.15">
      <c r="A1859" s="23" t="s">
        <v>395</v>
      </c>
      <c r="B1859" s="41"/>
      <c r="C1859" s="42"/>
      <c r="D1859" s="42"/>
      <c r="E1859" s="42"/>
      <c r="F1859" s="42"/>
      <c r="G1859" s="43">
        <f t="shared" si="1950"/>
        <v>0</v>
      </c>
      <c r="H1859" s="41"/>
      <c r="I1859" s="42"/>
      <c r="J1859" s="42"/>
      <c r="K1859" s="42"/>
      <c r="L1859" s="42">
        <v>1</v>
      </c>
      <c r="M1859" s="43">
        <f t="shared" si="1951"/>
        <v>1</v>
      </c>
      <c r="N1859" s="42"/>
      <c r="O1859" s="53"/>
      <c r="P1859" s="53"/>
      <c r="Q1859" s="53"/>
      <c r="R1859" s="72"/>
      <c r="S1859" s="24">
        <f t="shared" si="1952"/>
        <v>0</v>
      </c>
      <c r="T1859" s="42"/>
      <c r="U1859" s="53"/>
      <c r="V1859" s="53"/>
      <c r="W1859" s="53"/>
      <c r="X1859" s="72"/>
      <c r="Y1859" s="24">
        <f t="shared" si="1953"/>
        <v>0</v>
      </c>
      <c r="Z1859" s="24">
        <f t="shared" si="1954"/>
        <v>1</v>
      </c>
      <c r="AA1859" s="83">
        <v>45581</v>
      </c>
      <c r="AB1859" s="23"/>
      <c r="AC1859" s="41"/>
      <c r="AD1859" s="42"/>
      <c r="AE1859" s="42"/>
      <c r="AF1859" s="42"/>
      <c r="AG1859" s="42"/>
      <c r="AH1859" s="43">
        <f t="shared" si="1977"/>
        <v>0</v>
      </c>
      <c r="AI1859" s="41"/>
      <c r="AJ1859" s="42"/>
      <c r="AK1859" s="42"/>
      <c r="AL1859" s="42"/>
      <c r="AM1859" s="42"/>
      <c r="AN1859" s="43">
        <f t="shared" si="1978"/>
        <v>0</v>
      </c>
      <c r="AO1859" s="42"/>
      <c r="AP1859" s="53"/>
      <c r="AQ1859" s="53"/>
      <c r="AR1859" s="53"/>
      <c r="AS1859" s="72"/>
      <c r="AT1859" s="24">
        <f t="shared" si="1979"/>
        <v>0</v>
      </c>
      <c r="AU1859" s="42"/>
      <c r="AV1859" s="53"/>
      <c r="AW1859" s="53"/>
      <c r="AX1859" s="53"/>
      <c r="AY1859" s="72"/>
      <c r="AZ1859" s="24">
        <f t="shared" si="1980"/>
        <v>0</v>
      </c>
      <c r="BA1859" s="24">
        <f t="shared" si="1981"/>
        <v>0</v>
      </c>
      <c r="BB1859" s="83"/>
    </row>
    <row r="1860" spans="1:54" ht="14.25" x14ac:dyDescent="0.15">
      <c r="A1860" s="23" t="s">
        <v>395</v>
      </c>
      <c r="B1860" s="41"/>
      <c r="C1860" s="42"/>
      <c r="D1860" s="42"/>
      <c r="E1860" s="42"/>
      <c r="F1860" s="42"/>
      <c r="G1860" s="43">
        <f t="shared" si="1950"/>
        <v>0</v>
      </c>
      <c r="H1860" s="41"/>
      <c r="I1860" s="42"/>
      <c r="J1860" s="42"/>
      <c r="K1860" s="42"/>
      <c r="L1860" s="42">
        <v>1</v>
      </c>
      <c r="M1860" s="43">
        <f t="shared" si="1951"/>
        <v>1</v>
      </c>
      <c r="N1860" s="42"/>
      <c r="O1860" s="53"/>
      <c r="P1860" s="53"/>
      <c r="Q1860" s="53"/>
      <c r="R1860" s="72"/>
      <c r="S1860" s="24">
        <f t="shared" si="1952"/>
        <v>0</v>
      </c>
      <c r="T1860" s="42"/>
      <c r="U1860" s="53"/>
      <c r="V1860" s="53"/>
      <c r="W1860" s="53"/>
      <c r="X1860" s="72"/>
      <c r="Y1860" s="24">
        <f t="shared" si="1953"/>
        <v>0</v>
      </c>
      <c r="Z1860" s="24">
        <f t="shared" si="1954"/>
        <v>1</v>
      </c>
      <c r="AA1860" s="83">
        <v>45582</v>
      </c>
      <c r="AB1860" s="23"/>
      <c r="AC1860" s="41"/>
      <c r="AD1860" s="42"/>
      <c r="AE1860" s="42"/>
      <c r="AF1860" s="42"/>
      <c r="AG1860" s="42"/>
      <c r="AH1860" s="43">
        <f t="shared" si="1977"/>
        <v>0</v>
      </c>
      <c r="AI1860" s="41"/>
      <c r="AJ1860" s="42"/>
      <c r="AK1860" s="42"/>
      <c r="AL1860" s="42"/>
      <c r="AM1860" s="42"/>
      <c r="AN1860" s="43">
        <f t="shared" si="1978"/>
        <v>0</v>
      </c>
      <c r="AO1860" s="42"/>
      <c r="AP1860" s="53"/>
      <c r="AQ1860" s="53"/>
      <c r="AR1860" s="53"/>
      <c r="AS1860" s="72"/>
      <c r="AT1860" s="24">
        <f t="shared" si="1979"/>
        <v>0</v>
      </c>
      <c r="AU1860" s="42"/>
      <c r="AV1860" s="53"/>
      <c r="AW1860" s="53"/>
      <c r="AX1860" s="53"/>
      <c r="AY1860" s="72"/>
      <c r="AZ1860" s="24">
        <f t="shared" si="1980"/>
        <v>0</v>
      </c>
      <c r="BA1860" s="24">
        <f t="shared" si="1981"/>
        <v>0</v>
      </c>
      <c r="BB1860" s="83"/>
    </row>
    <row r="1861" spans="1:54" ht="14.25" x14ac:dyDescent="0.15">
      <c r="A1861" s="23" t="s">
        <v>438</v>
      </c>
      <c r="B1861" s="41"/>
      <c r="C1861" s="42"/>
      <c r="D1861" s="42"/>
      <c r="E1861" s="42"/>
      <c r="F1861" s="42"/>
      <c r="G1861" s="43">
        <f t="shared" si="1950"/>
        <v>0</v>
      </c>
      <c r="H1861" s="41"/>
      <c r="I1861" s="42"/>
      <c r="J1861" s="42"/>
      <c r="K1861" s="42"/>
      <c r="L1861" s="42"/>
      <c r="M1861" s="43">
        <f t="shared" si="1951"/>
        <v>0</v>
      </c>
      <c r="N1861" s="42"/>
      <c r="O1861" s="53"/>
      <c r="P1861" s="53"/>
      <c r="Q1861" s="53"/>
      <c r="R1861" s="72">
        <v>1</v>
      </c>
      <c r="S1861" s="24">
        <f t="shared" si="1952"/>
        <v>1</v>
      </c>
      <c r="T1861" s="42"/>
      <c r="U1861" s="53"/>
      <c r="V1861" s="53"/>
      <c r="W1861" s="53"/>
      <c r="X1861" s="72"/>
      <c r="Y1861" s="24">
        <f t="shared" si="1953"/>
        <v>0</v>
      </c>
      <c r="Z1861" s="24">
        <f t="shared" si="1954"/>
        <v>1</v>
      </c>
      <c r="AA1861" s="83">
        <v>45586</v>
      </c>
      <c r="AB1861" s="23"/>
      <c r="AC1861" s="41"/>
      <c r="AD1861" s="42"/>
      <c r="AE1861" s="42"/>
      <c r="AF1861" s="42"/>
      <c r="AG1861" s="42"/>
      <c r="AH1861" s="43">
        <f t="shared" ref="AH1861:AH1864" si="1982">SUM(AC1861:AG1861)</f>
        <v>0</v>
      </c>
      <c r="AI1861" s="41"/>
      <c r="AJ1861" s="42"/>
      <c r="AK1861" s="42"/>
      <c r="AL1861" s="42"/>
      <c r="AM1861" s="42"/>
      <c r="AN1861" s="43">
        <f t="shared" ref="AN1861:AN1864" si="1983">SUM(AI1861:AM1861)</f>
        <v>0</v>
      </c>
      <c r="AO1861" s="42"/>
      <c r="AP1861" s="53"/>
      <c r="AQ1861" s="53"/>
      <c r="AR1861" s="53"/>
      <c r="AS1861" s="72"/>
      <c r="AT1861" s="24">
        <f t="shared" ref="AT1861:AT1864" si="1984">SUM(AO1861:AS1861)</f>
        <v>0</v>
      </c>
      <c r="AU1861" s="42"/>
      <c r="AV1861" s="53"/>
      <c r="AW1861" s="53"/>
      <c r="AX1861" s="53"/>
      <c r="AY1861" s="72"/>
      <c r="AZ1861" s="24">
        <f t="shared" ref="AZ1861:AZ1864" si="1985">SUM(AU1861:AY1861)</f>
        <v>0</v>
      </c>
      <c r="BA1861" s="24">
        <f t="shared" ref="BA1861:BA1864" si="1986">AH1861+AN1861+AT1861+AZ1861</f>
        <v>0</v>
      </c>
      <c r="BB1861" s="83"/>
    </row>
    <row r="1862" spans="1:54" ht="14.25" x14ac:dyDescent="0.15">
      <c r="A1862" s="23" t="s">
        <v>395</v>
      </c>
      <c r="B1862" s="41"/>
      <c r="C1862" s="42"/>
      <c r="D1862" s="42"/>
      <c r="E1862" s="42"/>
      <c r="F1862" s="42"/>
      <c r="G1862" s="43">
        <f t="shared" si="1950"/>
        <v>0</v>
      </c>
      <c r="H1862" s="41"/>
      <c r="I1862" s="42"/>
      <c r="J1862" s="42">
        <v>1</v>
      </c>
      <c r="K1862" s="42"/>
      <c r="L1862" s="42"/>
      <c r="M1862" s="43">
        <f t="shared" si="1951"/>
        <v>1</v>
      </c>
      <c r="N1862" s="42"/>
      <c r="O1862" s="53"/>
      <c r="P1862" s="53"/>
      <c r="Q1862" s="53"/>
      <c r="R1862" s="72"/>
      <c r="S1862" s="24">
        <f t="shared" si="1952"/>
        <v>0</v>
      </c>
      <c r="T1862" s="42"/>
      <c r="U1862" s="53"/>
      <c r="V1862" s="53">
        <v>1</v>
      </c>
      <c r="W1862" s="53"/>
      <c r="X1862" s="72"/>
      <c r="Y1862" s="24">
        <f t="shared" si="1953"/>
        <v>1</v>
      </c>
      <c r="Z1862" s="24">
        <f t="shared" si="1954"/>
        <v>2</v>
      </c>
      <c r="AA1862" s="83">
        <v>45583</v>
      </c>
      <c r="AB1862" s="23"/>
      <c r="AC1862" s="41"/>
      <c r="AD1862" s="42"/>
      <c r="AE1862" s="42"/>
      <c r="AF1862" s="42"/>
      <c r="AG1862" s="42"/>
      <c r="AH1862" s="43">
        <f t="shared" si="1982"/>
        <v>0</v>
      </c>
      <c r="AI1862" s="41"/>
      <c r="AJ1862" s="42"/>
      <c r="AK1862" s="42"/>
      <c r="AL1862" s="42"/>
      <c r="AM1862" s="42"/>
      <c r="AN1862" s="43">
        <f t="shared" si="1983"/>
        <v>0</v>
      </c>
      <c r="AO1862" s="42"/>
      <c r="AP1862" s="53"/>
      <c r="AQ1862" s="53"/>
      <c r="AR1862" s="53"/>
      <c r="AS1862" s="72"/>
      <c r="AT1862" s="24">
        <f t="shared" si="1984"/>
        <v>0</v>
      </c>
      <c r="AU1862" s="42"/>
      <c r="AV1862" s="53"/>
      <c r="AW1862" s="53"/>
      <c r="AX1862" s="53"/>
      <c r="AY1862" s="72"/>
      <c r="AZ1862" s="24">
        <f t="shared" si="1985"/>
        <v>0</v>
      </c>
      <c r="BA1862" s="24">
        <f t="shared" si="1986"/>
        <v>0</v>
      </c>
      <c r="BB1862" s="83"/>
    </row>
    <row r="1863" spans="1:54" ht="14.25" x14ac:dyDescent="0.15">
      <c r="A1863" s="23" t="s">
        <v>395</v>
      </c>
      <c r="B1863" s="41">
        <v>1</v>
      </c>
      <c r="C1863" s="42"/>
      <c r="D1863" s="42"/>
      <c r="E1863" s="42"/>
      <c r="F1863" s="42"/>
      <c r="G1863" s="43">
        <f t="shared" si="1950"/>
        <v>1</v>
      </c>
      <c r="H1863" s="41"/>
      <c r="I1863" s="42"/>
      <c r="J1863" s="42"/>
      <c r="K1863" s="42"/>
      <c r="L1863" s="42"/>
      <c r="M1863" s="43">
        <f t="shared" si="1951"/>
        <v>0</v>
      </c>
      <c r="N1863" s="42"/>
      <c r="O1863" s="53"/>
      <c r="P1863" s="53"/>
      <c r="Q1863" s="53"/>
      <c r="R1863" s="72"/>
      <c r="S1863" s="24">
        <f t="shared" si="1952"/>
        <v>0</v>
      </c>
      <c r="T1863" s="42"/>
      <c r="U1863" s="53"/>
      <c r="V1863" s="53"/>
      <c r="W1863" s="53"/>
      <c r="X1863" s="72">
        <v>1</v>
      </c>
      <c r="Y1863" s="24">
        <f t="shared" si="1953"/>
        <v>1</v>
      </c>
      <c r="Z1863" s="24">
        <f t="shared" si="1954"/>
        <v>2</v>
      </c>
      <c r="AA1863" s="83">
        <v>45586</v>
      </c>
      <c r="AB1863" s="23"/>
      <c r="AC1863" s="41"/>
      <c r="AD1863" s="42"/>
      <c r="AE1863" s="42"/>
      <c r="AF1863" s="42"/>
      <c r="AG1863" s="42"/>
      <c r="AH1863" s="43">
        <f t="shared" si="1982"/>
        <v>0</v>
      </c>
      <c r="AI1863" s="41"/>
      <c r="AJ1863" s="42"/>
      <c r="AK1863" s="42"/>
      <c r="AL1863" s="42"/>
      <c r="AM1863" s="42"/>
      <c r="AN1863" s="43">
        <f t="shared" si="1983"/>
        <v>0</v>
      </c>
      <c r="AO1863" s="42"/>
      <c r="AP1863" s="53"/>
      <c r="AQ1863" s="53"/>
      <c r="AR1863" s="53"/>
      <c r="AS1863" s="72"/>
      <c r="AT1863" s="24">
        <f t="shared" si="1984"/>
        <v>0</v>
      </c>
      <c r="AU1863" s="42"/>
      <c r="AV1863" s="53"/>
      <c r="AW1863" s="53"/>
      <c r="AX1863" s="53"/>
      <c r="AY1863" s="72"/>
      <c r="AZ1863" s="24">
        <f t="shared" si="1985"/>
        <v>0</v>
      </c>
      <c r="BA1863" s="24">
        <f t="shared" si="1986"/>
        <v>0</v>
      </c>
      <c r="BB1863" s="83"/>
    </row>
    <row r="1864" spans="1:54" ht="14.25" x14ac:dyDescent="0.15">
      <c r="A1864" s="23" t="s">
        <v>691</v>
      </c>
      <c r="B1864" s="41"/>
      <c r="C1864" s="42"/>
      <c r="D1864" s="42"/>
      <c r="E1864" s="42"/>
      <c r="F1864" s="42">
        <v>-3</v>
      </c>
      <c r="G1864" s="43">
        <f t="shared" si="1950"/>
        <v>-3</v>
      </c>
      <c r="H1864" s="41"/>
      <c r="I1864" s="42"/>
      <c r="J1864" s="42"/>
      <c r="K1864" s="42">
        <v>-3</v>
      </c>
      <c r="L1864" s="42"/>
      <c r="M1864" s="43">
        <f t="shared" si="1951"/>
        <v>-3</v>
      </c>
      <c r="N1864" s="42"/>
      <c r="O1864" s="53"/>
      <c r="P1864" s="53"/>
      <c r="Q1864" s="53"/>
      <c r="R1864" s="72"/>
      <c r="S1864" s="24">
        <f t="shared" si="1952"/>
        <v>0</v>
      </c>
      <c r="T1864" s="42"/>
      <c r="U1864" s="53"/>
      <c r="V1864" s="53"/>
      <c r="W1864" s="53"/>
      <c r="X1864" s="72"/>
      <c r="Y1864" s="24">
        <f t="shared" si="1953"/>
        <v>0</v>
      </c>
      <c r="Z1864" s="24">
        <f t="shared" si="1954"/>
        <v>-6</v>
      </c>
      <c r="AA1864" s="83">
        <v>45587</v>
      </c>
      <c r="AB1864" s="23"/>
      <c r="AC1864" s="41"/>
      <c r="AD1864" s="42"/>
      <c r="AE1864" s="42"/>
      <c r="AF1864" s="42"/>
      <c r="AG1864" s="42"/>
      <c r="AH1864" s="43">
        <f t="shared" si="1982"/>
        <v>0</v>
      </c>
      <c r="AI1864" s="41"/>
      <c r="AJ1864" s="42"/>
      <c r="AK1864" s="42"/>
      <c r="AL1864" s="42"/>
      <c r="AM1864" s="42"/>
      <c r="AN1864" s="43">
        <f t="shared" si="1983"/>
        <v>0</v>
      </c>
      <c r="AO1864" s="42"/>
      <c r="AP1864" s="53"/>
      <c r="AQ1864" s="53"/>
      <c r="AR1864" s="53"/>
      <c r="AS1864" s="72"/>
      <c r="AT1864" s="24">
        <f t="shared" si="1984"/>
        <v>0</v>
      </c>
      <c r="AU1864" s="42"/>
      <c r="AV1864" s="53"/>
      <c r="AW1864" s="53"/>
      <c r="AX1864" s="53"/>
      <c r="AY1864" s="72"/>
      <c r="AZ1864" s="24">
        <f t="shared" si="1985"/>
        <v>0</v>
      </c>
      <c r="BA1864" s="24">
        <f t="shared" si="1986"/>
        <v>0</v>
      </c>
      <c r="BB1864" s="83"/>
    </row>
    <row r="1865" spans="1:54" ht="14.25" x14ac:dyDescent="0.15">
      <c r="A1865" s="23" t="s">
        <v>395</v>
      </c>
      <c r="B1865" s="41"/>
      <c r="C1865" s="42"/>
      <c r="D1865" s="42">
        <v>1</v>
      </c>
      <c r="E1865" s="42"/>
      <c r="F1865" s="42">
        <v>1</v>
      </c>
      <c r="G1865" s="43">
        <f t="shared" si="1950"/>
        <v>2</v>
      </c>
      <c r="H1865" s="41"/>
      <c r="I1865" s="42"/>
      <c r="J1865" s="42"/>
      <c r="K1865" s="42"/>
      <c r="L1865" s="42"/>
      <c r="M1865" s="43">
        <f t="shared" si="1951"/>
        <v>0</v>
      </c>
      <c r="N1865" s="42"/>
      <c r="O1865" s="53"/>
      <c r="P1865" s="53"/>
      <c r="Q1865" s="53"/>
      <c r="R1865" s="72"/>
      <c r="S1865" s="24">
        <f t="shared" si="1952"/>
        <v>0</v>
      </c>
      <c r="T1865" s="42"/>
      <c r="U1865" s="53"/>
      <c r="V1865" s="53"/>
      <c r="W1865" s="53"/>
      <c r="X1865" s="72"/>
      <c r="Y1865" s="24">
        <f t="shared" si="1953"/>
        <v>0</v>
      </c>
      <c r="Z1865" s="24">
        <f t="shared" si="1954"/>
        <v>2</v>
      </c>
      <c r="AA1865" s="83">
        <v>45587</v>
      </c>
      <c r="AB1865" s="23"/>
      <c r="AC1865" s="41"/>
      <c r="AD1865" s="42"/>
      <c r="AE1865" s="42"/>
      <c r="AF1865" s="42"/>
      <c r="AG1865" s="42"/>
      <c r="AH1865" s="43">
        <f t="shared" ref="AH1865:AH1868" si="1987">SUM(AC1865:AG1865)</f>
        <v>0</v>
      </c>
      <c r="AI1865" s="41"/>
      <c r="AJ1865" s="42"/>
      <c r="AK1865" s="42"/>
      <c r="AL1865" s="42"/>
      <c r="AM1865" s="42"/>
      <c r="AN1865" s="43">
        <f t="shared" ref="AN1865:AN1868" si="1988">SUM(AI1865:AM1865)</f>
        <v>0</v>
      </c>
      <c r="AO1865" s="42"/>
      <c r="AP1865" s="53"/>
      <c r="AQ1865" s="53"/>
      <c r="AR1865" s="53"/>
      <c r="AS1865" s="72"/>
      <c r="AT1865" s="24">
        <f t="shared" ref="AT1865:AT1868" si="1989">SUM(AO1865:AS1865)</f>
        <v>0</v>
      </c>
      <c r="AU1865" s="42"/>
      <c r="AV1865" s="53"/>
      <c r="AW1865" s="53"/>
      <c r="AX1865" s="53"/>
      <c r="AY1865" s="72"/>
      <c r="AZ1865" s="24">
        <f t="shared" ref="AZ1865:AZ1868" si="1990">SUM(AU1865:AY1865)</f>
        <v>0</v>
      </c>
      <c r="BA1865" s="24">
        <f t="shared" ref="BA1865:BA1870" si="1991">AH1865+AN1865+AT1865+AZ1865</f>
        <v>0</v>
      </c>
      <c r="BB1865" s="83"/>
    </row>
    <row r="1866" spans="1:54" ht="14.25" x14ac:dyDescent="0.15">
      <c r="A1866" s="23" t="s">
        <v>438</v>
      </c>
      <c r="B1866" s="41"/>
      <c r="C1866" s="42"/>
      <c r="D1866" s="42"/>
      <c r="E1866" s="42"/>
      <c r="F1866" s="42"/>
      <c r="G1866" s="43">
        <f t="shared" si="1950"/>
        <v>0</v>
      </c>
      <c r="H1866" s="41"/>
      <c r="I1866" s="42"/>
      <c r="J1866" s="42"/>
      <c r="K1866" s="42"/>
      <c r="L1866" s="42"/>
      <c r="M1866" s="43">
        <f t="shared" si="1951"/>
        <v>0</v>
      </c>
      <c r="N1866" s="42"/>
      <c r="O1866" s="53"/>
      <c r="P1866" s="53">
        <v>1</v>
      </c>
      <c r="Q1866" s="53"/>
      <c r="R1866" s="72"/>
      <c r="S1866" s="24">
        <f t="shared" si="1952"/>
        <v>1</v>
      </c>
      <c r="T1866" s="42"/>
      <c r="U1866" s="53"/>
      <c r="V1866" s="53"/>
      <c r="W1866" s="53"/>
      <c r="X1866" s="72"/>
      <c r="Y1866" s="24">
        <f t="shared" si="1953"/>
        <v>0</v>
      </c>
      <c r="Z1866" s="24">
        <f t="shared" si="1954"/>
        <v>1</v>
      </c>
      <c r="AA1866" s="83">
        <v>45590</v>
      </c>
      <c r="AB1866" s="23"/>
      <c r="AC1866" s="41"/>
      <c r="AD1866" s="42"/>
      <c r="AE1866" s="42"/>
      <c r="AF1866" s="42"/>
      <c r="AG1866" s="42"/>
      <c r="AH1866" s="43">
        <f t="shared" si="1987"/>
        <v>0</v>
      </c>
      <c r="AI1866" s="41"/>
      <c r="AJ1866" s="42"/>
      <c r="AK1866" s="42"/>
      <c r="AL1866" s="42"/>
      <c r="AM1866" s="42"/>
      <c r="AN1866" s="43">
        <f t="shared" si="1988"/>
        <v>0</v>
      </c>
      <c r="AO1866" s="42"/>
      <c r="AP1866" s="53"/>
      <c r="AQ1866" s="53"/>
      <c r="AR1866" s="53"/>
      <c r="AS1866" s="72"/>
      <c r="AT1866" s="24">
        <f t="shared" si="1989"/>
        <v>0</v>
      </c>
      <c r="AU1866" s="42"/>
      <c r="AV1866" s="53"/>
      <c r="AW1866" s="53"/>
      <c r="AX1866" s="53"/>
      <c r="AY1866" s="72"/>
      <c r="AZ1866" s="24">
        <f t="shared" si="1990"/>
        <v>0</v>
      </c>
      <c r="BA1866" s="24">
        <f t="shared" si="1991"/>
        <v>0</v>
      </c>
      <c r="BB1866" s="83"/>
    </row>
    <row r="1867" spans="1:54" ht="14.25" x14ac:dyDescent="0.15">
      <c r="A1867" s="23" t="s">
        <v>395</v>
      </c>
      <c r="B1867" s="41"/>
      <c r="C1867" s="42"/>
      <c r="D1867" s="42">
        <v>1</v>
      </c>
      <c r="E1867" s="42"/>
      <c r="F1867" s="42"/>
      <c r="G1867" s="43">
        <f t="shared" si="1930"/>
        <v>1</v>
      </c>
      <c r="H1867" s="41"/>
      <c r="I1867" s="42"/>
      <c r="J1867" s="42"/>
      <c r="K1867" s="42"/>
      <c r="L1867" s="42"/>
      <c r="M1867" s="43">
        <f t="shared" si="1931"/>
        <v>0</v>
      </c>
      <c r="N1867" s="42"/>
      <c r="O1867" s="53"/>
      <c r="P1867" s="53"/>
      <c r="Q1867" s="53"/>
      <c r="R1867" s="72"/>
      <c r="S1867" s="24">
        <f t="shared" si="1932"/>
        <v>0</v>
      </c>
      <c r="T1867" s="42"/>
      <c r="U1867" s="53"/>
      <c r="V1867" s="53"/>
      <c r="W1867" s="53"/>
      <c r="X1867" s="72"/>
      <c r="Y1867" s="24">
        <f t="shared" si="1933"/>
        <v>0</v>
      </c>
      <c r="Z1867" s="24">
        <f t="shared" si="1911"/>
        <v>1</v>
      </c>
      <c r="AA1867" s="83">
        <v>45589</v>
      </c>
      <c r="AB1867" s="23"/>
      <c r="AC1867" s="41"/>
      <c r="AD1867" s="42"/>
      <c r="AE1867" s="42"/>
      <c r="AF1867" s="42"/>
      <c r="AG1867" s="42"/>
      <c r="AH1867" s="43">
        <f t="shared" si="1987"/>
        <v>0</v>
      </c>
      <c r="AI1867" s="41"/>
      <c r="AJ1867" s="42"/>
      <c r="AK1867" s="42"/>
      <c r="AL1867" s="42"/>
      <c r="AM1867" s="42"/>
      <c r="AN1867" s="43">
        <f t="shared" si="1988"/>
        <v>0</v>
      </c>
      <c r="AO1867" s="42"/>
      <c r="AP1867" s="53"/>
      <c r="AQ1867" s="53"/>
      <c r="AR1867" s="53"/>
      <c r="AS1867" s="72"/>
      <c r="AT1867" s="24">
        <f t="shared" si="1989"/>
        <v>0</v>
      </c>
      <c r="AU1867" s="42"/>
      <c r="AV1867" s="53"/>
      <c r="AW1867" s="53"/>
      <c r="AX1867" s="53"/>
      <c r="AY1867" s="72"/>
      <c r="AZ1867" s="24">
        <f t="shared" si="1990"/>
        <v>0</v>
      </c>
      <c r="BA1867" s="24">
        <f t="shared" si="1991"/>
        <v>0</v>
      </c>
      <c r="BB1867" s="83"/>
    </row>
    <row r="1868" spans="1:54" ht="15" thickBot="1" x14ac:dyDescent="0.2">
      <c r="A1868" s="23" t="s">
        <v>395</v>
      </c>
      <c r="B1868" s="41"/>
      <c r="C1868" s="42"/>
      <c r="D1868" s="42"/>
      <c r="E1868" s="42"/>
      <c r="F1868" s="42"/>
      <c r="G1868" s="43">
        <f t="shared" si="1930"/>
        <v>0</v>
      </c>
      <c r="H1868" s="41"/>
      <c r="I1868" s="42"/>
      <c r="J1868" s="42"/>
      <c r="K1868" s="42"/>
      <c r="L1868" s="42"/>
      <c r="M1868" s="43">
        <f t="shared" si="1931"/>
        <v>0</v>
      </c>
      <c r="N1868" s="42"/>
      <c r="O1868" s="53"/>
      <c r="P1868" s="53"/>
      <c r="Q1868" s="53"/>
      <c r="R1868" s="72"/>
      <c r="S1868" s="24">
        <f t="shared" si="1932"/>
        <v>0</v>
      </c>
      <c r="T1868" s="42">
        <v>1</v>
      </c>
      <c r="U1868" s="53"/>
      <c r="V1868" s="53"/>
      <c r="W1868" s="53"/>
      <c r="X1868" s="72"/>
      <c r="Y1868" s="24">
        <f t="shared" si="1933"/>
        <v>1</v>
      </c>
      <c r="Z1868" s="24">
        <f t="shared" si="1911"/>
        <v>1</v>
      </c>
      <c r="AA1868" s="83">
        <v>45590</v>
      </c>
      <c r="AB1868" s="23"/>
      <c r="AC1868" s="41"/>
      <c r="AD1868" s="42"/>
      <c r="AE1868" s="42"/>
      <c r="AF1868" s="42"/>
      <c r="AG1868" s="42"/>
      <c r="AH1868" s="43">
        <f t="shared" si="1987"/>
        <v>0</v>
      </c>
      <c r="AI1868" s="41"/>
      <c r="AJ1868" s="42"/>
      <c r="AK1868" s="42"/>
      <c r="AL1868" s="42"/>
      <c r="AM1868" s="42"/>
      <c r="AN1868" s="43">
        <f t="shared" si="1988"/>
        <v>0</v>
      </c>
      <c r="AO1868" s="42"/>
      <c r="AP1868" s="53"/>
      <c r="AQ1868" s="53"/>
      <c r="AR1868" s="53"/>
      <c r="AS1868" s="72"/>
      <c r="AT1868" s="24">
        <f t="shared" si="1989"/>
        <v>0</v>
      </c>
      <c r="AU1868" s="42"/>
      <c r="AV1868" s="53"/>
      <c r="AW1868" s="53"/>
      <c r="AX1868" s="53"/>
      <c r="AY1868" s="72"/>
      <c r="AZ1868" s="24">
        <f t="shared" si="1990"/>
        <v>0</v>
      </c>
      <c r="BA1868" s="24">
        <f t="shared" si="1991"/>
        <v>0</v>
      </c>
      <c r="BB1868" s="83"/>
    </row>
    <row r="1869" spans="1:54" ht="15" thickBot="1" x14ac:dyDescent="0.2">
      <c r="A1869" s="9" t="s">
        <v>13</v>
      </c>
      <c r="B1869" s="25">
        <f>SUM(B1843:B1868)</f>
        <v>2</v>
      </c>
      <c r="C1869" s="26">
        <f>SUM(C1843:C1868)</f>
        <v>4</v>
      </c>
      <c r="D1869" s="26">
        <f>SUM(D1843:D1868)</f>
        <v>4</v>
      </c>
      <c r="E1869" s="26">
        <f>SUM(E1843:E1868)</f>
        <v>2</v>
      </c>
      <c r="F1869" s="27">
        <f>SUM(F1843:F1868)</f>
        <v>-2</v>
      </c>
      <c r="G1869" s="19">
        <f>SUM(B1869:F1869)</f>
        <v>10</v>
      </c>
      <c r="H1869" s="25">
        <f>SUM(H1843:H1868)</f>
        <v>1</v>
      </c>
      <c r="I1869" s="26">
        <f>SUM(I1843:I1868)</f>
        <v>2</v>
      </c>
      <c r="J1869" s="26">
        <f>SUM(J1843:J1868)</f>
        <v>1</v>
      </c>
      <c r="K1869" s="26">
        <f>SUM(K1843:K1868)</f>
        <v>4</v>
      </c>
      <c r="L1869" s="27">
        <f>SUM(L1843:L1868)</f>
        <v>3</v>
      </c>
      <c r="M1869" s="25">
        <f>SUM(H1869:L1869)</f>
        <v>11</v>
      </c>
      <c r="N1869" s="65">
        <f>SUM(N1843:N1868)</f>
        <v>1</v>
      </c>
      <c r="O1869" s="18">
        <f>SUM(O1843:O1868)</f>
        <v>0</v>
      </c>
      <c r="P1869" s="18">
        <f>SUM(P1843:P1868)</f>
        <v>2</v>
      </c>
      <c r="Q1869" s="18">
        <f>SUM(Q1843:Q1868)</f>
        <v>0</v>
      </c>
      <c r="R1869" s="70">
        <f>SUM(R1843:R1868)</f>
        <v>3</v>
      </c>
      <c r="S1869" s="49">
        <f>SUM(N1869:R1869)</f>
        <v>6</v>
      </c>
      <c r="T1869" s="74">
        <f>SUM(T1843:T1868)</f>
        <v>2</v>
      </c>
      <c r="U1869" s="18">
        <f>SUM(U1843:U1868)</f>
        <v>0</v>
      </c>
      <c r="V1869" s="18">
        <f>SUM(V1843:V1868)</f>
        <v>1</v>
      </c>
      <c r="W1869" s="18">
        <f>SUM(W1843:W1868)</f>
        <v>0</v>
      </c>
      <c r="X1869" s="70">
        <f>SUM(X1843:X1868)</f>
        <v>2</v>
      </c>
      <c r="Y1869" s="49">
        <f>SUM(T1869:X1869)</f>
        <v>5</v>
      </c>
      <c r="Z1869" s="137">
        <f>G1869+M1869+S1869+Y1869</f>
        <v>32</v>
      </c>
      <c r="AB1869" s="9" t="s">
        <v>13</v>
      </c>
      <c r="AC1869" s="25">
        <f>SUM(AC1843:AC1868)</f>
        <v>0</v>
      </c>
      <c r="AD1869" s="26">
        <f t="shared" ref="AD1869" si="1992">SUM(AD1843:AD1868)</f>
        <v>0</v>
      </c>
      <c r="AE1869" s="26">
        <f t="shared" ref="AE1869" si="1993">SUM(AE1843:AE1868)</f>
        <v>0</v>
      </c>
      <c r="AF1869" s="26">
        <f t="shared" ref="AF1869" si="1994">SUM(AF1843:AF1868)</f>
        <v>0</v>
      </c>
      <c r="AG1869" s="27">
        <f t="shared" ref="AG1869" si="1995">SUM(AG1843:AG1868)</f>
        <v>3</v>
      </c>
      <c r="AH1869" s="19">
        <f>SUM(AC1869:AG1869)</f>
        <v>3</v>
      </c>
      <c r="AI1869" s="25">
        <f>SUM(AI1843:AI1868)</f>
        <v>0</v>
      </c>
      <c r="AJ1869" s="26">
        <f t="shared" ref="AJ1869" si="1996">SUM(AJ1843:AJ1868)</f>
        <v>0</v>
      </c>
      <c r="AK1869" s="26">
        <f t="shared" ref="AK1869" si="1997">SUM(AK1843:AK1868)</f>
        <v>0</v>
      </c>
      <c r="AL1869" s="26">
        <f t="shared" ref="AL1869" si="1998">SUM(AL1843:AL1868)</f>
        <v>3</v>
      </c>
      <c r="AM1869" s="27">
        <f t="shared" ref="AM1869" si="1999">SUM(AM1843:AM1868)</f>
        <v>0</v>
      </c>
      <c r="AN1869" s="19">
        <f>SUM(AI1869:AM1869)</f>
        <v>3</v>
      </c>
      <c r="AO1869" s="25">
        <f>SUM(AO1843:AO1868)</f>
        <v>0</v>
      </c>
      <c r="AP1869" s="26">
        <f t="shared" ref="AP1869" si="2000">SUM(AP1843:AP1868)</f>
        <v>0</v>
      </c>
      <c r="AQ1869" s="26">
        <f t="shared" ref="AQ1869" si="2001">SUM(AQ1843:AQ1868)</f>
        <v>0</v>
      </c>
      <c r="AR1869" s="26">
        <f t="shared" ref="AR1869" si="2002">SUM(AR1843:AR1868)</f>
        <v>0</v>
      </c>
      <c r="AS1869" s="27">
        <f t="shared" ref="AS1869" si="2003">SUM(AS1843:AS1868)</f>
        <v>0</v>
      </c>
      <c r="AT1869" s="19">
        <f>SUM(AO1869:AS1869)</f>
        <v>0</v>
      </c>
      <c r="AU1869" s="25">
        <f>SUM(AU1843:AU1868)</f>
        <v>0</v>
      </c>
      <c r="AV1869" s="26">
        <f t="shared" ref="AV1869" si="2004">SUM(AV1843:AV1868)</f>
        <v>0</v>
      </c>
      <c r="AW1869" s="26">
        <f t="shared" ref="AW1869" si="2005">SUM(AW1843:AW1868)</f>
        <v>0</v>
      </c>
      <c r="AX1869" s="26">
        <f t="shared" ref="AX1869" si="2006">SUM(AX1843:AX1868)</f>
        <v>0</v>
      </c>
      <c r="AY1869" s="27">
        <f t="shared" ref="AY1869" si="2007">SUM(AY1843:AY1868)</f>
        <v>0</v>
      </c>
      <c r="AZ1869" s="19">
        <f>SUM(AU1869:AY1869)</f>
        <v>0</v>
      </c>
      <c r="BA1869" s="77">
        <f t="shared" si="1991"/>
        <v>6</v>
      </c>
    </row>
    <row r="1870" spans="1:54" ht="15" thickBot="1" x14ac:dyDescent="0.2">
      <c r="A1870" s="32" t="s">
        <v>14</v>
      </c>
      <c r="B1870" s="29">
        <f t="shared" ref="B1870:Y1870" si="2008">B1842-B1869</f>
        <v>3</v>
      </c>
      <c r="C1870" s="30">
        <f t="shared" si="2008"/>
        <v>3</v>
      </c>
      <c r="D1870" s="30">
        <f t="shared" si="2008"/>
        <v>5</v>
      </c>
      <c r="E1870" s="30">
        <f t="shared" si="2008"/>
        <v>4</v>
      </c>
      <c r="F1870" s="31">
        <f t="shared" si="2008"/>
        <v>7</v>
      </c>
      <c r="G1870" s="31">
        <f t="shared" si="2008"/>
        <v>22</v>
      </c>
      <c r="H1870" s="29">
        <f t="shared" si="2008"/>
        <v>4</v>
      </c>
      <c r="I1870" s="30">
        <f t="shared" si="2008"/>
        <v>4</v>
      </c>
      <c r="J1870" s="30">
        <f t="shared" si="2008"/>
        <v>4</v>
      </c>
      <c r="K1870" s="30">
        <f t="shared" si="2008"/>
        <v>5</v>
      </c>
      <c r="L1870" s="31">
        <f t="shared" si="2008"/>
        <v>4</v>
      </c>
      <c r="M1870" s="66">
        <f t="shared" si="2008"/>
        <v>21</v>
      </c>
      <c r="N1870" s="29">
        <f t="shared" si="2008"/>
        <v>4</v>
      </c>
      <c r="O1870" s="30">
        <f t="shared" si="2008"/>
        <v>5</v>
      </c>
      <c r="P1870" s="30">
        <f t="shared" si="2008"/>
        <v>4</v>
      </c>
      <c r="Q1870" s="30">
        <f t="shared" si="2008"/>
        <v>7</v>
      </c>
      <c r="R1870" s="66">
        <f t="shared" si="2008"/>
        <v>4</v>
      </c>
      <c r="S1870" s="33">
        <f t="shared" si="2008"/>
        <v>24</v>
      </c>
      <c r="T1870" s="75">
        <f t="shared" si="2008"/>
        <v>4</v>
      </c>
      <c r="U1870" s="30">
        <f t="shared" si="2008"/>
        <v>4</v>
      </c>
      <c r="V1870" s="30">
        <f t="shared" si="2008"/>
        <v>5</v>
      </c>
      <c r="W1870" s="30">
        <f t="shared" si="2008"/>
        <v>5</v>
      </c>
      <c r="X1870" s="66">
        <f t="shared" si="2008"/>
        <v>4</v>
      </c>
      <c r="Y1870" s="33">
        <f t="shared" si="2008"/>
        <v>22</v>
      </c>
      <c r="Z1870" s="77">
        <f>G1870+M1870+S1870+Y1870</f>
        <v>89</v>
      </c>
      <c r="AB1870" s="32" t="s">
        <v>14</v>
      </c>
      <c r="AC1870" s="29">
        <f>AC1842-AC1869</f>
        <v>76</v>
      </c>
      <c r="AD1870" s="30">
        <f t="shared" ref="AD1870" si="2009">AD1842-AD1869</f>
        <v>29</v>
      </c>
      <c r="AE1870" s="30">
        <f t="shared" ref="AE1870" si="2010">AE1842-AE1869</f>
        <v>26</v>
      </c>
      <c r="AF1870" s="30">
        <f t="shared" ref="AF1870" si="2011">AF1842-AF1869</f>
        <v>15</v>
      </c>
      <c r="AG1870" s="31">
        <f t="shared" ref="AG1870" si="2012">AG1842-AG1869</f>
        <v>8</v>
      </c>
      <c r="AH1870" s="31">
        <f>AH1842-AH1869</f>
        <v>154</v>
      </c>
      <c r="AI1870" s="29">
        <f>AI1842-AI1869</f>
        <v>72</v>
      </c>
      <c r="AJ1870" s="30">
        <f t="shared" ref="AJ1870" si="2013">AJ1842-AJ1869</f>
        <v>50</v>
      </c>
      <c r="AK1870" s="30">
        <f t="shared" ref="AK1870" si="2014">AK1842-AK1869</f>
        <v>53</v>
      </c>
      <c r="AL1870" s="30">
        <f t="shared" ref="AL1870" si="2015">AL1842-AL1869</f>
        <v>23</v>
      </c>
      <c r="AM1870" s="31">
        <f t="shared" ref="AM1870" si="2016">AM1842-AM1869</f>
        <v>58</v>
      </c>
      <c r="AN1870" s="31">
        <f>AN1842-AN1869</f>
        <v>256</v>
      </c>
      <c r="AO1870" s="29">
        <f>AO1842-AO1869</f>
        <v>134</v>
      </c>
      <c r="AP1870" s="30">
        <f t="shared" ref="AP1870" si="2017">AP1842-AP1869</f>
        <v>84</v>
      </c>
      <c r="AQ1870" s="30">
        <f t="shared" ref="AQ1870" si="2018">AQ1842-AQ1869</f>
        <v>80</v>
      </c>
      <c r="AR1870" s="30">
        <f t="shared" ref="AR1870" si="2019">AR1842-AR1869</f>
        <v>100</v>
      </c>
      <c r="AS1870" s="31">
        <f t="shared" ref="AS1870" si="2020">AS1842-AS1869</f>
        <v>117</v>
      </c>
      <c r="AT1870" s="31">
        <f>AT1842-AT1869</f>
        <v>515</v>
      </c>
      <c r="AU1870" s="29">
        <f>AU1842-AU1869</f>
        <v>102</v>
      </c>
      <c r="AV1870" s="30">
        <f t="shared" ref="AV1870" si="2021">AV1842-AV1869</f>
        <v>42</v>
      </c>
      <c r="AW1870" s="30">
        <f t="shared" ref="AW1870" si="2022">AW1842-AW1869</f>
        <v>6</v>
      </c>
      <c r="AX1870" s="30">
        <f t="shared" ref="AX1870" si="2023">AX1842-AX1869</f>
        <v>3</v>
      </c>
      <c r="AY1870" s="31">
        <f t="shared" ref="AY1870" si="2024">AY1842-AY1869</f>
        <v>58</v>
      </c>
      <c r="AZ1870" s="31">
        <f>AZ1842-AZ1869</f>
        <v>211</v>
      </c>
      <c r="BA1870" s="77">
        <f t="shared" si="1991"/>
        <v>1136</v>
      </c>
    </row>
    <row r="1872" spans="1:54" x14ac:dyDescent="0.15">
      <c r="AU1872" s="208"/>
      <c r="AV1872" s="208"/>
      <c r="AW1872" s="208"/>
      <c r="AX1872" s="208"/>
      <c r="AY1872" s="208"/>
      <c r="AZ1872" s="208"/>
    </row>
    <row r="1873" spans="1:54" ht="19.5" thickBot="1" x14ac:dyDescent="0.25">
      <c r="A1873" s="1" t="s">
        <v>15</v>
      </c>
      <c r="AB1873" s="1" t="s">
        <v>16</v>
      </c>
    </row>
    <row r="1874" spans="1:54" ht="15" thickBot="1" x14ac:dyDescent="0.2">
      <c r="A1874" s="4"/>
      <c r="B1874" s="245" t="s">
        <v>17</v>
      </c>
      <c r="C1874" s="246"/>
      <c r="D1874" s="246"/>
      <c r="E1874" s="246"/>
      <c r="F1874" s="246"/>
      <c r="G1874" s="247"/>
      <c r="H1874" s="245" t="s">
        <v>18</v>
      </c>
      <c r="I1874" s="246"/>
      <c r="J1874" s="246"/>
      <c r="K1874" s="246"/>
      <c r="L1874" s="246"/>
      <c r="M1874" s="247"/>
      <c r="N1874" s="248" t="s">
        <v>27</v>
      </c>
      <c r="O1874" s="249"/>
      <c r="P1874" s="249"/>
      <c r="Q1874" s="249"/>
      <c r="R1874" s="249"/>
      <c r="S1874" s="250"/>
      <c r="T1874" s="248" t="s">
        <v>28</v>
      </c>
      <c r="U1874" s="249"/>
      <c r="V1874" s="249"/>
      <c r="W1874" s="249"/>
      <c r="X1874" s="249"/>
      <c r="Y1874" s="250"/>
      <c r="Z1874" s="251" t="s">
        <v>1</v>
      </c>
      <c r="AB1874" s="4"/>
      <c r="AC1874" s="253" t="s">
        <v>17</v>
      </c>
      <c r="AD1874" s="249"/>
      <c r="AE1874" s="249"/>
      <c r="AF1874" s="249"/>
      <c r="AG1874" s="249"/>
      <c r="AH1874" s="250"/>
      <c r="AI1874" s="248" t="s">
        <v>18</v>
      </c>
      <c r="AJ1874" s="249"/>
      <c r="AK1874" s="249"/>
      <c r="AL1874" s="249"/>
      <c r="AM1874" s="249"/>
      <c r="AN1874" s="250"/>
      <c r="AO1874" s="248" t="s">
        <v>27</v>
      </c>
      <c r="AP1874" s="249"/>
      <c r="AQ1874" s="249"/>
      <c r="AR1874" s="249"/>
      <c r="AS1874" s="249"/>
      <c r="AT1874" s="250"/>
      <c r="AU1874" s="248" t="s">
        <v>28</v>
      </c>
      <c r="AV1874" s="249"/>
      <c r="AW1874" s="249"/>
      <c r="AX1874" s="249"/>
      <c r="AY1874" s="249"/>
      <c r="AZ1874" s="250"/>
      <c r="BA1874" s="243" t="s">
        <v>1</v>
      </c>
    </row>
    <row r="1875" spans="1:54" ht="15" thickBot="1" x14ac:dyDescent="0.2">
      <c r="A1875" s="9" t="s">
        <v>2</v>
      </c>
      <c r="B1875" s="6" t="s">
        <v>3</v>
      </c>
      <c r="C1875" s="7" t="s">
        <v>4</v>
      </c>
      <c r="D1875" s="7" t="s">
        <v>5</v>
      </c>
      <c r="E1875" s="48" t="s">
        <v>20</v>
      </c>
      <c r="F1875" s="8" t="s">
        <v>21</v>
      </c>
      <c r="G1875" s="5" t="s">
        <v>6</v>
      </c>
      <c r="H1875" s="6" t="s">
        <v>3</v>
      </c>
      <c r="I1875" s="7" t="s">
        <v>4</v>
      </c>
      <c r="J1875" s="7" t="s">
        <v>5</v>
      </c>
      <c r="K1875" s="48" t="s">
        <v>20</v>
      </c>
      <c r="L1875" s="8" t="s">
        <v>21</v>
      </c>
      <c r="M1875" s="5" t="s">
        <v>6</v>
      </c>
      <c r="N1875" s="6" t="s">
        <v>3</v>
      </c>
      <c r="O1875" s="7" t="s">
        <v>4</v>
      </c>
      <c r="P1875" s="7" t="s">
        <v>5</v>
      </c>
      <c r="Q1875" s="48" t="s">
        <v>20</v>
      </c>
      <c r="R1875" s="8" t="s">
        <v>21</v>
      </c>
      <c r="S1875" s="5" t="s">
        <v>6</v>
      </c>
      <c r="T1875" s="7" t="s">
        <v>3</v>
      </c>
      <c r="U1875" s="7" t="s">
        <v>4</v>
      </c>
      <c r="V1875" s="7" t="s">
        <v>5</v>
      </c>
      <c r="W1875" s="48" t="s">
        <v>20</v>
      </c>
      <c r="X1875" s="109" t="s">
        <v>21</v>
      </c>
      <c r="Y1875" s="62" t="s">
        <v>6</v>
      </c>
      <c r="Z1875" s="252"/>
      <c r="AB1875" s="9" t="s">
        <v>2</v>
      </c>
      <c r="AC1875" s="6" t="s">
        <v>3</v>
      </c>
      <c r="AD1875" s="7" t="s">
        <v>4</v>
      </c>
      <c r="AE1875" s="7" t="s">
        <v>5</v>
      </c>
      <c r="AF1875" s="48" t="s">
        <v>20</v>
      </c>
      <c r="AG1875" s="8" t="s">
        <v>21</v>
      </c>
      <c r="AH1875" s="5" t="s">
        <v>6</v>
      </c>
      <c r="AI1875" s="6" t="s">
        <v>3</v>
      </c>
      <c r="AJ1875" s="7" t="s">
        <v>4</v>
      </c>
      <c r="AK1875" s="7" t="s">
        <v>5</v>
      </c>
      <c r="AL1875" s="48" t="s">
        <v>20</v>
      </c>
      <c r="AM1875" s="8" t="s">
        <v>21</v>
      </c>
      <c r="AN1875" s="5" t="s">
        <v>6</v>
      </c>
      <c r="AO1875" s="6" t="s">
        <v>3</v>
      </c>
      <c r="AP1875" s="7" t="s">
        <v>4</v>
      </c>
      <c r="AQ1875" s="7" t="s">
        <v>5</v>
      </c>
      <c r="AR1875" s="48" t="s">
        <v>20</v>
      </c>
      <c r="AS1875" s="8" t="s">
        <v>21</v>
      </c>
      <c r="AT1875" s="5" t="s">
        <v>6</v>
      </c>
      <c r="AU1875" s="7" t="s">
        <v>3</v>
      </c>
      <c r="AV1875" s="7" t="s">
        <v>4</v>
      </c>
      <c r="AW1875" s="7" t="s">
        <v>5</v>
      </c>
      <c r="AX1875" s="48" t="s">
        <v>20</v>
      </c>
      <c r="AY1875" s="109" t="s">
        <v>21</v>
      </c>
      <c r="AZ1875" s="62" t="s">
        <v>6</v>
      </c>
      <c r="BA1875" s="244"/>
    </row>
    <row r="1876" spans="1:54" ht="14.25" x14ac:dyDescent="0.15">
      <c r="A1876" s="103" t="s">
        <v>43</v>
      </c>
      <c r="B1876" s="104">
        <f>B1870</f>
        <v>3</v>
      </c>
      <c r="C1876" s="105">
        <f>C1870</f>
        <v>3</v>
      </c>
      <c r="D1876" s="105">
        <f>D1870</f>
        <v>5</v>
      </c>
      <c r="E1876" s="105">
        <f>E1870</f>
        <v>4</v>
      </c>
      <c r="F1876" s="105">
        <f>F1870</f>
        <v>7</v>
      </c>
      <c r="G1876" s="106">
        <f t="shared" ref="G1876" si="2025">SUM(B1876:F1876)</f>
        <v>22</v>
      </c>
      <c r="H1876" s="104">
        <f>H1870</f>
        <v>4</v>
      </c>
      <c r="I1876" s="105">
        <f>I1870</f>
        <v>4</v>
      </c>
      <c r="J1876" s="105">
        <f>J1870</f>
        <v>4</v>
      </c>
      <c r="K1876" s="105">
        <f>K1870</f>
        <v>5</v>
      </c>
      <c r="L1876" s="105">
        <f>L1870</f>
        <v>4</v>
      </c>
      <c r="M1876" s="107">
        <f t="shared" ref="M1876:M1878" si="2026">SUM(H1876:L1876)</f>
        <v>21</v>
      </c>
      <c r="N1876" s="104">
        <f>N1870</f>
        <v>4</v>
      </c>
      <c r="O1876" s="105">
        <f>O1870</f>
        <v>5</v>
      </c>
      <c r="P1876" s="105">
        <f>P1870</f>
        <v>4</v>
      </c>
      <c r="Q1876" s="105">
        <f>Q1870</f>
        <v>7</v>
      </c>
      <c r="R1876" s="105">
        <f>R1870</f>
        <v>4</v>
      </c>
      <c r="S1876" s="108">
        <f t="shared" ref="S1876:S1878" si="2027">SUM(N1876:R1876)</f>
        <v>24</v>
      </c>
      <c r="T1876" s="104">
        <f>T1870</f>
        <v>4</v>
      </c>
      <c r="U1876" s="105">
        <f>U1870</f>
        <v>4</v>
      </c>
      <c r="V1876" s="105">
        <f>V1870</f>
        <v>5</v>
      </c>
      <c r="W1876" s="105">
        <f>W1870</f>
        <v>5</v>
      </c>
      <c r="X1876" s="105">
        <f>X1870</f>
        <v>4</v>
      </c>
      <c r="Y1876" s="106">
        <f t="shared" ref="Y1876:Y1878" si="2028">SUM(T1876:X1876)</f>
        <v>22</v>
      </c>
      <c r="Z1876" s="106">
        <f t="shared" ref="Z1876:Z1905" si="2029">G1876+M1876+S1876+Y1876</f>
        <v>89</v>
      </c>
      <c r="AB1876" s="103" t="s">
        <v>43</v>
      </c>
      <c r="AC1876" s="104">
        <f>AC1870</f>
        <v>76</v>
      </c>
      <c r="AD1876" s="105">
        <f t="shared" ref="AD1876:AG1876" si="2030">AD1870</f>
        <v>29</v>
      </c>
      <c r="AE1876" s="105">
        <f t="shared" si="2030"/>
        <v>26</v>
      </c>
      <c r="AF1876" s="105">
        <f t="shared" si="2030"/>
        <v>15</v>
      </c>
      <c r="AG1876" s="105">
        <f t="shared" si="2030"/>
        <v>8</v>
      </c>
      <c r="AH1876" s="106">
        <f>SUM(AC1876:AG1876)</f>
        <v>154</v>
      </c>
      <c r="AI1876" s="104">
        <f>AI1870</f>
        <v>72</v>
      </c>
      <c r="AJ1876" s="105">
        <f t="shared" ref="AJ1876:AM1876" si="2031">AJ1870</f>
        <v>50</v>
      </c>
      <c r="AK1876" s="105">
        <f t="shared" si="2031"/>
        <v>53</v>
      </c>
      <c r="AL1876" s="105">
        <f t="shared" si="2031"/>
        <v>23</v>
      </c>
      <c r="AM1876" s="105">
        <f t="shared" si="2031"/>
        <v>58</v>
      </c>
      <c r="AN1876" s="106">
        <f>SUM(AI1876:AM1876)</f>
        <v>256</v>
      </c>
      <c r="AO1876" s="104">
        <f>AO1870</f>
        <v>134</v>
      </c>
      <c r="AP1876" s="105">
        <f t="shared" ref="AP1876:AS1876" si="2032">AP1870</f>
        <v>84</v>
      </c>
      <c r="AQ1876" s="105">
        <f t="shared" si="2032"/>
        <v>80</v>
      </c>
      <c r="AR1876" s="105">
        <f t="shared" si="2032"/>
        <v>100</v>
      </c>
      <c r="AS1876" s="105">
        <f t="shared" si="2032"/>
        <v>117</v>
      </c>
      <c r="AT1876" s="106">
        <f>SUM(AO1876:AS1876)</f>
        <v>515</v>
      </c>
      <c r="AU1876" s="104">
        <f>AU1870</f>
        <v>102</v>
      </c>
      <c r="AV1876" s="105">
        <f t="shared" ref="AV1876:AY1876" si="2033">AV1870</f>
        <v>42</v>
      </c>
      <c r="AW1876" s="105">
        <f t="shared" si="2033"/>
        <v>6</v>
      </c>
      <c r="AX1876" s="105">
        <f t="shared" si="2033"/>
        <v>3</v>
      </c>
      <c r="AY1876" s="105">
        <f t="shared" si="2033"/>
        <v>58</v>
      </c>
      <c r="AZ1876" s="106">
        <f>SUM(AU1876:AY1876)</f>
        <v>211</v>
      </c>
      <c r="BA1876" s="106">
        <f>AH1876+AN1876+AT1876+AZ1876</f>
        <v>1136</v>
      </c>
    </row>
    <row r="1877" spans="1:54" ht="14.25" x14ac:dyDescent="0.15">
      <c r="A1877" s="10" t="s">
        <v>181</v>
      </c>
      <c r="B1877" s="14">
        <v>3</v>
      </c>
      <c r="C1877" s="15">
        <v>3</v>
      </c>
      <c r="D1877" s="15"/>
      <c r="E1877" s="15"/>
      <c r="F1877" s="15"/>
      <c r="G1877" s="43">
        <f t="shared" ref="G1877:G1878" si="2034">SUM(B1877:F1877)</f>
        <v>6</v>
      </c>
      <c r="H1877" s="14">
        <v>3</v>
      </c>
      <c r="I1877" s="15"/>
      <c r="J1877" s="15"/>
      <c r="K1877" s="15"/>
      <c r="L1877" s="15"/>
      <c r="M1877" s="43">
        <f t="shared" si="2026"/>
        <v>3</v>
      </c>
      <c r="N1877" s="14"/>
      <c r="O1877" s="55">
        <v>3</v>
      </c>
      <c r="P1877" s="55"/>
      <c r="Q1877" s="55"/>
      <c r="R1877" s="67"/>
      <c r="S1877" s="24">
        <f t="shared" si="2027"/>
        <v>3</v>
      </c>
      <c r="T1877" s="15"/>
      <c r="U1877" s="55"/>
      <c r="V1877" s="55"/>
      <c r="W1877" s="55"/>
      <c r="X1877" s="67"/>
      <c r="Y1877" s="24">
        <f t="shared" si="2028"/>
        <v>0</v>
      </c>
      <c r="Z1877" s="24">
        <f t="shared" si="2029"/>
        <v>12</v>
      </c>
      <c r="AA1877" s="83">
        <v>45598</v>
      </c>
      <c r="AB1877" s="10" t="s">
        <v>693</v>
      </c>
      <c r="AC1877" s="14"/>
      <c r="AD1877" s="15"/>
      <c r="AE1877" s="15">
        <v>4</v>
      </c>
      <c r="AF1877" s="15"/>
      <c r="AG1877" s="15"/>
      <c r="AH1877" s="43">
        <f t="shared" ref="AH1877" si="2035">SUM(AC1877:AG1877)</f>
        <v>4</v>
      </c>
      <c r="AI1877" s="14"/>
      <c r="AJ1877" s="15"/>
      <c r="AK1877" s="15">
        <v>5</v>
      </c>
      <c r="AL1877" s="15">
        <v>5</v>
      </c>
      <c r="AM1877" s="15"/>
      <c r="AN1877" s="43">
        <f t="shared" ref="AN1877" si="2036">SUM(AI1877:AM1877)</f>
        <v>10</v>
      </c>
      <c r="AO1877" s="14"/>
      <c r="AP1877" s="55"/>
      <c r="AQ1877" s="55">
        <v>4</v>
      </c>
      <c r="AR1877" s="55">
        <v>7</v>
      </c>
      <c r="AS1877" s="67"/>
      <c r="AT1877" s="24">
        <f t="shared" ref="AT1877" si="2037">SUM(AO1877:AS1877)</f>
        <v>11</v>
      </c>
      <c r="AU1877" s="15"/>
      <c r="AV1877" s="55"/>
      <c r="AW1877" s="55">
        <v>4</v>
      </c>
      <c r="AX1877" s="55">
        <v>5</v>
      </c>
      <c r="AY1877" s="67"/>
      <c r="AZ1877" s="24">
        <f t="shared" ref="AZ1877" si="2038">SUM(AU1877:AY1877)</f>
        <v>9</v>
      </c>
      <c r="BA1877" s="24">
        <f t="shared" ref="BA1877" si="2039">AH1877+AN1877+AT1877+AZ1877</f>
        <v>34</v>
      </c>
      <c r="BB1877" s="83">
        <v>45633</v>
      </c>
    </row>
    <row r="1878" spans="1:54" ht="14.25" x14ac:dyDescent="0.15">
      <c r="A1878" s="10" t="s">
        <v>181</v>
      </c>
      <c r="B1878" s="14"/>
      <c r="C1878" s="15"/>
      <c r="D1878" s="15"/>
      <c r="E1878" s="15">
        <v>3</v>
      </c>
      <c r="F1878" s="15"/>
      <c r="G1878" s="43">
        <f t="shared" si="2034"/>
        <v>3</v>
      </c>
      <c r="H1878" s="14"/>
      <c r="I1878" s="15">
        <v>3</v>
      </c>
      <c r="J1878" s="15">
        <v>3</v>
      </c>
      <c r="K1878" s="15"/>
      <c r="L1878" s="15">
        <v>3</v>
      </c>
      <c r="M1878" s="43">
        <f t="shared" si="2026"/>
        <v>9</v>
      </c>
      <c r="N1878" s="14"/>
      <c r="O1878" s="55"/>
      <c r="P1878" s="55"/>
      <c r="Q1878" s="55"/>
      <c r="R1878" s="67"/>
      <c r="S1878" s="24">
        <f t="shared" si="2027"/>
        <v>0</v>
      </c>
      <c r="T1878" s="15"/>
      <c r="U1878" s="55"/>
      <c r="V1878" s="55"/>
      <c r="W1878" s="55"/>
      <c r="X1878" s="67"/>
      <c r="Y1878" s="24">
        <f t="shared" si="2028"/>
        <v>0</v>
      </c>
      <c r="Z1878" s="24">
        <f t="shared" si="2029"/>
        <v>12</v>
      </c>
      <c r="AA1878" s="83">
        <v>45615</v>
      </c>
      <c r="AB1878" s="10" t="s">
        <v>181</v>
      </c>
      <c r="AC1878" s="14"/>
      <c r="AD1878" s="15"/>
      <c r="AE1878" s="15"/>
      <c r="AF1878" s="15"/>
      <c r="AG1878" s="15"/>
      <c r="AH1878" s="43">
        <f t="shared" ref="AH1878" si="2040">SUM(AC1878:AG1878)</f>
        <v>0</v>
      </c>
      <c r="AI1878" s="14"/>
      <c r="AJ1878" s="15"/>
      <c r="AK1878" s="15"/>
      <c r="AL1878" s="15"/>
      <c r="AM1878" s="15"/>
      <c r="AN1878" s="43">
        <f t="shared" ref="AN1878" si="2041">SUM(AI1878:AM1878)</f>
        <v>0</v>
      </c>
      <c r="AO1878" s="14"/>
      <c r="AP1878" s="55"/>
      <c r="AQ1878" s="55"/>
      <c r="AR1878" s="55"/>
      <c r="AS1878" s="67"/>
      <c r="AT1878" s="24">
        <f t="shared" ref="AT1878" si="2042">SUM(AO1878:AS1878)</f>
        <v>0</v>
      </c>
      <c r="AU1878" s="15"/>
      <c r="AV1878" s="55"/>
      <c r="AW1878" s="55"/>
      <c r="AX1878" s="55"/>
      <c r="AY1878" s="67"/>
      <c r="AZ1878" s="24">
        <f t="shared" ref="AZ1878" si="2043">SUM(AU1878:AY1878)</f>
        <v>0</v>
      </c>
      <c r="BA1878" s="24">
        <f t="shared" ref="BA1878" si="2044">AH1878+AN1878+AT1878+AZ1878</f>
        <v>0</v>
      </c>
      <c r="BB1878" s="128"/>
    </row>
    <row r="1879" spans="1:54" ht="14.25" x14ac:dyDescent="0.15">
      <c r="A1879" s="10" t="s">
        <v>695</v>
      </c>
      <c r="B1879" s="14">
        <v>3</v>
      </c>
      <c r="C1879" s="15">
        <v>3</v>
      </c>
      <c r="D1879" s="15">
        <v>3</v>
      </c>
      <c r="E1879" s="15"/>
      <c r="F1879" s="15"/>
      <c r="G1879" s="43">
        <f t="shared" ref="G1879:G1880" si="2045">SUM(B1879:F1879)</f>
        <v>9</v>
      </c>
      <c r="H1879" s="14">
        <v>2</v>
      </c>
      <c r="I1879" s="15">
        <v>2</v>
      </c>
      <c r="J1879" s="15">
        <v>3</v>
      </c>
      <c r="K1879" s="15">
        <v>2</v>
      </c>
      <c r="L1879" s="15"/>
      <c r="M1879" s="43">
        <f t="shared" ref="M1879" si="2046">SUM(H1879:L1879)</f>
        <v>9</v>
      </c>
      <c r="N1879" s="14">
        <v>2</v>
      </c>
      <c r="O1879" s="55">
        <v>3</v>
      </c>
      <c r="P1879" s="55">
        <v>2</v>
      </c>
      <c r="Q1879" s="55">
        <v>3</v>
      </c>
      <c r="R1879" s="67"/>
      <c r="S1879" s="24">
        <f t="shared" ref="S1879" si="2047">SUM(N1879:R1879)</f>
        <v>10</v>
      </c>
      <c r="T1879" s="15">
        <v>1</v>
      </c>
      <c r="U1879" s="55">
        <v>3</v>
      </c>
      <c r="V1879" s="55">
        <v>4</v>
      </c>
      <c r="W1879" s="55">
        <v>2</v>
      </c>
      <c r="X1879" s="67"/>
      <c r="Y1879" s="24">
        <f t="shared" ref="Y1879" si="2048">SUM(T1879:X1879)</f>
        <v>10</v>
      </c>
      <c r="Z1879" s="24">
        <f t="shared" ref="Z1879:Z1880" si="2049">G1879+M1879+S1879+Y1879</f>
        <v>38</v>
      </c>
      <c r="AA1879" s="83">
        <v>45611</v>
      </c>
      <c r="AB1879" s="10" t="s">
        <v>181</v>
      </c>
      <c r="AC1879" s="14"/>
      <c r="AD1879" s="15"/>
      <c r="AE1879" s="15"/>
      <c r="AF1879" s="15"/>
      <c r="AG1879" s="15"/>
      <c r="AH1879" s="43">
        <f t="shared" ref="AH1879:AH1906" si="2050">SUM(AC1879:AG1879)</f>
        <v>0</v>
      </c>
      <c r="AI1879" s="14"/>
      <c r="AJ1879" s="15"/>
      <c r="AK1879" s="15"/>
      <c r="AL1879" s="15"/>
      <c r="AM1879" s="15"/>
      <c r="AN1879" s="43">
        <f t="shared" ref="AN1879:AN1906" si="2051">SUM(AI1879:AM1879)</f>
        <v>0</v>
      </c>
      <c r="AO1879" s="14"/>
      <c r="AP1879" s="55"/>
      <c r="AQ1879" s="55"/>
      <c r="AR1879" s="55"/>
      <c r="AS1879" s="67"/>
      <c r="AT1879" s="24">
        <f t="shared" ref="AT1879:AT1906" si="2052">SUM(AO1879:AS1879)</f>
        <v>0</v>
      </c>
      <c r="AU1879" s="15"/>
      <c r="AV1879" s="55"/>
      <c r="AW1879" s="55"/>
      <c r="AX1879" s="55"/>
      <c r="AY1879" s="67"/>
      <c r="AZ1879" s="24">
        <f t="shared" ref="AZ1879:AZ1906" si="2053">SUM(AU1879:AY1879)</f>
        <v>0</v>
      </c>
      <c r="BA1879" s="24">
        <f t="shared" ref="BA1879:BA1909" si="2054">AH1879+AN1879+AT1879+AZ1879</f>
        <v>0</v>
      </c>
      <c r="BB1879" s="128"/>
    </row>
    <row r="1880" spans="1:54" ht="15" thickBot="1" x14ac:dyDescent="0.2">
      <c r="A1880" s="10" t="s">
        <v>77</v>
      </c>
      <c r="B1880" s="14"/>
      <c r="C1880" s="15"/>
      <c r="D1880" s="15"/>
      <c r="E1880" s="15"/>
      <c r="F1880" s="15">
        <v>1</v>
      </c>
      <c r="G1880" s="43">
        <f t="shared" si="2045"/>
        <v>1</v>
      </c>
      <c r="H1880" s="14"/>
      <c r="I1880" s="15"/>
      <c r="J1880" s="15"/>
      <c r="K1880" s="15"/>
      <c r="L1880" s="15"/>
      <c r="M1880" s="43">
        <f t="shared" ref="M1880" si="2055">SUM(H1880:L1880)</f>
        <v>0</v>
      </c>
      <c r="N1880" s="14"/>
      <c r="O1880" s="55"/>
      <c r="P1880" s="55"/>
      <c r="Q1880" s="55"/>
      <c r="R1880" s="67"/>
      <c r="S1880" s="24">
        <f t="shared" ref="S1880" si="2056">SUM(N1880:R1880)</f>
        <v>0</v>
      </c>
      <c r="T1880" s="15"/>
      <c r="U1880" s="55"/>
      <c r="V1880" s="55"/>
      <c r="W1880" s="55"/>
      <c r="X1880" s="67"/>
      <c r="Y1880" s="24">
        <f t="shared" ref="Y1880" si="2057">SUM(T1880:X1880)</f>
        <v>0</v>
      </c>
      <c r="Z1880" s="24">
        <f t="shared" si="2049"/>
        <v>1</v>
      </c>
      <c r="AA1880" s="93">
        <v>45636</v>
      </c>
      <c r="AB1880" s="10" t="s">
        <v>181</v>
      </c>
      <c r="AC1880" s="14"/>
      <c r="AD1880" s="15"/>
      <c r="AE1880" s="15"/>
      <c r="AF1880" s="15"/>
      <c r="AG1880" s="15"/>
      <c r="AH1880" s="43">
        <f t="shared" ref="AH1880" si="2058">SUM(AC1880:AG1880)</f>
        <v>0</v>
      </c>
      <c r="AI1880" s="14"/>
      <c r="AJ1880" s="15"/>
      <c r="AK1880" s="15"/>
      <c r="AL1880" s="15"/>
      <c r="AM1880" s="15"/>
      <c r="AN1880" s="43">
        <f t="shared" ref="AN1880" si="2059">SUM(AI1880:AM1880)</f>
        <v>0</v>
      </c>
      <c r="AO1880" s="14"/>
      <c r="AP1880" s="55"/>
      <c r="AQ1880" s="55"/>
      <c r="AR1880" s="55"/>
      <c r="AS1880" s="67"/>
      <c r="AT1880" s="24">
        <f t="shared" ref="AT1880" si="2060">SUM(AO1880:AS1880)</f>
        <v>0</v>
      </c>
      <c r="AU1880" s="15"/>
      <c r="AV1880" s="55"/>
      <c r="AW1880" s="55"/>
      <c r="AX1880" s="55"/>
      <c r="AY1880" s="67"/>
      <c r="AZ1880" s="24">
        <f t="shared" ref="AZ1880" si="2061">SUM(AU1880:AY1880)</f>
        <v>0</v>
      </c>
      <c r="BA1880" s="24">
        <f t="shared" ref="BA1880" si="2062">AH1880+AN1880+AT1880+AZ1880</f>
        <v>0</v>
      </c>
    </row>
    <row r="1881" spans="1:54" ht="15" thickBot="1" x14ac:dyDescent="0.2">
      <c r="A1881" s="4" t="s">
        <v>12</v>
      </c>
      <c r="B1881" s="17">
        <f>SUM(B1876:B1880)</f>
        <v>9</v>
      </c>
      <c r="C1881" s="18">
        <f>SUM(C1876:C1880)</f>
        <v>9</v>
      </c>
      <c r="D1881" s="18">
        <f>SUM(D1876:D1880)</f>
        <v>8</v>
      </c>
      <c r="E1881" s="18">
        <f>SUM(E1876:E1880)</f>
        <v>7</v>
      </c>
      <c r="F1881" s="18">
        <f>SUM(F1876:F1880)</f>
        <v>8</v>
      </c>
      <c r="G1881" s="148">
        <f t="shared" ref="G1881:G1905" si="2063">SUM(B1881:F1881)</f>
        <v>41</v>
      </c>
      <c r="H1881" s="17">
        <f>SUM(H1876:H1880)</f>
        <v>9</v>
      </c>
      <c r="I1881" s="18">
        <f>SUM(I1876:I1880)</f>
        <v>9</v>
      </c>
      <c r="J1881" s="18">
        <f>SUM(J1876:J1880)</f>
        <v>10</v>
      </c>
      <c r="K1881" s="18">
        <f>SUM(K1876:K1880)</f>
        <v>7</v>
      </c>
      <c r="L1881" s="18">
        <f>SUM(L1876:L1880)</f>
        <v>7</v>
      </c>
      <c r="M1881" s="17">
        <f t="shared" ref="M1881:M1905" si="2064">SUM(H1881:L1881)</f>
        <v>42</v>
      </c>
      <c r="N1881" s="65">
        <f>SUM(N1876:N1880)</f>
        <v>6</v>
      </c>
      <c r="O1881" s="18">
        <f>SUM(O1876:O1880)</f>
        <v>11</v>
      </c>
      <c r="P1881" s="18">
        <f>SUM(P1876:P1880)</f>
        <v>6</v>
      </c>
      <c r="Q1881" s="18">
        <f>SUM(Q1876:Q1880)</f>
        <v>10</v>
      </c>
      <c r="R1881" s="70">
        <f>SUM(R1876:R1880)</f>
        <v>4</v>
      </c>
      <c r="S1881" s="49">
        <f t="shared" ref="S1881:S1905" si="2065">SUM(N1881:R1881)</f>
        <v>37</v>
      </c>
      <c r="T1881" s="74">
        <f>SUM(T1876:T1880)</f>
        <v>5</v>
      </c>
      <c r="U1881" s="18">
        <f>SUM(U1876:U1880)</f>
        <v>7</v>
      </c>
      <c r="V1881" s="18">
        <f>SUM(V1876:V1880)</f>
        <v>9</v>
      </c>
      <c r="W1881" s="18">
        <f>SUM(W1876:W1880)</f>
        <v>7</v>
      </c>
      <c r="X1881" s="70">
        <f>SUM(X1876:X1880)</f>
        <v>4</v>
      </c>
      <c r="Y1881" s="49">
        <f t="shared" ref="Y1881:Y1905" si="2066">SUM(T1881:X1881)</f>
        <v>32</v>
      </c>
      <c r="Z1881" s="33">
        <f t="shared" si="2029"/>
        <v>152</v>
      </c>
      <c r="AB1881" s="4" t="s">
        <v>12</v>
      </c>
      <c r="AC1881" s="17">
        <f>SUM(AC1876:AC1880)</f>
        <v>76</v>
      </c>
      <c r="AD1881" s="18">
        <f t="shared" ref="AD1881" si="2067">SUM(AD1876:AD1880)</f>
        <v>29</v>
      </c>
      <c r="AE1881" s="18">
        <f t="shared" ref="AE1881" si="2068">SUM(AE1876:AE1880)</f>
        <v>30</v>
      </c>
      <c r="AF1881" s="18">
        <f t="shared" ref="AF1881" si="2069">SUM(AF1876:AF1880)</f>
        <v>15</v>
      </c>
      <c r="AG1881" s="18">
        <f t="shared" ref="AG1881" si="2070">SUM(AG1876:AG1880)</f>
        <v>8</v>
      </c>
      <c r="AH1881" s="148">
        <f>SUM(AC1881:AG1881)</f>
        <v>158</v>
      </c>
      <c r="AI1881" s="17">
        <f>SUM(AI1876:AI1880)</f>
        <v>72</v>
      </c>
      <c r="AJ1881" s="18">
        <f t="shared" ref="AJ1881" si="2071">SUM(AJ1876:AJ1880)</f>
        <v>50</v>
      </c>
      <c r="AK1881" s="18">
        <f t="shared" ref="AK1881" si="2072">SUM(AK1876:AK1880)</f>
        <v>58</v>
      </c>
      <c r="AL1881" s="18">
        <f t="shared" ref="AL1881" si="2073">SUM(AL1876:AL1880)</f>
        <v>28</v>
      </c>
      <c r="AM1881" s="18">
        <f t="shared" ref="AM1881" si="2074">SUM(AM1876:AM1880)</f>
        <v>58</v>
      </c>
      <c r="AN1881" s="148">
        <f>SUM(AI1881:AM1881)</f>
        <v>266</v>
      </c>
      <c r="AO1881" s="17">
        <f>SUM(AO1876:AO1880)</f>
        <v>134</v>
      </c>
      <c r="AP1881" s="18">
        <f t="shared" ref="AP1881" si="2075">SUM(AP1876:AP1880)</f>
        <v>84</v>
      </c>
      <c r="AQ1881" s="18">
        <f t="shared" ref="AQ1881" si="2076">SUM(AQ1876:AQ1880)</f>
        <v>84</v>
      </c>
      <c r="AR1881" s="18">
        <f t="shared" ref="AR1881" si="2077">SUM(AR1876:AR1880)</f>
        <v>107</v>
      </c>
      <c r="AS1881" s="18">
        <f t="shared" ref="AS1881" si="2078">SUM(AS1876:AS1880)</f>
        <v>117</v>
      </c>
      <c r="AT1881" s="148">
        <f>SUM(AO1881:AS1881)</f>
        <v>526</v>
      </c>
      <c r="AU1881" s="17">
        <f>SUM(AU1876:AU1880)</f>
        <v>102</v>
      </c>
      <c r="AV1881" s="18">
        <f t="shared" ref="AV1881" si="2079">SUM(AV1876:AV1880)</f>
        <v>42</v>
      </c>
      <c r="AW1881" s="18">
        <f t="shared" ref="AW1881" si="2080">SUM(AW1876:AW1880)</f>
        <v>10</v>
      </c>
      <c r="AX1881" s="18">
        <f t="shared" ref="AX1881" si="2081">SUM(AX1876:AX1880)</f>
        <v>8</v>
      </c>
      <c r="AY1881" s="18">
        <f t="shared" ref="AY1881" si="2082">SUM(AY1876:AY1880)</f>
        <v>58</v>
      </c>
      <c r="AZ1881" s="148">
        <f>SUM(AU1881:AY1881)</f>
        <v>220</v>
      </c>
      <c r="BA1881" s="33">
        <f>AH1881+AN1881+AT1881+AZ1881</f>
        <v>1170</v>
      </c>
    </row>
    <row r="1882" spans="1:54" ht="14.25" x14ac:dyDescent="0.15">
      <c r="A1882" s="23" t="s">
        <v>395</v>
      </c>
      <c r="B1882" s="41"/>
      <c r="C1882" s="42">
        <v>1</v>
      </c>
      <c r="D1882" s="42"/>
      <c r="E1882" s="42"/>
      <c r="F1882" s="42">
        <v>1</v>
      </c>
      <c r="G1882" s="43">
        <f t="shared" ref="G1882:G1901" si="2083">SUM(B1882:F1882)</f>
        <v>2</v>
      </c>
      <c r="H1882" s="41"/>
      <c r="I1882" s="42"/>
      <c r="J1882" s="42"/>
      <c r="K1882" s="42"/>
      <c r="L1882" s="42"/>
      <c r="M1882" s="43">
        <f t="shared" ref="M1882:M1901" si="2084">SUM(H1882:L1882)</f>
        <v>0</v>
      </c>
      <c r="N1882" s="42"/>
      <c r="O1882" s="53">
        <v>2</v>
      </c>
      <c r="P1882" s="53"/>
      <c r="Q1882" s="53"/>
      <c r="R1882" s="72"/>
      <c r="S1882" s="24">
        <f t="shared" ref="S1882:S1901" si="2085">SUM(N1882:R1882)</f>
        <v>2</v>
      </c>
      <c r="T1882" s="42"/>
      <c r="U1882" s="53"/>
      <c r="V1882" s="53"/>
      <c r="W1882" s="53"/>
      <c r="X1882" s="72"/>
      <c r="Y1882" s="24">
        <f t="shared" ref="Y1882:Y1901" si="2086">SUM(T1882:X1882)</f>
        <v>0</v>
      </c>
      <c r="Z1882" s="24">
        <f t="shared" ref="Z1882:Z1901" si="2087">G1882+M1882+S1882+Y1882</f>
        <v>4</v>
      </c>
      <c r="AA1882" s="83">
        <v>45593</v>
      </c>
      <c r="AB1882" s="23" t="s">
        <v>126</v>
      </c>
      <c r="AC1882" s="41">
        <v>3</v>
      </c>
      <c r="AD1882" s="42">
        <v>3</v>
      </c>
      <c r="AE1882" s="42"/>
      <c r="AF1882" s="42"/>
      <c r="AG1882" s="42"/>
      <c r="AH1882" s="43">
        <f t="shared" ref="AH1882" si="2088">SUM(AC1882:AG1882)</f>
        <v>6</v>
      </c>
      <c r="AI1882" s="41">
        <v>3</v>
      </c>
      <c r="AJ1882" s="42"/>
      <c r="AK1882" s="42"/>
      <c r="AL1882" s="42"/>
      <c r="AM1882" s="42"/>
      <c r="AN1882" s="43">
        <f t="shared" ref="AN1882" si="2089">SUM(AI1882:AM1882)</f>
        <v>3</v>
      </c>
      <c r="AO1882" s="42"/>
      <c r="AP1882" s="53">
        <v>3</v>
      </c>
      <c r="AQ1882" s="53"/>
      <c r="AR1882" s="53"/>
      <c r="AS1882" s="72"/>
      <c r="AT1882" s="24">
        <f t="shared" ref="AT1882" si="2090">SUM(AO1882:AS1882)</f>
        <v>3</v>
      </c>
      <c r="AU1882" s="42"/>
      <c r="AV1882" s="53"/>
      <c r="AW1882" s="53"/>
      <c r="AX1882" s="53"/>
      <c r="AY1882" s="72"/>
      <c r="AZ1882" s="24">
        <f t="shared" ref="AZ1882" si="2091">SUM(AU1882:AY1882)</f>
        <v>0</v>
      </c>
      <c r="BA1882" s="24">
        <f t="shared" si="2054"/>
        <v>12</v>
      </c>
      <c r="BB1882" s="83">
        <v>45598</v>
      </c>
    </row>
    <row r="1883" spans="1:54" ht="14.25" x14ac:dyDescent="0.15">
      <c r="A1883" s="23" t="s">
        <v>395</v>
      </c>
      <c r="B1883" s="41"/>
      <c r="C1883" s="42"/>
      <c r="D1883" s="42"/>
      <c r="E1883" s="42"/>
      <c r="F1883" s="42"/>
      <c r="G1883" s="43">
        <f t="shared" si="2083"/>
        <v>0</v>
      </c>
      <c r="H1883" s="41">
        <v>1</v>
      </c>
      <c r="I1883" s="42"/>
      <c r="J1883" s="42"/>
      <c r="K1883" s="42"/>
      <c r="L1883" s="42"/>
      <c r="M1883" s="43">
        <f t="shared" si="2084"/>
        <v>1</v>
      </c>
      <c r="N1883" s="42"/>
      <c r="O1883" s="53"/>
      <c r="P1883" s="53"/>
      <c r="Q1883" s="53"/>
      <c r="R1883" s="72"/>
      <c r="S1883" s="24">
        <f t="shared" si="2085"/>
        <v>0</v>
      </c>
      <c r="T1883" s="42"/>
      <c r="U1883" s="53"/>
      <c r="V1883" s="53"/>
      <c r="W1883" s="53"/>
      <c r="X1883" s="72"/>
      <c r="Y1883" s="24">
        <f t="shared" si="2086"/>
        <v>0</v>
      </c>
      <c r="Z1883" s="24">
        <f t="shared" si="2087"/>
        <v>1</v>
      </c>
      <c r="AA1883" s="83">
        <v>45595</v>
      </c>
      <c r="AB1883" s="23" t="s">
        <v>126</v>
      </c>
      <c r="AC1883" s="41"/>
      <c r="AD1883" s="42"/>
      <c r="AE1883" s="42"/>
      <c r="AF1883" s="42"/>
      <c r="AG1883" s="42"/>
      <c r="AH1883" s="43">
        <f t="shared" ref="AH1883" si="2092">SUM(AC1883:AG1883)</f>
        <v>0</v>
      </c>
      <c r="AI1883" s="41"/>
      <c r="AJ1883" s="42">
        <v>3</v>
      </c>
      <c r="AK1883" s="42">
        <v>3</v>
      </c>
      <c r="AL1883" s="42"/>
      <c r="AM1883" s="42">
        <v>3</v>
      </c>
      <c r="AN1883" s="43">
        <f t="shared" ref="AN1883" si="2093">SUM(AI1883:AM1883)</f>
        <v>9</v>
      </c>
      <c r="AO1883" s="42"/>
      <c r="AP1883" s="53"/>
      <c r="AQ1883" s="53"/>
      <c r="AR1883" s="53"/>
      <c r="AS1883" s="72"/>
      <c r="AT1883" s="24">
        <f t="shared" ref="AT1883" si="2094">SUM(AO1883:AS1883)</f>
        <v>0</v>
      </c>
      <c r="AU1883" s="42"/>
      <c r="AV1883" s="53"/>
      <c r="AW1883" s="53"/>
      <c r="AX1883" s="53"/>
      <c r="AY1883" s="72"/>
      <c r="AZ1883" s="24">
        <f t="shared" ref="AZ1883" si="2095">SUM(AU1883:AY1883)</f>
        <v>0</v>
      </c>
      <c r="BA1883" s="24">
        <f t="shared" si="2054"/>
        <v>9</v>
      </c>
      <c r="BB1883" s="83">
        <v>45615</v>
      </c>
    </row>
    <row r="1884" spans="1:54" ht="14.25" x14ac:dyDescent="0.15">
      <c r="A1884" s="23" t="s">
        <v>395</v>
      </c>
      <c r="B1884" s="41"/>
      <c r="C1884" s="42"/>
      <c r="D1884" s="42"/>
      <c r="E1884" s="42"/>
      <c r="F1884" s="42">
        <v>1</v>
      </c>
      <c r="G1884" s="43">
        <f t="shared" si="2083"/>
        <v>1</v>
      </c>
      <c r="H1884" s="41"/>
      <c r="I1884" s="42"/>
      <c r="J1884" s="42"/>
      <c r="K1884" s="42"/>
      <c r="L1884" s="42"/>
      <c r="M1884" s="43">
        <f t="shared" si="2084"/>
        <v>0</v>
      </c>
      <c r="N1884" s="42"/>
      <c r="O1884" s="53"/>
      <c r="P1884" s="53"/>
      <c r="Q1884" s="53"/>
      <c r="R1884" s="72"/>
      <c r="S1884" s="24">
        <f t="shared" si="2085"/>
        <v>0</v>
      </c>
      <c r="T1884" s="42"/>
      <c r="U1884" s="53"/>
      <c r="V1884" s="53"/>
      <c r="W1884" s="53"/>
      <c r="X1884" s="72"/>
      <c r="Y1884" s="24">
        <f t="shared" si="2086"/>
        <v>0</v>
      </c>
      <c r="Z1884" s="24">
        <f t="shared" si="2087"/>
        <v>1</v>
      </c>
      <c r="AA1884" s="83">
        <v>45601</v>
      </c>
      <c r="AB1884" s="23" t="s">
        <v>126</v>
      </c>
      <c r="AC1884" s="41"/>
      <c r="AD1884" s="42"/>
      <c r="AE1884" s="42"/>
      <c r="AF1884" s="42">
        <v>3</v>
      </c>
      <c r="AG1884" s="42"/>
      <c r="AH1884" s="43">
        <f t="shared" ref="AH1884:AH1885" si="2096">SUM(AC1884:AG1884)</f>
        <v>3</v>
      </c>
      <c r="AI1884" s="41"/>
      <c r="AJ1884" s="42"/>
      <c r="AK1884" s="42"/>
      <c r="AL1884" s="42"/>
      <c r="AM1884" s="42"/>
      <c r="AN1884" s="43">
        <f t="shared" ref="AN1884:AN1885" si="2097">SUM(AI1884:AM1884)</f>
        <v>0</v>
      </c>
      <c r="AO1884" s="42"/>
      <c r="AP1884" s="53"/>
      <c r="AQ1884" s="53"/>
      <c r="AR1884" s="53"/>
      <c r="AS1884" s="72"/>
      <c r="AT1884" s="24">
        <f t="shared" ref="AT1884:AT1885" si="2098">SUM(AO1884:AS1884)</f>
        <v>0</v>
      </c>
      <c r="AU1884" s="42"/>
      <c r="AV1884" s="53"/>
      <c r="AW1884" s="53"/>
      <c r="AX1884" s="53"/>
      <c r="AY1884" s="72"/>
      <c r="AZ1884" s="24">
        <f t="shared" ref="AZ1884:AZ1885" si="2099">SUM(AU1884:AY1884)</f>
        <v>0</v>
      </c>
      <c r="BA1884" s="24">
        <f t="shared" si="2054"/>
        <v>3</v>
      </c>
      <c r="BB1884" s="83">
        <v>45622</v>
      </c>
    </row>
    <row r="1885" spans="1:54" ht="14.25" x14ac:dyDescent="0.15">
      <c r="A1885" s="23" t="s">
        <v>395</v>
      </c>
      <c r="B1885" s="41"/>
      <c r="C1885" s="42"/>
      <c r="D1885" s="42"/>
      <c r="E1885" s="42"/>
      <c r="F1885" s="42"/>
      <c r="G1885" s="43">
        <f t="shared" si="2083"/>
        <v>0</v>
      </c>
      <c r="H1885" s="41"/>
      <c r="I1885" s="42">
        <v>1</v>
      </c>
      <c r="J1885" s="42"/>
      <c r="K1885" s="42"/>
      <c r="L1885" s="42"/>
      <c r="M1885" s="43">
        <f t="shared" si="2084"/>
        <v>1</v>
      </c>
      <c r="N1885" s="42"/>
      <c r="O1885" s="53"/>
      <c r="P1885" s="53"/>
      <c r="Q1885" s="53"/>
      <c r="R1885" s="72"/>
      <c r="S1885" s="24">
        <f t="shared" si="2085"/>
        <v>0</v>
      </c>
      <c r="T1885" s="42"/>
      <c r="U1885" s="53"/>
      <c r="V1885" s="53"/>
      <c r="W1885" s="53"/>
      <c r="X1885" s="72"/>
      <c r="Y1885" s="24">
        <f t="shared" si="2086"/>
        <v>0</v>
      </c>
      <c r="Z1885" s="24">
        <f t="shared" si="2087"/>
        <v>1</v>
      </c>
      <c r="AA1885" s="83">
        <v>45602</v>
      </c>
      <c r="AB1885" s="23" t="s">
        <v>126</v>
      </c>
      <c r="AC1885" s="41"/>
      <c r="AD1885" s="42"/>
      <c r="AE1885" s="42">
        <v>3</v>
      </c>
      <c r="AF1885" s="42"/>
      <c r="AG1885" s="42"/>
      <c r="AH1885" s="43">
        <f t="shared" si="2096"/>
        <v>3</v>
      </c>
      <c r="AI1885" s="41"/>
      <c r="AJ1885" s="42"/>
      <c r="AK1885" s="42">
        <v>3</v>
      </c>
      <c r="AL1885" s="42">
        <v>3</v>
      </c>
      <c r="AM1885" s="42"/>
      <c r="AN1885" s="43">
        <f t="shared" si="2097"/>
        <v>6</v>
      </c>
      <c r="AO1885" s="42"/>
      <c r="AP1885" s="53"/>
      <c r="AQ1885" s="53">
        <v>3</v>
      </c>
      <c r="AR1885" s="53">
        <v>3</v>
      </c>
      <c r="AS1885" s="72"/>
      <c r="AT1885" s="24">
        <f t="shared" si="2098"/>
        <v>6</v>
      </c>
      <c r="AU1885" s="42"/>
      <c r="AV1885" s="53"/>
      <c r="AW1885" s="53"/>
      <c r="AX1885" s="53">
        <v>3</v>
      </c>
      <c r="AY1885" s="72"/>
      <c r="AZ1885" s="24">
        <f t="shared" si="2099"/>
        <v>3</v>
      </c>
      <c r="BA1885" s="24">
        <f t="shared" si="2054"/>
        <v>18</v>
      </c>
      <c r="BB1885" s="83">
        <v>45652</v>
      </c>
    </row>
    <row r="1886" spans="1:54" ht="14.25" x14ac:dyDescent="0.15">
      <c r="A1886" s="23" t="s">
        <v>395</v>
      </c>
      <c r="B1886" s="41"/>
      <c r="C1886" s="42"/>
      <c r="D1886" s="42"/>
      <c r="E1886" s="42"/>
      <c r="F1886" s="42"/>
      <c r="G1886" s="43">
        <f t="shared" si="2083"/>
        <v>0</v>
      </c>
      <c r="H1886" s="41"/>
      <c r="I1886" s="42"/>
      <c r="J1886" s="42">
        <v>1</v>
      </c>
      <c r="K1886" s="42"/>
      <c r="L1886" s="42"/>
      <c r="M1886" s="43">
        <f t="shared" si="2084"/>
        <v>1</v>
      </c>
      <c r="N1886" s="42"/>
      <c r="O1886" s="53"/>
      <c r="P1886" s="53"/>
      <c r="Q1886" s="53"/>
      <c r="R1886" s="72"/>
      <c r="S1886" s="24">
        <f t="shared" si="2085"/>
        <v>0</v>
      </c>
      <c r="T1886" s="42"/>
      <c r="U1886" s="53"/>
      <c r="V1886" s="53">
        <v>1</v>
      </c>
      <c r="W1886" s="53"/>
      <c r="X1886" s="72"/>
      <c r="Y1886" s="24">
        <f t="shared" si="2086"/>
        <v>1</v>
      </c>
      <c r="Z1886" s="24">
        <f t="shared" si="2087"/>
        <v>2</v>
      </c>
      <c r="AA1886" s="83">
        <v>45603</v>
      </c>
      <c r="AB1886" s="23"/>
      <c r="AC1886" s="41"/>
      <c r="AD1886" s="42"/>
      <c r="AE1886" s="42"/>
      <c r="AF1886" s="42"/>
      <c r="AG1886" s="42"/>
      <c r="AH1886" s="43">
        <f t="shared" si="2050"/>
        <v>0</v>
      </c>
      <c r="AI1886" s="41"/>
      <c r="AJ1886" s="42"/>
      <c r="AK1886" s="42"/>
      <c r="AL1886" s="42"/>
      <c r="AM1886" s="42"/>
      <c r="AN1886" s="43">
        <f t="shared" si="2051"/>
        <v>0</v>
      </c>
      <c r="AO1886" s="42"/>
      <c r="AP1886" s="53"/>
      <c r="AQ1886" s="53"/>
      <c r="AR1886" s="53"/>
      <c r="AS1886" s="72"/>
      <c r="AT1886" s="24">
        <f t="shared" si="2052"/>
        <v>0</v>
      </c>
      <c r="AU1886" s="42"/>
      <c r="AV1886" s="53"/>
      <c r="AW1886" s="53"/>
      <c r="AX1886" s="53"/>
      <c r="AY1886" s="72"/>
      <c r="AZ1886" s="24">
        <f t="shared" si="2053"/>
        <v>0</v>
      </c>
      <c r="BA1886" s="24">
        <f t="shared" si="2054"/>
        <v>0</v>
      </c>
      <c r="BB1886" s="128"/>
    </row>
    <row r="1887" spans="1:54" ht="14.25" x14ac:dyDescent="0.15">
      <c r="A1887" s="23" t="s">
        <v>438</v>
      </c>
      <c r="B1887" s="41"/>
      <c r="C1887" s="42"/>
      <c r="D1887" s="42"/>
      <c r="E1887" s="42"/>
      <c r="F1887" s="42">
        <v>1</v>
      </c>
      <c r="G1887" s="43">
        <f t="shared" si="2083"/>
        <v>1</v>
      </c>
      <c r="H1887" s="41"/>
      <c r="I1887" s="42"/>
      <c r="J1887" s="42"/>
      <c r="K1887" s="42"/>
      <c r="L1887" s="42"/>
      <c r="M1887" s="43">
        <f t="shared" si="2084"/>
        <v>0</v>
      </c>
      <c r="N1887" s="42"/>
      <c r="O1887" s="53"/>
      <c r="P1887" s="53"/>
      <c r="Q1887" s="53"/>
      <c r="R1887" s="72"/>
      <c r="S1887" s="24">
        <f t="shared" si="2085"/>
        <v>0</v>
      </c>
      <c r="T1887" s="42"/>
      <c r="U1887" s="53"/>
      <c r="V1887" s="53"/>
      <c r="W1887" s="53"/>
      <c r="X1887" s="72"/>
      <c r="Y1887" s="24">
        <f t="shared" si="2086"/>
        <v>0</v>
      </c>
      <c r="Z1887" s="24">
        <f t="shared" si="2087"/>
        <v>1</v>
      </c>
      <c r="AA1887" s="83">
        <v>45607</v>
      </c>
      <c r="AB1887" s="23"/>
      <c r="AC1887" s="41"/>
      <c r="AD1887" s="42"/>
      <c r="AE1887" s="42"/>
      <c r="AF1887" s="42"/>
      <c r="AG1887" s="42"/>
      <c r="AH1887" s="43">
        <f t="shared" si="2050"/>
        <v>0</v>
      </c>
      <c r="AI1887" s="41"/>
      <c r="AJ1887" s="42"/>
      <c r="AK1887" s="42"/>
      <c r="AL1887" s="42"/>
      <c r="AM1887" s="42"/>
      <c r="AN1887" s="43">
        <f t="shared" si="2051"/>
        <v>0</v>
      </c>
      <c r="AO1887" s="42"/>
      <c r="AP1887" s="53"/>
      <c r="AQ1887" s="53"/>
      <c r="AR1887" s="53"/>
      <c r="AS1887" s="72"/>
      <c r="AT1887" s="24">
        <f t="shared" si="2052"/>
        <v>0</v>
      </c>
      <c r="AU1887" s="42"/>
      <c r="AV1887" s="53"/>
      <c r="AW1887" s="53"/>
      <c r="AX1887" s="53"/>
      <c r="AY1887" s="72"/>
      <c r="AZ1887" s="24">
        <f t="shared" si="2053"/>
        <v>0</v>
      </c>
      <c r="BA1887" s="24">
        <f t="shared" si="2054"/>
        <v>0</v>
      </c>
    </row>
    <row r="1888" spans="1:54" ht="14.25" x14ac:dyDescent="0.15">
      <c r="A1888" s="23" t="s">
        <v>395</v>
      </c>
      <c r="B1888" s="41"/>
      <c r="C1888" s="42"/>
      <c r="D1888" s="42">
        <v>1</v>
      </c>
      <c r="E1888" s="42"/>
      <c r="F1888" s="42"/>
      <c r="G1888" s="43">
        <f t="shared" si="2083"/>
        <v>1</v>
      </c>
      <c r="H1888" s="41"/>
      <c r="I1888" s="42"/>
      <c r="J1888" s="42"/>
      <c r="K1888" s="42"/>
      <c r="L1888" s="42"/>
      <c r="M1888" s="43">
        <f t="shared" si="2084"/>
        <v>0</v>
      </c>
      <c r="N1888" s="42"/>
      <c r="O1888" s="53"/>
      <c r="P1888" s="53"/>
      <c r="Q1888" s="53"/>
      <c r="R1888" s="72"/>
      <c r="S1888" s="24">
        <f t="shared" si="2085"/>
        <v>0</v>
      </c>
      <c r="T1888" s="42"/>
      <c r="U1888" s="53"/>
      <c r="V1888" s="53"/>
      <c r="W1888" s="53"/>
      <c r="X1888" s="72"/>
      <c r="Y1888" s="24">
        <f t="shared" si="2086"/>
        <v>0</v>
      </c>
      <c r="Z1888" s="24">
        <f t="shared" si="2087"/>
        <v>1</v>
      </c>
      <c r="AA1888" s="83">
        <v>45607</v>
      </c>
      <c r="AB1888" s="23"/>
      <c r="AC1888" s="41"/>
      <c r="AD1888" s="42"/>
      <c r="AE1888" s="42"/>
      <c r="AF1888" s="42"/>
      <c r="AG1888" s="42"/>
      <c r="AH1888" s="43">
        <f t="shared" si="2050"/>
        <v>0</v>
      </c>
      <c r="AI1888" s="41"/>
      <c r="AJ1888" s="42"/>
      <c r="AK1888" s="42"/>
      <c r="AL1888" s="42"/>
      <c r="AM1888" s="42"/>
      <c r="AN1888" s="43">
        <f t="shared" si="2051"/>
        <v>0</v>
      </c>
      <c r="AO1888" s="42"/>
      <c r="AP1888" s="53"/>
      <c r="AQ1888" s="53"/>
      <c r="AR1888" s="53"/>
      <c r="AS1888" s="72"/>
      <c r="AT1888" s="24">
        <f t="shared" si="2052"/>
        <v>0</v>
      </c>
      <c r="AU1888" s="42"/>
      <c r="AV1888" s="53"/>
      <c r="AW1888" s="53"/>
      <c r="AX1888" s="53"/>
      <c r="AY1888" s="72"/>
      <c r="AZ1888" s="24">
        <f t="shared" si="2053"/>
        <v>0</v>
      </c>
      <c r="BA1888" s="24">
        <f t="shared" si="2054"/>
        <v>0</v>
      </c>
    </row>
    <row r="1889" spans="1:53" ht="14.25" x14ac:dyDescent="0.15">
      <c r="A1889" s="23" t="s">
        <v>395</v>
      </c>
      <c r="B1889" s="41">
        <v>1</v>
      </c>
      <c r="C1889" s="42"/>
      <c r="D1889" s="42"/>
      <c r="E1889" s="42"/>
      <c r="F1889" s="42"/>
      <c r="G1889" s="43">
        <f t="shared" si="2083"/>
        <v>1</v>
      </c>
      <c r="H1889" s="41"/>
      <c r="I1889" s="42"/>
      <c r="J1889" s="42"/>
      <c r="K1889" s="42"/>
      <c r="L1889" s="42"/>
      <c r="M1889" s="43">
        <f t="shared" si="2084"/>
        <v>0</v>
      </c>
      <c r="N1889" s="42"/>
      <c r="O1889" s="53"/>
      <c r="P1889" s="53"/>
      <c r="Q1889" s="53"/>
      <c r="R1889" s="72"/>
      <c r="S1889" s="24">
        <f t="shared" si="2085"/>
        <v>0</v>
      </c>
      <c r="T1889" s="42"/>
      <c r="U1889" s="53"/>
      <c r="V1889" s="53"/>
      <c r="W1889" s="53"/>
      <c r="X1889" s="72"/>
      <c r="Y1889" s="24">
        <f t="shared" si="2086"/>
        <v>0</v>
      </c>
      <c r="Z1889" s="24">
        <f t="shared" si="2087"/>
        <v>1</v>
      </c>
      <c r="AA1889" s="83">
        <v>45612</v>
      </c>
      <c r="AB1889" s="23"/>
      <c r="AC1889" s="41"/>
      <c r="AD1889" s="42"/>
      <c r="AE1889" s="42"/>
      <c r="AF1889" s="42"/>
      <c r="AG1889" s="42"/>
      <c r="AH1889" s="43">
        <f t="shared" si="2050"/>
        <v>0</v>
      </c>
      <c r="AI1889" s="41"/>
      <c r="AJ1889" s="42"/>
      <c r="AK1889" s="42"/>
      <c r="AL1889" s="42"/>
      <c r="AM1889" s="42"/>
      <c r="AN1889" s="43">
        <f t="shared" si="2051"/>
        <v>0</v>
      </c>
      <c r="AO1889" s="42"/>
      <c r="AP1889" s="53"/>
      <c r="AQ1889" s="53"/>
      <c r="AR1889" s="53"/>
      <c r="AS1889" s="72"/>
      <c r="AT1889" s="24">
        <f t="shared" si="2052"/>
        <v>0</v>
      </c>
      <c r="AU1889" s="42"/>
      <c r="AV1889" s="53"/>
      <c r="AW1889" s="53"/>
      <c r="AX1889" s="53"/>
      <c r="AY1889" s="72"/>
      <c r="AZ1889" s="24">
        <f t="shared" si="2053"/>
        <v>0</v>
      </c>
      <c r="BA1889" s="24">
        <f t="shared" si="2054"/>
        <v>0</v>
      </c>
    </row>
    <row r="1890" spans="1:53" ht="14.25" x14ac:dyDescent="0.15">
      <c r="A1890" s="23" t="s">
        <v>395</v>
      </c>
      <c r="B1890" s="41"/>
      <c r="C1890" s="42"/>
      <c r="D1890" s="42"/>
      <c r="E1890" s="42"/>
      <c r="F1890" s="42"/>
      <c r="G1890" s="43">
        <f t="shared" si="2083"/>
        <v>0</v>
      </c>
      <c r="H1890" s="41"/>
      <c r="I1890" s="42">
        <v>1</v>
      </c>
      <c r="J1890" s="42"/>
      <c r="K1890" s="42"/>
      <c r="L1890" s="42"/>
      <c r="M1890" s="43">
        <f t="shared" si="2084"/>
        <v>1</v>
      </c>
      <c r="N1890" s="42"/>
      <c r="O1890" s="53"/>
      <c r="P1890" s="53"/>
      <c r="Q1890" s="53"/>
      <c r="R1890" s="72"/>
      <c r="S1890" s="24">
        <f t="shared" si="2085"/>
        <v>0</v>
      </c>
      <c r="T1890" s="42"/>
      <c r="U1890" s="53"/>
      <c r="V1890" s="53"/>
      <c r="W1890" s="53"/>
      <c r="X1890" s="72"/>
      <c r="Y1890" s="24">
        <f t="shared" si="2086"/>
        <v>0</v>
      </c>
      <c r="Z1890" s="24">
        <f t="shared" si="2087"/>
        <v>1</v>
      </c>
      <c r="AA1890" s="83">
        <v>45614</v>
      </c>
      <c r="AB1890" s="23"/>
      <c r="AC1890" s="41"/>
      <c r="AD1890" s="42"/>
      <c r="AE1890" s="42"/>
      <c r="AF1890" s="42"/>
      <c r="AG1890" s="42"/>
      <c r="AH1890" s="43">
        <f t="shared" si="2050"/>
        <v>0</v>
      </c>
      <c r="AI1890" s="41"/>
      <c r="AJ1890" s="42"/>
      <c r="AK1890" s="42"/>
      <c r="AL1890" s="42"/>
      <c r="AM1890" s="42"/>
      <c r="AN1890" s="43">
        <f t="shared" si="2051"/>
        <v>0</v>
      </c>
      <c r="AO1890" s="42"/>
      <c r="AP1890" s="53"/>
      <c r="AQ1890" s="53"/>
      <c r="AR1890" s="53"/>
      <c r="AS1890" s="72"/>
      <c r="AT1890" s="24">
        <f t="shared" si="2052"/>
        <v>0</v>
      </c>
      <c r="AU1890" s="42"/>
      <c r="AV1890" s="53"/>
      <c r="AW1890" s="53"/>
      <c r="AX1890" s="53"/>
      <c r="AY1890" s="72"/>
      <c r="AZ1890" s="24">
        <f t="shared" si="2053"/>
        <v>0</v>
      </c>
      <c r="BA1890" s="24">
        <f t="shared" si="2054"/>
        <v>0</v>
      </c>
    </row>
    <row r="1891" spans="1:53" ht="14.25" x14ac:dyDescent="0.15">
      <c r="A1891" s="23" t="s">
        <v>395</v>
      </c>
      <c r="B1891" s="41"/>
      <c r="C1891" s="42"/>
      <c r="D1891" s="42"/>
      <c r="E1891" s="42">
        <v>1</v>
      </c>
      <c r="F1891" s="42"/>
      <c r="G1891" s="43">
        <f t="shared" si="2083"/>
        <v>1</v>
      </c>
      <c r="H1891" s="41"/>
      <c r="I1891" s="42"/>
      <c r="J1891" s="42"/>
      <c r="K1891" s="42"/>
      <c r="L1891" s="42"/>
      <c r="M1891" s="43">
        <f t="shared" si="2084"/>
        <v>0</v>
      </c>
      <c r="N1891" s="42"/>
      <c r="O1891" s="53"/>
      <c r="P1891" s="53"/>
      <c r="Q1891" s="53"/>
      <c r="R1891" s="72"/>
      <c r="S1891" s="24">
        <f t="shared" si="2085"/>
        <v>0</v>
      </c>
      <c r="T1891" s="42"/>
      <c r="U1891" s="53"/>
      <c r="V1891" s="53"/>
      <c r="W1891" s="53"/>
      <c r="X1891" s="72"/>
      <c r="Y1891" s="24">
        <f t="shared" si="2086"/>
        <v>0</v>
      </c>
      <c r="Z1891" s="24">
        <f t="shared" si="2087"/>
        <v>1</v>
      </c>
      <c r="AA1891" s="83">
        <v>45615</v>
      </c>
      <c r="AB1891" s="23"/>
      <c r="AC1891" s="41"/>
      <c r="AD1891" s="42"/>
      <c r="AE1891" s="42"/>
      <c r="AF1891" s="42"/>
      <c r="AG1891" s="42"/>
      <c r="AH1891" s="43">
        <f t="shared" si="2050"/>
        <v>0</v>
      </c>
      <c r="AI1891" s="41"/>
      <c r="AJ1891" s="42"/>
      <c r="AK1891" s="42"/>
      <c r="AL1891" s="42"/>
      <c r="AM1891" s="42"/>
      <c r="AN1891" s="43">
        <f t="shared" si="2051"/>
        <v>0</v>
      </c>
      <c r="AO1891" s="42"/>
      <c r="AP1891" s="53"/>
      <c r="AQ1891" s="53"/>
      <c r="AR1891" s="53"/>
      <c r="AS1891" s="72"/>
      <c r="AT1891" s="24">
        <f t="shared" si="2052"/>
        <v>0</v>
      </c>
      <c r="AU1891" s="42"/>
      <c r="AV1891" s="53"/>
      <c r="AW1891" s="53"/>
      <c r="AX1891" s="53"/>
      <c r="AY1891" s="72"/>
      <c r="AZ1891" s="24">
        <f t="shared" si="2053"/>
        <v>0</v>
      </c>
      <c r="BA1891" s="24">
        <f t="shared" si="2054"/>
        <v>0</v>
      </c>
    </row>
    <row r="1892" spans="1:53" ht="14.25" x14ac:dyDescent="0.15">
      <c r="A1892" s="23" t="s">
        <v>395</v>
      </c>
      <c r="B1892" s="41"/>
      <c r="C1892" s="42"/>
      <c r="D1892" s="42"/>
      <c r="E1892" s="42">
        <v>1</v>
      </c>
      <c r="F1892" s="42"/>
      <c r="G1892" s="43">
        <f t="shared" si="2083"/>
        <v>1</v>
      </c>
      <c r="H1892" s="41"/>
      <c r="I1892" s="42"/>
      <c r="J1892" s="42"/>
      <c r="K1892" s="42"/>
      <c r="L1892" s="42"/>
      <c r="M1892" s="43">
        <f t="shared" si="2084"/>
        <v>0</v>
      </c>
      <c r="N1892" s="42"/>
      <c r="O1892" s="53"/>
      <c r="P1892" s="53"/>
      <c r="Q1892" s="53"/>
      <c r="R1892" s="72"/>
      <c r="S1892" s="24">
        <f t="shared" si="2085"/>
        <v>0</v>
      </c>
      <c r="T1892" s="42"/>
      <c r="U1892" s="53"/>
      <c r="V1892" s="53"/>
      <c r="W1892" s="53"/>
      <c r="X1892" s="72"/>
      <c r="Y1892" s="24">
        <f t="shared" si="2086"/>
        <v>0</v>
      </c>
      <c r="Z1892" s="24">
        <f t="shared" si="2087"/>
        <v>1</v>
      </c>
      <c r="AA1892" s="83">
        <v>45621</v>
      </c>
      <c r="AB1892" s="23"/>
      <c r="AC1892" s="41"/>
      <c r="AD1892" s="42"/>
      <c r="AE1892" s="42"/>
      <c r="AF1892" s="42"/>
      <c r="AG1892" s="42"/>
      <c r="AH1892" s="43">
        <f t="shared" si="2050"/>
        <v>0</v>
      </c>
      <c r="AI1892" s="41"/>
      <c r="AJ1892" s="42"/>
      <c r="AK1892" s="42"/>
      <c r="AL1892" s="42"/>
      <c r="AM1892" s="42"/>
      <c r="AN1892" s="43">
        <f t="shared" si="2051"/>
        <v>0</v>
      </c>
      <c r="AO1892" s="42"/>
      <c r="AP1892" s="53"/>
      <c r="AQ1892" s="53"/>
      <c r="AR1892" s="53"/>
      <c r="AS1892" s="72"/>
      <c r="AT1892" s="24">
        <f t="shared" si="2052"/>
        <v>0</v>
      </c>
      <c r="AU1892" s="42"/>
      <c r="AV1892" s="53"/>
      <c r="AW1892" s="53"/>
      <c r="AX1892" s="53"/>
      <c r="AY1892" s="72"/>
      <c r="AZ1892" s="24">
        <f t="shared" si="2053"/>
        <v>0</v>
      </c>
      <c r="BA1892" s="24">
        <f t="shared" si="2054"/>
        <v>0</v>
      </c>
    </row>
    <row r="1893" spans="1:53" ht="14.25" x14ac:dyDescent="0.15">
      <c r="A1893" s="23" t="s">
        <v>395</v>
      </c>
      <c r="B1893" s="41"/>
      <c r="C1893" s="42"/>
      <c r="D1893" s="42"/>
      <c r="E1893" s="42"/>
      <c r="F1893" s="42"/>
      <c r="G1893" s="43">
        <f t="shared" si="2083"/>
        <v>0</v>
      </c>
      <c r="H1893" s="41"/>
      <c r="I1893" s="42"/>
      <c r="J1893" s="42">
        <v>1</v>
      </c>
      <c r="K1893" s="42"/>
      <c r="L1893" s="42"/>
      <c r="M1893" s="43">
        <f t="shared" si="2084"/>
        <v>1</v>
      </c>
      <c r="N1893" s="42"/>
      <c r="O1893" s="53"/>
      <c r="P1893" s="53"/>
      <c r="Q1893" s="53"/>
      <c r="R1893" s="72"/>
      <c r="S1893" s="24">
        <f t="shared" si="2085"/>
        <v>0</v>
      </c>
      <c r="T1893" s="42"/>
      <c r="U1893" s="53"/>
      <c r="V1893" s="53"/>
      <c r="W1893" s="53"/>
      <c r="X1893" s="72"/>
      <c r="Y1893" s="24">
        <f t="shared" si="2086"/>
        <v>0</v>
      </c>
      <c r="Z1893" s="24">
        <f t="shared" si="2087"/>
        <v>1</v>
      </c>
      <c r="AA1893" s="83">
        <v>45623</v>
      </c>
      <c r="AB1893" s="23"/>
      <c r="AC1893" s="41"/>
      <c r="AD1893" s="42"/>
      <c r="AE1893" s="42"/>
      <c r="AF1893" s="42"/>
      <c r="AG1893" s="42"/>
      <c r="AH1893" s="43">
        <f t="shared" si="2050"/>
        <v>0</v>
      </c>
      <c r="AI1893" s="41"/>
      <c r="AJ1893" s="42"/>
      <c r="AK1893" s="42"/>
      <c r="AL1893" s="42"/>
      <c r="AM1893" s="42"/>
      <c r="AN1893" s="43">
        <f t="shared" si="2051"/>
        <v>0</v>
      </c>
      <c r="AO1893" s="42"/>
      <c r="AP1893" s="53"/>
      <c r="AQ1893" s="53"/>
      <c r="AR1893" s="53"/>
      <c r="AS1893" s="72"/>
      <c r="AT1893" s="24">
        <f t="shared" si="2052"/>
        <v>0</v>
      </c>
      <c r="AU1893" s="42"/>
      <c r="AV1893" s="53"/>
      <c r="AW1893" s="53"/>
      <c r="AX1893" s="53"/>
      <c r="AY1893" s="72"/>
      <c r="AZ1893" s="24">
        <f t="shared" si="2053"/>
        <v>0</v>
      </c>
      <c r="BA1893" s="24">
        <f t="shared" si="2054"/>
        <v>0</v>
      </c>
    </row>
    <row r="1894" spans="1:53" ht="14.25" x14ac:dyDescent="0.15">
      <c r="A1894" s="23" t="s">
        <v>692</v>
      </c>
      <c r="B1894" s="41"/>
      <c r="C1894" s="42"/>
      <c r="D1894" s="42">
        <v>4</v>
      </c>
      <c r="E1894" s="42"/>
      <c r="F1894" s="42"/>
      <c r="G1894" s="43">
        <f t="shared" si="2083"/>
        <v>4</v>
      </c>
      <c r="H1894" s="41"/>
      <c r="I1894" s="42"/>
      <c r="J1894" s="42">
        <v>5</v>
      </c>
      <c r="K1894" s="42">
        <v>5</v>
      </c>
      <c r="L1894" s="42"/>
      <c r="M1894" s="43">
        <f t="shared" si="2084"/>
        <v>10</v>
      </c>
      <c r="N1894" s="42"/>
      <c r="O1894" s="53"/>
      <c r="P1894" s="53">
        <v>4</v>
      </c>
      <c r="Q1894" s="53">
        <v>7</v>
      </c>
      <c r="R1894" s="72"/>
      <c r="S1894" s="24">
        <f t="shared" si="2085"/>
        <v>11</v>
      </c>
      <c r="T1894" s="42"/>
      <c r="U1894" s="53"/>
      <c r="V1894" s="53">
        <v>4</v>
      </c>
      <c r="W1894" s="53">
        <v>5</v>
      </c>
      <c r="X1894" s="72"/>
      <c r="Y1894" s="24">
        <f t="shared" si="2086"/>
        <v>9</v>
      </c>
      <c r="Z1894" s="24">
        <f t="shared" si="2087"/>
        <v>34</v>
      </c>
      <c r="AA1894" s="83">
        <v>45633</v>
      </c>
      <c r="AB1894" s="23"/>
      <c r="AC1894" s="41"/>
      <c r="AD1894" s="42"/>
      <c r="AE1894" s="42"/>
      <c r="AF1894" s="42"/>
      <c r="AG1894" s="42"/>
      <c r="AH1894" s="43">
        <f t="shared" si="2050"/>
        <v>0</v>
      </c>
      <c r="AI1894" s="41"/>
      <c r="AJ1894" s="42"/>
      <c r="AK1894" s="42"/>
      <c r="AL1894" s="42"/>
      <c r="AM1894" s="42"/>
      <c r="AN1894" s="43">
        <f t="shared" si="2051"/>
        <v>0</v>
      </c>
      <c r="AO1894" s="42"/>
      <c r="AP1894" s="53"/>
      <c r="AQ1894" s="53"/>
      <c r="AR1894" s="53"/>
      <c r="AS1894" s="72"/>
      <c r="AT1894" s="24">
        <f t="shared" si="2052"/>
        <v>0</v>
      </c>
      <c r="AU1894" s="42"/>
      <c r="AV1894" s="53"/>
      <c r="AW1894" s="53"/>
      <c r="AX1894" s="53"/>
      <c r="AY1894" s="72"/>
      <c r="AZ1894" s="24">
        <f t="shared" si="2053"/>
        <v>0</v>
      </c>
      <c r="BA1894" s="24">
        <f t="shared" si="2054"/>
        <v>0</v>
      </c>
    </row>
    <row r="1895" spans="1:53" ht="14.25" x14ac:dyDescent="0.15">
      <c r="A1895" s="23" t="s">
        <v>395</v>
      </c>
      <c r="B1895" s="41"/>
      <c r="C1895" s="42"/>
      <c r="D1895" s="42"/>
      <c r="E1895" s="42">
        <v>1</v>
      </c>
      <c r="F1895" s="42"/>
      <c r="G1895" s="43">
        <f t="shared" si="2083"/>
        <v>1</v>
      </c>
      <c r="H1895" s="41"/>
      <c r="I1895" s="42"/>
      <c r="J1895" s="42"/>
      <c r="K1895" s="42"/>
      <c r="L1895" s="42"/>
      <c r="M1895" s="43">
        <f t="shared" si="2084"/>
        <v>0</v>
      </c>
      <c r="N1895" s="42"/>
      <c r="O1895" s="53"/>
      <c r="P1895" s="53"/>
      <c r="Q1895" s="53"/>
      <c r="R1895" s="72"/>
      <c r="S1895" s="24">
        <f t="shared" si="2085"/>
        <v>0</v>
      </c>
      <c r="T1895" s="42"/>
      <c r="U1895" s="53"/>
      <c r="V1895" s="53"/>
      <c r="W1895" s="53"/>
      <c r="X1895" s="72"/>
      <c r="Y1895" s="24">
        <f t="shared" si="2086"/>
        <v>0</v>
      </c>
      <c r="Z1895" s="24">
        <f t="shared" si="2087"/>
        <v>1</v>
      </c>
      <c r="AA1895" s="83">
        <v>45631</v>
      </c>
      <c r="AB1895" s="23"/>
      <c r="AC1895" s="41"/>
      <c r="AD1895" s="42"/>
      <c r="AE1895" s="42"/>
      <c r="AF1895" s="42"/>
      <c r="AG1895" s="42"/>
      <c r="AH1895" s="43">
        <f t="shared" si="2050"/>
        <v>0</v>
      </c>
      <c r="AI1895" s="41"/>
      <c r="AJ1895" s="42"/>
      <c r="AK1895" s="42"/>
      <c r="AL1895" s="42"/>
      <c r="AM1895" s="42"/>
      <c r="AN1895" s="43">
        <f t="shared" si="2051"/>
        <v>0</v>
      </c>
      <c r="AO1895" s="42"/>
      <c r="AP1895" s="53"/>
      <c r="AQ1895" s="53"/>
      <c r="AR1895" s="53"/>
      <c r="AS1895" s="72"/>
      <c r="AT1895" s="24">
        <f t="shared" si="2052"/>
        <v>0</v>
      </c>
      <c r="AU1895" s="42"/>
      <c r="AV1895" s="53"/>
      <c r="AW1895" s="53"/>
      <c r="AX1895" s="53"/>
      <c r="AY1895" s="72"/>
      <c r="AZ1895" s="24">
        <f t="shared" si="2053"/>
        <v>0</v>
      </c>
      <c r="BA1895" s="24">
        <f t="shared" si="2054"/>
        <v>0</v>
      </c>
    </row>
    <row r="1896" spans="1:53" ht="14.25" x14ac:dyDescent="0.15">
      <c r="A1896" s="23" t="s">
        <v>395</v>
      </c>
      <c r="B1896" s="41"/>
      <c r="C1896" s="42"/>
      <c r="D1896" s="42"/>
      <c r="E1896" s="42"/>
      <c r="F1896" s="42"/>
      <c r="G1896" s="43">
        <f t="shared" si="2083"/>
        <v>0</v>
      </c>
      <c r="H1896" s="41"/>
      <c r="I1896" s="42"/>
      <c r="J1896" s="42"/>
      <c r="K1896" s="42"/>
      <c r="L1896" s="42">
        <v>1</v>
      </c>
      <c r="M1896" s="43">
        <f t="shared" si="2084"/>
        <v>1</v>
      </c>
      <c r="N1896" s="42"/>
      <c r="O1896" s="53"/>
      <c r="P1896" s="53"/>
      <c r="Q1896" s="53"/>
      <c r="R1896" s="72"/>
      <c r="S1896" s="24">
        <f t="shared" si="2085"/>
        <v>0</v>
      </c>
      <c r="T1896" s="42"/>
      <c r="U1896" s="53"/>
      <c r="V1896" s="53"/>
      <c r="W1896" s="53"/>
      <c r="X1896" s="72"/>
      <c r="Y1896" s="24">
        <f t="shared" si="2086"/>
        <v>0</v>
      </c>
      <c r="Z1896" s="24">
        <f t="shared" si="2087"/>
        <v>1</v>
      </c>
      <c r="AA1896" s="83">
        <v>45632</v>
      </c>
      <c r="AB1896" s="23"/>
      <c r="AC1896" s="41"/>
      <c r="AD1896" s="42"/>
      <c r="AE1896" s="42"/>
      <c r="AF1896" s="42"/>
      <c r="AG1896" s="42"/>
      <c r="AH1896" s="43">
        <f t="shared" si="2050"/>
        <v>0</v>
      </c>
      <c r="AI1896" s="41"/>
      <c r="AJ1896" s="42"/>
      <c r="AK1896" s="42"/>
      <c r="AL1896" s="42"/>
      <c r="AM1896" s="42"/>
      <c r="AN1896" s="43">
        <f t="shared" si="2051"/>
        <v>0</v>
      </c>
      <c r="AO1896" s="42"/>
      <c r="AP1896" s="53"/>
      <c r="AQ1896" s="53"/>
      <c r="AR1896" s="53"/>
      <c r="AS1896" s="72"/>
      <c r="AT1896" s="24">
        <f t="shared" si="2052"/>
        <v>0</v>
      </c>
      <c r="AU1896" s="42"/>
      <c r="AV1896" s="53"/>
      <c r="AW1896" s="53"/>
      <c r="AX1896" s="53"/>
      <c r="AY1896" s="72"/>
      <c r="AZ1896" s="24">
        <f t="shared" si="2053"/>
        <v>0</v>
      </c>
      <c r="BA1896" s="24">
        <f t="shared" si="2054"/>
        <v>0</v>
      </c>
    </row>
    <row r="1897" spans="1:53" ht="14.25" x14ac:dyDescent="0.15">
      <c r="A1897" s="23" t="s">
        <v>395</v>
      </c>
      <c r="B1897" s="41"/>
      <c r="C1897" s="42"/>
      <c r="D1897" s="42"/>
      <c r="E1897" s="42"/>
      <c r="F1897" s="42"/>
      <c r="G1897" s="43">
        <f t="shared" si="2083"/>
        <v>0</v>
      </c>
      <c r="H1897" s="41"/>
      <c r="I1897" s="42"/>
      <c r="J1897" s="42"/>
      <c r="K1897" s="42"/>
      <c r="L1897" s="42"/>
      <c r="M1897" s="43">
        <f t="shared" si="2084"/>
        <v>0</v>
      </c>
      <c r="N1897" s="42"/>
      <c r="O1897" s="53"/>
      <c r="P1897" s="53"/>
      <c r="Q1897" s="53">
        <v>1</v>
      </c>
      <c r="R1897" s="72"/>
      <c r="S1897" s="24">
        <f t="shared" si="2085"/>
        <v>1</v>
      </c>
      <c r="T1897" s="42"/>
      <c r="U1897" s="53"/>
      <c r="V1897" s="53"/>
      <c r="W1897" s="53"/>
      <c r="X1897" s="72"/>
      <c r="Y1897" s="24">
        <f t="shared" si="2086"/>
        <v>0</v>
      </c>
      <c r="Z1897" s="24">
        <f t="shared" si="2087"/>
        <v>1</v>
      </c>
      <c r="AA1897" s="83">
        <v>45642</v>
      </c>
      <c r="AB1897" s="23"/>
      <c r="AC1897" s="41"/>
      <c r="AD1897" s="42"/>
      <c r="AE1897" s="42"/>
      <c r="AF1897" s="42"/>
      <c r="AG1897" s="42"/>
      <c r="AH1897" s="43">
        <f t="shared" si="2050"/>
        <v>0</v>
      </c>
      <c r="AI1897" s="41"/>
      <c r="AJ1897" s="42"/>
      <c r="AK1897" s="42"/>
      <c r="AL1897" s="42"/>
      <c r="AM1897" s="42"/>
      <c r="AN1897" s="43">
        <f t="shared" si="2051"/>
        <v>0</v>
      </c>
      <c r="AO1897" s="42"/>
      <c r="AP1897" s="53"/>
      <c r="AQ1897" s="53"/>
      <c r="AR1897" s="53"/>
      <c r="AS1897" s="72"/>
      <c r="AT1897" s="24">
        <f t="shared" si="2052"/>
        <v>0</v>
      </c>
      <c r="AU1897" s="42"/>
      <c r="AV1897" s="53"/>
      <c r="AW1897" s="53"/>
      <c r="AX1897" s="53"/>
      <c r="AY1897" s="72"/>
      <c r="AZ1897" s="24">
        <f t="shared" si="2053"/>
        <v>0</v>
      </c>
      <c r="BA1897" s="24">
        <f t="shared" si="2054"/>
        <v>0</v>
      </c>
    </row>
    <row r="1898" spans="1:53" ht="14.25" x14ac:dyDescent="0.15">
      <c r="A1898" s="23" t="s">
        <v>395</v>
      </c>
      <c r="B1898" s="41"/>
      <c r="C1898" s="42"/>
      <c r="D1898" s="42">
        <v>1</v>
      </c>
      <c r="E1898" s="42"/>
      <c r="F1898" s="42"/>
      <c r="G1898" s="43">
        <f t="shared" si="2083"/>
        <v>1</v>
      </c>
      <c r="H1898" s="41"/>
      <c r="I1898" s="42"/>
      <c r="J1898" s="42"/>
      <c r="K1898" s="42"/>
      <c r="L1898" s="42"/>
      <c r="M1898" s="43">
        <f t="shared" si="2084"/>
        <v>0</v>
      </c>
      <c r="N1898" s="42"/>
      <c r="O1898" s="53"/>
      <c r="P1898" s="53"/>
      <c r="Q1898" s="53"/>
      <c r="R1898" s="72"/>
      <c r="S1898" s="24">
        <f t="shared" si="2085"/>
        <v>0</v>
      </c>
      <c r="T1898" s="42"/>
      <c r="U1898" s="53"/>
      <c r="V1898" s="53"/>
      <c r="W1898" s="53"/>
      <c r="X1898" s="72"/>
      <c r="Y1898" s="24">
        <f t="shared" si="2086"/>
        <v>0</v>
      </c>
      <c r="Z1898" s="24">
        <f t="shared" si="2087"/>
        <v>1</v>
      </c>
      <c r="AA1898" s="83">
        <v>45647</v>
      </c>
      <c r="AB1898" s="23"/>
      <c r="AC1898" s="41"/>
      <c r="AD1898" s="42"/>
      <c r="AE1898" s="42"/>
      <c r="AF1898" s="42"/>
      <c r="AG1898" s="42"/>
      <c r="AH1898" s="43">
        <f t="shared" si="2050"/>
        <v>0</v>
      </c>
      <c r="AI1898" s="41"/>
      <c r="AJ1898" s="42"/>
      <c r="AK1898" s="42"/>
      <c r="AL1898" s="42"/>
      <c r="AM1898" s="42"/>
      <c r="AN1898" s="43">
        <f t="shared" si="2051"/>
        <v>0</v>
      </c>
      <c r="AO1898" s="42"/>
      <c r="AP1898" s="53"/>
      <c r="AQ1898" s="53"/>
      <c r="AR1898" s="53"/>
      <c r="AS1898" s="72"/>
      <c r="AT1898" s="24">
        <f t="shared" si="2052"/>
        <v>0</v>
      </c>
      <c r="AU1898" s="42"/>
      <c r="AV1898" s="53"/>
      <c r="AW1898" s="53"/>
      <c r="AX1898" s="53"/>
      <c r="AY1898" s="72"/>
      <c r="AZ1898" s="24">
        <f t="shared" si="2053"/>
        <v>0</v>
      </c>
      <c r="BA1898" s="24">
        <f t="shared" si="2054"/>
        <v>0</v>
      </c>
    </row>
    <row r="1899" spans="1:53" ht="14.25" x14ac:dyDescent="0.15">
      <c r="A1899" s="23" t="s">
        <v>395</v>
      </c>
      <c r="B1899" s="41"/>
      <c r="C1899" s="42"/>
      <c r="D1899" s="42"/>
      <c r="E1899" s="42"/>
      <c r="F1899" s="42"/>
      <c r="G1899" s="43">
        <f t="shared" si="2083"/>
        <v>0</v>
      </c>
      <c r="H1899" s="41">
        <v>1</v>
      </c>
      <c r="I1899" s="42">
        <v>1</v>
      </c>
      <c r="J1899" s="42"/>
      <c r="K1899" s="42"/>
      <c r="L1899" s="42"/>
      <c r="M1899" s="43">
        <f t="shared" si="2084"/>
        <v>2</v>
      </c>
      <c r="N1899" s="42"/>
      <c r="O1899" s="53"/>
      <c r="P1899" s="53"/>
      <c r="Q1899" s="53"/>
      <c r="R1899" s="72"/>
      <c r="S1899" s="24">
        <f t="shared" si="2085"/>
        <v>0</v>
      </c>
      <c r="T1899" s="42"/>
      <c r="U1899" s="53"/>
      <c r="V1899" s="53"/>
      <c r="W1899" s="53"/>
      <c r="X1899" s="72"/>
      <c r="Y1899" s="24">
        <f t="shared" si="2086"/>
        <v>0</v>
      </c>
      <c r="Z1899" s="24">
        <f t="shared" si="2087"/>
        <v>2</v>
      </c>
      <c r="AA1899" s="83">
        <v>45649</v>
      </c>
      <c r="AB1899" s="23"/>
      <c r="AC1899" s="41"/>
      <c r="AD1899" s="42"/>
      <c r="AE1899" s="42"/>
      <c r="AF1899" s="42"/>
      <c r="AG1899" s="42"/>
      <c r="AH1899" s="43">
        <f t="shared" si="2050"/>
        <v>0</v>
      </c>
      <c r="AI1899" s="41"/>
      <c r="AJ1899" s="42"/>
      <c r="AK1899" s="42"/>
      <c r="AL1899" s="42"/>
      <c r="AM1899" s="42"/>
      <c r="AN1899" s="43">
        <f t="shared" si="2051"/>
        <v>0</v>
      </c>
      <c r="AO1899" s="42"/>
      <c r="AP1899" s="53"/>
      <c r="AQ1899" s="53"/>
      <c r="AR1899" s="53"/>
      <c r="AS1899" s="72"/>
      <c r="AT1899" s="24">
        <f t="shared" si="2052"/>
        <v>0</v>
      </c>
      <c r="AU1899" s="42"/>
      <c r="AV1899" s="53"/>
      <c r="AW1899" s="53"/>
      <c r="AX1899" s="53"/>
      <c r="AY1899" s="72"/>
      <c r="AZ1899" s="24">
        <f t="shared" si="2053"/>
        <v>0</v>
      </c>
      <c r="BA1899" s="24">
        <f t="shared" si="2054"/>
        <v>0</v>
      </c>
    </row>
    <row r="1900" spans="1:53" ht="14.25" x14ac:dyDescent="0.15">
      <c r="A1900" s="23" t="s">
        <v>696</v>
      </c>
      <c r="B1900" s="41"/>
      <c r="C1900" s="42"/>
      <c r="D1900" s="42">
        <v>-3</v>
      </c>
      <c r="E1900" s="42"/>
      <c r="F1900" s="42"/>
      <c r="G1900" s="43">
        <f t="shared" si="2083"/>
        <v>-3</v>
      </c>
      <c r="H1900" s="41"/>
      <c r="I1900" s="42"/>
      <c r="J1900" s="42">
        <v>-3</v>
      </c>
      <c r="K1900" s="42">
        <v>-3</v>
      </c>
      <c r="L1900" s="42"/>
      <c r="M1900" s="43">
        <f t="shared" si="2084"/>
        <v>-6</v>
      </c>
      <c r="N1900" s="42"/>
      <c r="O1900" s="53"/>
      <c r="P1900" s="53">
        <v>-3</v>
      </c>
      <c r="Q1900" s="53">
        <v>-3</v>
      </c>
      <c r="R1900" s="72"/>
      <c r="S1900" s="24">
        <f t="shared" si="2085"/>
        <v>-6</v>
      </c>
      <c r="T1900" s="42"/>
      <c r="U1900" s="53"/>
      <c r="V1900" s="53"/>
      <c r="W1900" s="53">
        <v>-3</v>
      </c>
      <c r="X1900" s="72"/>
      <c r="Y1900" s="24">
        <f t="shared" si="2086"/>
        <v>-3</v>
      </c>
      <c r="Z1900" s="24">
        <f t="shared" si="2087"/>
        <v>-18</v>
      </c>
      <c r="AA1900" s="83">
        <v>45652</v>
      </c>
      <c r="AB1900" s="23"/>
      <c r="AC1900" s="41"/>
      <c r="AD1900" s="42"/>
      <c r="AE1900" s="42"/>
      <c r="AF1900" s="42"/>
      <c r="AG1900" s="42"/>
      <c r="AH1900" s="43">
        <f t="shared" si="2050"/>
        <v>0</v>
      </c>
      <c r="AI1900" s="41"/>
      <c r="AJ1900" s="42"/>
      <c r="AK1900" s="42"/>
      <c r="AL1900" s="42"/>
      <c r="AM1900" s="42"/>
      <c r="AN1900" s="43">
        <f t="shared" si="2051"/>
        <v>0</v>
      </c>
      <c r="AO1900" s="42"/>
      <c r="AP1900" s="53"/>
      <c r="AQ1900" s="53"/>
      <c r="AR1900" s="53"/>
      <c r="AS1900" s="72"/>
      <c r="AT1900" s="24">
        <f t="shared" si="2052"/>
        <v>0</v>
      </c>
      <c r="AU1900" s="42"/>
      <c r="AV1900" s="53"/>
      <c r="AW1900" s="53"/>
      <c r="AX1900" s="53"/>
      <c r="AY1900" s="72"/>
      <c r="AZ1900" s="24">
        <f t="shared" si="2053"/>
        <v>0</v>
      </c>
      <c r="BA1900" s="24">
        <f t="shared" si="2054"/>
        <v>0</v>
      </c>
    </row>
    <row r="1901" spans="1:53" ht="14.25" x14ac:dyDescent="0.15">
      <c r="A1901" s="23" t="s">
        <v>395</v>
      </c>
      <c r="B1901" s="41"/>
      <c r="C1901" s="42">
        <v>1</v>
      </c>
      <c r="D1901" s="42"/>
      <c r="E1901" s="42"/>
      <c r="F1901" s="42"/>
      <c r="G1901" s="43">
        <f t="shared" si="2083"/>
        <v>1</v>
      </c>
      <c r="H1901" s="41"/>
      <c r="I1901" s="42"/>
      <c r="J1901" s="42"/>
      <c r="K1901" s="42"/>
      <c r="L1901" s="42">
        <v>1</v>
      </c>
      <c r="M1901" s="43">
        <f t="shared" si="2084"/>
        <v>1</v>
      </c>
      <c r="N1901" s="42">
        <v>1</v>
      </c>
      <c r="O1901" s="53"/>
      <c r="P1901" s="53">
        <v>1</v>
      </c>
      <c r="Q1901" s="53"/>
      <c r="R1901" s="72"/>
      <c r="S1901" s="24">
        <f t="shared" si="2085"/>
        <v>2</v>
      </c>
      <c r="T1901" s="42"/>
      <c r="U1901" s="53"/>
      <c r="V1901" s="53"/>
      <c r="W1901" s="53"/>
      <c r="X1901" s="72"/>
      <c r="Y1901" s="24">
        <f t="shared" si="2086"/>
        <v>0</v>
      </c>
      <c r="Z1901" s="24">
        <f t="shared" si="2087"/>
        <v>4</v>
      </c>
      <c r="AA1901" s="83">
        <v>45663</v>
      </c>
      <c r="AB1901" s="23"/>
      <c r="AC1901" s="41"/>
      <c r="AD1901" s="42"/>
      <c r="AE1901" s="42"/>
      <c r="AF1901" s="42"/>
      <c r="AG1901" s="42"/>
      <c r="AH1901" s="43">
        <f t="shared" si="2050"/>
        <v>0</v>
      </c>
      <c r="AI1901" s="41"/>
      <c r="AJ1901" s="42"/>
      <c r="AK1901" s="42"/>
      <c r="AL1901" s="42"/>
      <c r="AM1901" s="42"/>
      <c r="AN1901" s="43">
        <f t="shared" si="2051"/>
        <v>0</v>
      </c>
      <c r="AO1901" s="42"/>
      <c r="AP1901" s="53"/>
      <c r="AQ1901" s="53"/>
      <c r="AR1901" s="53"/>
      <c r="AS1901" s="72"/>
      <c r="AT1901" s="24">
        <f t="shared" si="2052"/>
        <v>0</v>
      </c>
      <c r="AU1901" s="42"/>
      <c r="AV1901" s="53"/>
      <c r="AW1901" s="53"/>
      <c r="AX1901" s="53"/>
      <c r="AY1901" s="72"/>
      <c r="AZ1901" s="24">
        <f t="shared" si="2053"/>
        <v>0</v>
      </c>
      <c r="BA1901" s="24">
        <f t="shared" si="2054"/>
        <v>0</v>
      </c>
    </row>
    <row r="1902" spans="1:53" ht="14.25" x14ac:dyDescent="0.15">
      <c r="A1902" s="23" t="s">
        <v>395</v>
      </c>
      <c r="B1902" s="41"/>
      <c r="C1902" s="42"/>
      <c r="D1902" s="42"/>
      <c r="E1902" s="42"/>
      <c r="F1902" s="42"/>
      <c r="G1902" s="43">
        <f t="shared" si="2063"/>
        <v>0</v>
      </c>
      <c r="H1902" s="41"/>
      <c r="I1902" s="42"/>
      <c r="J1902" s="42"/>
      <c r="K1902" s="42">
        <v>1</v>
      </c>
      <c r="L1902" s="42"/>
      <c r="M1902" s="43">
        <f t="shared" si="2064"/>
        <v>1</v>
      </c>
      <c r="N1902" s="42"/>
      <c r="O1902" s="53"/>
      <c r="P1902" s="53"/>
      <c r="Q1902" s="53"/>
      <c r="R1902" s="72">
        <v>1</v>
      </c>
      <c r="S1902" s="24">
        <f t="shared" si="2065"/>
        <v>1</v>
      </c>
      <c r="T1902" s="42"/>
      <c r="U1902" s="53">
        <v>1</v>
      </c>
      <c r="V1902" s="53"/>
      <c r="W1902" s="53">
        <v>1</v>
      </c>
      <c r="X1902" s="72"/>
      <c r="Y1902" s="24">
        <f t="shared" si="2066"/>
        <v>2</v>
      </c>
      <c r="Z1902" s="24">
        <f t="shared" si="2029"/>
        <v>4</v>
      </c>
      <c r="AA1902" s="83">
        <v>45671</v>
      </c>
      <c r="AB1902" s="23"/>
      <c r="AC1902" s="41"/>
      <c r="AD1902" s="42"/>
      <c r="AE1902" s="42"/>
      <c r="AF1902" s="42"/>
      <c r="AG1902" s="42"/>
      <c r="AH1902" s="43">
        <f t="shared" si="2050"/>
        <v>0</v>
      </c>
      <c r="AI1902" s="41"/>
      <c r="AJ1902" s="42"/>
      <c r="AK1902" s="42"/>
      <c r="AL1902" s="42"/>
      <c r="AM1902" s="42"/>
      <c r="AN1902" s="43">
        <f t="shared" si="2051"/>
        <v>0</v>
      </c>
      <c r="AO1902" s="42"/>
      <c r="AP1902" s="53"/>
      <c r="AQ1902" s="53"/>
      <c r="AR1902" s="53"/>
      <c r="AS1902" s="72"/>
      <c r="AT1902" s="24">
        <f t="shared" si="2052"/>
        <v>0</v>
      </c>
      <c r="AU1902" s="42"/>
      <c r="AV1902" s="53"/>
      <c r="AW1902" s="53"/>
      <c r="AX1902" s="53"/>
      <c r="AY1902" s="72"/>
      <c r="AZ1902" s="24">
        <f t="shared" si="2053"/>
        <v>0</v>
      </c>
      <c r="BA1902" s="24">
        <f t="shared" si="2054"/>
        <v>0</v>
      </c>
    </row>
    <row r="1903" spans="1:53" ht="14.25" x14ac:dyDescent="0.15">
      <c r="A1903" s="23" t="s">
        <v>395</v>
      </c>
      <c r="B1903" s="41"/>
      <c r="C1903" s="42"/>
      <c r="D1903" s="42"/>
      <c r="E1903" s="42"/>
      <c r="F1903" s="42"/>
      <c r="G1903" s="43">
        <f t="shared" si="2063"/>
        <v>0</v>
      </c>
      <c r="H1903" s="41"/>
      <c r="I1903" s="42">
        <v>1</v>
      </c>
      <c r="J1903" s="42"/>
      <c r="K1903" s="42"/>
      <c r="L1903" s="42"/>
      <c r="M1903" s="43">
        <f t="shared" si="2064"/>
        <v>1</v>
      </c>
      <c r="N1903" s="42"/>
      <c r="O1903" s="53"/>
      <c r="P1903" s="53"/>
      <c r="Q1903" s="53"/>
      <c r="R1903" s="72"/>
      <c r="S1903" s="24">
        <f t="shared" si="2065"/>
        <v>0</v>
      </c>
      <c r="T1903" s="42"/>
      <c r="U1903" s="53"/>
      <c r="V1903" s="53"/>
      <c r="W1903" s="53"/>
      <c r="X1903" s="72"/>
      <c r="Y1903" s="24">
        <f t="shared" si="2066"/>
        <v>0</v>
      </c>
      <c r="Z1903" s="24">
        <f t="shared" si="2029"/>
        <v>1</v>
      </c>
      <c r="AA1903" s="83">
        <v>45677</v>
      </c>
      <c r="AB1903" s="23"/>
      <c r="AC1903" s="41"/>
      <c r="AD1903" s="42"/>
      <c r="AE1903" s="42"/>
      <c r="AF1903" s="42"/>
      <c r="AG1903" s="42"/>
      <c r="AH1903" s="43">
        <f t="shared" ref="AH1903:AH1905" si="2100">SUM(AC1903:AG1903)</f>
        <v>0</v>
      </c>
      <c r="AI1903" s="41"/>
      <c r="AJ1903" s="42"/>
      <c r="AK1903" s="42"/>
      <c r="AL1903" s="42"/>
      <c r="AM1903" s="42"/>
      <c r="AN1903" s="43">
        <f t="shared" ref="AN1903:AN1905" si="2101">SUM(AI1903:AM1903)</f>
        <v>0</v>
      </c>
      <c r="AO1903" s="42"/>
      <c r="AP1903" s="53"/>
      <c r="AQ1903" s="53"/>
      <c r="AR1903" s="53"/>
      <c r="AS1903" s="72"/>
      <c r="AT1903" s="24">
        <f t="shared" ref="AT1903:AT1905" si="2102">SUM(AO1903:AS1903)</f>
        <v>0</v>
      </c>
      <c r="AU1903" s="42"/>
      <c r="AV1903" s="53"/>
      <c r="AW1903" s="53"/>
      <c r="AX1903" s="53"/>
      <c r="AY1903" s="72"/>
      <c r="AZ1903" s="24">
        <f t="shared" ref="AZ1903:AZ1905" si="2103">SUM(AU1903:AY1903)</f>
        <v>0</v>
      </c>
      <c r="BA1903" s="24">
        <f t="shared" ref="BA1903:BA1905" si="2104">AH1903+AN1903+AT1903+AZ1903</f>
        <v>0</v>
      </c>
    </row>
    <row r="1904" spans="1:53" ht="14.25" x14ac:dyDescent="0.15">
      <c r="A1904" s="23" t="s">
        <v>395</v>
      </c>
      <c r="B1904" s="41"/>
      <c r="C1904" s="42"/>
      <c r="D1904" s="42"/>
      <c r="E1904" s="42">
        <v>1</v>
      </c>
      <c r="F1904" s="42"/>
      <c r="G1904" s="43">
        <f t="shared" si="2063"/>
        <v>1</v>
      </c>
      <c r="H1904" s="41"/>
      <c r="I1904" s="42"/>
      <c r="J1904" s="42"/>
      <c r="K1904" s="42"/>
      <c r="L1904" s="42">
        <v>1</v>
      </c>
      <c r="M1904" s="43">
        <f t="shared" si="2064"/>
        <v>1</v>
      </c>
      <c r="N1904" s="42"/>
      <c r="O1904" s="53"/>
      <c r="P1904" s="53"/>
      <c r="Q1904" s="53"/>
      <c r="R1904" s="72"/>
      <c r="S1904" s="24">
        <f t="shared" si="2065"/>
        <v>0</v>
      </c>
      <c r="T1904" s="42"/>
      <c r="U1904" s="53"/>
      <c r="V1904" s="53"/>
      <c r="W1904" s="53"/>
      <c r="X1904" s="72">
        <v>1</v>
      </c>
      <c r="Y1904" s="24">
        <f t="shared" si="2066"/>
        <v>1</v>
      </c>
      <c r="Z1904" s="24">
        <f t="shared" si="2029"/>
        <v>3</v>
      </c>
      <c r="AA1904" s="83">
        <v>45684</v>
      </c>
      <c r="AB1904" s="23"/>
      <c r="AC1904" s="41"/>
      <c r="AD1904" s="42"/>
      <c r="AE1904" s="42"/>
      <c r="AF1904" s="42"/>
      <c r="AG1904" s="42"/>
      <c r="AH1904" s="43">
        <f t="shared" si="2100"/>
        <v>0</v>
      </c>
      <c r="AI1904" s="41"/>
      <c r="AJ1904" s="42"/>
      <c r="AK1904" s="42"/>
      <c r="AL1904" s="42"/>
      <c r="AM1904" s="42"/>
      <c r="AN1904" s="43">
        <f t="shared" si="2101"/>
        <v>0</v>
      </c>
      <c r="AO1904" s="42"/>
      <c r="AP1904" s="53"/>
      <c r="AQ1904" s="53"/>
      <c r="AR1904" s="53"/>
      <c r="AS1904" s="72"/>
      <c r="AT1904" s="24">
        <f t="shared" si="2102"/>
        <v>0</v>
      </c>
      <c r="AU1904" s="42"/>
      <c r="AV1904" s="53"/>
      <c r="AW1904" s="53"/>
      <c r="AX1904" s="53"/>
      <c r="AY1904" s="72"/>
      <c r="AZ1904" s="24">
        <f t="shared" si="2103"/>
        <v>0</v>
      </c>
      <c r="BA1904" s="24">
        <f t="shared" si="2104"/>
        <v>0</v>
      </c>
    </row>
    <row r="1905" spans="1:55" ht="14.25" x14ac:dyDescent="0.15">
      <c r="A1905" s="23" t="s">
        <v>395</v>
      </c>
      <c r="B1905" s="41"/>
      <c r="C1905" s="42"/>
      <c r="D1905" s="42"/>
      <c r="E1905" s="42"/>
      <c r="F1905" s="42"/>
      <c r="G1905" s="43">
        <f t="shared" si="2063"/>
        <v>0</v>
      </c>
      <c r="H1905" s="41"/>
      <c r="I1905" s="42">
        <v>1</v>
      </c>
      <c r="J1905" s="42"/>
      <c r="K1905" s="42"/>
      <c r="L1905" s="42"/>
      <c r="M1905" s="43">
        <f t="shared" si="2064"/>
        <v>1</v>
      </c>
      <c r="N1905" s="42"/>
      <c r="O1905" s="53"/>
      <c r="P1905" s="53"/>
      <c r="Q1905" s="53"/>
      <c r="R1905" s="72"/>
      <c r="S1905" s="24">
        <f t="shared" si="2065"/>
        <v>0</v>
      </c>
      <c r="T1905" s="42"/>
      <c r="U1905" s="53"/>
      <c r="V1905" s="53"/>
      <c r="W1905" s="53"/>
      <c r="X1905" s="72"/>
      <c r="Y1905" s="24">
        <f t="shared" si="2066"/>
        <v>0</v>
      </c>
      <c r="Z1905" s="24">
        <f t="shared" si="2029"/>
        <v>1</v>
      </c>
      <c r="AA1905" s="83">
        <v>45687</v>
      </c>
      <c r="AB1905" s="23"/>
      <c r="AC1905" s="41"/>
      <c r="AD1905" s="42"/>
      <c r="AE1905" s="42"/>
      <c r="AF1905" s="42"/>
      <c r="AG1905" s="42"/>
      <c r="AH1905" s="43">
        <f t="shared" si="2100"/>
        <v>0</v>
      </c>
      <c r="AI1905" s="41"/>
      <c r="AJ1905" s="42"/>
      <c r="AK1905" s="42"/>
      <c r="AL1905" s="42"/>
      <c r="AM1905" s="42"/>
      <c r="AN1905" s="43">
        <f t="shared" si="2101"/>
        <v>0</v>
      </c>
      <c r="AO1905" s="42"/>
      <c r="AP1905" s="53"/>
      <c r="AQ1905" s="53"/>
      <c r="AR1905" s="53"/>
      <c r="AS1905" s="72"/>
      <c r="AT1905" s="24">
        <f t="shared" si="2102"/>
        <v>0</v>
      </c>
      <c r="AU1905" s="42"/>
      <c r="AV1905" s="53"/>
      <c r="AW1905" s="53"/>
      <c r="AX1905" s="53"/>
      <c r="AY1905" s="72"/>
      <c r="AZ1905" s="24">
        <f t="shared" si="2103"/>
        <v>0</v>
      </c>
      <c r="BA1905" s="24">
        <f t="shared" si="2104"/>
        <v>0</v>
      </c>
    </row>
    <row r="1906" spans="1:55" ht="14.25" x14ac:dyDescent="0.15">
      <c r="A1906" s="23" t="s">
        <v>395</v>
      </c>
      <c r="B1906" s="41"/>
      <c r="C1906" s="42"/>
      <c r="D1906" s="42"/>
      <c r="E1906" s="42"/>
      <c r="F1906" s="42">
        <v>1</v>
      </c>
      <c r="G1906" s="43">
        <f t="shared" ref="G1906:G1907" si="2105">SUM(B1906:F1906)</f>
        <v>1</v>
      </c>
      <c r="H1906" s="41"/>
      <c r="I1906" s="42"/>
      <c r="J1906" s="42"/>
      <c r="K1906" s="42"/>
      <c r="L1906" s="42"/>
      <c r="M1906" s="43">
        <f t="shared" ref="M1906:M1907" si="2106">SUM(H1906:L1906)</f>
        <v>0</v>
      </c>
      <c r="N1906" s="42"/>
      <c r="O1906" s="53"/>
      <c r="P1906" s="53"/>
      <c r="Q1906" s="53"/>
      <c r="R1906" s="72"/>
      <c r="S1906" s="24">
        <f t="shared" ref="S1906:S1907" si="2107">SUM(N1906:R1906)</f>
        <v>0</v>
      </c>
      <c r="T1906" s="42"/>
      <c r="U1906" s="53"/>
      <c r="V1906" s="53"/>
      <c r="W1906" s="53"/>
      <c r="X1906" s="72"/>
      <c r="Y1906" s="24">
        <f t="shared" ref="Y1906:Y1907" si="2108">SUM(T1906:X1906)</f>
        <v>0</v>
      </c>
      <c r="Z1906" s="24">
        <f t="shared" ref="Z1906:Z1907" si="2109">G1906+M1906+S1906+Y1906</f>
        <v>1</v>
      </c>
      <c r="AA1906" s="83">
        <v>45693</v>
      </c>
      <c r="AB1906" s="23"/>
      <c r="AC1906" s="41"/>
      <c r="AD1906" s="42"/>
      <c r="AE1906" s="42"/>
      <c r="AF1906" s="42"/>
      <c r="AG1906" s="42"/>
      <c r="AH1906" s="43">
        <f t="shared" si="2050"/>
        <v>0</v>
      </c>
      <c r="AI1906" s="41"/>
      <c r="AJ1906" s="42"/>
      <c r="AK1906" s="42"/>
      <c r="AL1906" s="42"/>
      <c r="AM1906" s="42"/>
      <c r="AN1906" s="43">
        <f t="shared" si="2051"/>
        <v>0</v>
      </c>
      <c r="AO1906" s="42"/>
      <c r="AP1906" s="53"/>
      <c r="AQ1906" s="53"/>
      <c r="AR1906" s="53"/>
      <c r="AS1906" s="72"/>
      <c r="AT1906" s="24">
        <f t="shared" si="2052"/>
        <v>0</v>
      </c>
      <c r="AU1906" s="42"/>
      <c r="AV1906" s="53"/>
      <c r="AW1906" s="53"/>
      <c r="AX1906" s="53"/>
      <c r="AY1906" s="72"/>
      <c r="AZ1906" s="24">
        <f t="shared" si="2053"/>
        <v>0</v>
      </c>
      <c r="BA1906" s="24">
        <f t="shared" si="2054"/>
        <v>0</v>
      </c>
      <c r="BB1906" s="83"/>
    </row>
    <row r="1907" spans="1:55" ht="15" thickBot="1" x14ac:dyDescent="0.2">
      <c r="A1907" s="23" t="s">
        <v>395</v>
      </c>
      <c r="B1907" s="41">
        <v>1</v>
      </c>
      <c r="C1907" s="42"/>
      <c r="D1907" s="42"/>
      <c r="E1907" s="42"/>
      <c r="F1907" s="42"/>
      <c r="G1907" s="43">
        <f t="shared" si="2105"/>
        <v>1</v>
      </c>
      <c r="H1907" s="41"/>
      <c r="I1907" s="42"/>
      <c r="J1907" s="42">
        <v>1</v>
      </c>
      <c r="K1907" s="42"/>
      <c r="L1907" s="42"/>
      <c r="M1907" s="43">
        <f t="shared" si="2106"/>
        <v>1</v>
      </c>
      <c r="N1907" s="42"/>
      <c r="O1907" s="53"/>
      <c r="P1907" s="53"/>
      <c r="Q1907" s="53"/>
      <c r="R1907" s="72"/>
      <c r="S1907" s="24">
        <f t="shared" si="2107"/>
        <v>0</v>
      </c>
      <c r="T1907" s="42"/>
      <c r="U1907" s="53"/>
      <c r="V1907" s="53"/>
      <c r="W1907" s="53"/>
      <c r="X1907" s="72"/>
      <c r="Y1907" s="24">
        <f t="shared" si="2108"/>
        <v>0</v>
      </c>
      <c r="Z1907" s="24">
        <f t="shared" si="2109"/>
        <v>2</v>
      </c>
      <c r="AA1907" s="83">
        <v>45698</v>
      </c>
      <c r="AB1907" s="23" t="s">
        <v>679</v>
      </c>
      <c r="AC1907" s="203"/>
      <c r="AD1907" s="204"/>
      <c r="AE1907" s="204"/>
      <c r="AF1907" s="204"/>
      <c r="AG1907" s="204"/>
      <c r="AH1907" s="37">
        <f t="shared" ref="AH1907" si="2110">SUM(AC1907:AG1907)</f>
        <v>0</v>
      </c>
      <c r="AI1907" s="38"/>
      <c r="AJ1907" s="39"/>
      <c r="AK1907" s="39"/>
      <c r="AL1907" s="39"/>
      <c r="AM1907" s="39"/>
      <c r="AN1907" s="37">
        <f t="shared" ref="AN1907" si="2111">SUM(AI1907:AM1907)</f>
        <v>0</v>
      </c>
      <c r="AO1907" s="39"/>
      <c r="AP1907" s="56"/>
      <c r="AQ1907" s="56"/>
      <c r="AR1907" s="56"/>
      <c r="AS1907" s="71"/>
      <c r="AT1907" s="16">
        <f t="shared" ref="AT1907" si="2112">SUM(AO1907:AS1907)</f>
        <v>0</v>
      </c>
      <c r="AU1907" s="39"/>
      <c r="AV1907" s="56"/>
      <c r="AW1907" s="56"/>
      <c r="AX1907" s="56"/>
      <c r="AY1907" s="71"/>
      <c r="AZ1907" s="16">
        <f t="shared" ref="AZ1907" si="2113">SUM(AU1907:AY1907)</f>
        <v>0</v>
      </c>
      <c r="BA1907" s="16">
        <f t="shared" si="2054"/>
        <v>0</v>
      </c>
      <c r="BB1907" s="128" t="s">
        <v>680</v>
      </c>
      <c r="BC1907" s="2" t="s">
        <v>694</v>
      </c>
    </row>
    <row r="1908" spans="1:55" ht="15" thickBot="1" x14ac:dyDescent="0.2">
      <c r="A1908" s="9" t="s">
        <v>13</v>
      </c>
      <c r="B1908" s="25">
        <f>SUM(B1882:B1907)</f>
        <v>2</v>
      </c>
      <c r="C1908" s="26">
        <f>SUM(C1882:C1907)</f>
        <v>2</v>
      </c>
      <c r="D1908" s="26">
        <f>SUM(D1882:D1907)</f>
        <v>3</v>
      </c>
      <c r="E1908" s="26">
        <f>SUM(E1882:E1907)</f>
        <v>4</v>
      </c>
      <c r="F1908" s="27">
        <f>SUM(F1882:F1907)</f>
        <v>4</v>
      </c>
      <c r="G1908" s="19">
        <f>SUM(B1908:F1908)</f>
        <v>15</v>
      </c>
      <c r="H1908" s="25">
        <f>SUM(H1882:H1907)</f>
        <v>2</v>
      </c>
      <c r="I1908" s="26">
        <f>SUM(I1882:I1907)</f>
        <v>5</v>
      </c>
      <c r="J1908" s="26">
        <f>SUM(J1882:J1907)</f>
        <v>5</v>
      </c>
      <c r="K1908" s="26">
        <f>SUM(K1882:K1907)</f>
        <v>3</v>
      </c>
      <c r="L1908" s="27">
        <f>SUM(L1882:L1907)</f>
        <v>3</v>
      </c>
      <c r="M1908" s="25">
        <f>SUM(H1908:L1908)</f>
        <v>18</v>
      </c>
      <c r="N1908" s="65">
        <f>SUM(N1882:N1907)</f>
        <v>1</v>
      </c>
      <c r="O1908" s="18">
        <f>SUM(O1882:O1907)</f>
        <v>2</v>
      </c>
      <c r="P1908" s="18">
        <f>SUM(P1882:P1907)</f>
        <v>2</v>
      </c>
      <c r="Q1908" s="18">
        <f>SUM(Q1882:Q1907)</f>
        <v>5</v>
      </c>
      <c r="R1908" s="70">
        <f>SUM(R1882:R1907)</f>
        <v>1</v>
      </c>
      <c r="S1908" s="49">
        <f>SUM(N1908:R1908)</f>
        <v>11</v>
      </c>
      <c r="T1908" s="74">
        <f>SUM(T1882:T1907)</f>
        <v>0</v>
      </c>
      <c r="U1908" s="18">
        <f>SUM(U1882:U1907)</f>
        <v>1</v>
      </c>
      <c r="V1908" s="18">
        <f>SUM(V1882:V1907)</f>
        <v>5</v>
      </c>
      <c r="W1908" s="18">
        <f>SUM(W1882:W1907)</f>
        <v>3</v>
      </c>
      <c r="X1908" s="70">
        <f>SUM(X1882:X1907)</f>
        <v>1</v>
      </c>
      <c r="Y1908" s="49">
        <f>SUM(T1908:X1908)</f>
        <v>10</v>
      </c>
      <c r="Z1908" s="137">
        <f>G1908+M1908+S1908+Y1908</f>
        <v>54</v>
      </c>
      <c r="AB1908" s="9" t="s">
        <v>13</v>
      </c>
      <c r="AC1908" s="25">
        <f>SUM(AC1882:AC1907)</f>
        <v>3</v>
      </c>
      <c r="AD1908" s="26">
        <f t="shared" ref="AD1908" si="2114">SUM(AD1882:AD1907)</f>
        <v>3</v>
      </c>
      <c r="AE1908" s="26">
        <f t="shared" ref="AE1908" si="2115">SUM(AE1882:AE1907)</f>
        <v>3</v>
      </c>
      <c r="AF1908" s="26">
        <f t="shared" ref="AF1908" si="2116">SUM(AF1882:AF1907)</f>
        <v>3</v>
      </c>
      <c r="AG1908" s="27">
        <f t="shared" ref="AG1908" si="2117">SUM(AG1882:AG1907)</f>
        <v>0</v>
      </c>
      <c r="AH1908" s="19">
        <f>SUM(AC1908:AG1908)</f>
        <v>12</v>
      </c>
      <c r="AI1908" s="25">
        <f>SUM(AI1882:AI1907)</f>
        <v>3</v>
      </c>
      <c r="AJ1908" s="26">
        <f t="shared" ref="AJ1908" si="2118">SUM(AJ1882:AJ1907)</f>
        <v>3</v>
      </c>
      <c r="AK1908" s="26">
        <f t="shared" ref="AK1908" si="2119">SUM(AK1882:AK1907)</f>
        <v>6</v>
      </c>
      <c r="AL1908" s="26">
        <f t="shared" ref="AL1908" si="2120">SUM(AL1882:AL1907)</f>
        <v>3</v>
      </c>
      <c r="AM1908" s="27">
        <f t="shared" ref="AM1908" si="2121">SUM(AM1882:AM1907)</f>
        <v>3</v>
      </c>
      <c r="AN1908" s="19">
        <f>SUM(AI1908:AM1908)</f>
        <v>18</v>
      </c>
      <c r="AO1908" s="25">
        <f>SUM(AO1882:AO1907)</f>
        <v>0</v>
      </c>
      <c r="AP1908" s="26">
        <f t="shared" ref="AP1908" si="2122">SUM(AP1882:AP1907)</f>
        <v>3</v>
      </c>
      <c r="AQ1908" s="26">
        <f t="shared" ref="AQ1908" si="2123">SUM(AQ1882:AQ1907)</f>
        <v>3</v>
      </c>
      <c r="AR1908" s="26">
        <f t="shared" ref="AR1908" si="2124">SUM(AR1882:AR1907)</f>
        <v>3</v>
      </c>
      <c r="AS1908" s="27">
        <f t="shared" ref="AS1908" si="2125">SUM(AS1882:AS1907)</f>
        <v>0</v>
      </c>
      <c r="AT1908" s="19">
        <f>SUM(AO1908:AS1908)</f>
        <v>9</v>
      </c>
      <c r="AU1908" s="25">
        <f>SUM(AU1882:AU1907)</f>
        <v>0</v>
      </c>
      <c r="AV1908" s="26">
        <f t="shared" ref="AV1908" si="2126">SUM(AV1882:AV1907)</f>
        <v>0</v>
      </c>
      <c r="AW1908" s="26">
        <f t="shared" ref="AW1908" si="2127">SUM(AW1882:AW1907)</f>
        <v>0</v>
      </c>
      <c r="AX1908" s="26">
        <f t="shared" ref="AX1908" si="2128">SUM(AX1882:AX1907)</f>
        <v>3</v>
      </c>
      <c r="AY1908" s="27">
        <f t="shared" ref="AY1908" si="2129">SUM(AY1882:AY1907)</f>
        <v>0</v>
      </c>
      <c r="AZ1908" s="19">
        <f>SUM(AU1908:AY1908)</f>
        <v>3</v>
      </c>
      <c r="BA1908" s="77">
        <f t="shared" si="2054"/>
        <v>42</v>
      </c>
    </row>
    <row r="1909" spans="1:55" ht="15" thickBot="1" x14ac:dyDescent="0.2">
      <c r="A1909" s="32" t="s">
        <v>14</v>
      </c>
      <c r="B1909" s="29">
        <f t="shared" ref="B1909:Y1909" si="2130">B1881-B1908</f>
        <v>7</v>
      </c>
      <c r="C1909" s="30">
        <f t="shared" si="2130"/>
        <v>7</v>
      </c>
      <c r="D1909" s="30">
        <f t="shared" si="2130"/>
        <v>5</v>
      </c>
      <c r="E1909" s="30">
        <f t="shared" si="2130"/>
        <v>3</v>
      </c>
      <c r="F1909" s="31">
        <f t="shared" si="2130"/>
        <v>4</v>
      </c>
      <c r="G1909" s="31">
        <f t="shared" si="2130"/>
        <v>26</v>
      </c>
      <c r="H1909" s="29">
        <f t="shared" si="2130"/>
        <v>7</v>
      </c>
      <c r="I1909" s="30">
        <f t="shared" si="2130"/>
        <v>4</v>
      </c>
      <c r="J1909" s="30">
        <f t="shared" si="2130"/>
        <v>5</v>
      </c>
      <c r="K1909" s="30">
        <f t="shared" si="2130"/>
        <v>4</v>
      </c>
      <c r="L1909" s="31">
        <f t="shared" si="2130"/>
        <v>4</v>
      </c>
      <c r="M1909" s="66">
        <f t="shared" si="2130"/>
        <v>24</v>
      </c>
      <c r="N1909" s="29">
        <f t="shared" si="2130"/>
        <v>5</v>
      </c>
      <c r="O1909" s="30">
        <f t="shared" si="2130"/>
        <v>9</v>
      </c>
      <c r="P1909" s="30">
        <f t="shared" si="2130"/>
        <v>4</v>
      </c>
      <c r="Q1909" s="30">
        <f t="shared" si="2130"/>
        <v>5</v>
      </c>
      <c r="R1909" s="66">
        <f t="shared" si="2130"/>
        <v>3</v>
      </c>
      <c r="S1909" s="33">
        <f t="shared" si="2130"/>
        <v>26</v>
      </c>
      <c r="T1909" s="75">
        <f t="shared" si="2130"/>
        <v>5</v>
      </c>
      <c r="U1909" s="30">
        <f t="shared" si="2130"/>
        <v>6</v>
      </c>
      <c r="V1909" s="30">
        <f t="shared" si="2130"/>
        <v>4</v>
      </c>
      <c r="W1909" s="30">
        <f t="shared" si="2130"/>
        <v>4</v>
      </c>
      <c r="X1909" s="66">
        <f t="shared" si="2130"/>
        <v>3</v>
      </c>
      <c r="Y1909" s="33">
        <f t="shared" si="2130"/>
        <v>22</v>
      </c>
      <c r="Z1909" s="77">
        <f>G1909+M1909+S1909+Y1909</f>
        <v>98</v>
      </c>
      <c r="AB1909" s="32" t="s">
        <v>14</v>
      </c>
      <c r="AC1909" s="29">
        <f>AC1881-AC1908</f>
        <v>73</v>
      </c>
      <c r="AD1909" s="30">
        <f t="shared" ref="AD1909" si="2131">AD1881-AD1908</f>
        <v>26</v>
      </c>
      <c r="AE1909" s="30">
        <f t="shared" ref="AE1909" si="2132">AE1881-AE1908</f>
        <v>27</v>
      </c>
      <c r="AF1909" s="30">
        <f t="shared" ref="AF1909" si="2133">AF1881-AF1908</f>
        <v>12</v>
      </c>
      <c r="AG1909" s="31">
        <f t="shared" ref="AG1909" si="2134">AG1881-AG1908</f>
        <v>8</v>
      </c>
      <c r="AH1909" s="31">
        <f>AH1881-AH1908</f>
        <v>146</v>
      </c>
      <c r="AI1909" s="29">
        <f>AI1881-AI1908</f>
        <v>69</v>
      </c>
      <c r="AJ1909" s="30">
        <f t="shared" ref="AJ1909" si="2135">AJ1881-AJ1908</f>
        <v>47</v>
      </c>
      <c r="AK1909" s="30">
        <f t="shared" ref="AK1909" si="2136">AK1881-AK1908</f>
        <v>52</v>
      </c>
      <c r="AL1909" s="30">
        <f t="shared" ref="AL1909" si="2137">AL1881-AL1908</f>
        <v>25</v>
      </c>
      <c r="AM1909" s="31">
        <f t="shared" ref="AM1909" si="2138">AM1881-AM1908</f>
        <v>55</v>
      </c>
      <c r="AN1909" s="31">
        <f>AN1881-AN1908</f>
        <v>248</v>
      </c>
      <c r="AO1909" s="29">
        <f>AO1881-AO1908</f>
        <v>134</v>
      </c>
      <c r="AP1909" s="30">
        <f t="shared" ref="AP1909" si="2139">AP1881-AP1908</f>
        <v>81</v>
      </c>
      <c r="AQ1909" s="30">
        <f t="shared" ref="AQ1909" si="2140">AQ1881-AQ1908</f>
        <v>81</v>
      </c>
      <c r="AR1909" s="30">
        <f t="shared" ref="AR1909" si="2141">AR1881-AR1908</f>
        <v>104</v>
      </c>
      <c r="AS1909" s="31">
        <f t="shared" ref="AS1909" si="2142">AS1881-AS1908</f>
        <v>117</v>
      </c>
      <c r="AT1909" s="31">
        <f>AT1881-AT1908</f>
        <v>517</v>
      </c>
      <c r="AU1909" s="29">
        <f>AU1881-AU1908</f>
        <v>102</v>
      </c>
      <c r="AV1909" s="30">
        <f t="shared" ref="AV1909" si="2143">AV1881-AV1908</f>
        <v>42</v>
      </c>
      <c r="AW1909" s="30">
        <f t="shared" ref="AW1909" si="2144">AW1881-AW1908</f>
        <v>10</v>
      </c>
      <c r="AX1909" s="30">
        <f t="shared" ref="AX1909" si="2145">AX1881-AX1908</f>
        <v>5</v>
      </c>
      <c r="AY1909" s="31">
        <f t="shared" ref="AY1909" si="2146">AY1881-AY1908</f>
        <v>58</v>
      </c>
      <c r="AZ1909" s="31">
        <f>AZ1881-AZ1908</f>
        <v>217</v>
      </c>
      <c r="BA1909" s="77">
        <f t="shared" si="2054"/>
        <v>1128</v>
      </c>
    </row>
    <row r="1911" spans="1:55" x14ac:dyDescent="0.15">
      <c r="AU1911" s="208"/>
      <c r="AV1911" s="208"/>
      <c r="AW1911" s="208"/>
      <c r="AX1911" s="208"/>
      <c r="AY1911" s="208"/>
      <c r="AZ1911" s="208"/>
    </row>
    <row r="1912" spans="1:55" ht="19.5" thickBot="1" x14ac:dyDescent="0.25">
      <c r="A1912" s="1" t="s">
        <v>15</v>
      </c>
      <c r="AB1912" s="1" t="s">
        <v>16</v>
      </c>
    </row>
    <row r="1913" spans="1:55" ht="15" thickBot="1" x14ac:dyDescent="0.2">
      <c r="A1913" s="4"/>
      <c r="B1913" s="245" t="s">
        <v>17</v>
      </c>
      <c r="C1913" s="246"/>
      <c r="D1913" s="246"/>
      <c r="E1913" s="246"/>
      <c r="F1913" s="246"/>
      <c r="G1913" s="247"/>
      <c r="H1913" s="245" t="s">
        <v>18</v>
      </c>
      <c r="I1913" s="246"/>
      <c r="J1913" s="246"/>
      <c r="K1913" s="246"/>
      <c r="L1913" s="246"/>
      <c r="M1913" s="247"/>
      <c r="N1913" s="248" t="s">
        <v>27</v>
      </c>
      <c r="O1913" s="249"/>
      <c r="P1913" s="249"/>
      <c r="Q1913" s="249"/>
      <c r="R1913" s="249"/>
      <c r="S1913" s="250"/>
      <c r="T1913" s="248" t="s">
        <v>28</v>
      </c>
      <c r="U1913" s="249"/>
      <c r="V1913" s="249"/>
      <c r="W1913" s="249"/>
      <c r="X1913" s="249"/>
      <c r="Y1913" s="250"/>
      <c r="Z1913" s="251" t="s">
        <v>1</v>
      </c>
      <c r="AB1913" s="4"/>
      <c r="AC1913" s="253" t="s">
        <v>17</v>
      </c>
      <c r="AD1913" s="249"/>
      <c r="AE1913" s="249"/>
      <c r="AF1913" s="249"/>
      <c r="AG1913" s="249"/>
      <c r="AH1913" s="250"/>
      <c r="AI1913" s="248" t="s">
        <v>18</v>
      </c>
      <c r="AJ1913" s="249"/>
      <c r="AK1913" s="249"/>
      <c r="AL1913" s="249"/>
      <c r="AM1913" s="249"/>
      <c r="AN1913" s="250"/>
      <c r="AO1913" s="248" t="s">
        <v>27</v>
      </c>
      <c r="AP1913" s="249"/>
      <c r="AQ1913" s="249"/>
      <c r="AR1913" s="249"/>
      <c r="AS1913" s="249"/>
      <c r="AT1913" s="250"/>
      <c r="AU1913" s="248" t="s">
        <v>28</v>
      </c>
      <c r="AV1913" s="249"/>
      <c r="AW1913" s="249"/>
      <c r="AX1913" s="249"/>
      <c r="AY1913" s="249"/>
      <c r="AZ1913" s="250"/>
      <c r="BA1913" s="243" t="s">
        <v>1</v>
      </c>
    </row>
    <row r="1914" spans="1:55" ht="15" thickBot="1" x14ac:dyDescent="0.2">
      <c r="A1914" s="9" t="s">
        <v>2</v>
      </c>
      <c r="B1914" s="6" t="s">
        <v>3</v>
      </c>
      <c r="C1914" s="7" t="s">
        <v>4</v>
      </c>
      <c r="D1914" s="7" t="s">
        <v>5</v>
      </c>
      <c r="E1914" s="48" t="s">
        <v>20</v>
      </c>
      <c r="F1914" s="8" t="s">
        <v>21</v>
      </c>
      <c r="G1914" s="5" t="s">
        <v>6</v>
      </c>
      <c r="H1914" s="6" t="s">
        <v>3</v>
      </c>
      <c r="I1914" s="7" t="s">
        <v>4</v>
      </c>
      <c r="J1914" s="7" t="s">
        <v>5</v>
      </c>
      <c r="K1914" s="48" t="s">
        <v>20</v>
      </c>
      <c r="L1914" s="8" t="s">
        <v>21</v>
      </c>
      <c r="M1914" s="5" t="s">
        <v>6</v>
      </c>
      <c r="N1914" s="6" t="s">
        <v>3</v>
      </c>
      <c r="O1914" s="7" t="s">
        <v>4</v>
      </c>
      <c r="P1914" s="7" t="s">
        <v>5</v>
      </c>
      <c r="Q1914" s="48" t="s">
        <v>20</v>
      </c>
      <c r="R1914" s="8" t="s">
        <v>21</v>
      </c>
      <c r="S1914" s="5" t="s">
        <v>6</v>
      </c>
      <c r="T1914" s="7" t="s">
        <v>3</v>
      </c>
      <c r="U1914" s="7" t="s">
        <v>4</v>
      </c>
      <c r="V1914" s="7" t="s">
        <v>5</v>
      </c>
      <c r="W1914" s="48" t="s">
        <v>20</v>
      </c>
      <c r="X1914" s="109" t="s">
        <v>21</v>
      </c>
      <c r="Y1914" s="62" t="s">
        <v>6</v>
      </c>
      <c r="Z1914" s="252"/>
      <c r="AB1914" s="9" t="s">
        <v>2</v>
      </c>
      <c r="AC1914" s="6" t="s">
        <v>3</v>
      </c>
      <c r="AD1914" s="7" t="s">
        <v>4</v>
      </c>
      <c r="AE1914" s="7" t="s">
        <v>5</v>
      </c>
      <c r="AF1914" s="48" t="s">
        <v>20</v>
      </c>
      <c r="AG1914" s="8" t="s">
        <v>21</v>
      </c>
      <c r="AH1914" s="5" t="s">
        <v>6</v>
      </c>
      <c r="AI1914" s="6" t="s">
        <v>3</v>
      </c>
      <c r="AJ1914" s="7" t="s">
        <v>4</v>
      </c>
      <c r="AK1914" s="7" t="s">
        <v>5</v>
      </c>
      <c r="AL1914" s="48" t="s">
        <v>20</v>
      </c>
      <c r="AM1914" s="8" t="s">
        <v>21</v>
      </c>
      <c r="AN1914" s="5" t="s">
        <v>6</v>
      </c>
      <c r="AO1914" s="6" t="s">
        <v>3</v>
      </c>
      <c r="AP1914" s="7" t="s">
        <v>4</v>
      </c>
      <c r="AQ1914" s="7" t="s">
        <v>5</v>
      </c>
      <c r="AR1914" s="48" t="s">
        <v>20</v>
      </c>
      <c r="AS1914" s="8" t="s">
        <v>21</v>
      </c>
      <c r="AT1914" s="5" t="s">
        <v>6</v>
      </c>
      <c r="AU1914" s="7" t="s">
        <v>3</v>
      </c>
      <c r="AV1914" s="7" t="s">
        <v>4</v>
      </c>
      <c r="AW1914" s="7" t="s">
        <v>5</v>
      </c>
      <c r="AX1914" s="48" t="s">
        <v>20</v>
      </c>
      <c r="AY1914" s="109" t="s">
        <v>21</v>
      </c>
      <c r="AZ1914" s="62" t="s">
        <v>6</v>
      </c>
      <c r="BA1914" s="244"/>
    </row>
    <row r="1915" spans="1:55" ht="14.25" x14ac:dyDescent="0.15">
      <c r="A1915" s="103" t="s">
        <v>43</v>
      </c>
      <c r="B1915" s="104">
        <f>B1909</f>
        <v>7</v>
      </c>
      <c r="C1915" s="105">
        <f>C1909</f>
        <v>7</v>
      </c>
      <c r="D1915" s="105">
        <f>D1909</f>
        <v>5</v>
      </c>
      <c r="E1915" s="105">
        <f>E1909</f>
        <v>3</v>
      </c>
      <c r="F1915" s="105">
        <f>F1909</f>
        <v>4</v>
      </c>
      <c r="G1915" s="106">
        <f t="shared" ref="G1915" si="2147">SUM(B1915:F1915)</f>
        <v>26</v>
      </c>
      <c r="H1915" s="104">
        <f>H1909</f>
        <v>7</v>
      </c>
      <c r="I1915" s="105">
        <f>I1909</f>
        <v>4</v>
      </c>
      <c r="J1915" s="105">
        <f>J1909</f>
        <v>5</v>
      </c>
      <c r="K1915" s="105">
        <f>K1909</f>
        <v>4</v>
      </c>
      <c r="L1915" s="105">
        <f>L1909</f>
        <v>4</v>
      </c>
      <c r="M1915" s="107">
        <f t="shared" ref="M1915:M1919" si="2148">SUM(H1915:L1915)</f>
        <v>24</v>
      </c>
      <c r="N1915" s="104">
        <f>N1909</f>
        <v>5</v>
      </c>
      <c r="O1915" s="105">
        <f>O1909</f>
        <v>9</v>
      </c>
      <c r="P1915" s="105">
        <f>P1909</f>
        <v>4</v>
      </c>
      <c r="Q1915" s="105">
        <f>Q1909</f>
        <v>5</v>
      </c>
      <c r="R1915" s="105">
        <f>R1909</f>
        <v>3</v>
      </c>
      <c r="S1915" s="108">
        <f t="shared" ref="S1915:S1919" si="2149">SUM(N1915:R1915)</f>
        <v>26</v>
      </c>
      <c r="T1915" s="104">
        <f>T1909</f>
        <v>5</v>
      </c>
      <c r="U1915" s="105">
        <f>U1909</f>
        <v>6</v>
      </c>
      <c r="V1915" s="105">
        <f>V1909</f>
        <v>4</v>
      </c>
      <c r="W1915" s="105">
        <f>W1909</f>
        <v>4</v>
      </c>
      <c r="X1915" s="105">
        <f>X1909</f>
        <v>3</v>
      </c>
      <c r="Y1915" s="106">
        <f t="shared" ref="Y1915:Y1919" si="2150">SUM(T1915:X1915)</f>
        <v>22</v>
      </c>
      <c r="Z1915" s="106">
        <f t="shared" ref="Z1915:Z1945" si="2151">G1915+M1915+S1915+Y1915</f>
        <v>98</v>
      </c>
      <c r="AB1915" s="103" t="s">
        <v>43</v>
      </c>
      <c r="AC1915" s="104">
        <f>AC1909</f>
        <v>73</v>
      </c>
      <c r="AD1915" s="105">
        <f t="shared" ref="AD1915:AG1915" si="2152">AD1909</f>
        <v>26</v>
      </c>
      <c r="AE1915" s="105">
        <f t="shared" si="2152"/>
        <v>27</v>
      </c>
      <c r="AF1915" s="105">
        <f t="shared" si="2152"/>
        <v>12</v>
      </c>
      <c r="AG1915" s="105">
        <f t="shared" si="2152"/>
        <v>8</v>
      </c>
      <c r="AH1915" s="106">
        <f>SUM(AC1915:AG1915)</f>
        <v>146</v>
      </c>
      <c r="AI1915" s="104">
        <f>AI1909</f>
        <v>69</v>
      </c>
      <c r="AJ1915" s="105">
        <f t="shared" ref="AJ1915:AM1915" si="2153">AJ1909</f>
        <v>47</v>
      </c>
      <c r="AK1915" s="105">
        <f t="shared" si="2153"/>
        <v>52</v>
      </c>
      <c r="AL1915" s="105">
        <f t="shared" si="2153"/>
        <v>25</v>
      </c>
      <c r="AM1915" s="105">
        <f t="shared" si="2153"/>
        <v>55</v>
      </c>
      <c r="AN1915" s="106">
        <f>SUM(AI1915:AM1915)</f>
        <v>248</v>
      </c>
      <c r="AO1915" s="104">
        <f>AO1909</f>
        <v>134</v>
      </c>
      <c r="AP1915" s="105">
        <f t="shared" ref="AP1915:AS1915" si="2154">AP1909</f>
        <v>81</v>
      </c>
      <c r="AQ1915" s="105">
        <f t="shared" si="2154"/>
        <v>81</v>
      </c>
      <c r="AR1915" s="105">
        <f t="shared" si="2154"/>
        <v>104</v>
      </c>
      <c r="AS1915" s="105">
        <f t="shared" si="2154"/>
        <v>117</v>
      </c>
      <c r="AT1915" s="106">
        <f>SUM(AO1915:AS1915)</f>
        <v>517</v>
      </c>
      <c r="AU1915" s="104">
        <f>AU1909</f>
        <v>102</v>
      </c>
      <c r="AV1915" s="105">
        <f t="shared" ref="AV1915:AY1915" si="2155">AV1909</f>
        <v>42</v>
      </c>
      <c r="AW1915" s="105">
        <f t="shared" si="2155"/>
        <v>10</v>
      </c>
      <c r="AX1915" s="105">
        <f t="shared" si="2155"/>
        <v>5</v>
      </c>
      <c r="AY1915" s="105">
        <f t="shared" si="2155"/>
        <v>58</v>
      </c>
      <c r="AZ1915" s="106">
        <f>SUM(AU1915:AY1915)</f>
        <v>217</v>
      </c>
      <c r="BA1915" s="106">
        <f>AH1915+AN1915+AT1915+AZ1915</f>
        <v>1128</v>
      </c>
    </row>
    <row r="1916" spans="1:55" ht="14.25" x14ac:dyDescent="0.15">
      <c r="A1916" s="10" t="s">
        <v>181</v>
      </c>
      <c r="B1916" s="14"/>
      <c r="C1916" s="15"/>
      <c r="D1916" s="15"/>
      <c r="E1916" s="15">
        <v>3</v>
      </c>
      <c r="F1916" s="15"/>
      <c r="G1916" s="43">
        <f t="shared" ref="G1916:G1919" si="2156">SUM(B1916:F1916)</f>
        <v>3</v>
      </c>
      <c r="H1916" s="14"/>
      <c r="I1916" s="15"/>
      <c r="J1916" s="15"/>
      <c r="K1916" s="15">
        <v>3</v>
      </c>
      <c r="L1916" s="15">
        <v>3</v>
      </c>
      <c r="M1916" s="43">
        <f t="shared" si="2148"/>
        <v>6</v>
      </c>
      <c r="N1916" s="14"/>
      <c r="O1916" s="55"/>
      <c r="P1916" s="55">
        <v>3</v>
      </c>
      <c r="Q1916" s="55"/>
      <c r="R1916" s="67">
        <v>3</v>
      </c>
      <c r="S1916" s="24">
        <f t="shared" si="2149"/>
        <v>6</v>
      </c>
      <c r="T1916" s="15"/>
      <c r="U1916" s="55"/>
      <c r="V1916" s="55">
        <v>3</v>
      </c>
      <c r="W1916" s="55">
        <v>5</v>
      </c>
      <c r="X1916" s="67">
        <v>3</v>
      </c>
      <c r="Y1916" s="24">
        <f t="shared" si="2150"/>
        <v>11</v>
      </c>
      <c r="Z1916" s="24">
        <f t="shared" si="2151"/>
        <v>26</v>
      </c>
      <c r="AA1916" s="83">
        <v>45685</v>
      </c>
      <c r="AB1916" s="10" t="s">
        <v>181</v>
      </c>
      <c r="AC1916" s="14"/>
      <c r="AD1916" s="15"/>
      <c r="AE1916" s="15"/>
      <c r="AF1916" s="15"/>
      <c r="AG1916" s="15"/>
      <c r="AH1916" s="43">
        <f t="shared" ref="AH1916" si="2157">SUM(AC1916:AG1916)</f>
        <v>0</v>
      </c>
      <c r="AI1916" s="14"/>
      <c r="AJ1916" s="15"/>
      <c r="AK1916" s="15"/>
      <c r="AL1916" s="15"/>
      <c r="AM1916" s="15"/>
      <c r="AN1916" s="43">
        <f t="shared" ref="AN1916" si="2158">SUM(AI1916:AM1916)</f>
        <v>0</v>
      </c>
      <c r="AO1916" s="14"/>
      <c r="AP1916" s="55"/>
      <c r="AQ1916" s="55"/>
      <c r="AR1916" s="55"/>
      <c r="AS1916" s="67"/>
      <c r="AT1916" s="24">
        <f t="shared" ref="AT1916" si="2159">SUM(AO1916:AS1916)</f>
        <v>0</v>
      </c>
      <c r="AU1916" s="15"/>
      <c r="AV1916" s="55"/>
      <c r="AW1916" s="55"/>
      <c r="AX1916" s="55"/>
      <c r="AY1916" s="67"/>
      <c r="AZ1916" s="24">
        <f t="shared" ref="AZ1916" si="2160">SUM(AU1916:AY1916)</f>
        <v>0</v>
      </c>
      <c r="BA1916" s="24">
        <f t="shared" ref="BA1916" si="2161">AH1916+AN1916+AT1916+AZ1916</f>
        <v>0</v>
      </c>
    </row>
    <row r="1917" spans="1:55" ht="14.25" x14ac:dyDescent="0.15">
      <c r="A1917" s="10" t="s">
        <v>181</v>
      </c>
      <c r="B1917" s="14"/>
      <c r="C1917" s="15"/>
      <c r="D1917" s="15"/>
      <c r="E1917" s="15"/>
      <c r="F1917" s="15">
        <v>3</v>
      </c>
      <c r="G1917" s="43">
        <f t="shared" si="2156"/>
        <v>3</v>
      </c>
      <c r="H1917" s="14"/>
      <c r="I1917" s="15">
        <v>3</v>
      </c>
      <c r="J1917" s="15"/>
      <c r="K1917" s="15"/>
      <c r="L1917" s="15"/>
      <c r="M1917" s="43">
        <f t="shared" si="2148"/>
        <v>3</v>
      </c>
      <c r="N1917" s="14"/>
      <c r="O1917" s="55"/>
      <c r="P1917" s="55"/>
      <c r="Q1917" s="55"/>
      <c r="R1917" s="67"/>
      <c r="S1917" s="24">
        <f t="shared" si="2149"/>
        <v>0</v>
      </c>
      <c r="T1917" s="15"/>
      <c r="U1917" s="55"/>
      <c r="V1917" s="55"/>
      <c r="W1917" s="55"/>
      <c r="X1917" s="67"/>
      <c r="Y1917" s="24">
        <f t="shared" si="2150"/>
        <v>0</v>
      </c>
      <c r="Z1917" s="24">
        <f t="shared" si="2151"/>
        <v>6</v>
      </c>
      <c r="AA1917" s="83">
        <v>45709</v>
      </c>
      <c r="AB1917" s="10" t="s">
        <v>181</v>
      </c>
      <c r="AC1917" s="14"/>
      <c r="AD1917" s="15"/>
      <c r="AE1917" s="15"/>
      <c r="AF1917" s="15"/>
      <c r="AG1917" s="15"/>
      <c r="AH1917" s="43">
        <f t="shared" ref="AH1917" si="2162">SUM(AC1917:AG1917)</f>
        <v>0</v>
      </c>
      <c r="AI1917" s="14"/>
      <c r="AJ1917" s="15"/>
      <c r="AK1917" s="15"/>
      <c r="AL1917" s="15"/>
      <c r="AM1917" s="15"/>
      <c r="AN1917" s="43">
        <f t="shared" ref="AN1917" si="2163">SUM(AI1917:AM1917)</f>
        <v>0</v>
      </c>
      <c r="AO1917" s="14"/>
      <c r="AP1917" s="55"/>
      <c r="AQ1917" s="55"/>
      <c r="AR1917" s="55"/>
      <c r="AS1917" s="67"/>
      <c r="AT1917" s="24">
        <f t="shared" ref="AT1917" si="2164">SUM(AO1917:AS1917)</f>
        <v>0</v>
      </c>
      <c r="AU1917" s="15"/>
      <c r="AV1917" s="55"/>
      <c r="AW1917" s="55"/>
      <c r="AX1917" s="55"/>
      <c r="AY1917" s="67"/>
      <c r="AZ1917" s="24">
        <f t="shared" ref="AZ1917" si="2165">SUM(AU1917:AY1917)</f>
        <v>0</v>
      </c>
      <c r="BA1917" s="24">
        <f t="shared" ref="BA1917" si="2166">AH1917+AN1917+AT1917+AZ1917</f>
        <v>0</v>
      </c>
    </row>
    <row r="1918" spans="1:55" ht="14.25" x14ac:dyDescent="0.15">
      <c r="A1918" s="10" t="s">
        <v>181</v>
      </c>
      <c r="B1918" s="41"/>
      <c r="C1918" s="42"/>
      <c r="D1918" s="42"/>
      <c r="E1918" s="42">
        <v>9</v>
      </c>
      <c r="F1918" s="42">
        <v>5</v>
      </c>
      <c r="G1918" s="43">
        <f t="shared" ref="G1918" si="2167">SUM(B1918:F1918)</f>
        <v>14</v>
      </c>
      <c r="H1918" s="41"/>
      <c r="I1918" s="42"/>
      <c r="J1918" s="42"/>
      <c r="K1918" s="42"/>
      <c r="L1918" s="42"/>
      <c r="M1918" s="43">
        <f t="shared" ref="M1918" si="2168">SUM(H1918:L1918)</f>
        <v>0</v>
      </c>
      <c r="N1918" s="42"/>
      <c r="O1918" s="53"/>
      <c r="P1918" s="53"/>
      <c r="Q1918" s="53"/>
      <c r="R1918" s="72"/>
      <c r="S1918" s="24">
        <f t="shared" ref="S1918" si="2169">SUM(N1918:R1918)</f>
        <v>0</v>
      </c>
      <c r="T1918" s="42"/>
      <c r="U1918" s="53"/>
      <c r="V1918" s="53">
        <v>7</v>
      </c>
      <c r="W1918" s="53"/>
      <c r="X1918" s="72"/>
      <c r="Y1918" s="24">
        <f t="shared" ref="Y1918" si="2170">SUM(T1918:X1918)</f>
        <v>7</v>
      </c>
      <c r="Z1918" s="24">
        <f t="shared" si="2151"/>
        <v>21</v>
      </c>
      <c r="AA1918" s="83">
        <v>45731</v>
      </c>
      <c r="AB1918" s="10" t="s">
        <v>181</v>
      </c>
      <c r="AC1918" s="14"/>
      <c r="AD1918" s="15"/>
      <c r="AE1918" s="15"/>
      <c r="AF1918" s="15"/>
      <c r="AG1918" s="15"/>
      <c r="AH1918" s="43">
        <f t="shared" ref="AH1918:AH1945" si="2171">SUM(AC1918:AG1918)</f>
        <v>0</v>
      </c>
      <c r="AI1918" s="14"/>
      <c r="AJ1918" s="15"/>
      <c r="AK1918" s="15"/>
      <c r="AL1918" s="15"/>
      <c r="AM1918" s="15"/>
      <c r="AN1918" s="43">
        <f t="shared" ref="AN1918:AN1945" si="2172">SUM(AI1918:AM1918)</f>
        <v>0</v>
      </c>
      <c r="AO1918" s="14"/>
      <c r="AP1918" s="55"/>
      <c r="AQ1918" s="55"/>
      <c r="AR1918" s="55"/>
      <c r="AS1918" s="67"/>
      <c r="AT1918" s="24">
        <f t="shared" ref="AT1918:AT1945" si="2173">SUM(AO1918:AS1918)</f>
        <v>0</v>
      </c>
      <c r="AU1918" s="15"/>
      <c r="AV1918" s="55"/>
      <c r="AW1918" s="55"/>
      <c r="AX1918" s="55"/>
      <c r="AY1918" s="67"/>
      <c r="AZ1918" s="24">
        <f t="shared" ref="AZ1918:AZ1945" si="2174">SUM(AU1918:AY1918)</f>
        <v>0</v>
      </c>
      <c r="BA1918" s="24">
        <f t="shared" ref="BA1918:BA1945" si="2175">AH1918+AN1918+AT1918+AZ1918</f>
        <v>0</v>
      </c>
    </row>
    <row r="1919" spans="1:55" ht="15" thickBot="1" x14ac:dyDescent="0.2">
      <c r="A1919" s="10" t="s">
        <v>181</v>
      </c>
      <c r="B1919" s="14"/>
      <c r="C1919" s="15"/>
      <c r="D1919" s="15">
        <v>3</v>
      </c>
      <c r="E1919" s="15"/>
      <c r="F1919" s="15"/>
      <c r="G1919" s="43">
        <f t="shared" si="2156"/>
        <v>3</v>
      </c>
      <c r="H1919" s="14"/>
      <c r="I1919" s="15"/>
      <c r="J1919" s="15"/>
      <c r="K1919" s="15"/>
      <c r="L1919" s="15">
        <v>3</v>
      </c>
      <c r="M1919" s="43">
        <f t="shared" si="2148"/>
        <v>3</v>
      </c>
      <c r="N1919" s="14"/>
      <c r="O1919" s="55"/>
      <c r="P1919" s="55"/>
      <c r="Q1919" s="55"/>
      <c r="R1919" s="67"/>
      <c r="S1919" s="24">
        <f t="shared" si="2149"/>
        <v>0</v>
      </c>
      <c r="T1919" s="15"/>
      <c r="U1919" s="55"/>
      <c r="V1919" s="55"/>
      <c r="W1919" s="55"/>
      <c r="X1919" s="67"/>
      <c r="Y1919" s="24">
        <f t="shared" si="2150"/>
        <v>0</v>
      </c>
      <c r="Z1919" s="24">
        <f t="shared" si="2151"/>
        <v>6</v>
      </c>
      <c r="AA1919" s="83">
        <v>45752</v>
      </c>
      <c r="AB1919" s="10" t="s">
        <v>181</v>
      </c>
      <c r="AC1919" s="14"/>
      <c r="AD1919" s="15"/>
      <c r="AE1919" s="15"/>
      <c r="AF1919" s="15"/>
      <c r="AG1919" s="15"/>
      <c r="AH1919" s="43">
        <f t="shared" ref="AH1919" si="2176">SUM(AC1919:AG1919)</f>
        <v>0</v>
      </c>
      <c r="AI1919" s="14"/>
      <c r="AJ1919" s="15"/>
      <c r="AK1919" s="15"/>
      <c r="AL1919" s="15"/>
      <c r="AM1919" s="15"/>
      <c r="AN1919" s="43">
        <f t="shared" ref="AN1919" si="2177">SUM(AI1919:AM1919)</f>
        <v>0</v>
      </c>
      <c r="AO1919" s="14"/>
      <c r="AP1919" s="55"/>
      <c r="AQ1919" s="55"/>
      <c r="AR1919" s="55"/>
      <c r="AS1919" s="67"/>
      <c r="AT1919" s="24">
        <f t="shared" ref="AT1919" si="2178">SUM(AO1919:AS1919)</f>
        <v>0</v>
      </c>
      <c r="AU1919" s="15"/>
      <c r="AV1919" s="55"/>
      <c r="AW1919" s="55"/>
      <c r="AX1919" s="55"/>
      <c r="AY1919" s="67"/>
      <c r="AZ1919" s="24">
        <f t="shared" ref="AZ1919" si="2179">SUM(AU1919:AY1919)</f>
        <v>0</v>
      </c>
      <c r="BA1919" s="24">
        <f t="shared" ref="BA1919" si="2180">AH1919+AN1919+AT1919+AZ1919</f>
        <v>0</v>
      </c>
    </row>
    <row r="1920" spans="1:55" ht="15" thickBot="1" x14ac:dyDescent="0.2">
      <c r="A1920" s="4" t="s">
        <v>12</v>
      </c>
      <c r="B1920" s="17">
        <f>SUM(B1915:B1919)</f>
        <v>7</v>
      </c>
      <c r="C1920" s="18">
        <f>SUM(C1915:C1919)</f>
        <v>7</v>
      </c>
      <c r="D1920" s="18">
        <f>SUM(D1915:D1919)</f>
        <v>8</v>
      </c>
      <c r="E1920" s="18">
        <f>SUM(E1915:E1919)</f>
        <v>15</v>
      </c>
      <c r="F1920" s="18">
        <f>SUM(F1915:F1919)</f>
        <v>12</v>
      </c>
      <c r="G1920" s="148">
        <f t="shared" ref="G1920:G1945" si="2181">SUM(B1920:F1920)</f>
        <v>49</v>
      </c>
      <c r="H1920" s="17">
        <f>SUM(H1915:H1919)</f>
        <v>7</v>
      </c>
      <c r="I1920" s="18">
        <f>SUM(I1915:I1919)</f>
        <v>7</v>
      </c>
      <c r="J1920" s="18">
        <f>SUM(J1915:J1919)</f>
        <v>5</v>
      </c>
      <c r="K1920" s="18">
        <f>SUM(K1915:K1919)</f>
        <v>7</v>
      </c>
      <c r="L1920" s="18">
        <f>SUM(L1915:L1919)</f>
        <v>10</v>
      </c>
      <c r="M1920" s="17">
        <f t="shared" ref="M1920:M1945" si="2182">SUM(H1920:L1920)</f>
        <v>36</v>
      </c>
      <c r="N1920" s="65">
        <f>SUM(N1915:N1919)</f>
        <v>5</v>
      </c>
      <c r="O1920" s="18">
        <f>SUM(O1915:O1919)</f>
        <v>9</v>
      </c>
      <c r="P1920" s="18">
        <f>SUM(P1915:P1919)</f>
        <v>7</v>
      </c>
      <c r="Q1920" s="18">
        <f>SUM(Q1915:Q1919)</f>
        <v>5</v>
      </c>
      <c r="R1920" s="70">
        <f>SUM(R1915:R1919)</f>
        <v>6</v>
      </c>
      <c r="S1920" s="49">
        <f t="shared" ref="S1920:S1945" si="2183">SUM(N1920:R1920)</f>
        <v>32</v>
      </c>
      <c r="T1920" s="74">
        <f>SUM(T1915:T1919)</f>
        <v>5</v>
      </c>
      <c r="U1920" s="18">
        <f>SUM(U1915:U1919)</f>
        <v>6</v>
      </c>
      <c r="V1920" s="18">
        <f>SUM(V1915:V1919)</f>
        <v>14</v>
      </c>
      <c r="W1920" s="18">
        <f>SUM(W1915:W1919)</f>
        <v>9</v>
      </c>
      <c r="X1920" s="70">
        <f>SUM(X1915:X1919)</f>
        <v>6</v>
      </c>
      <c r="Y1920" s="49">
        <f t="shared" ref="Y1920:Y1945" si="2184">SUM(T1920:X1920)</f>
        <v>40</v>
      </c>
      <c r="Z1920" s="33">
        <f t="shared" si="2151"/>
        <v>157</v>
      </c>
      <c r="AB1920" s="4" t="s">
        <v>12</v>
      </c>
      <c r="AC1920" s="17">
        <f>SUM(AC1915:AC1919)</f>
        <v>73</v>
      </c>
      <c r="AD1920" s="18">
        <f t="shared" ref="AD1920" si="2185">SUM(AD1915:AD1919)</f>
        <v>26</v>
      </c>
      <c r="AE1920" s="18">
        <f t="shared" ref="AE1920" si="2186">SUM(AE1915:AE1919)</f>
        <v>27</v>
      </c>
      <c r="AF1920" s="18">
        <f t="shared" ref="AF1920" si="2187">SUM(AF1915:AF1919)</f>
        <v>12</v>
      </c>
      <c r="AG1920" s="18">
        <f t="shared" ref="AG1920" si="2188">SUM(AG1915:AG1919)</f>
        <v>8</v>
      </c>
      <c r="AH1920" s="148">
        <f>SUM(AC1920:AG1920)</f>
        <v>146</v>
      </c>
      <c r="AI1920" s="17">
        <f>SUM(AI1915:AI1919)</f>
        <v>69</v>
      </c>
      <c r="AJ1920" s="18">
        <f t="shared" ref="AJ1920" si="2189">SUM(AJ1915:AJ1919)</f>
        <v>47</v>
      </c>
      <c r="AK1920" s="18">
        <f t="shared" ref="AK1920" si="2190">SUM(AK1915:AK1919)</f>
        <v>52</v>
      </c>
      <c r="AL1920" s="18">
        <f t="shared" ref="AL1920" si="2191">SUM(AL1915:AL1919)</f>
        <v>25</v>
      </c>
      <c r="AM1920" s="18">
        <f t="shared" ref="AM1920" si="2192">SUM(AM1915:AM1919)</f>
        <v>55</v>
      </c>
      <c r="AN1920" s="148">
        <f>SUM(AI1920:AM1920)</f>
        <v>248</v>
      </c>
      <c r="AO1920" s="17">
        <f>SUM(AO1915:AO1919)</f>
        <v>134</v>
      </c>
      <c r="AP1920" s="18">
        <f t="shared" ref="AP1920" si="2193">SUM(AP1915:AP1919)</f>
        <v>81</v>
      </c>
      <c r="AQ1920" s="18">
        <f t="shared" ref="AQ1920" si="2194">SUM(AQ1915:AQ1919)</f>
        <v>81</v>
      </c>
      <c r="AR1920" s="18">
        <f t="shared" ref="AR1920" si="2195">SUM(AR1915:AR1919)</f>
        <v>104</v>
      </c>
      <c r="AS1920" s="18">
        <f t="shared" ref="AS1920" si="2196">SUM(AS1915:AS1919)</f>
        <v>117</v>
      </c>
      <c r="AT1920" s="148">
        <f>SUM(AO1920:AS1920)</f>
        <v>517</v>
      </c>
      <c r="AU1920" s="17">
        <f>SUM(AU1915:AU1919)</f>
        <v>102</v>
      </c>
      <c r="AV1920" s="18">
        <f t="shared" ref="AV1920" si="2197">SUM(AV1915:AV1919)</f>
        <v>42</v>
      </c>
      <c r="AW1920" s="18">
        <f t="shared" ref="AW1920" si="2198">SUM(AW1915:AW1919)</f>
        <v>10</v>
      </c>
      <c r="AX1920" s="18">
        <f t="shared" ref="AX1920" si="2199">SUM(AX1915:AX1919)</f>
        <v>5</v>
      </c>
      <c r="AY1920" s="18">
        <f t="shared" ref="AY1920" si="2200">SUM(AY1915:AY1919)</f>
        <v>58</v>
      </c>
      <c r="AZ1920" s="148">
        <f>SUM(AU1920:AY1920)</f>
        <v>217</v>
      </c>
      <c r="BA1920" s="33">
        <f>AH1920+AN1920+AT1920+AZ1920</f>
        <v>1128</v>
      </c>
    </row>
    <row r="1921" spans="1:55" ht="14.25" x14ac:dyDescent="0.15">
      <c r="A1921" s="23" t="s">
        <v>697</v>
      </c>
      <c r="B1921" s="41"/>
      <c r="C1921" s="42"/>
      <c r="D1921" s="42"/>
      <c r="E1921" s="42"/>
      <c r="F1921" s="42"/>
      <c r="G1921" s="43">
        <f t="shared" si="2181"/>
        <v>0</v>
      </c>
      <c r="H1921" s="41"/>
      <c r="I1921" s="42"/>
      <c r="J1921" s="42"/>
      <c r="K1921" s="42"/>
      <c r="L1921" s="42"/>
      <c r="M1921" s="43">
        <f t="shared" si="2182"/>
        <v>0</v>
      </c>
      <c r="N1921" s="42"/>
      <c r="O1921" s="53"/>
      <c r="P1921" s="53"/>
      <c r="Q1921" s="53"/>
      <c r="R1921" s="72">
        <v>1</v>
      </c>
      <c r="S1921" s="24">
        <f t="shared" si="2183"/>
        <v>1</v>
      </c>
      <c r="T1921" s="42"/>
      <c r="U1921" s="53"/>
      <c r="V1921" s="53"/>
      <c r="W1921" s="53"/>
      <c r="X1921" s="72"/>
      <c r="Y1921" s="24">
        <f t="shared" si="2184"/>
        <v>0</v>
      </c>
      <c r="Z1921" s="24">
        <f t="shared" si="2151"/>
        <v>1</v>
      </c>
      <c r="AA1921" s="83">
        <v>45688</v>
      </c>
      <c r="AB1921" s="23" t="s">
        <v>126</v>
      </c>
      <c r="AC1921" s="41"/>
      <c r="AD1921" s="42"/>
      <c r="AE1921" s="42"/>
      <c r="AF1921" s="42">
        <v>3</v>
      </c>
      <c r="AG1921" s="42"/>
      <c r="AH1921" s="43">
        <f t="shared" ref="AH1921" si="2201">SUM(AC1921:AG1921)</f>
        <v>3</v>
      </c>
      <c r="AI1921" s="41"/>
      <c r="AJ1921" s="42"/>
      <c r="AK1921" s="42"/>
      <c r="AL1921" s="42">
        <v>3</v>
      </c>
      <c r="AM1921" s="42">
        <v>3</v>
      </c>
      <c r="AN1921" s="43">
        <f t="shared" ref="AN1921" si="2202">SUM(AI1921:AM1921)</f>
        <v>6</v>
      </c>
      <c r="AO1921" s="42"/>
      <c r="AP1921" s="53"/>
      <c r="AQ1921" s="53">
        <v>3</v>
      </c>
      <c r="AR1921" s="53"/>
      <c r="AS1921" s="72">
        <v>3</v>
      </c>
      <c r="AT1921" s="24">
        <f t="shared" ref="AT1921" si="2203">SUM(AO1921:AS1921)</f>
        <v>6</v>
      </c>
      <c r="AU1921" s="42"/>
      <c r="AV1921" s="53"/>
      <c r="AW1921" s="53">
        <v>3</v>
      </c>
      <c r="AX1921" s="53">
        <v>5</v>
      </c>
      <c r="AY1921" s="72">
        <v>3</v>
      </c>
      <c r="AZ1921" s="24">
        <f t="shared" ref="AZ1921" si="2204">SUM(AU1921:AY1921)</f>
        <v>11</v>
      </c>
      <c r="BA1921" s="24">
        <f t="shared" si="2175"/>
        <v>26</v>
      </c>
      <c r="BB1921" s="93">
        <v>45685</v>
      </c>
    </row>
    <row r="1922" spans="1:55" ht="14.25" x14ac:dyDescent="0.15">
      <c r="A1922" s="23" t="s">
        <v>698</v>
      </c>
      <c r="B1922" s="41"/>
      <c r="C1922" s="42"/>
      <c r="D1922" s="42"/>
      <c r="E1922" s="42"/>
      <c r="F1922" s="42"/>
      <c r="G1922" s="43">
        <f t="shared" si="2181"/>
        <v>0</v>
      </c>
      <c r="H1922" s="41"/>
      <c r="I1922" s="42"/>
      <c r="J1922" s="42"/>
      <c r="K1922" s="42"/>
      <c r="L1922" s="42"/>
      <c r="M1922" s="43">
        <f t="shared" si="2182"/>
        <v>0</v>
      </c>
      <c r="N1922" s="42"/>
      <c r="O1922" s="53">
        <v>1</v>
      </c>
      <c r="P1922" s="53"/>
      <c r="Q1922" s="53"/>
      <c r="R1922" s="72"/>
      <c r="S1922" s="24">
        <f t="shared" si="2183"/>
        <v>1</v>
      </c>
      <c r="T1922" s="42"/>
      <c r="U1922" s="53"/>
      <c r="V1922" s="53"/>
      <c r="W1922" s="53"/>
      <c r="X1922" s="72"/>
      <c r="Y1922" s="24">
        <f t="shared" si="2184"/>
        <v>0</v>
      </c>
      <c r="Z1922" s="24">
        <f t="shared" si="2151"/>
        <v>1</v>
      </c>
      <c r="AA1922" s="83">
        <v>45701</v>
      </c>
      <c r="AB1922" s="23" t="s">
        <v>126</v>
      </c>
      <c r="AC1922" s="41"/>
      <c r="AD1922" s="42"/>
      <c r="AE1922" s="42"/>
      <c r="AF1922" s="42"/>
      <c r="AG1922" s="42">
        <v>3</v>
      </c>
      <c r="AH1922" s="43">
        <f t="shared" ref="AH1922" si="2205">SUM(AC1922:AG1922)</f>
        <v>3</v>
      </c>
      <c r="AI1922" s="41"/>
      <c r="AJ1922" s="42">
        <v>3</v>
      </c>
      <c r="AK1922" s="42"/>
      <c r="AL1922" s="42"/>
      <c r="AM1922" s="42"/>
      <c r="AN1922" s="43">
        <f t="shared" ref="AN1922" si="2206">SUM(AI1922:AM1922)</f>
        <v>3</v>
      </c>
      <c r="AO1922" s="42"/>
      <c r="AP1922" s="53"/>
      <c r="AQ1922" s="53"/>
      <c r="AR1922" s="53"/>
      <c r="AS1922" s="72"/>
      <c r="AT1922" s="24">
        <f t="shared" ref="AT1922" si="2207">SUM(AO1922:AS1922)</f>
        <v>0</v>
      </c>
      <c r="AU1922" s="42"/>
      <c r="AV1922" s="53"/>
      <c r="AW1922" s="53"/>
      <c r="AX1922" s="53"/>
      <c r="AY1922" s="72"/>
      <c r="AZ1922" s="24">
        <f t="shared" ref="AZ1922" si="2208">SUM(AU1922:AY1922)</f>
        <v>0</v>
      </c>
      <c r="BA1922" s="24">
        <f t="shared" si="2175"/>
        <v>6</v>
      </c>
      <c r="BB1922" s="83">
        <v>45709</v>
      </c>
    </row>
    <row r="1923" spans="1:55" ht="14.25" x14ac:dyDescent="0.15">
      <c r="A1923" s="23" t="s">
        <v>699</v>
      </c>
      <c r="B1923" s="41"/>
      <c r="C1923" s="42"/>
      <c r="D1923" s="42"/>
      <c r="E1923" s="42"/>
      <c r="F1923" s="42"/>
      <c r="G1923" s="43">
        <f t="shared" si="2181"/>
        <v>0</v>
      </c>
      <c r="H1923" s="41"/>
      <c r="I1923" s="42"/>
      <c r="J1923" s="42"/>
      <c r="K1923" s="42"/>
      <c r="L1923" s="42"/>
      <c r="M1923" s="43">
        <f t="shared" si="2182"/>
        <v>0</v>
      </c>
      <c r="N1923" s="42"/>
      <c r="O1923" s="53"/>
      <c r="P1923" s="53"/>
      <c r="Q1923" s="53"/>
      <c r="R1923" s="72"/>
      <c r="S1923" s="24">
        <f t="shared" si="2183"/>
        <v>0</v>
      </c>
      <c r="T1923" s="42"/>
      <c r="U1923" s="53"/>
      <c r="V1923" s="53"/>
      <c r="W1923" s="53"/>
      <c r="X1923" s="72">
        <v>1</v>
      </c>
      <c r="Y1923" s="24">
        <f t="shared" si="2184"/>
        <v>1</v>
      </c>
      <c r="Z1923" s="24">
        <f t="shared" si="2151"/>
        <v>1</v>
      </c>
      <c r="AA1923" s="83">
        <v>45703</v>
      </c>
      <c r="AB1923" s="23" t="s">
        <v>126</v>
      </c>
      <c r="AC1923" s="41"/>
      <c r="AD1923" s="42"/>
      <c r="AE1923" s="42"/>
      <c r="AF1923" s="42">
        <v>9</v>
      </c>
      <c r="AG1923" s="42">
        <v>5</v>
      </c>
      <c r="AH1923" s="43">
        <f t="shared" si="2171"/>
        <v>14</v>
      </c>
      <c r="AI1923" s="41"/>
      <c r="AJ1923" s="42"/>
      <c r="AK1923" s="42"/>
      <c r="AL1923" s="42"/>
      <c r="AM1923" s="42"/>
      <c r="AN1923" s="43">
        <f t="shared" si="2172"/>
        <v>0</v>
      </c>
      <c r="AO1923" s="42"/>
      <c r="AP1923" s="53"/>
      <c r="AQ1923" s="53"/>
      <c r="AR1923" s="53"/>
      <c r="AS1923" s="72"/>
      <c r="AT1923" s="24">
        <f t="shared" si="2173"/>
        <v>0</v>
      </c>
      <c r="AU1923" s="42"/>
      <c r="AV1923" s="53"/>
      <c r="AW1923" s="53">
        <v>7</v>
      </c>
      <c r="AX1923" s="53"/>
      <c r="AY1923" s="72"/>
      <c r="AZ1923" s="24">
        <f t="shared" si="2174"/>
        <v>7</v>
      </c>
      <c r="BA1923" s="24">
        <f t="shared" si="2175"/>
        <v>21</v>
      </c>
      <c r="BB1923" s="83">
        <v>45731</v>
      </c>
      <c r="BC1923" s="111"/>
    </row>
    <row r="1924" spans="1:55" ht="14.25" x14ac:dyDescent="0.15">
      <c r="A1924" s="23" t="s">
        <v>699</v>
      </c>
      <c r="B1924" s="41"/>
      <c r="C1924" s="42"/>
      <c r="D1924" s="42"/>
      <c r="E1924" s="42"/>
      <c r="F1924" s="42"/>
      <c r="G1924" s="43">
        <f t="shared" si="2181"/>
        <v>0</v>
      </c>
      <c r="H1924" s="41"/>
      <c r="I1924" s="42">
        <v>1</v>
      </c>
      <c r="J1924" s="42"/>
      <c r="K1924" s="42"/>
      <c r="L1924" s="42"/>
      <c r="M1924" s="43">
        <f t="shared" si="2182"/>
        <v>1</v>
      </c>
      <c r="N1924" s="42"/>
      <c r="O1924" s="53"/>
      <c r="P1924" s="53"/>
      <c r="Q1924" s="53"/>
      <c r="R1924" s="72"/>
      <c r="S1924" s="24">
        <f t="shared" si="2183"/>
        <v>0</v>
      </c>
      <c r="T1924" s="42"/>
      <c r="U1924" s="53"/>
      <c r="V1924" s="53"/>
      <c r="W1924" s="53"/>
      <c r="X1924" s="72"/>
      <c r="Y1924" s="24">
        <f t="shared" si="2184"/>
        <v>0</v>
      </c>
      <c r="Z1924" s="24">
        <f t="shared" si="2151"/>
        <v>1</v>
      </c>
      <c r="AA1924" s="83">
        <v>45705</v>
      </c>
      <c r="AB1924" s="23" t="s">
        <v>126</v>
      </c>
      <c r="AC1924" s="41"/>
      <c r="AD1924" s="42"/>
      <c r="AE1924" s="42">
        <v>3</v>
      </c>
      <c r="AF1924" s="42"/>
      <c r="AG1924" s="42"/>
      <c r="AH1924" s="43">
        <f t="shared" ref="AH1924" si="2209">SUM(AC1924:AG1924)</f>
        <v>3</v>
      </c>
      <c r="AI1924" s="41"/>
      <c r="AJ1924" s="42"/>
      <c r="AK1924" s="42"/>
      <c r="AL1924" s="42"/>
      <c r="AM1924" s="42">
        <v>3</v>
      </c>
      <c r="AN1924" s="43">
        <f t="shared" ref="AN1924" si="2210">SUM(AI1924:AM1924)</f>
        <v>3</v>
      </c>
      <c r="AO1924" s="42"/>
      <c r="AP1924" s="53"/>
      <c r="AQ1924" s="53"/>
      <c r="AR1924" s="53"/>
      <c r="AS1924" s="72"/>
      <c r="AT1924" s="24">
        <f t="shared" ref="AT1924" si="2211">SUM(AO1924:AS1924)</f>
        <v>0</v>
      </c>
      <c r="AU1924" s="42"/>
      <c r="AV1924" s="53"/>
      <c r="AW1924" s="53"/>
      <c r="AX1924" s="53"/>
      <c r="AY1924" s="72"/>
      <c r="AZ1924" s="24">
        <f t="shared" ref="AZ1924" si="2212">SUM(AU1924:AY1924)</f>
        <v>0</v>
      </c>
      <c r="BA1924" s="24">
        <f t="shared" si="2175"/>
        <v>6</v>
      </c>
      <c r="BB1924" s="83">
        <v>45752</v>
      </c>
      <c r="BC1924" s="111"/>
    </row>
    <row r="1925" spans="1:55" ht="14.25" x14ac:dyDescent="0.15">
      <c r="A1925" s="23" t="s">
        <v>699</v>
      </c>
      <c r="B1925" s="41"/>
      <c r="C1925" s="42"/>
      <c r="D1925" s="42"/>
      <c r="E1925" s="42"/>
      <c r="F1925" s="42">
        <v>2</v>
      </c>
      <c r="G1925" s="43">
        <f t="shared" si="2181"/>
        <v>2</v>
      </c>
      <c r="H1925" s="41">
        <v>1</v>
      </c>
      <c r="I1925" s="42"/>
      <c r="J1925" s="42"/>
      <c r="K1925" s="42"/>
      <c r="L1925" s="42"/>
      <c r="M1925" s="43">
        <f t="shared" si="2182"/>
        <v>1</v>
      </c>
      <c r="N1925" s="42"/>
      <c r="O1925" s="53"/>
      <c r="P1925" s="53"/>
      <c r="Q1925" s="53"/>
      <c r="R1925" s="72"/>
      <c r="S1925" s="24">
        <f t="shared" si="2183"/>
        <v>0</v>
      </c>
      <c r="T1925" s="42"/>
      <c r="U1925" s="53"/>
      <c r="V1925" s="53"/>
      <c r="W1925" s="53"/>
      <c r="X1925" s="72"/>
      <c r="Y1925" s="24">
        <f t="shared" si="2184"/>
        <v>0</v>
      </c>
      <c r="Z1925" s="24">
        <f t="shared" si="2151"/>
        <v>3</v>
      </c>
      <c r="AA1925" s="83">
        <v>45708</v>
      </c>
      <c r="AB1925" s="23" t="s">
        <v>126</v>
      </c>
      <c r="AC1925" s="41"/>
      <c r="AD1925" s="42"/>
      <c r="AE1925" s="42"/>
      <c r="AF1925" s="42"/>
      <c r="AG1925" s="42"/>
      <c r="AH1925" s="43">
        <f t="shared" ref="AH1925" si="2213">SUM(AC1925:AG1925)</f>
        <v>0</v>
      </c>
      <c r="AI1925" s="41"/>
      <c r="AJ1925" s="42">
        <v>3</v>
      </c>
      <c r="AK1925" s="42">
        <v>3</v>
      </c>
      <c r="AL1925" s="42">
        <v>3</v>
      </c>
      <c r="AM1925" s="42">
        <v>3</v>
      </c>
      <c r="AN1925" s="43">
        <f t="shared" ref="AN1925" si="2214">SUM(AI1925:AM1925)</f>
        <v>12</v>
      </c>
      <c r="AO1925" s="42"/>
      <c r="AP1925" s="53"/>
      <c r="AQ1925" s="53"/>
      <c r="AR1925" s="53">
        <v>3</v>
      </c>
      <c r="AS1925" s="72"/>
      <c r="AT1925" s="24">
        <f t="shared" ref="AT1925" si="2215">SUM(AO1925:AS1925)</f>
        <v>3</v>
      </c>
      <c r="AU1925" s="42"/>
      <c r="AV1925" s="53"/>
      <c r="AW1925" s="53"/>
      <c r="AX1925" s="53"/>
      <c r="AY1925" s="72"/>
      <c r="AZ1925" s="24">
        <f t="shared" ref="AZ1925" si="2216">SUM(AU1925:AY1925)</f>
        <v>0</v>
      </c>
      <c r="BA1925" s="24">
        <f t="shared" si="2175"/>
        <v>15</v>
      </c>
      <c r="BB1925" s="83">
        <v>45784</v>
      </c>
    </row>
    <row r="1926" spans="1:55" ht="14.25" x14ac:dyDescent="0.15">
      <c r="A1926" s="23" t="s">
        <v>699</v>
      </c>
      <c r="B1926" s="41"/>
      <c r="C1926" s="42"/>
      <c r="D1926" s="42">
        <v>1</v>
      </c>
      <c r="E1926" s="42"/>
      <c r="F1926" s="42"/>
      <c r="G1926" s="43">
        <f t="shared" si="2181"/>
        <v>1</v>
      </c>
      <c r="H1926" s="41"/>
      <c r="I1926" s="42"/>
      <c r="J1926" s="42"/>
      <c r="K1926" s="42"/>
      <c r="L1926" s="42"/>
      <c r="M1926" s="43">
        <f t="shared" si="2182"/>
        <v>0</v>
      </c>
      <c r="N1926" s="42"/>
      <c r="O1926" s="53"/>
      <c r="P1926" s="53"/>
      <c r="Q1926" s="53"/>
      <c r="R1926" s="72"/>
      <c r="S1926" s="24">
        <f t="shared" si="2183"/>
        <v>0</v>
      </c>
      <c r="T1926" s="42"/>
      <c r="U1926" s="53"/>
      <c r="V1926" s="53"/>
      <c r="W1926" s="53"/>
      <c r="X1926" s="72"/>
      <c r="Y1926" s="24">
        <f t="shared" si="2184"/>
        <v>0</v>
      </c>
      <c r="Z1926" s="24">
        <f t="shared" si="2151"/>
        <v>1</v>
      </c>
      <c r="AA1926" s="83">
        <v>45709</v>
      </c>
      <c r="AB1926" s="23"/>
      <c r="AC1926" s="41"/>
      <c r="AD1926" s="42"/>
      <c r="AE1926" s="42"/>
      <c r="AF1926" s="42"/>
      <c r="AG1926" s="42"/>
      <c r="AH1926" s="43">
        <f t="shared" si="2171"/>
        <v>0</v>
      </c>
      <c r="AI1926" s="41"/>
      <c r="AJ1926" s="42"/>
      <c r="AK1926" s="42"/>
      <c r="AL1926" s="42"/>
      <c r="AM1926" s="42"/>
      <c r="AN1926" s="43">
        <f t="shared" si="2172"/>
        <v>0</v>
      </c>
      <c r="AO1926" s="42"/>
      <c r="AP1926" s="53"/>
      <c r="AQ1926" s="53"/>
      <c r="AR1926" s="53"/>
      <c r="AS1926" s="72"/>
      <c r="AT1926" s="24">
        <f t="shared" si="2173"/>
        <v>0</v>
      </c>
      <c r="AU1926" s="42"/>
      <c r="AV1926" s="53"/>
      <c r="AW1926" s="53"/>
      <c r="AX1926" s="53"/>
      <c r="AY1926" s="72"/>
      <c r="AZ1926" s="24">
        <f t="shared" si="2174"/>
        <v>0</v>
      </c>
      <c r="BA1926" s="24">
        <f t="shared" si="2175"/>
        <v>0</v>
      </c>
      <c r="BB1926" s="128"/>
    </row>
    <row r="1927" spans="1:55" ht="14.25" x14ac:dyDescent="0.15">
      <c r="A1927" s="23" t="s">
        <v>699</v>
      </c>
      <c r="B1927" s="41"/>
      <c r="C1927" s="42">
        <v>1</v>
      </c>
      <c r="D1927" s="42"/>
      <c r="E1927" s="42"/>
      <c r="F1927" s="42"/>
      <c r="G1927" s="43">
        <f t="shared" si="2181"/>
        <v>1</v>
      </c>
      <c r="H1927" s="41"/>
      <c r="I1927" s="42"/>
      <c r="J1927" s="42"/>
      <c r="K1927" s="42">
        <v>1</v>
      </c>
      <c r="L1927" s="42"/>
      <c r="M1927" s="43">
        <f t="shared" si="2182"/>
        <v>1</v>
      </c>
      <c r="N1927" s="42"/>
      <c r="O1927" s="53"/>
      <c r="P1927" s="53"/>
      <c r="Q1927" s="53"/>
      <c r="R1927" s="72"/>
      <c r="S1927" s="24">
        <f t="shared" si="2183"/>
        <v>0</v>
      </c>
      <c r="T1927" s="42"/>
      <c r="U1927" s="53"/>
      <c r="V1927" s="53"/>
      <c r="W1927" s="53"/>
      <c r="X1927" s="72"/>
      <c r="Y1927" s="24">
        <f t="shared" si="2184"/>
        <v>0</v>
      </c>
      <c r="Z1927" s="24">
        <f t="shared" si="2151"/>
        <v>2</v>
      </c>
      <c r="AA1927" s="83">
        <v>45713</v>
      </c>
      <c r="AB1927" s="23"/>
      <c r="AC1927" s="41"/>
      <c r="AD1927" s="42"/>
      <c r="AE1927" s="42"/>
      <c r="AF1927" s="42"/>
      <c r="AG1927" s="42"/>
      <c r="AH1927" s="43">
        <f t="shared" si="2171"/>
        <v>0</v>
      </c>
      <c r="AI1927" s="41"/>
      <c r="AJ1927" s="42"/>
      <c r="AK1927" s="42"/>
      <c r="AL1927" s="42"/>
      <c r="AM1927" s="42"/>
      <c r="AN1927" s="43">
        <f t="shared" si="2172"/>
        <v>0</v>
      </c>
      <c r="AO1927" s="42"/>
      <c r="AP1927" s="53"/>
      <c r="AQ1927" s="53"/>
      <c r="AR1927" s="53"/>
      <c r="AS1927" s="72"/>
      <c r="AT1927" s="24">
        <f t="shared" si="2173"/>
        <v>0</v>
      </c>
      <c r="AU1927" s="42"/>
      <c r="AV1927" s="53"/>
      <c r="AW1927" s="53"/>
      <c r="AX1927" s="53"/>
      <c r="AY1927" s="72"/>
      <c r="AZ1927" s="24">
        <f t="shared" si="2174"/>
        <v>0</v>
      </c>
      <c r="BA1927" s="24">
        <f t="shared" si="2175"/>
        <v>0</v>
      </c>
      <c r="BB1927" s="128"/>
    </row>
    <row r="1928" spans="1:55" ht="14.25" x14ac:dyDescent="0.15">
      <c r="A1928" s="23" t="s">
        <v>699</v>
      </c>
      <c r="B1928" s="41"/>
      <c r="C1928" s="42"/>
      <c r="D1928" s="42"/>
      <c r="E1928" s="42"/>
      <c r="F1928" s="42"/>
      <c r="G1928" s="43">
        <f t="shared" si="2181"/>
        <v>0</v>
      </c>
      <c r="H1928" s="41"/>
      <c r="I1928" s="42"/>
      <c r="J1928" s="42"/>
      <c r="K1928" s="42"/>
      <c r="L1928" s="42"/>
      <c r="M1928" s="43">
        <f t="shared" si="2182"/>
        <v>0</v>
      </c>
      <c r="N1928" s="42"/>
      <c r="O1928" s="53"/>
      <c r="P1928" s="53"/>
      <c r="Q1928" s="53"/>
      <c r="R1928" s="72"/>
      <c r="S1928" s="24">
        <f t="shared" si="2183"/>
        <v>0</v>
      </c>
      <c r="T1928" s="42"/>
      <c r="U1928" s="53"/>
      <c r="V1928" s="53"/>
      <c r="W1928" s="53">
        <v>1</v>
      </c>
      <c r="X1928" s="72"/>
      <c r="Y1928" s="24">
        <f t="shared" si="2184"/>
        <v>1</v>
      </c>
      <c r="Z1928" s="24">
        <f t="shared" si="2151"/>
        <v>1</v>
      </c>
      <c r="AA1928" s="83">
        <v>45716</v>
      </c>
      <c r="AB1928" s="23"/>
      <c r="AC1928" s="41"/>
      <c r="AD1928" s="42"/>
      <c r="AE1928" s="42"/>
      <c r="AF1928" s="42"/>
      <c r="AG1928" s="42"/>
      <c r="AH1928" s="43">
        <f t="shared" si="2171"/>
        <v>0</v>
      </c>
      <c r="AI1928" s="41"/>
      <c r="AJ1928" s="42"/>
      <c r="AK1928" s="42"/>
      <c r="AL1928" s="42"/>
      <c r="AM1928" s="42"/>
      <c r="AN1928" s="43">
        <f t="shared" si="2172"/>
        <v>0</v>
      </c>
      <c r="AO1928" s="42"/>
      <c r="AP1928" s="53"/>
      <c r="AQ1928" s="53"/>
      <c r="AR1928" s="53"/>
      <c r="AS1928" s="72"/>
      <c r="AT1928" s="24">
        <f t="shared" si="2173"/>
        <v>0</v>
      </c>
      <c r="AU1928" s="42"/>
      <c r="AV1928" s="53"/>
      <c r="AW1928" s="53"/>
      <c r="AX1928" s="53"/>
      <c r="AY1928" s="72"/>
      <c r="AZ1928" s="24">
        <f t="shared" si="2174"/>
        <v>0</v>
      </c>
      <c r="BA1928" s="24">
        <f t="shared" si="2175"/>
        <v>0</v>
      </c>
    </row>
    <row r="1929" spans="1:55" ht="14.25" x14ac:dyDescent="0.15">
      <c r="A1929" s="23" t="s">
        <v>699</v>
      </c>
      <c r="B1929" s="41"/>
      <c r="C1929" s="42"/>
      <c r="D1929" s="42"/>
      <c r="E1929" s="42"/>
      <c r="F1929" s="42"/>
      <c r="G1929" s="43">
        <f t="shared" si="2181"/>
        <v>0</v>
      </c>
      <c r="H1929" s="41"/>
      <c r="I1929" s="42"/>
      <c r="J1929" s="42"/>
      <c r="K1929" s="42"/>
      <c r="L1929" s="42">
        <v>1</v>
      </c>
      <c r="M1929" s="43">
        <f t="shared" si="2182"/>
        <v>1</v>
      </c>
      <c r="N1929" s="42"/>
      <c r="O1929" s="53"/>
      <c r="P1929" s="53"/>
      <c r="Q1929" s="53"/>
      <c r="R1929" s="72"/>
      <c r="S1929" s="24">
        <f t="shared" si="2183"/>
        <v>0</v>
      </c>
      <c r="T1929" s="42"/>
      <c r="U1929" s="53"/>
      <c r="V1929" s="53"/>
      <c r="W1929" s="53"/>
      <c r="X1929" s="72"/>
      <c r="Y1929" s="24">
        <f t="shared" si="2184"/>
        <v>0</v>
      </c>
      <c r="Z1929" s="24">
        <f t="shared" si="2151"/>
        <v>1</v>
      </c>
      <c r="AA1929" s="83">
        <v>45722</v>
      </c>
      <c r="AB1929" s="23"/>
      <c r="AC1929" s="41"/>
      <c r="AD1929" s="42"/>
      <c r="AE1929" s="42"/>
      <c r="AF1929" s="42"/>
      <c r="AG1929" s="42"/>
      <c r="AH1929" s="43">
        <f t="shared" si="2171"/>
        <v>0</v>
      </c>
      <c r="AI1929" s="41"/>
      <c r="AJ1929" s="42"/>
      <c r="AK1929" s="42"/>
      <c r="AL1929" s="42"/>
      <c r="AM1929" s="42"/>
      <c r="AN1929" s="43">
        <f t="shared" si="2172"/>
        <v>0</v>
      </c>
      <c r="AO1929" s="42"/>
      <c r="AP1929" s="53"/>
      <c r="AQ1929" s="53"/>
      <c r="AR1929" s="53"/>
      <c r="AS1929" s="72"/>
      <c r="AT1929" s="24">
        <f t="shared" si="2173"/>
        <v>0</v>
      </c>
      <c r="AU1929" s="42"/>
      <c r="AV1929" s="53"/>
      <c r="AW1929" s="53"/>
      <c r="AX1929" s="53"/>
      <c r="AY1929" s="72"/>
      <c r="AZ1929" s="24">
        <f t="shared" si="2174"/>
        <v>0</v>
      </c>
      <c r="BA1929" s="24">
        <f t="shared" si="2175"/>
        <v>0</v>
      </c>
    </row>
    <row r="1930" spans="1:55" ht="14.25" x14ac:dyDescent="0.15">
      <c r="A1930" s="23" t="s">
        <v>699</v>
      </c>
      <c r="B1930" s="41"/>
      <c r="C1930" s="42"/>
      <c r="D1930" s="42"/>
      <c r="E1930" s="42"/>
      <c r="F1930" s="42">
        <v>1</v>
      </c>
      <c r="G1930" s="43">
        <f t="shared" si="2181"/>
        <v>1</v>
      </c>
      <c r="H1930" s="41"/>
      <c r="I1930" s="42"/>
      <c r="J1930" s="42"/>
      <c r="K1930" s="42"/>
      <c r="L1930" s="42"/>
      <c r="M1930" s="43">
        <f t="shared" si="2182"/>
        <v>0</v>
      </c>
      <c r="N1930" s="42"/>
      <c r="O1930" s="53"/>
      <c r="P1930" s="53"/>
      <c r="Q1930" s="53"/>
      <c r="R1930" s="72"/>
      <c r="S1930" s="24">
        <f t="shared" si="2183"/>
        <v>0</v>
      </c>
      <c r="T1930" s="42"/>
      <c r="U1930" s="53"/>
      <c r="V1930" s="53"/>
      <c r="W1930" s="53"/>
      <c r="X1930" s="72"/>
      <c r="Y1930" s="24">
        <f t="shared" si="2184"/>
        <v>0</v>
      </c>
      <c r="Z1930" s="24">
        <f t="shared" si="2151"/>
        <v>1</v>
      </c>
      <c r="AA1930" s="83">
        <v>45726</v>
      </c>
      <c r="AB1930" s="23"/>
      <c r="AC1930" s="41"/>
      <c r="AD1930" s="42"/>
      <c r="AE1930" s="42"/>
      <c r="AF1930" s="42"/>
      <c r="AG1930" s="42"/>
      <c r="AH1930" s="43">
        <f t="shared" si="2171"/>
        <v>0</v>
      </c>
      <c r="AI1930" s="41"/>
      <c r="AJ1930" s="42"/>
      <c r="AK1930" s="42"/>
      <c r="AL1930" s="42"/>
      <c r="AM1930" s="42"/>
      <c r="AN1930" s="43">
        <f t="shared" si="2172"/>
        <v>0</v>
      </c>
      <c r="AO1930" s="42"/>
      <c r="AP1930" s="53"/>
      <c r="AQ1930" s="53"/>
      <c r="AR1930" s="53"/>
      <c r="AS1930" s="72"/>
      <c r="AT1930" s="24">
        <f t="shared" si="2173"/>
        <v>0</v>
      </c>
      <c r="AU1930" s="42"/>
      <c r="AV1930" s="53"/>
      <c r="AW1930" s="53"/>
      <c r="AX1930" s="53"/>
      <c r="AY1930" s="72"/>
      <c r="AZ1930" s="24">
        <f t="shared" si="2174"/>
        <v>0</v>
      </c>
      <c r="BA1930" s="24">
        <f t="shared" si="2175"/>
        <v>0</v>
      </c>
    </row>
    <row r="1931" spans="1:55" ht="14.25" x14ac:dyDescent="0.15">
      <c r="A1931" s="23" t="s">
        <v>699</v>
      </c>
      <c r="B1931" s="41"/>
      <c r="C1931" s="42"/>
      <c r="D1931" s="42"/>
      <c r="E1931" s="42"/>
      <c r="F1931" s="42"/>
      <c r="G1931" s="43">
        <f t="shared" si="2181"/>
        <v>0</v>
      </c>
      <c r="H1931" s="41"/>
      <c r="I1931" s="42"/>
      <c r="J1931" s="42">
        <v>1</v>
      </c>
      <c r="K1931" s="42"/>
      <c r="L1931" s="42"/>
      <c r="M1931" s="43">
        <f t="shared" si="2182"/>
        <v>1</v>
      </c>
      <c r="N1931" s="42"/>
      <c r="O1931" s="53"/>
      <c r="P1931" s="53"/>
      <c r="Q1931" s="53"/>
      <c r="R1931" s="72"/>
      <c r="S1931" s="24">
        <f t="shared" si="2183"/>
        <v>0</v>
      </c>
      <c r="T1931" s="42"/>
      <c r="U1931" s="53"/>
      <c r="V1931" s="53"/>
      <c r="W1931" s="53"/>
      <c r="X1931" s="72"/>
      <c r="Y1931" s="24">
        <f t="shared" si="2184"/>
        <v>0</v>
      </c>
      <c r="Z1931" s="24">
        <f t="shared" si="2151"/>
        <v>1</v>
      </c>
      <c r="AA1931" s="83">
        <v>45727</v>
      </c>
      <c r="AB1931" s="23"/>
      <c r="AC1931" s="41"/>
      <c r="AD1931" s="42"/>
      <c r="AE1931" s="42"/>
      <c r="AF1931" s="42"/>
      <c r="AG1931" s="42"/>
      <c r="AH1931" s="43">
        <f t="shared" si="2171"/>
        <v>0</v>
      </c>
      <c r="AI1931" s="41"/>
      <c r="AJ1931" s="42"/>
      <c r="AK1931" s="42"/>
      <c r="AL1931" s="42"/>
      <c r="AM1931" s="42"/>
      <c r="AN1931" s="43">
        <f t="shared" si="2172"/>
        <v>0</v>
      </c>
      <c r="AO1931" s="42"/>
      <c r="AP1931" s="53"/>
      <c r="AQ1931" s="53"/>
      <c r="AR1931" s="53"/>
      <c r="AS1931" s="72"/>
      <c r="AT1931" s="24">
        <f t="shared" si="2173"/>
        <v>0</v>
      </c>
      <c r="AU1931" s="42"/>
      <c r="AV1931" s="53"/>
      <c r="AW1931" s="53"/>
      <c r="AX1931" s="53"/>
      <c r="AY1931" s="72"/>
      <c r="AZ1931" s="24">
        <f t="shared" si="2174"/>
        <v>0</v>
      </c>
      <c r="BA1931" s="24">
        <f t="shared" si="2175"/>
        <v>0</v>
      </c>
    </row>
    <row r="1932" spans="1:55" ht="14.25" x14ac:dyDescent="0.15">
      <c r="A1932" s="23" t="s">
        <v>699</v>
      </c>
      <c r="B1932" s="41"/>
      <c r="C1932" s="42">
        <v>1</v>
      </c>
      <c r="D1932" s="42"/>
      <c r="E1932" s="42"/>
      <c r="F1932" s="42"/>
      <c r="G1932" s="43">
        <f t="shared" si="2181"/>
        <v>1</v>
      </c>
      <c r="H1932" s="41"/>
      <c r="I1932" s="42"/>
      <c r="J1932" s="42"/>
      <c r="K1932" s="42"/>
      <c r="L1932" s="42"/>
      <c r="M1932" s="43">
        <f t="shared" si="2182"/>
        <v>0</v>
      </c>
      <c r="N1932" s="42"/>
      <c r="O1932" s="53"/>
      <c r="P1932" s="53"/>
      <c r="Q1932" s="53"/>
      <c r="R1932" s="72"/>
      <c r="S1932" s="24">
        <f t="shared" si="2183"/>
        <v>0</v>
      </c>
      <c r="T1932" s="42"/>
      <c r="U1932" s="53"/>
      <c r="V1932" s="53"/>
      <c r="W1932" s="53"/>
      <c r="X1932" s="72"/>
      <c r="Y1932" s="24">
        <f t="shared" si="2184"/>
        <v>0</v>
      </c>
      <c r="Z1932" s="24">
        <f t="shared" si="2151"/>
        <v>1</v>
      </c>
      <c r="AA1932" s="83">
        <v>45729</v>
      </c>
      <c r="AB1932" s="23"/>
      <c r="AC1932" s="41"/>
      <c r="AD1932" s="42"/>
      <c r="AE1932" s="42"/>
      <c r="AF1932" s="42"/>
      <c r="AG1932" s="42"/>
      <c r="AH1932" s="43">
        <f t="shared" si="2171"/>
        <v>0</v>
      </c>
      <c r="AI1932" s="41"/>
      <c r="AJ1932" s="42"/>
      <c r="AK1932" s="42"/>
      <c r="AL1932" s="42"/>
      <c r="AM1932" s="42"/>
      <c r="AN1932" s="43">
        <f t="shared" si="2172"/>
        <v>0</v>
      </c>
      <c r="AO1932" s="42"/>
      <c r="AP1932" s="53"/>
      <c r="AQ1932" s="53"/>
      <c r="AR1932" s="53"/>
      <c r="AS1932" s="72"/>
      <c r="AT1932" s="24">
        <f t="shared" si="2173"/>
        <v>0</v>
      </c>
      <c r="AU1932" s="42"/>
      <c r="AV1932" s="53"/>
      <c r="AW1932" s="53"/>
      <c r="AX1932" s="53"/>
      <c r="AY1932" s="72"/>
      <c r="AZ1932" s="24">
        <f t="shared" si="2174"/>
        <v>0</v>
      </c>
      <c r="BA1932" s="24">
        <f t="shared" si="2175"/>
        <v>0</v>
      </c>
    </row>
    <row r="1933" spans="1:55" ht="14.25" x14ac:dyDescent="0.15">
      <c r="A1933" s="23" t="s">
        <v>699</v>
      </c>
      <c r="B1933" s="41"/>
      <c r="C1933" s="42"/>
      <c r="D1933" s="42"/>
      <c r="E1933" s="42"/>
      <c r="F1933" s="42"/>
      <c r="G1933" s="43">
        <f t="shared" si="2181"/>
        <v>0</v>
      </c>
      <c r="H1933" s="41"/>
      <c r="I1933" s="42"/>
      <c r="J1933" s="42"/>
      <c r="K1933" s="42"/>
      <c r="L1933" s="42"/>
      <c r="M1933" s="43">
        <f t="shared" si="2182"/>
        <v>0</v>
      </c>
      <c r="N1933" s="42"/>
      <c r="O1933" s="53"/>
      <c r="P1933" s="53"/>
      <c r="Q1933" s="53">
        <v>1</v>
      </c>
      <c r="R1933" s="72"/>
      <c r="S1933" s="24">
        <f t="shared" si="2183"/>
        <v>1</v>
      </c>
      <c r="T1933" s="42"/>
      <c r="U1933" s="53"/>
      <c r="V1933" s="53"/>
      <c r="W1933" s="53"/>
      <c r="X1933" s="72"/>
      <c r="Y1933" s="24">
        <f t="shared" si="2184"/>
        <v>0</v>
      </c>
      <c r="Z1933" s="24">
        <f t="shared" si="2151"/>
        <v>1</v>
      </c>
      <c r="AA1933" s="83">
        <v>45733</v>
      </c>
      <c r="AB1933" s="23"/>
      <c r="AC1933" s="41"/>
      <c r="AD1933" s="42"/>
      <c r="AE1933" s="42"/>
      <c r="AF1933" s="42"/>
      <c r="AG1933" s="42"/>
      <c r="AH1933" s="43">
        <f t="shared" si="2171"/>
        <v>0</v>
      </c>
      <c r="AI1933" s="41"/>
      <c r="AJ1933" s="42"/>
      <c r="AK1933" s="42"/>
      <c r="AL1933" s="42"/>
      <c r="AM1933" s="42"/>
      <c r="AN1933" s="43">
        <f t="shared" si="2172"/>
        <v>0</v>
      </c>
      <c r="AO1933" s="42"/>
      <c r="AP1933" s="53"/>
      <c r="AQ1933" s="53"/>
      <c r="AR1933" s="53"/>
      <c r="AS1933" s="72"/>
      <c r="AT1933" s="24">
        <f t="shared" si="2173"/>
        <v>0</v>
      </c>
      <c r="AU1933" s="42"/>
      <c r="AV1933" s="53"/>
      <c r="AW1933" s="53"/>
      <c r="AX1933" s="53"/>
      <c r="AY1933" s="72"/>
      <c r="AZ1933" s="24">
        <f t="shared" si="2174"/>
        <v>0</v>
      </c>
      <c r="BA1933" s="24">
        <f t="shared" si="2175"/>
        <v>0</v>
      </c>
    </row>
    <row r="1934" spans="1:55" ht="14.25" x14ac:dyDescent="0.15">
      <c r="A1934" s="23" t="s">
        <v>699</v>
      </c>
      <c r="B1934" s="41"/>
      <c r="C1934" s="42"/>
      <c r="D1934" s="42"/>
      <c r="E1934" s="42"/>
      <c r="F1934" s="42"/>
      <c r="G1934" s="43">
        <f t="shared" si="2181"/>
        <v>0</v>
      </c>
      <c r="H1934" s="41"/>
      <c r="I1934" s="42"/>
      <c r="J1934" s="42"/>
      <c r="K1934" s="42"/>
      <c r="L1934" s="42">
        <v>1</v>
      </c>
      <c r="M1934" s="43">
        <f t="shared" si="2182"/>
        <v>1</v>
      </c>
      <c r="N1934" s="42"/>
      <c r="O1934" s="53"/>
      <c r="P1934" s="53"/>
      <c r="Q1934" s="53"/>
      <c r="R1934" s="72"/>
      <c r="S1934" s="24">
        <f t="shared" si="2183"/>
        <v>0</v>
      </c>
      <c r="T1934" s="42"/>
      <c r="U1934" s="53"/>
      <c r="V1934" s="53"/>
      <c r="W1934" s="53"/>
      <c r="X1934" s="72"/>
      <c r="Y1934" s="24">
        <f t="shared" si="2184"/>
        <v>0</v>
      </c>
      <c r="Z1934" s="24">
        <f t="shared" si="2151"/>
        <v>1</v>
      </c>
      <c r="AA1934" s="83">
        <v>45735</v>
      </c>
      <c r="AB1934" s="23"/>
      <c r="AC1934" s="41"/>
      <c r="AD1934" s="42"/>
      <c r="AE1934" s="42"/>
      <c r="AF1934" s="42"/>
      <c r="AG1934" s="42"/>
      <c r="AH1934" s="43">
        <f t="shared" si="2171"/>
        <v>0</v>
      </c>
      <c r="AI1934" s="41"/>
      <c r="AJ1934" s="42"/>
      <c r="AK1934" s="42"/>
      <c r="AL1934" s="42"/>
      <c r="AM1934" s="42"/>
      <c r="AN1934" s="43">
        <f t="shared" si="2172"/>
        <v>0</v>
      </c>
      <c r="AO1934" s="42"/>
      <c r="AP1934" s="53"/>
      <c r="AQ1934" s="53"/>
      <c r="AR1934" s="53"/>
      <c r="AS1934" s="72"/>
      <c r="AT1934" s="24">
        <f t="shared" si="2173"/>
        <v>0</v>
      </c>
      <c r="AU1934" s="42"/>
      <c r="AV1934" s="53"/>
      <c r="AW1934" s="53"/>
      <c r="AX1934" s="53"/>
      <c r="AY1934" s="72"/>
      <c r="AZ1934" s="24">
        <f t="shared" si="2174"/>
        <v>0</v>
      </c>
      <c r="BA1934" s="24">
        <f t="shared" si="2175"/>
        <v>0</v>
      </c>
    </row>
    <row r="1935" spans="1:55" ht="14.25" x14ac:dyDescent="0.15">
      <c r="A1935" s="23" t="s">
        <v>699</v>
      </c>
      <c r="B1935" s="41"/>
      <c r="C1935" s="42"/>
      <c r="D1935" s="42"/>
      <c r="E1935" s="42"/>
      <c r="F1935" s="42">
        <v>1</v>
      </c>
      <c r="G1935" s="43">
        <f t="shared" si="2181"/>
        <v>1</v>
      </c>
      <c r="H1935" s="41"/>
      <c r="I1935" s="42"/>
      <c r="J1935" s="42"/>
      <c r="K1935" s="42">
        <v>1</v>
      </c>
      <c r="L1935" s="42"/>
      <c r="M1935" s="43">
        <f t="shared" si="2182"/>
        <v>1</v>
      </c>
      <c r="N1935" s="42"/>
      <c r="O1935" s="53"/>
      <c r="P1935" s="53"/>
      <c r="Q1935" s="53"/>
      <c r="R1935" s="72"/>
      <c r="S1935" s="24">
        <f t="shared" si="2183"/>
        <v>0</v>
      </c>
      <c r="T1935" s="42"/>
      <c r="U1935" s="53"/>
      <c r="V1935" s="53"/>
      <c r="W1935" s="53"/>
      <c r="X1935" s="72"/>
      <c r="Y1935" s="24">
        <f t="shared" si="2184"/>
        <v>0</v>
      </c>
      <c r="Z1935" s="24">
        <f t="shared" si="2151"/>
        <v>2</v>
      </c>
      <c r="AA1935" s="83">
        <v>45737</v>
      </c>
      <c r="AB1935" s="23"/>
      <c r="AC1935" s="41"/>
      <c r="AD1935" s="42"/>
      <c r="AE1935" s="42"/>
      <c r="AF1935" s="42"/>
      <c r="AG1935" s="42"/>
      <c r="AH1935" s="43">
        <f t="shared" si="2171"/>
        <v>0</v>
      </c>
      <c r="AI1935" s="41"/>
      <c r="AJ1935" s="42"/>
      <c r="AK1935" s="42"/>
      <c r="AL1935" s="42"/>
      <c r="AM1935" s="42"/>
      <c r="AN1935" s="43">
        <f t="shared" si="2172"/>
        <v>0</v>
      </c>
      <c r="AO1935" s="42"/>
      <c r="AP1935" s="53"/>
      <c r="AQ1935" s="53"/>
      <c r="AR1935" s="53"/>
      <c r="AS1935" s="72"/>
      <c r="AT1935" s="24">
        <f t="shared" si="2173"/>
        <v>0</v>
      </c>
      <c r="AU1935" s="42"/>
      <c r="AV1935" s="53"/>
      <c r="AW1935" s="53"/>
      <c r="AX1935" s="53"/>
      <c r="AY1935" s="72"/>
      <c r="AZ1935" s="24">
        <f t="shared" si="2174"/>
        <v>0</v>
      </c>
      <c r="BA1935" s="24">
        <f t="shared" si="2175"/>
        <v>0</v>
      </c>
    </row>
    <row r="1936" spans="1:55" ht="14.25" x14ac:dyDescent="0.15">
      <c r="A1936" s="23" t="s">
        <v>699</v>
      </c>
      <c r="B1936" s="41"/>
      <c r="C1936" s="42"/>
      <c r="D1936" s="42"/>
      <c r="E1936" s="42">
        <v>1</v>
      </c>
      <c r="F1936" s="42"/>
      <c r="G1936" s="43">
        <f t="shared" si="2181"/>
        <v>1</v>
      </c>
      <c r="H1936" s="41"/>
      <c r="I1936" s="42">
        <v>2</v>
      </c>
      <c r="J1936" s="42"/>
      <c r="K1936" s="42"/>
      <c r="L1936" s="42">
        <v>1</v>
      </c>
      <c r="M1936" s="43">
        <f t="shared" si="2182"/>
        <v>3</v>
      </c>
      <c r="N1936" s="42"/>
      <c r="O1936" s="53">
        <v>1</v>
      </c>
      <c r="P1936" s="53"/>
      <c r="Q1936" s="53"/>
      <c r="R1936" s="72"/>
      <c r="S1936" s="24">
        <f t="shared" si="2183"/>
        <v>1</v>
      </c>
      <c r="T1936" s="42"/>
      <c r="U1936" s="53">
        <v>1</v>
      </c>
      <c r="V1936" s="53"/>
      <c r="W1936" s="53">
        <v>1</v>
      </c>
      <c r="X1936" s="72"/>
      <c r="Y1936" s="24">
        <f t="shared" si="2184"/>
        <v>2</v>
      </c>
      <c r="Z1936" s="24">
        <f t="shared" si="2151"/>
        <v>7</v>
      </c>
      <c r="AA1936" s="83">
        <v>45740</v>
      </c>
      <c r="AB1936" s="23"/>
      <c r="AC1936" s="41"/>
      <c r="AD1936" s="42"/>
      <c r="AE1936" s="42"/>
      <c r="AF1936" s="42"/>
      <c r="AG1936" s="42"/>
      <c r="AH1936" s="43">
        <f t="shared" si="2171"/>
        <v>0</v>
      </c>
      <c r="AI1936" s="41"/>
      <c r="AJ1936" s="42"/>
      <c r="AK1936" s="42"/>
      <c r="AL1936" s="42"/>
      <c r="AM1936" s="42"/>
      <c r="AN1936" s="43">
        <f t="shared" si="2172"/>
        <v>0</v>
      </c>
      <c r="AO1936" s="42"/>
      <c r="AP1936" s="53"/>
      <c r="AQ1936" s="53"/>
      <c r="AR1936" s="53"/>
      <c r="AS1936" s="72"/>
      <c r="AT1936" s="24">
        <f t="shared" si="2173"/>
        <v>0</v>
      </c>
      <c r="AU1936" s="42"/>
      <c r="AV1936" s="53"/>
      <c r="AW1936" s="53"/>
      <c r="AX1936" s="53"/>
      <c r="AY1936" s="72"/>
      <c r="AZ1936" s="24">
        <f t="shared" si="2174"/>
        <v>0</v>
      </c>
      <c r="BA1936" s="24">
        <f t="shared" si="2175"/>
        <v>0</v>
      </c>
    </row>
    <row r="1937" spans="1:53" ht="14.25" x14ac:dyDescent="0.15">
      <c r="A1937" s="23" t="s">
        <v>699</v>
      </c>
      <c r="B1937" s="41"/>
      <c r="C1937" s="42"/>
      <c r="D1937" s="42"/>
      <c r="E1937" s="42"/>
      <c r="F1937" s="42"/>
      <c r="G1937" s="43">
        <f t="shared" si="2181"/>
        <v>0</v>
      </c>
      <c r="H1937" s="41"/>
      <c r="I1937" s="42"/>
      <c r="J1937" s="42"/>
      <c r="K1937" s="42"/>
      <c r="L1937" s="42">
        <v>1</v>
      </c>
      <c r="M1937" s="43">
        <f t="shared" si="2182"/>
        <v>1</v>
      </c>
      <c r="N1937" s="42"/>
      <c r="O1937" s="53"/>
      <c r="P1937" s="53"/>
      <c r="Q1937" s="53"/>
      <c r="R1937" s="72"/>
      <c r="S1937" s="24">
        <f t="shared" si="2183"/>
        <v>0</v>
      </c>
      <c r="T1937" s="42"/>
      <c r="U1937" s="53"/>
      <c r="V1937" s="53"/>
      <c r="W1937" s="53"/>
      <c r="X1937" s="72"/>
      <c r="Y1937" s="24">
        <f t="shared" si="2184"/>
        <v>0</v>
      </c>
      <c r="Z1937" s="24">
        <f t="shared" si="2151"/>
        <v>1</v>
      </c>
      <c r="AA1937" s="83">
        <v>45742</v>
      </c>
      <c r="AB1937" s="23"/>
      <c r="AC1937" s="41"/>
      <c r="AD1937" s="42"/>
      <c r="AE1937" s="42"/>
      <c r="AF1937" s="42"/>
      <c r="AG1937" s="42"/>
      <c r="AH1937" s="43">
        <f t="shared" si="2171"/>
        <v>0</v>
      </c>
      <c r="AI1937" s="41"/>
      <c r="AJ1937" s="42"/>
      <c r="AK1937" s="42"/>
      <c r="AL1937" s="42"/>
      <c r="AM1937" s="42"/>
      <c r="AN1937" s="43">
        <f t="shared" si="2172"/>
        <v>0</v>
      </c>
      <c r="AO1937" s="42"/>
      <c r="AP1937" s="53"/>
      <c r="AQ1937" s="53"/>
      <c r="AR1937" s="53"/>
      <c r="AS1937" s="72"/>
      <c r="AT1937" s="24">
        <f t="shared" si="2173"/>
        <v>0</v>
      </c>
      <c r="AU1937" s="42"/>
      <c r="AV1937" s="53"/>
      <c r="AW1937" s="53"/>
      <c r="AX1937" s="53"/>
      <c r="AY1937" s="72"/>
      <c r="AZ1937" s="24">
        <f t="shared" si="2174"/>
        <v>0</v>
      </c>
      <c r="BA1937" s="24">
        <f t="shared" si="2175"/>
        <v>0</v>
      </c>
    </row>
    <row r="1938" spans="1:53" ht="14.25" x14ac:dyDescent="0.15">
      <c r="A1938" s="23" t="s">
        <v>496</v>
      </c>
      <c r="B1938" s="41"/>
      <c r="C1938" s="42"/>
      <c r="D1938" s="42"/>
      <c r="E1938" s="42"/>
      <c r="F1938" s="42"/>
      <c r="G1938" s="43">
        <f t="shared" si="2181"/>
        <v>0</v>
      </c>
      <c r="H1938" s="41"/>
      <c r="I1938" s="42"/>
      <c r="J1938" s="42"/>
      <c r="K1938" s="42"/>
      <c r="L1938" s="42">
        <v>1</v>
      </c>
      <c r="M1938" s="43">
        <f t="shared" si="2182"/>
        <v>1</v>
      </c>
      <c r="N1938" s="42"/>
      <c r="O1938" s="53"/>
      <c r="P1938" s="53"/>
      <c r="Q1938" s="53"/>
      <c r="R1938" s="72"/>
      <c r="S1938" s="24">
        <f t="shared" si="2183"/>
        <v>0</v>
      </c>
      <c r="T1938" s="42"/>
      <c r="U1938" s="53"/>
      <c r="V1938" s="53"/>
      <c r="W1938" s="53"/>
      <c r="X1938" s="72"/>
      <c r="Y1938" s="24">
        <f t="shared" si="2184"/>
        <v>0</v>
      </c>
      <c r="Z1938" s="24">
        <f t="shared" si="2151"/>
        <v>1</v>
      </c>
      <c r="AA1938" s="83">
        <v>45752</v>
      </c>
      <c r="AB1938" s="23"/>
      <c r="AC1938" s="41"/>
      <c r="AD1938" s="42"/>
      <c r="AE1938" s="42"/>
      <c r="AF1938" s="42"/>
      <c r="AG1938" s="42"/>
      <c r="AH1938" s="43">
        <f t="shared" si="2171"/>
        <v>0</v>
      </c>
      <c r="AI1938" s="41"/>
      <c r="AJ1938" s="42"/>
      <c r="AK1938" s="42"/>
      <c r="AL1938" s="42"/>
      <c r="AM1938" s="42"/>
      <c r="AN1938" s="43">
        <f t="shared" si="2172"/>
        <v>0</v>
      </c>
      <c r="AO1938" s="42"/>
      <c r="AP1938" s="53"/>
      <c r="AQ1938" s="53"/>
      <c r="AR1938" s="53"/>
      <c r="AS1938" s="72"/>
      <c r="AT1938" s="24">
        <f t="shared" si="2173"/>
        <v>0</v>
      </c>
      <c r="AU1938" s="42"/>
      <c r="AV1938" s="53"/>
      <c r="AW1938" s="53"/>
      <c r="AX1938" s="53"/>
      <c r="AY1938" s="72"/>
      <c r="AZ1938" s="24">
        <f t="shared" si="2174"/>
        <v>0</v>
      </c>
      <c r="BA1938" s="24">
        <f t="shared" si="2175"/>
        <v>0</v>
      </c>
    </row>
    <row r="1939" spans="1:53" ht="14.25" x14ac:dyDescent="0.15">
      <c r="A1939" s="23" t="s">
        <v>699</v>
      </c>
      <c r="B1939" s="41"/>
      <c r="C1939" s="42"/>
      <c r="D1939" s="42">
        <v>2</v>
      </c>
      <c r="E1939" s="42"/>
      <c r="F1939" s="42"/>
      <c r="G1939" s="43">
        <f t="shared" si="2181"/>
        <v>2</v>
      </c>
      <c r="H1939" s="41"/>
      <c r="I1939" s="42">
        <v>1</v>
      </c>
      <c r="J1939" s="42"/>
      <c r="K1939" s="42"/>
      <c r="L1939" s="42"/>
      <c r="M1939" s="43">
        <f t="shared" si="2182"/>
        <v>1</v>
      </c>
      <c r="N1939" s="42"/>
      <c r="O1939" s="53"/>
      <c r="P1939" s="53"/>
      <c r="Q1939" s="53"/>
      <c r="R1939" s="72"/>
      <c r="S1939" s="24">
        <f t="shared" si="2183"/>
        <v>0</v>
      </c>
      <c r="T1939" s="42">
        <v>1</v>
      </c>
      <c r="U1939" s="53"/>
      <c r="V1939" s="53"/>
      <c r="W1939" s="53"/>
      <c r="X1939" s="72"/>
      <c r="Y1939" s="24">
        <f t="shared" si="2184"/>
        <v>1</v>
      </c>
      <c r="Z1939" s="24">
        <f t="shared" si="2151"/>
        <v>4</v>
      </c>
      <c r="AA1939" s="83">
        <v>45754</v>
      </c>
      <c r="AB1939" s="23"/>
      <c r="AC1939" s="41"/>
      <c r="AD1939" s="42"/>
      <c r="AE1939" s="42"/>
      <c r="AF1939" s="42"/>
      <c r="AG1939" s="42"/>
      <c r="AH1939" s="43">
        <f t="shared" si="2171"/>
        <v>0</v>
      </c>
      <c r="AI1939" s="41"/>
      <c r="AJ1939" s="42"/>
      <c r="AK1939" s="42"/>
      <c r="AL1939" s="42"/>
      <c r="AM1939" s="42"/>
      <c r="AN1939" s="43">
        <f t="shared" si="2172"/>
        <v>0</v>
      </c>
      <c r="AO1939" s="42"/>
      <c r="AP1939" s="53"/>
      <c r="AQ1939" s="53"/>
      <c r="AR1939" s="53"/>
      <c r="AS1939" s="72"/>
      <c r="AT1939" s="24">
        <f t="shared" si="2173"/>
        <v>0</v>
      </c>
      <c r="AU1939" s="42"/>
      <c r="AV1939" s="53"/>
      <c r="AW1939" s="53"/>
      <c r="AX1939" s="53"/>
      <c r="AY1939" s="72"/>
      <c r="AZ1939" s="24">
        <f t="shared" si="2174"/>
        <v>0</v>
      </c>
      <c r="BA1939" s="24">
        <f t="shared" si="2175"/>
        <v>0</v>
      </c>
    </row>
    <row r="1940" spans="1:53" ht="14.25" x14ac:dyDescent="0.15">
      <c r="A1940" s="23" t="s">
        <v>699</v>
      </c>
      <c r="B1940" s="41"/>
      <c r="C1940" s="42"/>
      <c r="D1940" s="42"/>
      <c r="E1940" s="42"/>
      <c r="F1940" s="42"/>
      <c r="G1940" s="43">
        <f t="shared" si="2181"/>
        <v>0</v>
      </c>
      <c r="H1940" s="41">
        <v>1</v>
      </c>
      <c r="I1940" s="42"/>
      <c r="J1940" s="42"/>
      <c r="K1940" s="42"/>
      <c r="L1940" s="42"/>
      <c r="M1940" s="43">
        <f t="shared" si="2182"/>
        <v>1</v>
      </c>
      <c r="N1940" s="42"/>
      <c r="O1940" s="53"/>
      <c r="P1940" s="53">
        <v>1</v>
      </c>
      <c r="Q1940" s="53">
        <v>1</v>
      </c>
      <c r="R1940" s="72"/>
      <c r="S1940" s="24">
        <f t="shared" si="2183"/>
        <v>2</v>
      </c>
      <c r="T1940" s="42"/>
      <c r="U1940" s="53"/>
      <c r="V1940" s="53"/>
      <c r="W1940" s="53"/>
      <c r="X1940" s="72"/>
      <c r="Y1940" s="24">
        <f t="shared" si="2184"/>
        <v>0</v>
      </c>
      <c r="Z1940" s="24">
        <f t="shared" si="2151"/>
        <v>3</v>
      </c>
      <c r="AA1940" s="83">
        <v>45756</v>
      </c>
      <c r="AB1940" s="23"/>
      <c r="AC1940" s="41"/>
      <c r="AD1940" s="42"/>
      <c r="AE1940" s="42"/>
      <c r="AF1940" s="42"/>
      <c r="AG1940" s="42"/>
      <c r="AH1940" s="43">
        <f t="shared" si="2171"/>
        <v>0</v>
      </c>
      <c r="AI1940" s="41"/>
      <c r="AJ1940" s="42"/>
      <c r="AK1940" s="42"/>
      <c r="AL1940" s="42"/>
      <c r="AM1940" s="42"/>
      <c r="AN1940" s="43">
        <f t="shared" si="2172"/>
        <v>0</v>
      </c>
      <c r="AO1940" s="42"/>
      <c r="AP1940" s="53"/>
      <c r="AQ1940" s="53"/>
      <c r="AR1940" s="53"/>
      <c r="AS1940" s="72"/>
      <c r="AT1940" s="24">
        <f t="shared" si="2173"/>
        <v>0</v>
      </c>
      <c r="AU1940" s="42"/>
      <c r="AV1940" s="53"/>
      <c r="AW1940" s="53"/>
      <c r="AX1940" s="53"/>
      <c r="AY1940" s="72"/>
      <c r="AZ1940" s="24">
        <f t="shared" si="2174"/>
        <v>0</v>
      </c>
      <c r="BA1940" s="24">
        <f t="shared" si="2175"/>
        <v>0</v>
      </c>
    </row>
    <row r="1941" spans="1:53" ht="14.25" x14ac:dyDescent="0.15">
      <c r="A1941" s="23" t="s">
        <v>699</v>
      </c>
      <c r="B1941" s="41"/>
      <c r="C1941" s="42"/>
      <c r="D1941" s="42"/>
      <c r="E1941" s="42"/>
      <c r="F1941" s="42"/>
      <c r="G1941" s="43">
        <f t="shared" si="2181"/>
        <v>0</v>
      </c>
      <c r="H1941" s="41"/>
      <c r="I1941" s="42"/>
      <c r="J1941" s="42"/>
      <c r="K1941" s="42"/>
      <c r="L1941" s="42"/>
      <c r="M1941" s="43">
        <f t="shared" si="2182"/>
        <v>0</v>
      </c>
      <c r="N1941" s="42"/>
      <c r="O1941" s="53">
        <v>1</v>
      </c>
      <c r="P1941" s="53"/>
      <c r="Q1941" s="53"/>
      <c r="R1941" s="72"/>
      <c r="S1941" s="24">
        <f t="shared" si="2183"/>
        <v>1</v>
      </c>
      <c r="T1941" s="42"/>
      <c r="U1941" s="53"/>
      <c r="V1941" s="53"/>
      <c r="W1941" s="53"/>
      <c r="X1941" s="72"/>
      <c r="Y1941" s="24">
        <f t="shared" si="2184"/>
        <v>0</v>
      </c>
      <c r="Z1941" s="24">
        <f t="shared" si="2151"/>
        <v>1</v>
      </c>
      <c r="AA1941" s="83">
        <v>45758</v>
      </c>
      <c r="AB1941" s="23"/>
      <c r="AC1941" s="41"/>
      <c r="AD1941" s="42"/>
      <c r="AE1941" s="42"/>
      <c r="AF1941" s="42"/>
      <c r="AG1941" s="42"/>
      <c r="AH1941" s="43">
        <f t="shared" si="2171"/>
        <v>0</v>
      </c>
      <c r="AI1941" s="41"/>
      <c r="AJ1941" s="42"/>
      <c r="AK1941" s="42"/>
      <c r="AL1941" s="42"/>
      <c r="AM1941" s="42"/>
      <c r="AN1941" s="43">
        <f t="shared" si="2172"/>
        <v>0</v>
      </c>
      <c r="AO1941" s="42"/>
      <c r="AP1941" s="53"/>
      <c r="AQ1941" s="53"/>
      <c r="AR1941" s="53"/>
      <c r="AS1941" s="72"/>
      <c r="AT1941" s="24">
        <f t="shared" si="2173"/>
        <v>0</v>
      </c>
      <c r="AU1941" s="42"/>
      <c r="AV1941" s="53"/>
      <c r="AW1941" s="53"/>
      <c r="AX1941" s="53"/>
      <c r="AY1941" s="72"/>
      <c r="AZ1941" s="24">
        <f t="shared" si="2174"/>
        <v>0</v>
      </c>
      <c r="BA1941" s="24">
        <f t="shared" si="2175"/>
        <v>0</v>
      </c>
    </row>
    <row r="1942" spans="1:53" ht="14.25" x14ac:dyDescent="0.15">
      <c r="A1942" s="23" t="s">
        <v>699</v>
      </c>
      <c r="B1942" s="41"/>
      <c r="C1942" s="42"/>
      <c r="D1942" s="42"/>
      <c r="E1942" s="42">
        <v>1</v>
      </c>
      <c r="F1942" s="42"/>
      <c r="G1942" s="43">
        <f t="shared" si="2181"/>
        <v>1</v>
      </c>
      <c r="H1942" s="41"/>
      <c r="I1942" s="42"/>
      <c r="J1942" s="42"/>
      <c r="K1942" s="42"/>
      <c r="L1942" s="42"/>
      <c r="M1942" s="43">
        <f t="shared" si="2182"/>
        <v>0</v>
      </c>
      <c r="N1942" s="42"/>
      <c r="O1942" s="53"/>
      <c r="P1942" s="53"/>
      <c r="Q1942" s="53"/>
      <c r="R1942" s="72"/>
      <c r="S1942" s="24">
        <f t="shared" si="2183"/>
        <v>0</v>
      </c>
      <c r="T1942" s="42"/>
      <c r="U1942" s="53"/>
      <c r="V1942" s="53"/>
      <c r="W1942" s="53"/>
      <c r="X1942" s="72"/>
      <c r="Y1942" s="24">
        <f t="shared" si="2184"/>
        <v>0</v>
      </c>
      <c r="Z1942" s="24">
        <f t="shared" si="2151"/>
        <v>1</v>
      </c>
      <c r="AA1942" s="83">
        <v>45761</v>
      </c>
      <c r="AB1942" s="23"/>
      <c r="AC1942" s="41"/>
      <c r="AD1942" s="42"/>
      <c r="AE1942" s="42"/>
      <c r="AF1942" s="42"/>
      <c r="AG1942" s="42"/>
      <c r="AH1942" s="43">
        <f t="shared" si="2171"/>
        <v>0</v>
      </c>
      <c r="AI1942" s="41"/>
      <c r="AJ1942" s="42"/>
      <c r="AK1942" s="42"/>
      <c r="AL1942" s="42"/>
      <c r="AM1942" s="42"/>
      <c r="AN1942" s="43">
        <f t="shared" si="2172"/>
        <v>0</v>
      </c>
      <c r="AO1942" s="42"/>
      <c r="AP1942" s="53"/>
      <c r="AQ1942" s="53"/>
      <c r="AR1942" s="53"/>
      <c r="AS1942" s="72"/>
      <c r="AT1942" s="24">
        <f t="shared" si="2173"/>
        <v>0</v>
      </c>
      <c r="AU1942" s="42"/>
      <c r="AV1942" s="53"/>
      <c r="AW1942" s="53"/>
      <c r="AX1942" s="53"/>
      <c r="AY1942" s="72"/>
      <c r="AZ1942" s="24">
        <f t="shared" si="2174"/>
        <v>0</v>
      </c>
      <c r="BA1942" s="24">
        <f t="shared" si="2175"/>
        <v>0</v>
      </c>
    </row>
    <row r="1943" spans="1:53" ht="14.25" x14ac:dyDescent="0.15">
      <c r="A1943" s="23" t="s">
        <v>699</v>
      </c>
      <c r="B1943" s="41"/>
      <c r="C1943" s="42"/>
      <c r="D1943" s="42"/>
      <c r="E1943" s="42">
        <v>1</v>
      </c>
      <c r="F1943" s="42"/>
      <c r="G1943" s="43">
        <f t="shared" si="2181"/>
        <v>1</v>
      </c>
      <c r="H1943" s="41"/>
      <c r="I1943" s="42">
        <v>1</v>
      </c>
      <c r="J1943" s="42"/>
      <c r="K1943" s="42"/>
      <c r="L1943" s="42"/>
      <c r="M1943" s="43">
        <f t="shared" si="2182"/>
        <v>1</v>
      </c>
      <c r="N1943" s="42"/>
      <c r="O1943" s="53"/>
      <c r="P1943" s="53"/>
      <c r="Q1943" s="53"/>
      <c r="R1943" s="72"/>
      <c r="S1943" s="24">
        <f t="shared" si="2183"/>
        <v>0</v>
      </c>
      <c r="T1943" s="42"/>
      <c r="U1943" s="53">
        <v>1</v>
      </c>
      <c r="V1943" s="53"/>
      <c r="W1943" s="53"/>
      <c r="X1943" s="72"/>
      <c r="Y1943" s="24">
        <f t="shared" si="2184"/>
        <v>1</v>
      </c>
      <c r="Z1943" s="24">
        <f t="shared" si="2151"/>
        <v>3</v>
      </c>
      <c r="AA1943" s="83">
        <v>45762</v>
      </c>
      <c r="AB1943" s="23"/>
      <c r="AC1943" s="41"/>
      <c r="AD1943" s="42"/>
      <c r="AE1943" s="42"/>
      <c r="AF1943" s="42"/>
      <c r="AG1943" s="42"/>
      <c r="AH1943" s="43">
        <f t="shared" si="2171"/>
        <v>0</v>
      </c>
      <c r="AI1943" s="41"/>
      <c r="AJ1943" s="42"/>
      <c r="AK1943" s="42"/>
      <c r="AL1943" s="42"/>
      <c r="AM1943" s="42"/>
      <c r="AN1943" s="43">
        <f t="shared" si="2172"/>
        <v>0</v>
      </c>
      <c r="AO1943" s="42"/>
      <c r="AP1943" s="53"/>
      <c r="AQ1943" s="53"/>
      <c r="AR1943" s="53"/>
      <c r="AS1943" s="72"/>
      <c r="AT1943" s="24">
        <f t="shared" si="2173"/>
        <v>0</v>
      </c>
      <c r="AU1943" s="42"/>
      <c r="AV1943" s="53"/>
      <c r="AW1943" s="53"/>
      <c r="AX1943" s="53"/>
      <c r="AY1943" s="72"/>
      <c r="AZ1943" s="24">
        <f t="shared" si="2174"/>
        <v>0</v>
      </c>
      <c r="BA1943" s="24">
        <f t="shared" si="2175"/>
        <v>0</v>
      </c>
    </row>
    <row r="1944" spans="1:53" ht="14.25" x14ac:dyDescent="0.15">
      <c r="A1944" s="23" t="s">
        <v>699</v>
      </c>
      <c r="B1944" s="41"/>
      <c r="C1944" s="42"/>
      <c r="D1944" s="42"/>
      <c r="E1944" s="42"/>
      <c r="F1944" s="42"/>
      <c r="G1944" s="43">
        <f t="shared" si="2181"/>
        <v>0</v>
      </c>
      <c r="H1944" s="41"/>
      <c r="I1944" s="42"/>
      <c r="J1944" s="42"/>
      <c r="K1944" s="42">
        <v>1</v>
      </c>
      <c r="L1944" s="42"/>
      <c r="M1944" s="43">
        <f t="shared" si="2182"/>
        <v>1</v>
      </c>
      <c r="N1944" s="42"/>
      <c r="O1944" s="53"/>
      <c r="P1944" s="53"/>
      <c r="Q1944" s="53"/>
      <c r="R1944" s="72"/>
      <c r="S1944" s="24">
        <f t="shared" si="2183"/>
        <v>0</v>
      </c>
      <c r="T1944" s="42"/>
      <c r="U1944" s="53"/>
      <c r="V1944" s="53"/>
      <c r="W1944" s="53"/>
      <c r="X1944" s="72"/>
      <c r="Y1944" s="24">
        <f t="shared" si="2184"/>
        <v>0</v>
      </c>
      <c r="Z1944" s="24">
        <f t="shared" si="2151"/>
        <v>1</v>
      </c>
      <c r="AA1944" s="83">
        <v>45775</v>
      </c>
      <c r="AB1944" s="23"/>
      <c r="AC1944" s="41"/>
      <c r="AD1944" s="42"/>
      <c r="AE1944" s="42"/>
      <c r="AF1944" s="42"/>
      <c r="AG1944" s="42"/>
      <c r="AH1944" s="43">
        <f t="shared" si="2171"/>
        <v>0</v>
      </c>
      <c r="AI1944" s="41"/>
      <c r="AJ1944" s="42"/>
      <c r="AK1944" s="42"/>
      <c r="AL1944" s="42"/>
      <c r="AM1944" s="42"/>
      <c r="AN1944" s="43">
        <f t="shared" si="2172"/>
        <v>0</v>
      </c>
      <c r="AO1944" s="42"/>
      <c r="AP1944" s="53"/>
      <c r="AQ1944" s="53"/>
      <c r="AR1944" s="53"/>
      <c r="AS1944" s="72"/>
      <c r="AT1944" s="24">
        <f t="shared" si="2173"/>
        <v>0</v>
      </c>
      <c r="AU1944" s="42"/>
      <c r="AV1944" s="53"/>
      <c r="AW1944" s="53"/>
      <c r="AX1944" s="53"/>
      <c r="AY1944" s="72"/>
      <c r="AZ1944" s="24">
        <f t="shared" si="2174"/>
        <v>0</v>
      </c>
      <c r="BA1944" s="24">
        <f t="shared" si="2175"/>
        <v>0</v>
      </c>
    </row>
    <row r="1945" spans="1:53" ht="14.25" x14ac:dyDescent="0.15">
      <c r="A1945" s="23" t="s">
        <v>699</v>
      </c>
      <c r="B1945" s="41"/>
      <c r="C1945" s="42"/>
      <c r="D1945" s="42"/>
      <c r="E1945" s="42"/>
      <c r="F1945" s="42"/>
      <c r="G1945" s="43">
        <f t="shared" si="2181"/>
        <v>0</v>
      </c>
      <c r="H1945" s="41"/>
      <c r="I1945" s="42"/>
      <c r="J1945" s="42"/>
      <c r="K1945" s="42"/>
      <c r="L1945" s="42">
        <v>1</v>
      </c>
      <c r="M1945" s="43">
        <f t="shared" si="2182"/>
        <v>1</v>
      </c>
      <c r="N1945" s="42"/>
      <c r="O1945" s="53"/>
      <c r="P1945" s="53"/>
      <c r="Q1945" s="53"/>
      <c r="R1945" s="72"/>
      <c r="S1945" s="24">
        <f t="shared" si="2183"/>
        <v>0</v>
      </c>
      <c r="T1945" s="42"/>
      <c r="U1945" s="53"/>
      <c r="V1945" s="53"/>
      <c r="W1945" s="53"/>
      <c r="X1945" s="72"/>
      <c r="Y1945" s="24">
        <f t="shared" si="2184"/>
        <v>0</v>
      </c>
      <c r="Z1945" s="24">
        <f t="shared" si="2151"/>
        <v>1</v>
      </c>
      <c r="AA1945" s="83">
        <v>45777</v>
      </c>
      <c r="AB1945" s="23"/>
      <c r="AC1945" s="41"/>
      <c r="AD1945" s="42"/>
      <c r="AE1945" s="42"/>
      <c r="AF1945" s="42"/>
      <c r="AG1945" s="42"/>
      <c r="AH1945" s="43">
        <f t="shared" si="2171"/>
        <v>0</v>
      </c>
      <c r="AI1945" s="41"/>
      <c r="AJ1945" s="42"/>
      <c r="AK1945" s="42"/>
      <c r="AL1945" s="42"/>
      <c r="AM1945" s="42"/>
      <c r="AN1945" s="43">
        <f t="shared" si="2172"/>
        <v>0</v>
      </c>
      <c r="AO1945" s="42"/>
      <c r="AP1945" s="53"/>
      <c r="AQ1945" s="53"/>
      <c r="AR1945" s="53"/>
      <c r="AS1945" s="72"/>
      <c r="AT1945" s="24">
        <f t="shared" si="2173"/>
        <v>0</v>
      </c>
      <c r="AU1945" s="42"/>
      <c r="AV1945" s="53"/>
      <c r="AW1945" s="53"/>
      <c r="AX1945" s="53"/>
      <c r="AY1945" s="72"/>
      <c r="AZ1945" s="24">
        <f t="shared" si="2174"/>
        <v>0</v>
      </c>
      <c r="BA1945" s="24">
        <f t="shared" si="2175"/>
        <v>0</v>
      </c>
    </row>
    <row r="1946" spans="1:53" ht="15" thickBot="1" x14ac:dyDescent="0.2">
      <c r="A1946" s="23" t="s">
        <v>699</v>
      </c>
      <c r="B1946" s="41"/>
      <c r="C1946" s="42"/>
      <c r="D1946" s="42"/>
      <c r="E1946" s="42"/>
      <c r="F1946" s="42"/>
      <c r="G1946" s="43">
        <f t="shared" ref="G1946" si="2217">SUM(B1946:F1946)</f>
        <v>0</v>
      </c>
      <c r="H1946" s="41"/>
      <c r="I1946" s="42"/>
      <c r="J1946" s="42">
        <v>1</v>
      </c>
      <c r="K1946" s="42"/>
      <c r="L1946" s="42"/>
      <c r="M1946" s="43">
        <f t="shared" ref="M1946" si="2218">SUM(H1946:L1946)</f>
        <v>1</v>
      </c>
      <c r="N1946" s="42"/>
      <c r="O1946" s="53"/>
      <c r="P1946" s="53"/>
      <c r="Q1946" s="53">
        <v>1</v>
      </c>
      <c r="R1946" s="72"/>
      <c r="S1946" s="24">
        <f t="shared" ref="S1946" si="2219">SUM(N1946:R1946)</f>
        <v>1</v>
      </c>
      <c r="T1946" s="42"/>
      <c r="U1946" s="53"/>
      <c r="V1946" s="53"/>
      <c r="W1946" s="53"/>
      <c r="X1946" s="72"/>
      <c r="Y1946" s="24">
        <f t="shared" ref="Y1946" si="2220">SUM(T1946:X1946)</f>
        <v>0</v>
      </c>
      <c r="Z1946" s="24">
        <f t="shared" ref="Z1946" si="2221">G1946+M1946+S1946+Y1946</f>
        <v>2</v>
      </c>
      <c r="AA1946" s="83">
        <v>45778</v>
      </c>
      <c r="AB1946" s="23"/>
      <c r="AC1946" s="41"/>
      <c r="AD1946" s="42"/>
      <c r="AE1946" s="42"/>
      <c r="AF1946" s="42"/>
      <c r="AG1946" s="42"/>
      <c r="AH1946" s="43">
        <f t="shared" ref="AH1946" si="2222">SUM(AC1946:AG1946)</f>
        <v>0</v>
      </c>
      <c r="AI1946" s="41"/>
      <c r="AJ1946" s="42"/>
      <c r="AK1946" s="42"/>
      <c r="AL1946" s="42"/>
      <c r="AM1946" s="42"/>
      <c r="AN1946" s="43">
        <f t="shared" ref="AN1946" si="2223">SUM(AI1946:AM1946)</f>
        <v>0</v>
      </c>
      <c r="AO1946" s="42"/>
      <c r="AP1946" s="53"/>
      <c r="AQ1946" s="53"/>
      <c r="AR1946" s="53"/>
      <c r="AS1946" s="72"/>
      <c r="AT1946" s="24">
        <f t="shared" ref="AT1946" si="2224">SUM(AO1946:AS1946)</f>
        <v>0</v>
      </c>
      <c r="AU1946" s="42"/>
      <c r="AV1946" s="53"/>
      <c r="AW1946" s="53"/>
      <c r="AX1946" s="53"/>
      <c r="AY1946" s="72"/>
      <c r="AZ1946" s="24">
        <f t="shared" ref="AZ1946" si="2225">SUM(AU1946:AY1946)</f>
        <v>0</v>
      </c>
      <c r="BA1946" s="24">
        <f t="shared" ref="BA1946:BA1948" si="2226">AH1946+AN1946+AT1946+AZ1946</f>
        <v>0</v>
      </c>
    </row>
    <row r="1947" spans="1:53" ht="15" thickBot="1" x14ac:dyDescent="0.2">
      <c r="A1947" s="9" t="s">
        <v>13</v>
      </c>
      <c r="B1947" s="25">
        <f>SUM(B1921:B1946)</f>
        <v>0</v>
      </c>
      <c r="C1947" s="26">
        <f>SUM(C1921:C1946)</f>
        <v>2</v>
      </c>
      <c r="D1947" s="26">
        <f>SUM(D1921:D1946)</f>
        <v>3</v>
      </c>
      <c r="E1947" s="26">
        <f>SUM(E1921:E1946)</f>
        <v>3</v>
      </c>
      <c r="F1947" s="27">
        <f>SUM(F1921:F1946)</f>
        <v>4</v>
      </c>
      <c r="G1947" s="19">
        <f>SUM(B1947:F1947)</f>
        <v>12</v>
      </c>
      <c r="H1947" s="25">
        <f>SUM(H1921:H1946)</f>
        <v>2</v>
      </c>
      <c r="I1947" s="26">
        <f>SUM(I1921:I1946)</f>
        <v>5</v>
      </c>
      <c r="J1947" s="26">
        <f>SUM(J1921:J1946)</f>
        <v>2</v>
      </c>
      <c r="K1947" s="26">
        <f>SUM(K1921:K1946)</f>
        <v>3</v>
      </c>
      <c r="L1947" s="27">
        <f>SUM(L1921:L1946)</f>
        <v>6</v>
      </c>
      <c r="M1947" s="25">
        <f>SUM(H1947:L1947)</f>
        <v>18</v>
      </c>
      <c r="N1947" s="65">
        <f>SUM(N1921:N1946)</f>
        <v>0</v>
      </c>
      <c r="O1947" s="18">
        <f>SUM(O1921:O1946)</f>
        <v>3</v>
      </c>
      <c r="P1947" s="18">
        <f>SUM(P1921:P1946)</f>
        <v>1</v>
      </c>
      <c r="Q1947" s="18">
        <f>SUM(Q1921:Q1946)</f>
        <v>3</v>
      </c>
      <c r="R1947" s="70">
        <f>SUM(R1921:R1946)</f>
        <v>1</v>
      </c>
      <c r="S1947" s="49">
        <f>SUM(N1947:R1947)</f>
        <v>8</v>
      </c>
      <c r="T1947" s="74">
        <f>SUM(T1921:T1946)</f>
        <v>1</v>
      </c>
      <c r="U1947" s="18">
        <f>SUM(U1921:U1946)</f>
        <v>2</v>
      </c>
      <c r="V1947" s="18">
        <f>SUM(V1921:V1946)</f>
        <v>0</v>
      </c>
      <c r="W1947" s="18">
        <f>SUM(W1921:W1946)</f>
        <v>2</v>
      </c>
      <c r="X1947" s="70">
        <f>SUM(X1921:X1946)</f>
        <v>1</v>
      </c>
      <c r="Y1947" s="49">
        <f>SUM(T1947:X1947)</f>
        <v>6</v>
      </c>
      <c r="Z1947" s="137">
        <f>G1947+M1947+S1947+Y1947</f>
        <v>44</v>
      </c>
      <c r="AB1947" s="9" t="s">
        <v>13</v>
      </c>
      <c r="AC1947" s="25">
        <f>SUM(AC1921:AC1946)</f>
        <v>0</v>
      </c>
      <c r="AD1947" s="26">
        <f t="shared" ref="AD1947" si="2227">SUM(AD1921:AD1946)</f>
        <v>0</v>
      </c>
      <c r="AE1947" s="26">
        <f t="shared" ref="AE1947" si="2228">SUM(AE1921:AE1946)</f>
        <v>3</v>
      </c>
      <c r="AF1947" s="26">
        <f t="shared" ref="AF1947" si="2229">SUM(AF1921:AF1946)</f>
        <v>12</v>
      </c>
      <c r="AG1947" s="27">
        <f t="shared" ref="AG1947" si="2230">SUM(AG1921:AG1946)</f>
        <v>8</v>
      </c>
      <c r="AH1947" s="19">
        <f>SUM(AC1947:AG1947)</f>
        <v>23</v>
      </c>
      <c r="AI1947" s="25">
        <f>SUM(AI1921:AI1946)</f>
        <v>0</v>
      </c>
      <c r="AJ1947" s="26">
        <f t="shared" ref="AJ1947" si="2231">SUM(AJ1921:AJ1946)</f>
        <v>6</v>
      </c>
      <c r="AK1947" s="26">
        <f t="shared" ref="AK1947" si="2232">SUM(AK1921:AK1946)</f>
        <v>3</v>
      </c>
      <c r="AL1947" s="26">
        <f t="shared" ref="AL1947" si="2233">SUM(AL1921:AL1946)</f>
        <v>6</v>
      </c>
      <c r="AM1947" s="27">
        <f t="shared" ref="AM1947" si="2234">SUM(AM1921:AM1946)</f>
        <v>9</v>
      </c>
      <c r="AN1947" s="19">
        <f>SUM(AI1947:AM1947)</f>
        <v>24</v>
      </c>
      <c r="AO1947" s="25">
        <f>SUM(AO1921:AO1946)</f>
        <v>0</v>
      </c>
      <c r="AP1947" s="26">
        <f t="shared" ref="AP1947" si="2235">SUM(AP1921:AP1946)</f>
        <v>0</v>
      </c>
      <c r="AQ1947" s="26">
        <f t="shared" ref="AQ1947" si="2236">SUM(AQ1921:AQ1946)</f>
        <v>3</v>
      </c>
      <c r="AR1947" s="26">
        <f t="shared" ref="AR1947" si="2237">SUM(AR1921:AR1946)</f>
        <v>3</v>
      </c>
      <c r="AS1947" s="27">
        <f t="shared" ref="AS1947" si="2238">SUM(AS1921:AS1946)</f>
        <v>3</v>
      </c>
      <c r="AT1947" s="19">
        <f>SUM(AO1947:AS1947)</f>
        <v>9</v>
      </c>
      <c r="AU1947" s="25">
        <f>SUM(AU1921:AU1946)</f>
        <v>0</v>
      </c>
      <c r="AV1947" s="26">
        <f t="shared" ref="AV1947" si="2239">SUM(AV1921:AV1946)</f>
        <v>0</v>
      </c>
      <c r="AW1947" s="26">
        <f t="shared" ref="AW1947" si="2240">SUM(AW1921:AW1946)</f>
        <v>10</v>
      </c>
      <c r="AX1947" s="26">
        <f t="shared" ref="AX1947" si="2241">SUM(AX1921:AX1946)</f>
        <v>5</v>
      </c>
      <c r="AY1947" s="27">
        <f t="shared" ref="AY1947" si="2242">SUM(AY1921:AY1946)</f>
        <v>3</v>
      </c>
      <c r="AZ1947" s="19">
        <f>SUM(AU1947:AY1947)</f>
        <v>18</v>
      </c>
      <c r="BA1947" s="77">
        <f t="shared" si="2226"/>
        <v>74</v>
      </c>
    </row>
    <row r="1948" spans="1:53" ht="15" thickBot="1" x14ac:dyDescent="0.2">
      <c r="A1948" s="32" t="s">
        <v>14</v>
      </c>
      <c r="B1948" s="29">
        <f t="shared" ref="B1948:Y1948" si="2243">B1920-B1947</f>
        <v>7</v>
      </c>
      <c r="C1948" s="30">
        <f t="shared" si="2243"/>
        <v>5</v>
      </c>
      <c r="D1948" s="30">
        <f t="shared" si="2243"/>
        <v>5</v>
      </c>
      <c r="E1948" s="30">
        <f t="shared" si="2243"/>
        <v>12</v>
      </c>
      <c r="F1948" s="31">
        <f t="shared" si="2243"/>
        <v>8</v>
      </c>
      <c r="G1948" s="31">
        <f t="shared" si="2243"/>
        <v>37</v>
      </c>
      <c r="H1948" s="29">
        <f t="shared" si="2243"/>
        <v>5</v>
      </c>
      <c r="I1948" s="30">
        <f t="shared" si="2243"/>
        <v>2</v>
      </c>
      <c r="J1948" s="30">
        <f t="shared" si="2243"/>
        <v>3</v>
      </c>
      <c r="K1948" s="30">
        <f t="shared" si="2243"/>
        <v>4</v>
      </c>
      <c r="L1948" s="31">
        <f t="shared" si="2243"/>
        <v>4</v>
      </c>
      <c r="M1948" s="66">
        <f t="shared" si="2243"/>
        <v>18</v>
      </c>
      <c r="N1948" s="29">
        <f t="shared" si="2243"/>
        <v>5</v>
      </c>
      <c r="O1948" s="30">
        <f t="shared" si="2243"/>
        <v>6</v>
      </c>
      <c r="P1948" s="30">
        <f t="shared" si="2243"/>
        <v>6</v>
      </c>
      <c r="Q1948" s="30">
        <f t="shared" si="2243"/>
        <v>2</v>
      </c>
      <c r="R1948" s="66">
        <f t="shared" si="2243"/>
        <v>5</v>
      </c>
      <c r="S1948" s="33">
        <f t="shared" si="2243"/>
        <v>24</v>
      </c>
      <c r="T1948" s="75">
        <f t="shared" si="2243"/>
        <v>4</v>
      </c>
      <c r="U1948" s="30">
        <f t="shared" si="2243"/>
        <v>4</v>
      </c>
      <c r="V1948" s="30">
        <f t="shared" si="2243"/>
        <v>14</v>
      </c>
      <c r="W1948" s="30">
        <f t="shared" si="2243"/>
        <v>7</v>
      </c>
      <c r="X1948" s="66">
        <f t="shared" si="2243"/>
        <v>5</v>
      </c>
      <c r="Y1948" s="33">
        <f t="shared" si="2243"/>
        <v>34</v>
      </c>
      <c r="Z1948" s="77">
        <f>G1948+M1948+S1948+Y1948</f>
        <v>113</v>
      </c>
      <c r="AB1948" s="32" t="s">
        <v>14</v>
      </c>
      <c r="AC1948" s="29">
        <f>AC1920-AC1947</f>
        <v>73</v>
      </c>
      <c r="AD1948" s="30">
        <f t="shared" ref="AD1948" si="2244">AD1920-AD1947</f>
        <v>26</v>
      </c>
      <c r="AE1948" s="30">
        <f t="shared" ref="AE1948" si="2245">AE1920-AE1947</f>
        <v>24</v>
      </c>
      <c r="AF1948" s="30">
        <f t="shared" ref="AF1948" si="2246">AF1920-AF1947</f>
        <v>0</v>
      </c>
      <c r="AG1948" s="31">
        <f t="shared" ref="AG1948" si="2247">AG1920-AG1947</f>
        <v>0</v>
      </c>
      <c r="AH1948" s="31">
        <f>AH1920-AH1947</f>
        <v>123</v>
      </c>
      <c r="AI1948" s="29">
        <f>AI1920-AI1947</f>
        <v>69</v>
      </c>
      <c r="AJ1948" s="30">
        <f t="shared" ref="AJ1948" si="2248">AJ1920-AJ1947</f>
        <v>41</v>
      </c>
      <c r="AK1948" s="30">
        <f t="shared" ref="AK1948" si="2249">AK1920-AK1947</f>
        <v>49</v>
      </c>
      <c r="AL1948" s="30">
        <f t="shared" ref="AL1948" si="2250">AL1920-AL1947</f>
        <v>19</v>
      </c>
      <c r="AM1948" s="31">
        <f t="shared" ref="AM1948" si="2251">AM1920-AM1947</f>
        <v>46</v>
      </c>
      <c r="AN1948" s="31">
        <f>AN1920-AN1947</f>
        <v>224</v>
      </c>
      <c r="AO1948" s="29">
        <f>AO1920-AO1947</f>
        <v>134</v>
      </c>
      <c r="AP1948" s="30">
        <f t="shared" ref="AP1948" si="2252">AP1920-AP1947</f>
        <v>81</v>
      </c>
      <c r="AQ1948" s="30">
        <f t="shared" ref="AQ1948" si="2253">AQ1920-AQ1947</f>
        <v>78</v>
      </c>
      <c r="AR1948" s="30">
        <f t="shared" ref="AR1948" si="2254">AR1920-AR1947</f>
        <v>101</v>
      </c>
      <c r="AS1948" s="31">
        <f t="shared" ref="AS1948" si="2255">AS1920-AS1947</f>
        <v>114</v>
      </c>
      <c r="AT1948" s="31">
        <f>AT1920-AT1947</f>
        <v>508</v>
      </c>
      <c r="AU1948" s="29">
        <f>AU1920-AU1947</f>
        <v>102</v>
      </c>
      <c r="AV1948" s="30">
        <f t="shared" ref="AV1948" si="2256">AV1920-AV1947</f>
        <v>42</v>
      </c>
      <c r="AW1948" s="30">
        <f t="shared" ref="AW1948" si="2257">AW1920-AW1947</f>
        <v>0</v>
      </c>
      <c r="AX1948" s="30">
        <f t="shared" ref="AX1948" si="2258">AX1920-AX1947</f>
        <v>0</v>
      </c>
      <c r="AY1948" s="31">
        <f t="shared" ref="AY1948" si="2259">AY1920-AY1947</f>
        <v>55</v>
      </c>
      <c r="AZ1948" s="31">
        <f>AZ1920-AZ1947</f>
        <v>199</v>
      </c>
      <c r="BA1948" s="77">
        <f t="shared" si="2226"/>
        <v>1054</v>
      </c>
    </row>
    <row r="1949" spans="1:53" x14ac:dyDescent="0.15">
      <c r="B1949" s="216"/>
      <c r="C1949" s="216"/>
      <c r="D1949" s="216"/>
      <c r="E1949" s="216" t="s">
        <v>700</v>
      </c>
      <c r="F1949" s="216" t="s">
        <v>700</v>
      </c>
      <c r="G1949" s="216"/>
      <c r="H1949" s="216"/>
      <c r="I1949" s="216"/>
      <c r="J1949" s="216"/>
      <c r="K1949" s="216"/>
      <c r="L1949" s="216"/>
      <c r="M1949" s="216"/>
      <c r="N1949" s="216"/>
      <c r="O1949" s="216"/>
      <c r="P1949" s="216"/>
      <c r="Q1949" s="216"/>
      <c r="R1949" s="216"/>
      <c r="S1949" s="216"/>
      <c r="T1949" s="216"/>
      <c r="U1949" s="216"/>
      <c r="V1949" s="216" t="s">
        <v>700</v>
      </c>
      <c r="W1949" s="216" t="s">
        <v>700</v>
      </c>
      <c r="X1949" s="216"/>
      <c r="AC1949" s="216"/>
      <c r="AD1949" s="216"/>
      <c r="AE1949" s="216"/>
      <c r="AF1949" s="216" t="s">
        <v>702</v>
      </c>
      <c r="AG1949" s="216" t="s">
        <v>702</v>
      </c>
      <c r="AH1949" s="216"/>
      <c r="AI1949" s="216"/>
      <c r="AJ1949" s="216"/>
      <c r="AK1949" s="216"/>
      <c r="AL1949" s="216"/>
      <c r="AM1949" s="216"/>
      <c r="AN1949" s="216"/>
      <c r="AO1949" s="216"/>
      <c r="AP1949" s="216"/>
      <c r="AQ1949" s="216"/>
      <c r="AR1949" s="216"/>
      <c r="AS1949" s="216"/>
      <c r="AT1949" s="216"/>
      <c r="AU1949" s="216"/>
      <c r="AV1949" s="216"/>
      <c r="AW1949" s="216" t="s">
        <v>702</v>
      </c>
      <c r="AX1949" s="216" t="s">
        <v>702</v>
      </c>
      <c r="AY1949" s="216"/>
    </row>
    <row r="1951" spans="1:53" ht="19.5" thickBot="1" x14ac:dyDescent="0.25">
      <c r="A1951" s="1" t="s">
        <v>15</v>
      </c>
      <c r="AB1951" s="1" t="s">
        <v>16</v>
      </c>
    </row>
    <row r="1952" spans="1:53" ht="15" thickBot="1" x14ac:dyDescent="0.2">
      <c r="A1952" s="4"/>
      <c r="B1952" s="245" t="s">
        <v>17</v>
      </c>
      <c r="C1952" s="246"/>
      <c r="D1952" s="246"/>
      <c r="E1952" s="246"/>
      <c r="F1952" s="246"/>
      <c r="G1952" s="247"/>
      <c r="H1952" s="245" t="s">
        <v>18</v>
      </c>
      <c r="I1952" s="246"/>
      <c r="J1952" s="246"/>
      <c r="K1952" s="246"/>
      <c r="L1952" s="246"/>
      <c r="M1952" s="247"/>
      <c r="N1952" s="248" t="s">
        <v>27</v>
      </c>
      <c r="O1952" s="249"/>
      <c r="P1952" s="249"/>
      <c r="Q1952" s="249"/>
      <c r="R1952" s="249"/>
      <c r="S1952" s="250"/>
      <c r="T1952" s="248" t="s">
        <v>28</v>
      </c>
      <c r="U1952" s="249"/>
      <c r="V1952" s="249"/>
      <c r="W1952" s="249"/>
      <c r="X1952" s="249"/>
      <c r="Y1952" s="250"/>
      <c r="Z1952" s="251" t="s">
        <v>1</v>
      </c>
      <c r="AB1952" s="4"/>
      <c r="AC1952" s="253" t="s">
        <v>17</v>
      </c>
      <c r="AD1952" s="249"/>
      <c r="AE1952" s="249"/>
      <c r="AF1952" s="249"/>
      <c r="AG1952" s="249"/>
      <c r="AH1952" s="250"/>
      <c r="AI1952" s="248" t="s">
        <v>18</v>
      </c>
      <c r="AJ1952" s="249"/>
      <c r="AK1952" s="249"/>
      <c r="AL1952" s="249"/>
      <c r="AM1952" s="249"/>
      <c r="AN1952" s="250"/>
      <c r="AO1952" s="248" t="s">
        <v>27</v>
      </c>
      <c r="AP1952" s="249"/>
      <c r="AQ1952" s="249"/>
      <c r="AR1952" s="249"/>
      <c r="AS1952" s="249"/>
      <c r="AT1952" s="250"/>
      <c r="AU1952" s="248" t="s">
        <v>28</v>
      </c>
      <c r="AV1952" s="249"/>
      <c r="AW1952" s="249"/>
      <c r="AX1952" s="249"/>
      <c r="AY1952" s="249"/>
      <c r="AZ1952" s="250"/>
      <c r="BA1952" s="243" t="s">
        <v>1</v>
      </c>
    </row>
    <row r="1953" spans="1:54" ht="15" thickBot="1" x14ac:dyDescent="0.2">
      <c r="A1953" s="9" t="s">
        <v>2</v>
      </c>
      <c r="B1953" s="6" t="s">
        <v>3</v>
      </c>
      <c r="C1953" s="7" t="s">
        <v>4</v>
      </c>
      <c r="D1953" s="7" t="s">
        <v>5</v>
      </c>
      <c r="E1953" s="48" t="s">
        <v>20</v>
      </c>
      <c r="F1953" s="8" t="s">
        <v>21</v>
      </c>
      <c r="G1953" s="5" t="s">
        <v>6</v>
      </c>
      <c r="H1953" s="6" t="s">
        <v>3</v>
      </c>
      <c r="I1953" s="7" t="s">
        <v>4</v>
      </c>
      <c r="J1953" s="7" t="s">
        <v>5</v>
      </c>
      <c r="K1953" s="48" t="s">
        <v>20</v>
      </c>
      <c r="L1953" s="8" t="s">
        <v>21</v>
      </c>
      <c r="M1953" s="5" t="s">
        <v>6</v>
      </c>
      <c r="N1953" s="6" t="s">
        <v>3</v>
      </c>
      <c r="O1953" s="7" t="s">
        <v>4</v>
      </c>
      <c r="P1953" s="7" t="s">
        <v>5</v>
      </c>
      <c r="Q1953" s="48" t="s">
        <v>20</v>
      </c>
      <c r="R1953" s="8" t="s">
        <v>21</v>
      </c>
      <c r="S1953" s="5" t="s">
        <v>6</v>
      </c>
      <c r="T1953" s="7" t="s">
        <v>3</v>
      </c>
      <c r="U1953" s="7" t="s">
        <v>4</v>
      </c>
      <c r="V1953" s="7" t="s">
        <v>5</v>
      </c>
      <c r="W1953" s="48" t="s">
        <v>20</v>
      </c>
      <c r="X1953" s="109" t="s">
        <v>21</v>
      </c>
      <c r="Y1953" s="62" t="s">
        <v>6</v>
      </c>
      <c r="Z1953" s="252"/>
      <c r="AB1953" s="9" t="s">
        <v>2</v>
      </c>
      <c r="AC1953" s="6" t="s">
        <v>3</v>
      </c>
      <c r="AD1953" s="7" t="s">
        <v>4</v>
      </c>
      <c r="AE1953" s="7" t="s">
        <v>5</v>
      </c>
      <c r="AF1953" s="48" t="s">
        <v>20</v>
      </c>
      <c r="AG1953" s="8" t="s">
        <v>21</v>
      </c>
      <c r="AH1953" s="5" t="s">
        <v>6</v>
      </c>
      <c r="AI1953" s="6" t="s">
        <v>3</v>
      </c>
      <c r="AJ1953" s="7" t="s">
        <v>4</v>
      </c>
      <c r="AK1953" s="7" t="s">
        <v>5</v>
      </c>
      <c r="AL1953" s="48" t="s">
        <v>20</v>
      </c>
      <c r="AM1953" s="8" t="s">
        <v>21</v>
      </c>
      <c r="AN1953" s="5" t="s">
        <v>6</v>
      </c>
      <c r="AO1953" s="6" t="s">
        <v>3</v>
      </c>
      <c r="AP1953" s="7" t="s">
        <v>4</v>
      </c>
      <c r="AQ1953" s="7" t="s">
        <v>5</v>
      </c>
      <c r="AR1953" s="48" t="s">
        <v>20</v>
      </c>
      <c r="AS1953" s="8" t="s">
        <v>21</v>
      </c>
      <c r="AT1953" s="5" t="s">
        <v>6</v>
      </c>
      <c r="AU1953" s="7" t="s">
        <v>3</v>
      </c>
      <c r="AV1953" s="7" t="s">
        <v>4</v>
      </c>
      <c r="AW1953" s="7" t="s">
        <v>5</v>
      </c>
      <c r="AX1953" s="48" t="s">
        <v>20</v>
      </c>
      <c r="AY1953" s="109" t="s">
        <v>21</v>
      </c>
      <c r="AZ1953" s="62" t="s">
        <v>6</v>
      </c>
      <c r="BA1953" s="244"/>
    </row>
    <row r="1954" spans="1:54" ht="14.25" x14ac:dyDescent="0.15">
      <c r="A1954" s="103" t="s">
        <v>43</v>
      </c>
      <c r="B1954" s="104">
        <f>B1948</f>
        <v>7</v>
      </c>
      <c r="C1954" s="105">
        <f>C1948</f>
        <v>5</v>
      </c>
      <c r="D1954" s="105">
        <f>D1948</f>
        <v>5</v>
      </c>
      <c r="E1954" s="105">
        <f>E1948</f>
        <v>12</v>
      </c>
      <c r="F1954" s="105">
        <f>F1948</f>
        <v>8</v>
      </c>
      <c r="G1954" s="106">
        <f t="shared" ref="G1954" si="2260">SUM(B1954:F1954)</f>
        <v>37</v>
      </c>
      <c r="H1954" s="104">
        <f>H1948</f>
        <v>5</v>
      </c>
      <c r="I1954" s="105">
        <f>I1948</f>
        <v>2</v>
      </c>
      <c r="J1954" s="105">
        <f>J1948</f>
        <v>3</v>
      </c>
      <c r="K1954" s="105">
        <f>K1948</f>
        <v>4</v>
      </c>
      <c r="L1954" s="105">
        <f>L1948</f>
        <v>4</v>
      </c>
      <c r="M1954" s="107">
        <f t="shared" ref="M1954" si="2261">SUM(H1954:L1954)</f>
        <v>18</v>
      </c>
      <c r="N1954" s="104">
        <f>N1948</f>
        <v>5</v>
      </c>
      <c r="O1954" s="105">
        <f>O1948</f>
        <v>6</v>
      </c>
      <c r="P1954" s="105">
        <f>P1948</f>
        <v>6</v>
      </c>
      <c r="Q1954" s="105">
        <f>Q1948</f>
        <v>2</v>
      </c>
      <c r="R1954" s="105">
        <f>R1948</f>
        <v>5</v>
      </c>
      <c r="S1954" s="108">
        <f t="shared" ref="S1954" si="2262">SUM(N1954:R1954)</f>
        <v>24</v>
      </c>
      <c r="T1954" s="104">
        <f>T1948</f>
        <v>4</v>
      </c>
      <c r="U1954" s="105">
        <f>U1948</f>
        <v>4</v>
      </c>
      <c r="V1954" s="105">
        <f>V1948</f>
        <v>14</v>
      </c>
      <c r="W1954" s="105">
        <f>W1948</f>
        <v>7</v>
      </c>
      <c r="X1954" s="105">
        <f>X1948</f>
        <v>5</v>
      </c>
      <c r="Y1954" s="106">
        <f t="shared" ref="Y1954" si="2263">SUM(T1954:X1954)</f>
        <v>34</v>
      </c>
      <c r="Z1954" s="106">
        <f t="shared" ref="Z1954:Z1984" si="2264">G1954+M1954+S1954+Y1954</f>
        <v>113</v>
      </c>
      <c r="AB1954" s="103" t="s">
        <v>43</v>
      </c>
      <c r="AC1954" s="104">
        <f>AC1948</f>
        <v>73</v>
      </c>
      <c r="AD1954" s="105">
        <f t="shared" ref="AD1954:AG1954" si="2265">AD1948</f>
        <v>26</v>
      </c>
      <c r="AE1954" s="105">
        <f t="shared" si="2265"/>
        <v>24</v>
      </c>
      <c r="AF1954" s="105">
        <f t="shared" si="2265"/>
        <v>0</v>
      </c>
      <c r="AG1954" s="105">
        <f t="shared" si="2265"/>
        <v>0</v>
      </c>
      <c r="AH1954" s="106">
        <f>SUM(AC1954:AG1954)</f>
        <v>123</v>
      </c>
      <c r="AI1954" s="104">
        <f>AI1948</f>
        <v>69</v>
      </c>
      <c r="AJ1954" s="105">
        <f t="shared" ref="AJ1954:AM1954" si="2266">AJ1948</f>
        <v>41</v>
      </c>
      <c r="AK1954" s="105">
        <f t="shared" si="2266"/>
        <v>49</v>
      </c>
      <c r="AL1954" s="105">
        <f t="shared" si="2266"/>
        <v>19</v>
      </c>
      <c r="AM1954" s="105">
        <f t="shared" si="2266"/>
        <v>46</v>
      </c>
      <c r="AN1954" s="106">
        <f>SUM(AI1954:AM1954)</f>
        <v>224</v>
      </c>
      <c r="AO1954" s="104">
        <f>AO1948</f>
        <v>134</v>
      </c>
      <c r="AP1954" s="105">
        <f t="shared" ref="AP1954:AS1954" si="2267">AP1948</f>
        <v>81</v>
      </c>
      <c r="AQ1954" s="105">
        <f t="shared" si="2267"/>
        <v>78</v>
      </c>
      <c r="AR1954" s="105">
        <f t="shared" si="2267"/>
        <v>101</v>
      </c>
      <c r="AS1954" s="105">
        <f t="shared" si="2267"/>
        <v>114</v>
      </c>
      <c r="AT1954" s="106">
        <f>SUM(AO1954:AS1954)</f>
        <v>508</v>
      </c>
      <c r="AU1954" s="104">
        <f>AU1948</f>
        <v>102</v>
      </c>
      <c r="AV1954" s="105">
        <f t="shared" ref="AV1954:AY1954" si="2268">AV1948</f>
        <v>42</v>
      </c>
      <c r="AW1954" s="105">
        <f t="shared" si="2268"/>
        <v>0</v>
      </c>
      <c r="AX1954" s="105">
        <f t="shared" si="2268"/>
        <v>0</v>
      </c>
      <c r="AY1954" s="105">
        <f t="shared" si="2268"/>
        <v>55</v>
      </c>
      <c r="AZ1954" s="106">
        <f>SUM(AU1954:AY1954)</f>
        <v>199</v>
      </c>
      <c r="BA1954" s="106">
        <f>AH1954+AN1954+AT1954+AZ1954</f>
        <v>1054</v>
      </c>
    </row>
    <row r="1955" spans="1:54" ht="14.25" x14ac:dyDescent="0.15">
      <c r="A1955" s="10" t="s">
        <v>181</v>
      </c>
      <c r="B1955" s="14"/>
      <c r="C1955" s="15"/>
      <c r="D1955" s="15"/>
      <c r="E1955" s="15"/>
      <c r="F1955" s="15"/>
      <c r="G1955" s="43">
        <f t="shared" ref="G1955:G1957" si="2269">SUM(B1955:F1955)</f>
        <v>0</v>
      </c>
      <c r="H1955" s="14"/>
      <c r="I1955" s="15">
        <v>3</v>
      </c>
      <c r="J1955" s="15">
        <v>3</v>
      </c>
      <c r="K1955" s="15">
        <v>3</v>
      </c>
      <c r="L1955" s="15">
        <v>3</v>
      </c>
      <c r="M1955" s="43">
        <f t="shared" ref="M1955:M1958" si="2270">SUM(H1955:L1955)</f>
        <v>12</v>
      </c>
      <c r="N1955" s="14"/>
      <c r="O1955" s="55"/>
      <c r="P1955" s="55"/>
      <c r="Q1955" s="55">
        <v>3</v>
      </c>
      <c r="R1955" s="67"/>
      <c r="S1955" s="24">
        <f t="shared" ref="S1955:S1958" si="2271">SUM(N1955:R1955)</f>
        <v>3</v>
      </c>
      <c r="T1955" s="15"/>
      <c r="U1955" s="55"/>
      <c r="V1955" s="55"/>
      <c r="W1955" s="55"/>
      <c r="X1955" s="67"/>
      <c r="Y1955" s="24">
        <f t="shared" ref="Y1955:Y1958" si="2272">SUM(T1955:X1955)</f>
        <v>0</v>
      </c>
      <c r="Z1955" s="24">
        <f t="shared" ref="Z1955:Z1958" si="2273">G1955+M1955+S1955+Y1955</f>
        <v>15</v>
      </c>
      <c r="AA1955" s="83">
        <v>45784</v>
      </c>
      <c r="AB1955" s="10" t="s">
        <v>181</v>
      </c>
      <c r="AC1955" s="14"/>
      <c r="AD1955" s="15"/>
      <c r="AE1955" s="15"/>
      <c r="AF1955" s="15"/>
      <c r="AG1955" s="15"/>
      <c r="AH1955" s="43">
        <f t="shared" ref="AH1955" si="2274">SUM(AC1955:AG1955)</f>
        <v>0</v>
      </c>
      <c r="AI1955" s="14"/>
      <c r="AJ1955" s="15"/>
      <c r="AK1955" s="15"/>
      <c r="AL1955" s="15"/>
      <c r="AM1955" s="15"/>
      <c r="AN1955" s="43">
        <f t="shared" ref="AN1955" si="2275">SUM(AI1955:AM1955)</f>
        <v>0</v>
      </c>
      <c r="AO1955" s="14"/>
      <c r="AP1955" s="55"/>
      <c r="AQ1955" s="55"/>
      <c r="AR1955" s="55"/>
      <c r="AS1955" s="67"/>
      <c r="AT1955" s="24">
        <f t="shared" ref="AT1955" si="2276">SUM(AO1955:AS1955)</f>
        <v>0</v>
      </c>
      <c r="AU1955" s="15"/>
      <c r="AV1955" s="55"/>
      <c r="AW1955" s="55"/>
      <c r="AX1955" s="55"/>
      <c r="AY1955" s="67"/>
      <c r="AZ1955" s="24">
        <f t="shared" ref="AZ1955" si="2277">SUM(AU1955:AY1955)</f>
        <v>0</v>
      </c>
      <c r="BA1955" s="24">
        <f t="shared" ref="BA1955:BA1983" si="2278">AH1955+AN1955+AT1955+AZ1955</f>
        <v>0</v>
      </c>
    </row>
    <row r="1956" spans="1:54" ht="14.25" x14ac:dyDescent="0.15">
      <c r="A1956" s="10" t="s">
        <v>181</v>
      </c>
      <c r="B1956" s="14"/>
      <c r="C1956" s="15"/>
      <c r="D1956" s="15">
        <v>3</v>
      </c>
      <c r="E1956" s="15"/>
      <c r="F1956" s="15"/>
      <c r="G1956" s="43">
        <f t="shared" si="2269"/>
        <v>3</v>
      </c>
      <c r="H1956" s="14"/>
      <c r="I1956" s="15">
        <v>3</v>
      </c>
      <c r="J1956" s="15"/>
      <c r="K1956" s="15"/>
      <c r="L1956" s="15">
        <v>3</v>
      </c>
      <c r="M1956" s="43">
        <f t="shared" si="2270"/>
        <v>6</v>
      </c>
      <c r="N1956" s="14"/>
      <c r="O1956" s="55"/>
      <c r="P1956" s="55"/>
      <c r="Q1956" s="55"/>
      <c r="R1956" s="67"/>
      <c r="S1956" s="24">
        <f t="shared" si="2271"/>
        <v>0</v>
      </c>
      <c r="T1956" s="15"/>
      <c r="U1956" s="55">
        <v>3</v>
      </c>
      <c r="V1956" s="55"/>
      <c r="W1956" s="55"/>
      <c r="X1956" s="67"/>
      <c r="Y1956" s="24">
        <f t="shared" si="2272"/>
        <v>3</v>
      </c>
      <c r="Z1956" s="24">
        <f t="shared" si="2273"/>
        <v>12</v>
      </c>
      <c r="AA1956" s="83">
        <v>45811</v>
      </c>
      <c r="AB1956" s="10" t="s">
        <v>181</v>
      </c>
      <c r="AC1956" s="14"/>
      <c r="AD1956" s="15"/>
      <c r="AE1956" s="15"/>
      <c r="AF1956" s="15"/>
      <c r="AG1956" s="15"/>
      <c r="AH1956" s="43">
        <f t="shared" ref="AH1956:AH1983" si="2279">SUM(AC1956:AG1956)</f>
        <v>0</v>
      </c>
      <c r="AI1956" s="14"/>
      <c r="AJ1956" s="15"/>
      <c r="AK1956" s="15"/>
      <c r="AL1956" s="15"/>
      <c r="AM1956" s="15"/>
      <c r="AN1956" s="43">
        <f t="shared" ref="AN1956:AN1983" si="2280">SUM(AI1956:AM1956)</f>
        <v>0</v>
      </c>
      <c r="AO1956" s="14"/>
      <c r="AP1956" s="55"/>
      <c r="AQ1956" s="55"/>
      <c r="AR1956" s="55"/>
      <c r="AS1956" s="67"/>
      <c r="AT1956" s="24">
        <f t="shared" ref="AT1956:AT1983" si="2281">SUM(AO1956:AS1956)</f>
        <v>0</v>
      </c>
      <c r="AU1956" s="15"/>
      <c r="AV1956" s="55"/>
      <c r="AW1956" s="55"/>
      <c r="AX1956" s="55"/>
      <c r="AY1956" s="67"/>
      <c r="AZ1956" s="24">
        <f t="shared" ref="AZ1956:AZ1983" si="2282">SUM(AU1956:AY1956)</f>
        <v>0</v>
      </c>
      <c r="BA1956" s="24">
        <f t="shared" si="2278"/>
        <v>0</v>
      </c>
    </row>
    <row r="1957" spans="1:54" ht="14.25" x14ac:dyDescent="0.15">
      <c r="A1957" s="10" t="s">
        <v>181</v>
      </c>
      <c r="B1957" s="14"/>
      <c r="C1957" s="15"/>
      <c r="D1957" s="15"/>
      <c r="E1957" s="15"/>
      <c r="F1957" s="15"/>
      <c r="G1957" s="43">
        <f t="shared" si="2269"/>
        <v>0</v>
      </c>
      <c r="H1957" s="14"/>
      <c r="I1957" s="15"/>
      <c r="J1957" s="15"/>
      <c r="K1957" s="15"/>
      <c r="L1957" s="15"/>
      <c r="M1957" s="43">
        <f t="shared" si="2270"/>
        <v>0</v>
      </c>
      <c r="N1957" s="14"/>
      <c r="O1957" s="55"/>
      <c r="P1957" s="55"/>
      <c r="Q1957" s="55"/>
      <c r="R1957" s="67"/>
      <c r="S1957" s="24">
        <f t="shared" si="2271"/>
        <v>0</v>
      </c>
      <c r="T1957" s="15"/>
      <c r="U1957" s="55"/>
      <c r="V1957" s="55"/>
      <c r="W1957" s="55"/>
      <c r="X1957" s="67"/>
      <c r="Y1957" s="24">
        <f t="shared" si="2272"/>
        <v>0</v>
      </c>
      <c r="Z1957" s="24">
        <f t="shared" si="2273"/>
        <v>0</v>
      </c>
      <c r="AB1957" s="10" t="s">
        <v>181</v>
      </c>
      <c r="AC1957" s="14"/>
      <c r="AD1957" s="15"/>
      <c r="AE1957" s="15"/>
      <c r="AF1957" s="15"/>
      <c r="AG1957" s="15"/>
      <c r="AH1957" s="43">
        <f t="shared" si="2279"/>
        <v>0</v>
      </c>
      <c r="AI1957" s="14"/>
      <c r="AJ1957" s="15"/>
      <c r="AK1957" s="15"/>
      <c r="AL1957" s="15"/>
      <c r="AM1957" s="15"/>
      <c r="AN1957" s="43">
        <f t="shared" si="2280"/>
        <v>0</v>
      </c>
      <c r="AO1957" s="14"/>
      <c r="AP1957" s="55"/>
      <c r="AQ1957" s="55"/>
      <c r="AR1957" s="55"/>
      <c r="AS1957" s="67"/>
      <c r="AT1957" s="24">
        <f t="shared" si="2281"/>
        <v>0</v>
      </c>
      <c r="AU1957" s="15"/>
      <c r="AV1957" s="55"/>
      <c r="AW1957" s="55"/>
      <c r="AX1957" s="55"/>
      <c r="AY1957" s="67"/>
      <c r="AZ1957" s="24">
        <f t="shared" si="2282"/>
        <v>0</v>
      </c>
      <c r="BA1957" s="24">
        <f t="shared" si="2278"/>
        <v>0</v>
      </c>
    </row>
    <row r="1958" spans="1:54" ht="15" thickBot="1" x14ac:dyDescent="0.2">
      <c r="A1958" s="10" t="s">
        <v>616</v>
      </c>
      <c r="B1958" s="14"/>
      <c r="C1958" s="15"/>
      <c r="D1958" s="15">
        <v>-1</v>
      </c>
      <c r="E1958" s="15"/>
      <c r="F1958" s="15"/>
      <c r="G1958" s="43">
        <f t="shared" ref="G1958" si="2283">SUM(B1958:F1958)</f>
        <v>-1</v>
      </c>
      <c r="H1958" s="14"/>
      <c r="I1958" s="15"/>
      <c r="J1958" s="15"/>
      <c r="K1958" s="15"/>
      <c r="L1958" s="15"/>
      <c r="M1958" s="43">
        <f t="shared" si="2270"/>
        <v>0</v>
      </c>
      <c r="N1958" s="14"/>
      <c r="O1958" s="55"/>
      <c r="P1958" s="55">
        <v>2</v>
      </c>
      <c r="Q1958" s="55"/>
      <c r="R1958" s="67"/>
      <c r="S1958" s="24">
        <f t="shared" si="2271"/>
        <v>2</v>
      </c>
      <c r="T1958" s="15"/>
      <c r="U1958" s="55"/>
      <c r="V1958" s="55"/>
      <c r="W1958" s="55"/>
      <c r="X1958" s="67"/>
      <c r="Y1958" s="24">
        <f t="shared" si="2272"/>
        <v>0</v>
      </c>
      <c r="Z1958" s="24">
        <f t="shared" si="2273"/>
        <v>1</v>
      </c>
      <c r="AB1958" s="10" t="s">
        <v>181</v>
      </c>
      <c r="AC1958" s="14"/>
      <c r="AD1958" s="15"/>
      <c r="AE1958" s="15"/>
      <c r="AF1958" s="15"/>
      <c r="AG1958" s="15"/>
      <c r="AH1958" s="43">
        <f t="shared" ref="AH1958" si="2284">SUM(AC1958:AG1958)</f>
        <v>0</v>
      </c>
      <c r="AI1958" s="14"/>
      <c r="AJ1958" s="15"/>
      <c r="AK1958" s="15"/>
      <c r="AL1958" s="15"/>
      <c r="AM1958" s="15"/>
      <c r="AN1958" s="43">
        <f t="shared" ref="AN1958" si="2285">SUM(AI1958:AM1958)</f>
        <v>0</v>
      </c>
      <c r="AO1958" s="14"/>
      <c r="AP1958" s="55"/>
      <c r="AQ1958" s="55"/>
      <c r="AR1958" s="55"/>
      <c r="AS1958" s="67"/>
      <c r="AT1958" s="24">
        <f t="shared" ref="AT1958" si="2286">SUM(AO1958:AS1958)</f>
        <v>0</v>
      </c>
      <c r="AU1958" s="15"/>
      <c r="AV1958" s="55"/>
      <c r="AW1958" s="55"/>
      <c r="AX1958" s="55"/>
      <c r="AY1958" s="67"/>
      <c r="AZ1958" s="24">
        <f t="shared" ref="AZ1958" si="2287">SUM(AU1958:AY1958)</f>
        <v>0</v>
      </c>
      <c r="BA1958" s="24">
        <f t="shared" ref="BA1958" si="2288">AH1958+AN1958+AT1958+AZ1958</f>
        <v>0</v>
      </c>
    </row>
    <row r="1959" spans="1:54" ht="15" thickBot="1" x14ac:dyDescent="0.2">
      <c r="A1959" s="4" t="s">
        <v>12</v>
      </c>
      <c r="B1959" s="17">
        <f>SUM(B1954:B1958)</f>
        <v>7</v>
      </c>
      <c r="C1959" s="18">
        <f>SUM(C1954:C1958)</f>
        <v>5</v>
      </c>
      <c r="D1959" s="18">
        <f>SUM(D1954:D1958)</f>
        <v>7</v>
      </c>
      <c r="E1959" s="18">
        <f>SUM(E1954:E1958)</f>
        <v>12</v>
      </c>
      <c r="F1959" s="18">
        <f>SUM(F1954:F1958)</f>
        <v>8</v>
      </c>
      <c r="G1959" s="148">
        <f t="shared" ref="G1959:G1984" si="2289">SUM(B1959:F1959)</f>
        <v>39</v>
      </c>
      <c r="H1959" s="17">
        <f>SUM(H1954:H1958)</f>
        <v>5</v>
      </c>
      <c r="I1959" s="18">
        <f>SUM(I1954:I1958)</f>
        <v>8</v>
      </c>
      <c r="J1959" s="18">
        <f>SUM(J1954:J1958)</f>
        <v>6</v>
      </c>
      <c r="K1959" s="18">
        <f>SUM(K1954:K1958)</f>
        <v>7</v>
      </c>
      <c r="L1959" s="18">
        <f>SUM(L1954:L1958)</f>
        <v>10</v>
      </c>
      <c r="M1959" s="17">
        <f t="shared" ref="M1959:M1984" si="2290">SUM(H1959:L1959)</f>
        <v>36</v>
      </c>
      <c r="N1959" s="65">
        <f>SUM(N1954:N1958)</f>
        <v>5</v>
      </c>
      <c r="O1959" s="18">
        <f>SUM(O1954:O1958)</f>
        <v>6</v>
      </c>
      <c r="P1959" s="18">
        <f>SUM(P1954:P1958)</f>
        <v>8</v>
      </c>
      <c r="Q1959" s="18">
        <f>SUM(Q1954:Q1958)</f>
        <v>5</v>
      </c>
      <c r="R1959" s="70">
        <f>SUM(R1954:R1958)</f>
        <v>5</v>
      </c>
      <c r="S1959" s="49">
        <f t="shared" ref="S1959:S1984" si="2291">SUM(N1959:R1959)</f>
        <v>29</v>
      </c>
      <c r="T1959" s="74">
        <f>SUM(T1954:T1958)</f>
        <v>4</v>
      </c>
      <c r="U1959" s="18">
        <f>SUM(U1954:U1958)</f>
        <v>7</v>
      </c>
      <c r="V1959" s="18">
        <f>SUM(V1954:V1958)</f>
        <v>14</v>
      </c>
      <c r="W1959" s="18">
        <f>SUM(W1954:W1958)</f>
        <v>7</v>
      </c>
      <c r="X1959" s="70">
        <f>SUM(X1954:X1958)</f>
        <v>5</v>
      </c>
      <c r="Y1959" s="49">
        <f t="shared" ref="Y1959:Y1984" si="2292">SUM(T1959:X1959)</f>
        <v>37</v>
      </c>
      <c r="Z1959" s="33">
        <f t="shared" si="2264"/>
        <v>141</v>
      </c>
      <c r="AB1959" s="4" t="s">
        <v>12</v>
      </c>
      <c r="AC1959" s="17">
        <f>SUM(AC1954:AC1958)</f>
        <v>73</v>
      </c>
      <c r="AD1959" s="18">
        <f t="shared" ref="AD1959" si="2293">SUM(AD1954:AD1958)</f>
        <v>26</v>
      </c>
      <c r="AE1959" s="18">
        <f t="shared" ref="AE1959" si="2294">SUM(AE1954:AE1958)</f>
        <v>24</v>
      </c>
      <c r="AF1959" s="18">
        <f t="shared" ref="AF1959" si="2295">SUM(AF1954:AF1958)</f>
        <v>0</v>
      </c>
      <c r="AG1959" s="18">
        <f t="shared" ref="AG1959" si="2296">SUM(AG1954:AG1958)</f>
        <v>0</v>
      </c>
      <c r="AH1959" s="148">
        <f>SUM(AC1959:AG1959)</f>
        <v>123</v>
      </c>
      <c r="AI1959" s="17">
        <f>SUM(AI1954:AI1958)</f>
        <v>69</v>
      </c>
      <c r="AJ1959" s="18">
        <f t="shared" ref="AJ1959" si="2297">SUM(AJ1954:AJ1958)</f>
        <v>41</v>
      </c>
      <c r="AK1959" s="18">
        <f t="shared" ref="AK1959" si="2298">SUM(AK1954:AK1958)</f>
        <v>49</v>
      </c>
      <c r="AL1959" s="18">
        <f t="shared" ref="AL1959" si="2299">SUM(AL1954:AL1958)</f>
        <v>19</v>
      </c>
      <c r="AM1959" s="18">
        <f t="shared" ref="AM1959" si="2300">SUM(AM1954:AM1958)</f>
        <v>46</v>
      </c>
      <c r="AN1959" s="148">
        <f>SUM(AI1959:AM1959)</f>
        <v>224</v>
      </c>
      <c r="AO1959" s="17">
        <f>SUM(AO1954:AO1958)</f>
        <v>134</v>
      </c>
      <c r="AP1959" s="18">
        <f t="shared" ref="AP1959" si="2301">SUM(AP1954:AP1958)</f>
        <v>81</v>
      </c>
      <c r="AQ1959" s="18">
        <f t="shared" ref="AQ1959" si="2302">SUM(AQ1954:AQ1958)</f>
        <v>78</v>
      </c>
      <c r="AR1959" s="18">
        <f t="shared" ref="AR1959" si="2303">SUM(AR1954:AR1958)</f>
        <v>101</v>
      </c>
      <c r="AS1959" s="18">
        <f t="shared" ref="AS1959" si="2304">SUM(AS1954:AS1958)</f>
        <v>114</v>
      </c>
      <c r="AT1959" s="148">
        <f>SUM(AO1959:AS1959)</f>
        <v>508</v>
      </c>
      <c r="AU1959" s="17">
        <f>SUM(AU1954:AU1958)</f>
        <v>102</v>
      </c>
      <c r="AV1959" s="18">
        <f t="shared" ref="AV1959" si="2305">SUM(AV1954:AV1958)</f>
        <v>42</v>
      </c>
      <c r="AW1959" s="18">
        <f t="shared" ref="AW1959" si="2306">SUM(AW1954:AW1958)</f>
        <v>0</v>
      </c>
      <c r="AX1959" s="18">
        <f t="shared" ref="AX1959" si="2307">SUM(AX1954:AX1958)</f>
        <v>0</v>
      </c>
      <c r="AY1959" s="18">
        <f t="shared" ref="AY1959" si="2308">SUM(AY1954:AY1958)</f>
        <v>55</v>
      </c>
      <c r="AZ1959" s="148">
        <f>SUM(AU1959:AY1959)</f>
        <v>199</v>
      </c>
      <c r="BA1959" s="33">
        <f>AH1959+AN1959+AT1959+AZ1959</f>
        <v>1054</v>
      </c>
    </row>
    <row r="1960" spans="1:54" ht="14.25" x14ac:dyDescent="0.15">
      <c r="A1960" s="23" t="s">
        <v>699</v>
      </c>
      <c r="B1960" s="41"/>
      <c r="C1960" s="42"/>
      <c r="D1960" s="42"/>
      <c r="E1960" s="42"/>
      <c r="F1960" s="42"/>
      <c r="G1960" s="43">
        <f t="shared" ref="G1960:G1970" si="2309">SUM(B1960:F1960)</f>
        <v>0</v>
      </c>
      <c r="H1960" s="41"/>
      <c r="I1960" s="42"/>
      <c r="J1960" s="42">
        <v>1</v>
      </c>
      <c r="K1960" s="42">
        <v>1</v>
      </c>
      <c r="L1960" s="42">
        <v>1</v>
      </c>
      <c r="M1960" s="43">
        <f t="shared" ref="M1960:M1970" si="2310">SUM(H1960:L1960)</f>
        <v>3</v>
      </c>
      <c r="N1960" s="42"/>
      <c r="O1960" s="53"/>
      <c r="P1960" s="53"/>
      <c r="Q1960" s="53"/>
      <c r="R1960" s="72"/>
      <c r="S1960" s="24">
        <f t="shared" ref="S1960:S1970" si="2311">SUM(N1960:R1960)</f>
        <v>0</v>
      </c>
      <c r="T1960" s="42"/>
      <c r="U1960" s="53"/>
      <c r="V1960" s="53">
        <v>1</v>
      </c>
      <c r="W1960" s="53"/>
      <c r="X1960" s="72"/>
      <c r="Y1960" s="24">
        <f t="shared" ref="Y1960:Y1970" si="2312">SUM(T1960:X1960)</f>
        <v>1</v>
      </c>
      <c r="Z1960" s="24">
        <f t="shared" ref="Z1960:Z1970" si="2313">G1960+M1960+S1960+Y1960</f>
        <v>4</v>
      </c>
      <c r="AA1960" s="93">
        <v>45784</v>
      </c>
      <c r="AB1960" s="23" t="s">
        <v>126</v>
      </c>
      <c r="AC1960" s="41"/>
      <c r="AD1960" s="42"/>
      <c r="AE1960" s="42">
        <v>3</v>
      </c>
      <c r="AF1960" s="42"/>
      <c r="AG1960" s="42"/>
      <c r="AH1960" s="43">
        <f t="shared" ref="AH1960" si="2314">SUM(AC1960:AG1960)</f>
        <v>3</v>
      </c>
      <c r="AI1960" s="41"/>
      <c r="AJ1960" s="42">
        <v>3</v>
      </c>
      <c r="AK1960" s="42"/>
      <c r="AL1960" s="42"/>
      <c r="AM1960" s="42">
        <v>3</v>
      </c>
      <c r="AN1960" s="43">
        <f t="shared" ref="AN1960" si="2315">SUM(AI1960:AM1960)</f>
        <v>6</v>
      </c>
      <c r="AO1960" s="42"/>
      <c r="AP1960" s="53"/>
      <c r="AQ1960" s="53"/>
      <c r="AR1960" s="53"/>
      <c r="AS1960" s="72"/>
      <c r="AT1960" s="24">
        <f t="shared" ref="AT1960" si="2316">SUM(AO1960:AS1960)</f>
        <v>0</v>
      </c>
      <c r="AU1960" s="42"/>
      <c r="AV1960" s="53">
        <v>3</v>
      </c>
      <c r="AW1960" s="53"/>
      <c r="AX1960" s="53"/>
      <c r="AY1960" s="72"/>
      <c r="AZ1960" s="24">
        <f t="shared" ref="AZ1960" si="2317">SUM(AU1960:AY1960)</f>
        <v>3</v>
      </c>
      <c r="BA1960" s="24">
        <f t="shared" si="2278"/>
        <v>12</v>
      </c>
      <c r="BB1960" s="83">
        <v>45811</v>
      </c>
    </row>
    <row r="1961" spans="1:54" ht="14.25" x14ac:dyDescent="0.15">
      <c r="A1961" s="23" t="s">
        <v>699</v>
      </c>
      <c r="B1961" s="41"/>
      <c r="C1961" s="42"/>
      <c r="D1961" s="42"/>
      <c r="E1961" s="42"/>
      <c r="F1961" s="42"/>
      <c r="G1961" s="43">
        <f t="shared" si="2309"/>
        <v>0</v>
      </c>
      <c r="H1961" s="41">
        <v>1</v>
      </c>
      <c r="I1961" s="42">
        <v>1</v>
      </c>
      <c r="J1961" s="42"/>
      <c r="K1961" s="42"/>
      <c r="L1961" s="42">
        <v>1</v>
      </c>
      <c r="M1961" s="43">
        <f t="shared" si="2310"/>
        <v>3</v>
      </c>
      <c r="N1961" s="42"/>
      <c r="O1961" s="53"/>
      <c r="P1961" s="53"/>
      <c r="Q1961" s="53"/>
      <c r="R1961" s="72"/>
      <c r="S1961" s="24">
        <f t="shared" si="2311"/>
        <v>0</v>
      </c>
      <c r="T1961" s="42"/>
      <c r="U1961" s="53"/>
      <c r="V1961" s="53"/>
      <c r="W1961" s="53"/>
      <c r="X1961" s="72">
        <v>1</v>
      </c>
      <c r="Y1961" s="24">
        <f t="shared" si="2312"/>
        <v>1</v>
      </c>
      <c r="Z1961" s="24">
        <f t="shared" si="2313"/>
        <v>4</v>
      </c>
      <c r="AA1961" s="93">
        <v>45789</v>
      </c>
      <c r="AB1961" s="23"/>
      <c r="AC1961" s="41"/>
      <c r="AD1961" s="42"/>
      <c r="AE1961" s="42"/>
      <c r="AF1961" s="42"/>
      <c r="AG1961" s="42"/>
      <c r="AH1961" s="43">
        <f t="shared" ref="AH1961" si="2318">SUM(AC1961:AG1961)</f>
        <v>0</v>
      </c>
      <c r="AI1961" s="41"/>
      <c r="AJ1961" s="42"/>
      <c r="AK1961" s="42"/>
      <c r="AL1961" s="42"/>
      <c r="AM1961" s="42"/>
      <c r="AN1961" s="43">
        <f t="shared" ref="AN1961" si="2319">SUM(AI1961:AM1961)</f>
        <v>0</v>
      </c>
      <c r="AO1961" s="42"/>
      <c r="AP1961" s="53"/>
      <c r="AQ1961" s="53"/>
      <c r="AR1961" s="53"/>
      <c r="AS1961" s="72"/>
      <c r="AT1961" s="24">
        <f t="shared" ref="AT1961" si="2320">SUM(AO1961:AS1961)</f>
        <v>0</v>
      </c>
      <c r="AU1961" s="42"/>
      <c r="AV1961" s="53"/>
      <c r="AW1961" s="53"/>
      <c r="AX1961" s="53"/>
      <c r="AY1961" s="72"/>
      <c r="AZ1961" s="24">
        <f t="shared" ref="AZ1961" si="2321">SUM(AU1961:AY1961)</f>
        <v>0</v>
      </c>
      <c r="BA1961" s="24">
        <f t="shared" ref="BA1961" si="2322">AH1961+AN1961+AT1961+AZ1961</f>
        <v>0</v>
      </c>
      <c r="BB1961" s="128"/>
    </row>
    <row r="1962" spans="1:54" ht="14.25" x14ac:dyDescent="0.15">
      <c r="A1962" s="23" t="s">
        <v>699</v>
      </c>
      <c r="B1962" s="41"/>
      <c r="C1962" s="42"/>
      <c r="D1962" s="42"/>
      <c r="E1962" s="42"/>
      <c r="F1962" s="42"/>
      <c r="G1962" s="43">
        <f t="shared" si="2309"/>
        <v>0</v>
      </c>
      <c r="H1962" s="41"/>
      <c r="I1962" s="42"/>
      <c r="J1962" s="42"/>
      <c r="K1962" s="42"/>
      <c r="L1962" s="42"/>
      <c r="M1962" s="43">
        <f t="shared" si="2310"/>
        <v>0</v>
      </c>
      <c r="N1962" s="42"/>
      <c r="O1962" s="53"/>
      <c r="P1962" s="53"/>
      <c r="Q1962" s="53"/>
      <c r="R1962" s="72"/>
      <c r="S1962" s="24">
        <f t="shared" si="2311"/>
        <v>0</v>
      </c>
      <c r="T1962" s="42"/>
      <c r="U1962" s="53">
        <v>1</v>
      </c>
      <c r="V1962" s="53"/>
      <c r="W1962" s="53"/>
      <c r="X1962" s="72"/>
      <c r="Y1962" s="24">
        <f t="shared" si="2312"/>
        <v>1</v>
      </c>
      <c r="Z1962" s="24">
        <f t="shared" si="2313"/>
        <v>1</v>
      </c>
      <c r="AA1962" s="93">
        <v>45790</v>
      </c>
      <c r="AB1962" s="23"/>
      <c r="AC1962" s="41"/>
      <c r="AD1962" s="42"/>
      <c r="AE1962" s="42"/>
      <c r="AF1962" s="42"/>
      <c r="AG1962" s="42"/>
      <c r="AH1962" s="43">
        <f t="shared" si="2279"/>
        <v>0</v>
      </c>
      <c r="AI1962" s="41"/>
      <c r="AJ1962" s="42"/>
      <c r="AK1962" s="42"/>
      <c r="AL1962" s="42"/>
      <c r="AM1962" s="42"/>
      <c r="AN1962" s="43">
        <f t="shared" si="2280"/>
        <v>0</v>
      </c>
      <c r="AO1962" s="42"/>
      <c r="AP1962" s="53"/>
      <c r="AQ1962" s="53"/>
      <c r="AR1962" s="53"/>
      <c r="AS1962" s="72"/>
      <c r="AT1962" s="24">
        <f t="shared" si="2281"/>
        <v>0</v>
      </c>
      <c r="AU1962" s="42"/>
      <c r="AV1962" s="53"/>
      <c r="AW1962" s="53"/>
      <c r="AX1962" s="53"/>
      <c r="AY1962" s="72"/>
      <c r="AZ1962" s="24">
        <f t="shared" si="2282"/>
        <v>0</v>
      </c>
      <c r="BA1962" s="24">
        <f t="shared" si="2278"/>
        <v>0</v>
      </c>
      <c r="BB1962" s="128"/>
    </row>
    <row r="1963" spans="1:54" ht="14.25" x14ac:dyDescent="0.15">
      <c r="A1963" s="23" t="s">
        <v>699</v>
      </c>
      <c r="B1963" s="41"/>
      <c r="C1963" s="42"/>
      <c r="D1963" s="42"/>
      <c r="E1963" s="42"/>
      <c r="F1963" s="42"/>
      <c r="G1963" s="43">
        <f t="shared" si="2309"/>
        <v>0</v>
      </c>
      <c r="H1963" s="41"/>
      <c r="I1963" s="42"/>
      <c r="J1963" s="42"/>
      <c r="K1963" s="42"/>
      <c r="L1963" s="42">
        <v>1</v>
      </c>
      <c r="M1963" s="43">
        <f t="shared" si="2310"/>
        <v>1</v>
      </c>
      <c r="N1963" s="42"/>
      <c r="O1963" s="53"/>
      <c r="P1963" s="53"/>
      <c r="Q1963" s="53"/>
      <c r="R1963" s="72"/>
      <c r="S1963" s="24">
        <f t="shared" si="2311"/>
        <v>0</v>
      </c>
      <c r="T1963" s="42"/>
      <c r="U1963" s="53"/>
      <c r="V1963" s="53"/>
      <c r="W1963" s="53">
        <v>1</v>
      </c>
      <c r="X1963" s="72"/>
      <c r="Y1963" s="24">
        <f t="shared" si="2312"/>
        <v>1</v>
      </c>
      <c r="Z1963" s="24">
        <f t="shared" si="2313"/>
        <v>2</v>
      </c>
      <c r="AA1963" s="93">
        <v>45791</v>
      </c>
      <c r="AB1963" s="23"/>
      <c r="AC1963" s="41"/>
      <c r="AD1963" s="42"/>
      <c r="AE1963" s="42"/>
      <c r="AF1963" s="42"/>
      <c r="AG1963" s="42"/>
      <c r="AH1963" s="43">
        <f t="shared" si="2279"/>
        <v>0</v>
      </c>
      <c r="AI1963" s="41"/>
      <c r="AJ1963" s="42"/>
      <c r="AK1963" s="42"/>
      <c r="AL1963" s="42"/>
      <c r="AM1963" s="42"/>
      <c r="AN1963" s="43">
        <f t="shared" si="2280"/>
        <v>0</v>
      </c>
      <c r="AO1963" s="42"/>
      <c r="AP1963" s="53"/>
      <c r="AQ1963" s="53"/>
      <c r="AR1963" s="53"/>
      <c r="AS1963" s="72"/>
      <c r="AT1963" s="24">
        <f t="shared" si="2281"/>
        <v>0</v>
      </c>
      <c r="AU1963" s="42"/>
      <c r="AV1963" s="53"/>
      <c r="AW1963" s="53"/>
      <c r="AX1963" s="53"/>
      <c r="AY1963" s="72"/>
      <c r="AZ1963" s="24">
        <f t="shared" si="2282"/>
        <v>0</v>
      </c>
      <c r="BA1963" s="24">
        <f t="shared" si="2278"/>
        <v>0</v>
      </c>
      <c r="BB1963" s="128"/>
    </row>
    <row r="1964" spans="1:54" ht="14.25" x14ac:dyDescent="0.15">
      <c r="A1964" s="23" t="s">
        <v>699</v>
      </c>
      <c r="B1964" s="41"/>
      <c r="C1964" s="42"/>
      <c r="D1964" s="42"/>
      <c r="E1964" s="42"/>
      <c r="F1964" s="42"/>
      <c r="G1964" s="43">
        <f t="shared" si="2309"/>
        <v>0</v>
      </c>
      <c r="H1964" s="41"/>
      <c r="I1964" s="42"/>
      <c r="J1964" s="42"/>
      <c r="K1964" s="42"/>
      <c r="L1964" s="42"/>
      <c r="M1964" s="43">
        <f t="shared" si="2310"/>
        <v>0</v>
      </c>
      <c r="N1964" s="42"/>
      <c r="O1964" s="53">
        <v>1</v>
      </c>
      <c r="P1964" s="53"/>
      <c r="Q1964" s="53"/>
      <c r="R1964" s="72"/>
      <c r="S1964" s="24">
        <f t="shared" si="2311"/>
        <v>1</v>
      </c>
      <c r="T1964" s="42"/>
      <c r="U1964" s="53"/>
      <c r="V1964" s="53"/>
      <c r="W1964" s="53"/>
      <c r="X1964" s="72"/>
      <c r="Y1964" s="24">
        <f t="shared" si="2312"/>
        <v>0</v>
      </c>
      <c r="Z1964" s="24">
        <f t="shared" si="2313"/>
        <v>1</v>
      </c>
      <c r="AA1964" s="93">
        <v>45792</v>
      </c>
      <c r="AB1964" s="23"/>
      <c r="AC1964" s="41"/>
      <c r="AD1964" s="42"/>
      <c r="AE1964" s="42"/>
      <c r="AF1964" s="42"/>
      <c r="AG1964" s="42"/>
      <c r="AH1964" s="43">
        <f t="shared" si="2279"/>
        <v>0</v>
      </c>
      <c r="AI1964" s="41"/>
      <c r="AJ1964" s="42"/>
      <c r="AK1964" s="42"/>
      <c r="AL1964" s="42"/>
      <c r="AM1964" s="42"/>
      <c r="AN1964" s="43">
        <f t="shared" si="2280"/>
        <v>0</v>
      </c>
      <c r="AO1964" s="42"/>
      <c r="AP1964" s="53"/>
      <c r="AQ1964" s="53"/>
      <c r="AR1964" s="53"/>
      <c r="AS1964" s="72"/>
      <c r="AT1964" s="24">
        <f t="shared" si="2281"/>
        <v>0</v>
      </c>
      <c r="AU1964" s="42"/>
      <c r="AV1964" s="53"/>
      <c r="AW1964" s="53"/>
      <c r="AX1964" s="53"/>
      <c r="AY1964" s="72"/>
      <c r="AZ1964" s="24">
        <f t="shared" si="2282"/>
        <v>0</v>
      </c>
      <c r="BA1964" s="24">
        <f t="shared" si="2278"/>
        <v>0</v>
      </c>
    </row>
    <row r="1965" spans="1:54" ht="14.25" x14ac:dyDescent="0.15">
      <c r="A1965" s="23" t="s">
        <v>699</v>
      </c>
      <c r="B1965" s="41"/>
      <c r="C1965" s="42"/>
      <c r="D1965" s="42"/>
      <c r="E1965" s="42"/>
      <c r="F1965" s="42"/>
      <c r="G1965" s="43">
        <f t="shared" si="2309"/>
        <v>0</v>
      </c>
      <c r="H1965" s="41"/>
      <c r="I1965" s="42">
        <v>1</v>
      </c>
      <c r="J1965" s="42"/>
      <c r="K1965" s="42"/>
      <c r="L1965" s="42"/>
      <c r="M1965" s="43">
        <f t="shared" si="2310"/>
        <v>1</v>
      </c>
      <c r="N1965" s="42"/>
      <c r="O1965" s="53"/>
      <c r="P1965" s="53"/>
      <c r="Q1965" s="53"/>
      <c r="R1965" s="72"/>
      <c r="S1965" s="24">
        <f t="shared" si="2311"/>
        <v>0</v>
      </c>
      <c r="T1965" s="42"/>
      <c r="U1965" s="53"/>
      <c r="V1965" s="53"/>
      <c r="W1965" s="53"/>
      <c r="X1965" s="72"/>
      <c r="Y1965" s="24">
        <f t="shared" si="2312"/>
        <v>0</v>
      </c>
      <c r="Z1965" s="24">
        <f t="shared" si="2313"/>
        <v>1</v>
      </c>
      <c r="AA1965" s="93">
        <v>45793</v>
      </c>
      <c r="AB1965" s="23"/>
      <c r="AC1965" s="41"/>
      <c r="AD1965" s="42"/>
      <c r="AE1965" s="42"/>
      <c r="AF1965" s="42"/>
      <c r="AG1965" s="42"/>
      <c r="AH1965" s="43">
        <f t="shared" si="2279"/>
        <v>0</v>
      </c>
      <c r="AI1965" s="41"/>
      <c r="AJ1965" s="42"/>
      <c r="AK1965" s="42"/>
      <c r="AL1965" s="42"/>
      <c r="AM1965" s="42"/>
      <c r="AN1965" s="43">
        <f t="shared" si="2280"/>
        <v>0</v>
      </c>
      <c r="AO1965" s="42"/>
      <c r="AP1965" s="53"/>
      <c r="AQ1965" s="53"/>
      <c r="AR1965" s="53"/>
      <c r="AS1965" s="72"/>
      <c r="AT1965" s="24">
        <f t="shared" si="2281"/>
        <v>0</v>
      </c>
      <c r="AU1965" s="42"/>
      <c r="AV1965" s="53"/>
      <c r="AW1965" s="53"/>
      <c r="AX1965" s="53"/>
      <c r="AY1965" s="72"/>
      <c r="AZ1965" s="24">
        <f t="shared" si="2282"/>
        <v>0</v>
      </c>
      <c r="BA1965" s="24">
        <f t="shared" si="2278"/>
        <v>0</v>
      </c>
    </row>
    <row r="1966" spans="1:54" ht="14.25" x14ac:dyDescent="0.15">
      <c r="A1966" s="23" t="s">
        <v>699</v>
      </c>
      <c r="B1966" s="41"/>
      <c r="C1966" s="42"/>
      <c r="D1966" s="42">
        <v>1</v>
      </c>
      <c r="E1966" s="42"/>
      <c r="F1966" s="42"/>
      <c r="G1966" s="43">
        <f t="shared" si="2309"/>
        <v>1</v>
      </c>
      <c r="H1966" s="41"/>
      <c r="I1966" s="42"/>
      <c r="J1966" s="42"/>
      <c r="K1966" s="42"/>
      <c r="L1966" s="42"/>
      <c r="M1966" s="43">
        <f t="shared" si="2310"/>
        <v>0</v>
      </c>
      <c r="N1966" s="42"/>
      <c r="O1966" s="53"/>
      <c r="P1966" s="53">
        <v>1</v>
      </c>
      <c r="Q1966" s="53"/>
      <c r="R1966" s="72"/>
      <c r="S1966" s="24">
        <f t="shared" si="2311"/>
        <v>1</v>
      </c>
      <c r="T1966" s="42"/>
      <c r="U1966" s="53"/>
      <c r="V1966" s="53"/>
      <c r="W1966" s="53"/>
      <c r="X1966" s="72"/>
      <c r="Y1966" s="24">
        <f t="shared" si="2312"/>
        <v>0</v>
      </c>
      <c r="Z1966" s="24">
        <f t="shared" si="2313"/>
        <v>2</v>
      </c>
      <c r="AA1966" s="93">
        <v>45796</v>
      </c>
      <c r="AB1966" s="23"/>
      <c r="AC1966" s="41"/>
      <c r="AD1966" s="42"/>
      <c r="AE1966" s="42"/>
      <c r="AF1966" s="42"/>
      <c r="AG1966" s="42"/>
      <c r="AH1966" s="43">
        <f t="shared" si="2279"/>
        <v>0</v>
      </c>
      <c r="AI1966" s="41"/>
      <c r="AJ1966" s="42"/>
      <c r="AK1966" s="42"/>
      <c r="AL1966" s="42"/>
      <c r="AM1966" s="42"/>
      <c r="AN1966" s="43">
        <f t="shared" si="2280"/>
        <v>0</v>
      </c>
      <c r="AO1966" s="42"/>
      <c r="AP1966" s="53"/>
      <c r="AQ1966" s="53"/>
      <c r="AR1966" s="53"/>
      <c r="AS1966" s="72"/>
      <c r="AT1966" s="24">
        <f t="shared" si="2281"/>
        <v>0</v>
      </c>
      <c r="AU1966" s="42"/>
      <c r="AV1966" s="53"/>
      <c r="AW1966" s="53"/>
      <c r="AX1966" s="53"/>
      <c r="AY1966" s="72"/>
      <c r="AZ1966" s="24">
        <f t="shared" si="2282"/>
        <v>0</v>
      </c>
      <c r="BA1966" s="24">
        <f t="shared" si="2278"/>
        <v>0</v>
      </c>
    </row>
    <row r="1967" spans="1:54" ht="14.25" x14ac:dyDescent="0.15">
      <c r="A1967" s="23" t="s">
        <v>699</v>
      </c>
      <c r="B1967" s="41"/>
      <c r="C1967" s="42"/>
      <c r="D1967" s="42"/>
      <c r="E1967" s="42"/>
      <c r="F1967" s="42"/>
      <c r="G1967" s="43">
        <f t="shared" si="2309"/>
        <v>0</v>
      </c>
      <c r="H1967" s="41"/>
      <c r="I1967" s="42"/>
      <c r="J1967" s="42"/>
      <c r="K1967" s="42">
        <v>1</v>
      </c>
      <c r="L1967" s="42"/>
      <c r="M1967" s="43">
        <f t="shared" si="2310"/>
        <v>1</v>
      </c>
      <c r="N1967" s="42"/>
      <c r="O1967" s="53"/>
      <c r="P1967" s="53"/>
      <c r="Q1967" s="53"/>
      <c r="R1967" s="72"/>
      <c r="S1967" s="24">
        <f t="shared" si="2311"/>
        <v>0</v>
      </c>
      <c r="T1967" s="42"/>
      <c r="U1967" s="53"/>
      <c r="V1967" s="53"/>
      <c r="W1967" s="53"/>
      <c r="X1967" s="72"/>
      <c r="Y1967" s="24">
        <f t="shared" si="2312"/>
        <v>0</v>
      </c>
      <c r="Z1967" s="24">
        <f t="shared" si="2313"/>
        <v>1</v>
      </c>
      <c r="AA1967" s="93">
        <v>45798</v>
      </c>
      <c r="AB1967" s="23"/>
      <c r="AC1967" s="41"/>
      <c r="AD1967" s="42"/>
      <c r="AE1967" s="42"/>
      <c r="AF1967" s="42"/>
      <c r="AG1967" s="42"/>
      <c r="AH1967" s="43">
        <f t="shared" si="2279"/>
        <v>0</v>
      </c>
      <c r="AI1967" s="41"/>
      <c r="AJ1967" s="42"/>
      <c r="AK1967" s="42"/>
      <c r="AL1967" s="42"/>
      <c r="AM1967" s="42"/>
      <c r="AN1967" s="43">
        <f t="shared" si="2280"/>
        <v>0</v>
      </c>
      <c r="AO1967" s="42"/>
      <c r="AP1967" s="53"/>
      <c r="AQ1967" s="53"/>
      <c r="AR1967" s="53"/>
      <c r="AS1967" s="72"/>
      <c r="AT1967" s="24">
        <f t="shared" si="2281"/>
        <v>0</v>
      </c>
      <c r="AU1967" s="42"/>
      <c r="AV1967" s="53"/>
      <c r="AW1967" s="53"/>
      <c r="AX1967" s="53"/>
      <c r="AY1967" s="72"/>
      <c r="AZ1967" s="24">
        <f t="shared" si="2282"/>
        <v>0</v>
      </c>
      <c r="BA1967" s="24">
        <f t="shared" si="2278"/>
        <v>0</v>
      </c>
    </row>
    <row r="1968" spans="1:54" ht="14.25" x14ac:dyDescent="0.15">
      <c r="A1968" s="23" t="s">
        <v>699</v>
      </c>
      <c r="B1968" s="41"/>
      <c r="C1968" s="42"/>
      <c r="D1968" s="42"/>
      <c r="E1968" s="42">
        <v>1</v>
      </c>
      <c r="F1968" s="42"/>
      <c r="G1968" s="43">
        <f t="shared" si="2309"/>
        <v>1</v>
      </c>
      <c r="H1968" s="41"/>
      <c r="I1968" s="42"/>
      <c r="J1968" s="42"/>
      <c r="K1968" s="42">
        <v>1</v>
      </c>
      <c r="L1968" s="42"/>
      <c r="M1968" s="43">
        <f t="shared" si="2310"/>
        <v>1</v>
      </c>
      <c r="N1968" s="42"/>
      <c r="O1968" s="53"/>
      <c r="P1968" s="53"/>
      <c r="Q1968" s="53"/>
      <c r="R1968" s="72"/>
      <c r="S1968" s="24">
        <f t="shared" si="2311"/>
        <v>0</v>
      </c>
      <c r="T1968" s="42"/>
      <c r="U1968" s="53"/>
      <c r="V1968" s="53"/>
      <c r="W1968" s="53"/>
      <c r="X1968" s="72"/>
      <c r="Y1968" s="24">
        <f t="shared" si="2312"/>
        <v>0</v>
      </c>
      <c r="Z1968" s="24">
        <f t="shared" si="2313"/>
        <v>2</v>
      </c>
      <c r="AA1968" s="93">
        <v>45799</v>
      </c>
      <c r="AB1968" s="23"/>
      <c r="AC1968" s="41"/>
      <c r="AD1968" s="42"/>
      <c r="AE1968" s="42"/>
      <c r="AF1968" s="42"/>
      <c r="AG1968" s="42"/>
      <c r="AH1968" s="43">
        <f t="shared" si="2279"/>
        <v>0</v>
      </c>
      <c r="AI1968" s="41"/>
      <c r="AJ1968" s="42"/>
      <c r="AK1968" s="42"/>
      <c r="AL1968" s="42"/>
      <c r="AM1968" s="42"/>
      <c r="AN1968" s="43">
        <f t="shared" si="2280"/>
        <v>0</v>
      </c>
      <c r="AO1968" s="42"/>
      <c r="AP1968" s="53"/>
      <c r="AQ1968" s="53"/>
      <c r="AR1968" s="53"/>
      <c r="AS1968" s="72"/>
      <c r="AT1968" s="24">
        <f t="shared" si="2281"/>
        <v>0</v>
      </c>
      <c r="AU1968" s="42"/>
      <c r="AV1968" s="53"/>
      <c r="AW1968" s="53"/>
      <c r="AX1968" s="53"/>
      <c r="AY1968" s="72"/>
      <c r="AZ1968" s="24">
        <f t="shared" si="2282"/>
        <v>0</v>
      </c>
      <c r="BA1968" s="24">
        <f t="shared" si="2278"/>
        <v>0</v>
      </c>
    </row>
    <row r="1969" spans="1:53" ht="14.25" x14ac:dyDescent="0.15">
      <c r="A1969" s="23" t="s">
        <v>699</v>
      </c>
      <c r="B1969" s="41"/>
      <c r="C1969" s="42"/>
      <c r="D1969" s="42"/>
      <c r="E1969" s="42">
        <v>1</v>
      </c>
      <c r="F1969" s="42"/>
      <c r="G1969" s="43">
        <f t="shared" si="2309"/>
        <v>1</v>
      </c>
      <c r="H1969" s="41"/>
      <c r="I1969" s="42"/>
      <c r="J1969" s="42"/>
      <c r="K1969" s="42"/>
      <c r="L1969" s="42"/>
      <c r="M1969" s="43">
        <f t="shared" si="2310"/>
        <v>0</v>
      </c>
      <c r="N1969" s="42"/>
      <c r="O1969" s="53"/>
      <c r="P1969" s="53"/>
      <c r="Q1969" s="53"/>
      <c r="R1969" s="72"/>
      <c r="S1969" s="24">
        <f t="shared" si="2311"/>
        <v>0</v>
      </c>
      <c r="T1969" s="42"/>
      <c r="U1969" s="53"/>
      <c r="V1969" s="53"/>
      <c r="W1969" s="53"/>
      <c r="X1969" s="72"/>
      <c r="Y1969" s="24">
        <f t="shared" si="2312"/>
        <v>0</v>
      </c>
      <c r="Z1969" s="24">
        <f t="shared" si="2313"/>
        <v>1</v>
      </c>
      <c r="AA1969" s="93">
        <v>45800</v>
      </c>
      <c r="AB1969" s="23"/>
      <c r="AC1969" s="41"/>
      <c r="AD1969" s="42"/>
      <c r="AE1969" s="42"/>
      <c r="AF1969" s="42"/>
      <c r="AG1969" s="42"/>
      <c r="AH1969" s="43">
        <f t="shared" si="2279"/>
        <v>0</v>
      </c>
      <c r="AI1969" s="41"/>
      <c r="AJ1969" s="42"/>
      <c r="AK1969" s="42"/>
      <c r="AL1969" s="42"/>
      <c r="AM1969" s="42"/>
      <c r="AN1969" s="43">
        <f t="shared" si="2280"/>
        <v>0</v>
      </c>
      <c r="AO1969" s="42"/>
      <c r="AP1969" s="53"/>
      <c r="AQ1969" s="53"/>
      <c r="AR1969" s="53"/>
      <c r="AS1969" s="72"/>
      <c r="AT1969" s="24">
        <f t="shared" si="2281"/>
        <v>0</v>
      </c>
      <c r="AU1969" s="42"/>
      <c r="AV1969" s="53"/>
      <c r="AW1969" s="53"/>
      <c r="AX1969" s="53"/>
      <c r="AY1969" s="72"/>
      <c r="AZ1969" s="24">
        <f t="shared" si="2282"/>
        <v>0</v>
      </c>
      <c r="BA1969" s="24">
        <f t="shared" si="2278"/>
        <v>0</v>
      </c>
    </row>
    <row r="1970" spans="1:53" ht="14.25" x14ac:dyDescent="0.15">
      <c r="A1970" s="23" t="s">
        <v>699</v>
      </c>
      <c r="B1970" s="41"/>
      <c r="C1970" s="42"/>
      <c r="D1970" s="42"/>
      <c r="E1970" s="42">
        <v>1</v>
      </c>
      <c r="F1970" s="42"/>
      <c r="G1970" s="43">
        <f t="shared" si="2309"/>
        <v>1</v>
      </c>
      <c r="H1970" s="41"/>
      <c r="I1970" s="42"/>
      <c r="J1970" s="42"/>
      <c r="K1970" s="42"/>
      <c r="L1970" s="42"/>
      <c r="M1970" s="43">
        <f t="shared" si="2310"/>
        <v>0</v>
      </c>
      <c r="N1970" s="42"/>
      <c r="O1970" s="53"/>
      <c r="P1970" s="53"/>
      <c r="Q1970" s="53"/>
      <c r="R1970" s="72"/>
      <c r="S1970" s="24">
        <f t="shared" si="2311"/>
        <v>0</v>
      </c>
      <c r="T1970" s="42"/>
      <c r="U1970" s="53"/>
      <c r="V1970" s="53"/>
      <c r="W1970" s="53"/>
      <c r="X1970" s="72"/>
      <c r="Y1970" s="24">
        <f t="shared" si="2312"/>
        <v>0</v>
      </c>
      <c r="Z1970" s="24">
        <f t="shared" si="2313"/>
        <v>1</v>
      </c>
      <c r="AA1970" s="93">
        <v>45803</v>
      </c>
      <c r="AB1970" s="23"/>
      <c r="AC1970" s="41"/>
      <c r="AD1970" s="42"/>
      <c r="AE1970" s="42"/>
      <c r="AF1970" s="42"/>
      <c r="AG1970" s="42"/>
      <c r="AH1970" s="43">
        <f t="shared" si="2279"/>
        <v>0</v>
      </c>
      <c r="AI1970" s="41"/>
      <c r="AJ1970" s="42"/>
      <c r="AK1970" s="42"/>
      <c r="AL1970" s="42"/>
      <c r="AM1970" s="42"/>
      <c r="AN1970" s="43">
        <f t="shared" si="2280"/>
        <v>0</v>
      </c>
      <c r="AO1970" s="42"/>
      <c r="AP1970" s="53"/>
      <c r="AQ1970" s="53"/>
      <c r="AR1970" s="53"/>
      <c r="AS1970" s="72"/>
      <c r="AT1970" s="24">
        <f t="shared" si="2281"/>
        <v>0</v>
      </c>
      <c r="AU1970" s="42"/>
      <c r="AV1970" s="53"/>
      <c r="AW1970" s="53"/>
      <c r="AX1970" s="53"/>
      <c r="AY1970" s="72"/>
      <c r="AZ1970" s="24">
        <f t="shared" si="2282"/>
        <v>0</v>
      </c>
      <c r="BA1970" s="24">
        <f t="shared" si="2278"/>
        <v>0</v>
      </c>
    </row>
    <row r="1971" spans="1:53" ht="14.25" x14ac:dyDescent="0.15">
      <c r="A1971" s="23" t="s">
        <v>699</v>
      </c>
      <c r="B1971" s="41"/>
      <c r="C1971" s="42"/>
      <c r="D1971" s="42">
        <v>1</v>
      </c>
      <c r="E1971" s="42"/>
      <c r="F1971" s="42"/>
      <c r="G1971" s="43">
        <f t="shared" si="2289"/>
        <v>1</v>
      </c>
      <c r="H1971" s="41"/>
      <c r="I1971" s="42"/>
      <c r="J1971" s="42"/>
      <c r="K1971" s="42"/>
      <c r="L1971" s="42">
        <v>1</v>
      </c>
      <c r="M1971" s="43">
        <f t="shared" si="2290"/>
        <v>1</v>
      </c>
      <c r="N1971" s="42"/>
      <c r="O1971" s="53"/>
      <c r="P1971" s="53"/>
      <c r="Q1971" s="53"/>
      <c r="R1971" s="72"/>
      <c r="S1971" s="24">
        <f t="shared" si="2291"/>
        <v>0</v>
      </c>
      <c r="T1971" s="42"/>
      <c r="U1971" s="53"/>
      <c r="V1971" s="53"/>
      <c r="W1971" s="53"/>
      <c r="X1971" s="72"/>
      <c r="Y1971" s="24">
        <f t="shared" si="2292"/>
        <v>0</v>
      </c>
      <c r="Z1971" s="24">
        <f t="shared" si="2264"/>
        <v>2</v>
      </c>
      <c r="AA1971" s="93">
        <v>45804</v>
      </c>
      <c r="AB1971" s="23"/>
      <c r="AC1971" s="41"/>
      <c r="AD1971" s="42"/>
      <c r="AE1971" s="42"/>
      <c r="AF1971" s="42"/>
      <c r="AG1971" s="42"/>
      <c r="AH1971" s="43">
        <f t="shared" si="2279"/>
        <v>0</v>
      </c>
      <c r="AI1971" s="41"/>
      <c r="AJ1971" s="42"/>
      <c r="AK1971" s="42"/>
      <c r="AL1971" s="42"/>
      <c r="AM1971" s="42"/>
      <c r="AN1971" s="43">
        <f t="shared" si="2280"/>
        <v>0</v>
      </c>
      <c r="AO1971" s="42"/>
      <c r="AP1971" s="53"/>
      <c r="AQ1971" s="53"/>
      <c r="AR1971" s="53"/>
      <c r="AS1971" s="72"/>
      <c r="AT1971" s="24">
        <f t="shared" si="2281"/>
        <v>0</v>
      </c>
      <c r="AU1971" s="42"/>
      <c r="AV1971" s="53"/>
      <c r="AW1971" s="53"/>
      <c r="AX1971" s="53"/>
      <c r="AY1971" s="72"/>
      <c r="AZ1971" s="24">
        <f t="shared" si="2282"/>
        <v>0</v>
      </c>
      <c r="BA1971" s="24">
        <f t="shared" si="2278"/>
        <v>0</v>
      </c>
    </row>
    <row r="1972" spans="1:53" ht="14.25" x14ac:dyDescent="0.15">
      <c r="A1972" s="23" t="s">
        <v>699</v>
      </c>
      <c r="B1972" s="41"/>
      <c r="C1972" s="42"/>
      <c r="D1972" s="42"/>
      <c r="E1972" s="42"/>
      <c r="F1972" s="42">
        <v>1</v>
      </c>
      <c r="G1972" s="43">
        <f t="shared" si="2289"/>
        <v>1</v>
      </c>
      <c r="H1972" s="41"/>
      <c r="I1972" s="42"/>
      <c r="J1972" s="42"/>
      <c r="K1972" s="42"/>
      <c r="L1972" s="42"/>
      <c r="M1972" s="43">
        <f t="shared" si="2290"/>
        <v>0</v>
      </c>
      <c r="N1972" s="42"/>
      <c r="O1972" s="53"/>
      <c r="P1972" s="53"/>
      <c r="Q1972" s="53"/>
      <c r="R1972" s="72"/>
      <c r="S1972" s="24">
        <f t="shared" si="2291"/>
        <v>0</v>
      </c>
      <c r="T1972" s="42"/>
      <c r="U1972" s="53"/>
      <c r="V1972" s="53">
        <v>1</v>
      </c>
      <c r="W1972" s="53"/>
      <c r="X1972" s="72"/>
      <c r="Y1972" s="24">
        <f t="shared" si="2292"/>
        <v>1</v>
      </c>
      <c r="Z1972" s="24">
        <f t="shared" si="2264"/>
        <v>2</v>
      </c>
      <c r="AA1972" s="93">
        <v>45807</v>
      </c>
      <c r="AB1972" s="23"/>
      <c r="AC1972" s="41"/>
      <c r="AD1972" s="42"/>
      <c r="AE1972" s="42"/>
      <c r="AF1972" s="42"/>
      <c r="AG1972" s="42"/>
      <c r="AH1972" s="43">
        <f t="shared" si="2279"/>
        <v>0</v>
      </c>
      <c r="AI1972" s="41"/>
      <c r="AJ1972" s="42"/>
      <c r="AK1972" s="42"/>
      <c r="AL1972" s="42"/>
      <c r="AM1972" s="42"/>
      <c r="AN1972" s="43">
        <f t="shared" si="2280"/>
        <v>0</v>
      </c>
      <c r="AO1972" s="42"/>
      <c r="AP1972" s="53"/>
      <c r="AQ1972" s="53"/>
      <c r="AR1972" s="53"/>
      <c r="AS1972" s="72"/>
      <c r="AT1972" s="24">
        <f t="shared" si="2281"/>
        <v>0</v>
      </c>
      <c r="AU1972" s="42"/>
      <c r="AV1972" s="53"/>
      <c r="AW1972" s="53"/>
      <c r="AX1972" s="53"/>
      <c r="AY1972" s="72"/>
      <c r="AZ1972" s="24">
        <f t="shared" si="2282"/>
        <v>0</v>
      </c>
      <c r="BA1972" s="24">
        <f t="shared" si="2278"/>
        <v>0</v>
      </c>
    </row>
    <row r="1973" spans="1:53" ht="14.25" x14ac:dyDescent="0.15">
      <c r="A1973" s="23" t="s">
        <v>699</v>
      </c>
      <c r="B1973" s="41"/>
      <c r="C1973" s="42"/>
      <c r="D1973" s="42"/>
      <c r="E1973" s="42"/>
      <c r="F1973" s="42"/>
      <c r="G1973" s="43">
        <f t="shared" si="2289"/>
        <v>0</v>
      </c>
      <c r="H1973" s="41"/>
      <c r="I1973" s="42"/>
      <c r="J1973" s="42">
        <v>1</v>
      </c>
      <c r="K1973" s="42"/>
      <c r="L1973" s="42">
        <v>1</v>
      </c>
      <c r="M1973" s="43">
        <f t="shared" si="2290"/>
        <v>2</v>
      </c>
      <c r="N1973" s="42"/>
      <c r="O1973" s="53"/>
      <c r="P1973" s="53"/>
      <c r="Q1973" s="53"/>
      <c r="R1973" s="72"/>
      <c r="S1973" s="24">
        <f t="shared" si="2291"/>
        <v>0</v>
      </c>
      <c r="T1973" s="42"/>
      <c r="U1973" s="53"/>
      <c r="V1973" s="53"/>
      <c r="W1973" s="53"/>
      <c r="X1973" s="72"/>
      <c r="Y1973" s="24">
        <f t="shared" si="2292"/>
        <v>0</v>
      </c>
      <c r="Z1973" s="24">
        <f t="shared" si="2264"/>
        <v>2</v>
      </c>
      <c r="AA1973" s="93">
        <v>45810</v>
      </c>
      <c r="AB1973" s="23"/>
      <c r="AC1973" s="41"/>
      <c r="AD1973" s="42"/>
      <c r="AE1973" s="42"/>
      <c r="AF1973" s="42"/>
      <c r="AG1973" s="42"/>
      <c r="AH1973" s="43">
        <f t="shared" si="2279"/>
        <v>0</v>
      </c>
      <c r="AI1973" s="41"/>
      <c r="AJ1973" s="42"/>
      <c r="AK1973" s="42"/>
      <c r="AL1973" s="42"/>
      <c r="AM1973" s="42"/>
      <c r="AN1973" s="43">
        <f t="shared" si="2280"/>
        <v>0</v>
      </c>
      <c r="AO1973" s="42"/>
      <c r="AP1973" s="53"/>
      <c r="AQ1973" s="53"/>
      <c r="AR1973" s="53"/>
      <c r="AS1973" s="72"/>
      <c r="AT1973" s="24">
        <f t="shared" si="2281"/>
        <v>0</v>
      </c>
      <c r="AU1973" s="42"/>
      <c r="AV1973" s="53"/>
      <c r="AW1973" s="53"/>
      <c r="AX1973" s="53"/>
      <c r="AY1973" s="72"/>
      <c r="AZ1973" s="24">
        <f t="shared" si="2282"/>
        <v>0</v>
      </c>
      <c r="BA1973" s="24">
        <f t="shared" si="2278"/>
        <v>0</v>
      </c>
    </row>
    <row r="1974" spans="1:53" ht="14.25" x14ac:dyDescent="0.15">
      <c r="A1974" s="23" t="s">
        <v>699</v>
      </c>
      <c r="B1974" s="41"/>
      <c r="C1974" s="42"/>
      <c r="D1974" s="42">
        <v>1</v>
      </c>
      <c r="E1974" s="42"/>
      <c r="F1974" s="42"/>
      <c r="G1974" s="43">
        <f t="shared" si="2289"/>
        <v>1</v>
      </c>
      <c r="H1974" s="41"/>
      <c r="I1974" s="42">
        <v>1</v>
      </c>
      <c r="J1974" s="42"/>
      <c r="K1974" s="42">
        <v>1</v>
      </c>
      <c r="L1974" s="42"/>
      <c r="M1974" s="43">
        <f t="shared" si="2290"/>
        <v>2</v>
      </c>
      <c r="N1974" s="42"/>
      <c r="O1974" s="53"/>
      <c r="P1974" s="53"/>
      <c r="Q1974" s="53"/>
      <c r="R1974" s="72">
        <v>1</v>
      </c>
      <c r="S1974" s="24">
        <f t="shared" si="2291"/>
        <v>1</v>
      </c>
      <c r="T1974" s="42"/>
      <c r="U1974" s="53"/>
      <c r="V1974" s="53"/>
      <c r="W1974" s="53"/>
      <c r="X1974" s="72"/>
      <c r="Y1974" s="24">
        <f t="shared" si="2292"/>
        <v>0</v>
      </c>
      <c r="Z1974" s="24">
        <f t="shared" si="2264"/>
        <v>4</v>
      </c>
      <c r="AA1974" s="93">
        <v>45813</v>
      </c>
      <c r="AB1974" s="23"/>
      <c r="AC1974" s="41"/>
      <c r="AD1974" s="42"/>
      <c r="AE1974" s="42"/>
      <c r="AF1974" s="42"/>
      <c r="AG1974" s="42"/>
      <c r="AH1974" s="43">
        <f t="shared" si="2279"/>
        <v>0</v>
      </c>
      <c r="AI1974" s="41"/>
      <c r="AJ1974" s="42"/>
      <c r="AK1974" s="42"/>
      <c r="AL1974" s="42"/>
      <c r="AM1974" s="42"/>
      <c r="AN1974" s="43">
        <f t="shared" si="2280"/>
        <v>0</v>
      </c>
      <c r="AO1974" s="42"/>
      <c r="AP1974" s="53"/>
      <c r="AQ1974" s="53"/>
      <c r="AR1974" s="53"/>
      <c r="AS1974" s="72"/>
      <c r="AT1974" s="24">
        <f t="shared" si="2281"/>
        <v>0</v>
      </c>
      <c r="AU1974" s="42"/>
      <c r="AV1974" s="53"/>
      <c r="AW1974" s="53"/>
      <c r="AX1974" s="53"/>
      <c r="AY1974" s="72"/>
      <c r="AZ1974" s="24">
        <f t="shared" si="2282"/>
        <v>0</v>
      </c>
      <c r="BA1974" s="24">
        <f t="shared" si="2278"/>
        <v>0</v>
      </c>
    </row>
    <row r="1975" spans="1:53" ht="14.25" x14ac:dyDescent="0.15">
      <c r="A1975" s="23" t="s">
        <v>699</v>
      </c>
      <c r="B1975" s="41"/>
      <c r="C1975" s="42"/>
      <c r="D1975" s="42"/>
      <c r="E1975" s="42"/>
      <c r="F1975" s="42"/>
      <c r="G1975" s="43">
        <f t="shared" si="2289"/>
        <v>0</v>
      </c>
      <c r="H1975" s="41"/>
      <c r="I1975" s="42">
        <v>1</v>
      </c>
      <c r="J1975" s="42"/>
      <c r="K1975" s="42"/>
      <c r="L1975" s="42"/>
      <c r="M1975" s="43">
        <f t="shared" si="2290"/>
        <v>1</v>
      </c>
      <c r="N1975" s="42"/>
      <c r="O1975" s="53"/>
      <c r="P1975" s="53"/>
      <c r="Q1975" s="53"/>
      <c r="R1975" s="72"/>
      <c r="S1975" s="24">
        <f t="shared" si="2291"/>
        <v>0</v>
      </c>
      <c r="T1975" s="42"/>
      <c r="U1975" s="53"/>
      <c r="V1975" s="53"/>
      <c r="W1975" s="53"/>
      <c r="X1975" s="72"/>
      <c r="Y1975" s="24">
        <f t="shared" si="2292"/>
        <v>0</v>
      </c>
      <c r="Z1975" s="24">
        <f t="shared" si="2264"/>
        <v>1</v>
      </c>
      <c r="AA1975" s="93">
        <v>45814</v>
      </c>
      <c r="AB1975" s="23"/>
      <c r="AC1975" s="41"/>
      <c r="AD1975" s="42"/>
      <c r="AE1975" s="42"/>
      <c r="AF1975" s="42"/>
      <c r="AG1975" s="42"/>
      <c r="AH1975" s="43">
        <f t="shared" si="2279"/>
        <v>0</v>
      </c>
      <c r="AI1975" s="41"/>
      <c r="AJ1975" s="42"/>
      <c r="AK1975" s="42"/>
      <c r="AL1975" s="42"/>
      <c r="AM1975" s="42"/>
      <c r="AN1975" s="43">
        <f t="shared" si="2280"/>
        <v>0</v>
      </c>
      <c r="AO1975" s="42"/>
      <c r="AP1975" s="53"/>
      <c r="AQ1975" s="53"/>
      <c r="AR1975" s="53"/>
      <c r="AS1975" s="72"/>
      <c r="AT1975" s="24">
        <f t="shared" si="2281"/>
        <v>0</v>
      </c>
      <c r="AU1975" s="42"/>
      <c r="AV1975" s="53"/>
      <c r="AW1975" s="53"/>
      <c r="AX1975" s="53"/>
      <c r="AY1975" s="72"/>
      <c r="AZ1975" s="24">
        <f t="shared" si="2282"/>
        <v>0</v>
      </c>
      <c r="BA1975" s="24">
        <f t="shared" si="2278"/>
        <v>0</v>
      </c>
    </row>
    <row r="1976" spans="1:53" ht="14.25" x14ac:dyDescent="0.15">
      <c r="A1976" s="23" t="s">
        <v>699</v>
      </c>
      <c r="B1976" s="41"/>
      <c r="C1976" s="42"/>
      <c r="D1976" s="42"/>
      <c r="E1976" s="42"/>
      <c r="F1976" s="42"/>
      <c r="G1976" s="43">
        <f t="shared" si="2289"/>
        <v>0</v>
      </c>
      <c r="H1976" s="41"/>
      <c r="I1976" s="42"/>
      <c r="J1976" s="42"/>
      <c r="K1976" s="42"/>
      <c r="L1976" s="42"/>
      <c r="M1976" s="43">
        <f t="shared" si="2290"/>
        <v>0</v>
      </c>
      <c r="N1976" s="42"/>
      <c r="O1976" s="53"/>
      <c r="P1976" s="53"/>
      <c r="Q1976" s="53"/>
      <c r="R1976" s="72">
        <v>1</v>
      </c>
      <c r="S1976" s="24">
        <f t="shared" si="2291"/>
        <v>1</v>
      </c>
      <c r="T1976" s="42"/>
      <c r="U1976" s="53"/>
      <c r="V1976" s="53"/>
      <c r="W1976" s="53"/>
      <c r="X1976" s="72"/>
      <c r="Y1976" s="24">
        <f t="shared" si="2292"/>
        <v>0</v>
      </c>
      <c r="Z1976" s="24">
        <f t="shared" si="2264"/>
        <v>1</v>
      </c>
      <c r="AA1976" s="93">
        <v>45815</v>
      </c>
      <c r="AB1976" s="23"/>
      <c r="AC1976" s="41"/>
      <c r="AD1976" s="42"/>
      <c r="AE1976" s="42"/>
      <c r="AF1976" s="42"/>
      <c r="AG1976" s="42"/>
      <c r="AH1976" s="43">
        <f t="shared" si="2279"/>
        <v>0</v>
      </c>
      <c r="AI1976" s="41"/>
      <c r="AJ1976" s="42"/>
      <c r="AK1976" s="42"/>
      <c r="AL1976" s="42"/>
      <c r="AM1976" s="42"/>
      <c r="AN1976" s="43">
        <f t="shared" si="2280"/>
        <v>0</v>
      </c>
      <c r="AO1976" s="42"/>
      <c r="AP1976" s="53"/>
      <c r="AQ1976" s="53"/>
      <c r="AR1976" s="53"/>
      <c r="AS1976" s="72"/>
      <c r="AT1976" s="24">
        <f t="shared" si="2281"/>
        <v>0</v>
      </c>
      <c r="AU1976" s="42"/>
      <c r="AV1976" s="53"/>
      <c r="AW1976" s="53"/>
      <c r="AX1976" s="53"/>
      <c r="AY1976" s="72"/>
      <c r="AZ1976" s="24">
        <f t="shared" si="2282"/>
        <v>0</v>
      </c>
      <c r="BA1976" s="24">
        <f t="shared" si="2278"/>
        <v>0</v>
      </c>
    </row>
    <row r="1977" spans="1:53" ht="14.25" x14ac:dyDescent="0.15">
      <c r="A1977" s="23" t="s">
        <v>699</v>
      </c>
      <c r="B1977" s="41"/>
      <c r="C1977" s="42"/>
      <c r="D1977" s="42">
        <v>1</v>
      </c>
      <c r="E1977" s="42"/>
      <c r="F1977" s="42"/>
      <c r="G1977" s="43">
        <f t="shared" si="2289"/>
        <v>1</v>
      </c>
      <c r="H1977" s="41"/>
      <c r="I1977" s="42"/>
      <c r="J1977" s="42"/>
      <c r="K1977" s="42"/>
      <c r="L1977" s="42"/>
      <c r="M1977" s="43">
        <f t="shared" si="2290"/>
        <v>0</v>
      </c>
      <c r="N1977" s="42"/>
      <c r="O1977" s="53"/>
      <c r="P1977" s="53"/>
      <c r="Q1977" s="53"/>
      <c r="R1977" s="72"/>
      <c r="S1977" s="24">
        <f t="shared" si="2291"/>
        <v>0</v>
      </c>
      <c r="T1977" s="42"/>
      <c r="U1977" s="53"/>
      <c r="V1977" s="53"/>
      <c r="W1977" s="53"/>
      <c r="X1977" s="72"/>
      <c r="Y1977" s="24">
        <f t="shared" si="2292"/>
        <v>0</v>
      </c>
      <c r="Z1977" s="24">
        <f t="shared" si="2264"/>
        <v>1</v>
      </c>
      <c r="AA1977" s="93">
        <v>45817</v>
      </c>
      <c r="AB1977" s="23"/>
      <c r="AC1977" s="41"/>
      <c r="AD1977" s="42"/>
      <c r="AE1977" s="42"/>
      <c r="AF1977" s="42"/>
      <c r="AG1977" s="42"/>
      <c r="AH1977" s="43">
        <f t="shared" si="2279"/>
        <v>0</v>
      </c>
      <c r="AI1977" s="41"/>
      <c r="AJ1977" s="42"/>
      <c r="AK1977" s="42"/>
      <c r="AL1977" s="42"/>
      <c r="AM1977" s="42"/>
      <c r="AN1977" s="43">
        <f t="shared" si="2280"/>
        <v>0</v>
      </c>
      <c r="AO1977" s="42"/>
      <c r="AP1977" s="53"/>
      <c r="AQ1977" s="53"/>
      <c r="AR1977" s="53"/>
      <c r="AS1977" s="72"/>
      <c r="AT1977" s="24">
        <f t="shared" si="2281"/>
        <v>0</v>
      </c>
      <c r="AU1977" s="42"/>
      <c r="AV1977" s="53"/>
      <c r="AW1977" s="53"/>
      <c r="AX1977" s="53"/>
      <c r="AY1977" s="72"/>
      <c r="AZ1977" s="24">
        <f t="shared" si="2282"/>
        <v>0</v>
      </c>
      <c r="BA1977" s="24">
        <f t="shared" si="2278"/>
        <v>0</v>
      </c>
    </row>
    <row r="1978" spans="1:53" ht="14.25" x14ac:dyDescent="0.15">
      <c r="A1978" s="23" t="s">
        <v>699</v>
      </c>
      <c r="B1978" s="41"/>
      <c r="C1978" s="42"/>
      <c r="D1978" s="42"/>
      <c r="E1978" s="42"/>
      <c r="F1978" s="42"/>
      <c r="G1978" s="43">
        <f t="shared" si="2289"/>
        <v>0</v>
      </c>
      <c r="H1978" s="41"/>
      <c r="I1978" s="42">
        <v>1</v>
      </c>
      <c r="J1978" s="42"/>
      <c r="K1978" s="42"/>
      <c r="L1978" s="42"/>
      <c r="M1978" s="43">
        <f t="shared" si="2290"/>
        <v>1</v>
      </c>
      <c r="N1978" s="42"/>
      <c r="O1978" s="53"/>
      <c r="P1978" s="53"/>
      <c r="Q1978" s="53"/>
      <c r="R1978" s="72"/>
      <c r="S1978" s="24">
        <f t="shared" si="2291"/>
        <v>0</v>
      </c>
      <c r="T1978" s="42"/>
      <c r="U1978" s="53"/>
      <c r="V1978" s="53"/>
      <c r="W1978" s="53"/>
      <c r="X1978" s="72"/>
      <c r="Y1978" s="24">
        <f t="shared" si="2292"/>
        <v>0</v>
      </c>
      <c r="Z1978" s="24">
        <f t="shared" si="2264"/>
        <v>1</v>
      </c>
      <c r="AA1978" s="93">
        <v>45818</v>
      </c>
      <c r="AB1978" s="23"/>
      <c r="AC1978" s="41"/>
      <c r="AD1978" s="42"/>
      <c r="AE1978" s="42"/>
      <c r="AF1978" s="42"/>
      <c r="AG1978" s="42"/>
      <c r="AH1978" s="43">
        <f t="shared" si="2279"/>
        <v>0</v>
      </c>
      <c r="AI1978" s="41"/>
      <c r="AJ1978" s="42"/>
      <c r="AK1978" s="42"/>
      <c r="AL1978" s="42"/>
      <c r="AM1978" s="42"/>
      <c r="AN1978" s="43">
        <f t="shared" si="2280"/>
        <v>0</v>
      </c>
      <c r="AO1978" s="42"/>
      <c r="AP1978" s="53"/>
      <c r="AQ1978" s="53"/>
      <c r="AR1978" s="53"/>
      <c r="AS1978" s="72"/>
      <c r="AT1978" s="24">
        <f t="shared" si="2281"/>
        <v>0</v>
      </c>
      <c r="AU1978" s="42"/>
      <c r="AV1978" s="53"/>
      <c r="AW1978" s="53"/>
      <c r="AX1978" s="53"/>
      <c r="AY1978" s="72"/>
      <c r="AZ1978" s="24">
        <f t="shared" si="2282"/>
        <v>0</v>
      </c>
      <c r="BA1978" s="24">
        <f t="shared" si="2278"/>
        <v>0</v>
      </c>
    </row>
    <row r="1979" spans="1:53" ht="14.25" x14ac:dyDescent="0.15">
      <c r="A1979" s="23" t="s">
        <v>699</v>
      </c>
      <c r="B1979" s="41"/>
      <c r="C1979" s="42"/>
      <c r="D1979" s="42"/>
      <c r="E1979" s="42"/>
      <c r="F1979" s="42">
        <v>1</v>
      </c>
      <c r="G1979" s="43">
        <f t="shared" si="2289"/>
        <v>1</v>
      </c>
      <c r="H1979" s="41"/>
      <c r="I1979" s="42">
        <v>1</v>
      </c>
      <c r="J1979" s="42"/>
      <c r="K1979" s="42"/>
      <c r="L1979" s="42"/>
      <c r="M1979" s="43">
        <f t="shared" si="2290"/>
        <v>1</v>
      </c>
      <c r="N1979" s="42"/>
      <c r="O1979" s="53"/>
      <c r="P1979" s="53"/>
      <c r="Q1979" s="53"/>
      <c r="R1979" s="72"/>
      <c r="S1979" s="24">
        <f t="shared" si="2291"/>
        <v>0</v>
      </c>
      <c r="T1979" s="42"/>
      <c r="U1979" s="53"/>
      <c r="V1979" s="53"/>
      <c r="W1979" s="53"/>
      <c r="X1979" s="72"/>
      <c r="Y1979" s="24">
        <f t="shared" si="2292"/>
        <v>0</v>
      </c>
      <c r="Z1979" s="24">
        <f t="shared" si="2264"/>
        <v>2</v>
      </c>
      <c r="AA1979" s="93">
        <v>45819</v>
      </c>
      <c r="AB1979" s="23"/>
      <c r="AC1979" s="41"/>
      <c r="AD1979" s="42"/>
      <c r="AE1979" s="42"/>
      <c r="AF1979" s="42"/>
      <c r="AG1979" s="42"/>
      <c r="AH1979" s="43">
        <f t="shared" si="2279"/>
        <v>0</v>
      </c>
      <c r="AI1979" s="41"/>
      <c r="AJ1979" s="42"/>
      <c r="AK1979" s="42"/>
      <c r="AL1979" s="42"/>
      <c r="AM1979" s="42"/>
      <c r="AN1979" s="43">
        <f t="shared" si="2280"/>
        <v>0</v>
      </c>
      <c r="AO1979" s="42"/>
      <c r="AP1979" s="53"/>
      <c r="AQ1979" s="53"/>
      <c r="AR1979" s="53"/>
      <c r="AS1979" s="72"/>
      <c r="AT1979" s="24">
        <f t="shared" si="2281"/>
        <v>0</v>
      </c>
      <c r="AU1979" s="42"/>
      <c r="AV1979" s="53"/>
      <c r="AW1979" s="53"/>
      <c r="AX1979" s="53"/>
      <c r="AY1979" s="72"/>
      <c r="AZ1979" s="24">
        <f t="shared" si="2282"/>
        <v>0</v>
      </c>
      <c r="BA1979" s="24">
        <f t="shared" si="2278"/>
        <v>0</v>
      </c>
    </row>
    <row r="1980" spans="1:53" ht="14.25" x14ac:dyDescent="0.15">
      <c r="A1980" s="23" t="s">
        <v>699</v>
      </c>
      <c r="B1980" s="41"/>
      <c r="C1980" s="42"/>
      <c r="D1980" s="42"/>
      <c r="E1980" s="42"/>
      <c r="F1980" s="42"/>
      <c r="G1980" s="43">
        <f t="shared" si="2289"/>
        <v>0</v>
      </c>
      <c r="H1980" s="41"/>
      <c r="I1980" s="42"/>
      <c r="J1980" s="42"/>
      <c r="K1980" s="42"/>
      <c r="L1980" s="42"/>
      <c r="M1980" s="43">
        <f t="shared" si="2290"/>
        <v>0</v>
      </c>
      <c r="N1980" s="42"/>
      <c r="O1980" s="53"/>
      <c r="P1980" s="53"/>
      <c r="Q1980" s="53">
        <v>1</v>
      </c>
      <c r="R1980" s="72"/>
      <c r="S1980" s="24">
        <f t="shared" si="2291"/>
        <v>1</v>
      </c>
      <c r="T1980" s="42"/>
      <c r="U1980" s="53"/>
      <c r="V1980" s="53"/>
      <c r="W1980" s="53"/>
      <c r="X1980" s="72"/>
      <c r="Y1980" s="24">
        <f t="shared" si="2292"/>
        <v>0</v>
      </c>
      <c r="Z1980" s="24">
        <f t="shared" si="2264"/>
        <v>1</v>
      </c>
      <c r="AA1980" s="93">
        <v>45821</v>
      </c>
      <c r="AB1980" s="23"/>
      <c r="AC1980" s="41"/>
      <c r="AD1980" s="42"/>
      <c r="AE1980" s="42"/>
      <c r="AF1980" s="42"/>
      <c r="AG1980" s="42"/>
      <c r="AH1980" s="43">
        <f t="shared" si="2279"/>
        <v>0</v>
      </c>
      <c r="AI1980" s="41"/>
      <c r="AJ1980" s="42"/>
      <c r="AK1980" s="42"/>
      <c r="AL1980" s="42"/>
      <c r="AM1980" s="42"/>
      <c r="AN1980" s="43">
        <f t="shared" si="2280"/>
        <v>0</v>
      </c>
      <c r="AO1980" s="42"/>
      <c r="AP1980" s="53"/>
      <c r="AQ1980" s="53"/>
      <c r="AR1980" s="53"/>
      <c r="AS1980" s="72"/>
      <c r="AT1980" s="24">
        <f t="shared" si="2281"/>
        <v>0</v>
      </c>
      <c r="AU1980" s="42"/>
      <c r="AV1980" s="53"/>
      <c r="AW1980" s="53"/>
      <c r="AX1980" s="53"/>
      <c r="AY1980" s="72"/>
      <c r="AZ1980" s="24">
        <f t="shared" si="2282"/>
        <v>0</v>
      </c>
      <c r="BA1980" s="24">
        <f t="shared" si="2278"/>
        <v>0</v>
      </c>
    </row>
    <row r="1981" spans="1:53" ht="14.25" x14ac:dyDescent="0.15">
      <c r="A1981" s="23" t="s">
        <v>699</v>
      </c>
      <c r="B1981" s="41"/>
      <c r="C1981" s="42"/>
      <c r="D1981" s="42"/>
      <c r="E1981" s="42"/>
      <c r="F1981" s="42"/>
      <c r="G1981" s="43">
        <f t="shared" si="2289"/>
        <v>0</v>
      </c>
      <c r="H1981" s="41"/>
      <c r="I1981" s="42"/>
      <c r="J1981" s="42"/>
      <c r="K1981" s="42">
        <v>1</v>
      </c>
      <c r="L1981" s="42"/>
      <c r="M1981" s="43">
        <f t="shared" si="2290"/>
        <v>1</v>
      </c>
      <c r="N1981" s="42"/>
      <c r="O1981" s="53"/>
      <c r="P1981" s="53"/>
      <c r="Q1981" s="53"/>
      <c r="R1981" s="72"/>
      <c r="S1981" s="24">
        <f t="shared" si="2291"/>
        <v>0</v>
      </c>
      <c r="T1981" s="42"/>
      <c r="U1981" s="53"/>
      <c r="V1981" s="53"/>
      <c r="W1981" s="53"/>
      <c r="X1981" s="72"/>
      <c r="Y1981" s="24">
        <f t="shared" si="2292"/>
        <v>0</v>
      </c>
      <c r="Z1981" s="24">
        <f t="shared" si="2264"/>
        <v>1</v>
      </c>
      <c r="AA1981" s="93">
        <v>45824</v>
      </c>
      <c r="AB1981" s="23"/>
      <c r="AC1981" s="41"/>
      <c r="AD1981" s="42"/>
      <c r="AE1981" s="42"/>
      <c r="AF1981" s="42"/>
      <c r="AG1981" s="42"/>
      <c r="AH1981" s="43">
        <f t="shared" si="2279"/>
        <v>0</v>
      </c>
      <c r="AI1981" s="41"/>
      <c r="AJ1981" s="42"/>
      <c r="AK1981" s="42"/>
      <c r="AL1981" s="42"/>
      <c r="AM1981" s="42"/>
      <c r="AN1981" s="43">
        <f t="shared" si="2280"/>
        <v>0</v>
      </c>
      <c r="AO1981" s="42"/>
      <c r="AP1981" s="53"/>
      <c r="AQ1981" s="53"/>
      <c r="AR1981" s="53"/>
      <c r="AS1981" s="72"/>
      <c r="AT1981" s="24">
        <f t="shared" si="2281"/>
        <v>0</v>
      </c>
      <c r="AU1981" s="42"/>
      <c r="AV1981" s="53"/>
      <c r="AW1981" s="53"/>
      <c r="AX1981" s="53"/>
      <c r="AY1981" s="72"/>
      <c r="AZ1981" s="24">
        <f t="shared" si="2282"/>
        <v>0</v>
      </c>
      <c r="BA1981" s="24">
        <f t="shared" si="2278"/>
        <v>0</v>
      </c>
    </row>
    <row r="1982" spans="1:53" ht="14.25" x14ac:dyDescent="0.15">
      <c r="A1982" s="23" t="s">
        <v>699</v>
      </c>
      <c r="B1982" s="41"/>
      <c r="C1982" s="42"/>
      <c r="D1982" s="42"/>
      <c r="E1982" s="42"/>
      <c r="F1982" s="42"/>
      <c r="G1982" s="43">
        <f t="shared" si="2289"/>
        <v>0</v>
      </c>
      <c r="H1982" s="41"/>
      <c r="I1982" s="42"/>
      <c r="J1982" s="42"/>
      <c r="K1982" s="42"/>
      <c r="L1982" s="42"/>
      <c r="M1982" s="43">
        <f t="shared" si="2290"/>
        <v>0</v>
      </c>
      <c r="N1982" s="42"/>
      <c r="O1982" s="53"/>
      <c r="P1982" s="53"/>
      <c r="Q1982" s="53"/>
      <c r="R1982" s="72"/>
      <c r="S1982" s="24">
        <f t="shared" si="2291"/>
        <v>0</v>
      </c>
      <c r="T1982" s="42"/>
      <c r="U1982" s="53">
        <v>1</v>
      </c>
      <c r="V1982" s="53"/>
      <c r="W1982" s="53"/>
      <c r="X1982" s="72"/>
      <c r="Y1982" s="24">
        <f t="shared" si="2292"/>
        <v>1</v>
      </c>
      <c r="Z1982" s="24">
        <f t="shared" si="2264"/>
        <v>1</v>
      </c>
      <c r="AA1982" s="93">
        <v>45825</v>
      </c>
      <c r="AB1982" s="23"/>
      <c r="AC1982" s="41"/>
      <c r="AD1982" s="42"/>
      <c r="AE1982" s="42"/>
      <c r="AF1982" s="42"/>
      <c r="AG1982" s="42"/>
      <c r="AH1982" s="43">
        <f t="shared" si="2279"/>
        <v>0</v>
      </c>
      <c r="AI1982" s="41"/>
      <c r="AJ1982" s="42"/>
      <c r="AK1982" s="42"/>
      <c r="AL1982" s="42"/>
      <c r="AM1982" s="42"/>
      <c r="AN1982" s="43">
        <f t="shared" si="2280"/>
        <v>0</v>
      </c>
      <c r="AO1982" s="42"/>
      <c r="AP1982" s="53"/>
      <c r="AQ1982" s="53"/>
      <c r="AR1982" s="53"/>
      <c r="AS1982" s="72"/>
      <c r="AT1982" s="24">
        <f t="shared" si="2281"/>
        <v>0</v>
      </c>
      <c r="AU1982" s="42"/>
      <c r="AV1982" s="53"/>
      <c r="AW1982" s="53"/>
      <c r="AX1982" s="53"/>
      <c r="AY1982" s="72"/>
      <c r="AZ1982" s="24">
        <f t="shared" si="2282"/>
        <v>0</v>
      </c>
      <c r="BA1982" s="24">
        <f t="shared" si="2278"/>
        <v>0</v>
      </c>
    </row>
    <row r="1983" spans="1:53" ht="14.25" x14ac:dyDescent="0.15">
      <c r="A1983" s="23" t="s">
        <v>699</v>
      </c>
      <c r="B1983" s="41"/>
      <c r="C1983" s="42"/>
      <c r="D1983" s="42"/>
      <c r="E1983" s="42"/>
      <c r="F1983" s="42"/>
      <c r="G1983" s="43">
        <f t="shared" si="2289"/>
        <v>0</v>
      </c>
      <c r="H1983" s="41"/>
      <c r="I1983" s="42"/>
      <c r="J1983" s="42">
        <v>1</v>
      </c>
      <c r="K1983" s="42"/>
      <c r="L1983" s="42">
        <v>-1</v>
      </c>
      <c r="M1983" s="43">
        <f t="shared" si="2290"/>
        <v>0</v>
      </c>
      <c r="N1983" s="42"/>
      <c r="O1983" s="53"/>
      <c r="P1983" s="53"/>
      <c r="Q1983" s="53"/>
      <c r="R1983" s="72"/>
      <c r="S1983" s="24">
        <f t="shared" si="2291"/>
        <v>0</v>
      </c>
      <c r="T1983" s="42"/>
      <c r="U1983" s="53"/>
      <c r="V1983" s="53"/>
      <c r="W1983" s="53"/>
      <c r="X1983" s="72"/>
      <c r="Y1983" s="24">
        <f t="shared" si="2292"/>
        <v>0</v>
      </c>
      <c r="Z1983" s="24">
        <f t="shared" si="2264"/>
        <v>0</v>
      </c>
      <c r="AA1983" s="93">
        <v>45829</v>
      </c>
      <c r="AB1983" s="23"/>
      <c r="AC1983" s="41"/>
      <c r="AD1983" s="42"/>
      <c r="AE1983" s="42"/>
      <c r="AF1983" s="42"/>
      <c r="AG1983" s="42"/>
      <c r="AH1983" s="43">
        <f t="shared" si="2279"/>
        <v>0</v>
      </c>
      <c r="AI1983" s="41"/>
      <c r="AJ1983" s="42"/>
      <c r="AK1983" s="42"/>
      <c r="AL1983" s="42"/>
      <c r="AM1983" s="42"/>
      <c r="AN1983" s="43">
        <f t="shared" si="2280"/>
        <v>0</v>
      </c>
      <c r="AO1983" s="42"/>
      <c r="AP1983" s="53"/>
      <c r="AQ1983" s="53"/>
      <c r="AR1983" s="53"/>
      <c r="AS1983" s="72"/>
      <c r="AT1983" s="24">
        <f t="shared" si="2281"/>
        <v>0</v>
      </c>
      <c r="AU1983" s="42"/>
      <c r="AV1983" s="53"/>
      <c r="AW1983" s="53"/>
      <c r="AX1983" s="53"/>
      <c r="AY1983" s="72"/>
      <c r="AZ1983" s="24">
        <f t="shared" si="2282"/>
        <v>0</v>
      </c>
      <c r="BA1983" s="24">
        <f t="shared" si="2278"/>
        <v>0</v>
      </c>
    </row>
    <row r="1984" spans="1:53" ht="14.25" x14ac:dyDescent="0.15">
      <c r="A1984" s="23" t="s">
        <v>699</v>
      </c>
      <c r="B1984" s="41"/>
      <c r="C1984" s="42">
        <v>1</v>
      </c>
      <c r="D1984" s="42">
        <v>1</v>
      </c>
      <c r="E1984" s="42"/>
      <c r="F1984" s="42"/>
      <c r="G1984" s="43">
        <f t="shared" si="2289"/>
        <v>2</v>
      </c>
      <c r="H1984" s="41"/>
      <c r="I1984" s="42"/>
      <c r="J1984" s="42"/>
      <c r="K1984" s="42">
        <v>2</v>
      </c>
      <c r="L1984" s="42"/>
      <c r="M1984" s="43">
        <f t="shared" si="2290"/>
        <v>2</v>
      </c>
      <c r="N1984" s="42"/>
      <c r="O1984" s="53">
        <v>1</v>
      </c>
      <c r="P1984" s="53">
        <v>1</v>
      </c>
      <c r="Q1984" s="53"/>
      <c r="R1984" s="72"/>
      <c r="S1984" s="24">
        <f t="shared" si="2291"/>
        <v>2</v>
      </c>
      <c r="T1984" s="42"/>
      <c r="U1984" s="53"/>
      <c r="V1984" s="53"/>
      <c r="W1984" s="53"/>
      <c r="X1984" s="72"/>
      <c r="Y1984" s="24">
        <f t="shared" si="2292"/>
        <v>0</v>
      </c>
      <c r="Z1984" s="24">
        <f t="shared" si="2264"/>
        <v>6</v>
      </c>
      <c r="AA1984" s="93">
        <v>45831</v>
      </c>
      <c r="AB1984" s="23"/>
      <c r="AC1984" s="41"/>
      <c r="AD1984" s="42"/>
      <c r="AE1984" s="42"/>
      <c r="AF1984" s="42"/>
      <c r="AG1984" s="42"/>
      <c r="AH1984" s="43">
        <f t="shared" ref="AH1984" si="2323">SUM(AC1984:AG1984)</f>
        <v>0</v>
      </c>
      <c r="AI1984" s="41"/>
      <c r="AJ1984" s="42"/>
      <c r="AK1984" s="42"/>
      <c r="AL1984" s="42"/>
      <c r="AM1984" s="42"/>
      <c r="AN1984" s="43">
        <f t="shared" ref="AN1984" si="2324">SUM(AI1984:AM1984)</f>
        <v>0</v>
      </c>
      <c r="AO1984" s="42"/>
      <c r="AP1984" s="53"/>
      <c r="AQ1984" s="53"/>
      <c r="AR1984" s="53"/>
      <c r="AS1984" s="72"/>
      <c r="AT1984" s="24">
        <f t="shared" ref="AT1984" si="2325">SUM(AO1984:AS1984)</f>
        <v>0</v>
      </c>
      <c r="AU1984" s="42"/>
      <c r="AV1984" s="53"/>
      <c r="AW1984" s="53"/>
      <c r="AX1984" s="53"/>
      <c r="AY1984" s="72"/>
      <c r="AZ1984" s="24">
        <f t="shared" ref="AZ1984" si="2326">SUM(AU1984:AY1984)</f>
        <v>0</v>
      </c>
      <c r="BA1984" s="24">
        <f t="shared" ref="BA1984" si="2327">AH1984+AN1984+AT1984+AZ1984</f>
        <v>0</v>
      </c>
    </row>
    <row r="1985" spans="1:54" ht="15" thickBot="1" x14ac:dyDescent="0.2">
      <c r="A1985" s="23"/>
      <c r="B1985" s="41"/>
      <c r="C1985" s="42"/>
      <c r="D1985" s="42"/>
      <c r="E1985" s="42"/>
      <c r="F1985" s="42"/>
      <c r="G1985" s="43">
        <f t="shared" ref="G1985" si="2328">SUM(B1985:F1985)</f>
        <v>0</v>
      </c>
      <c r="H1985" s="41"/>
      <c r="I1985" s="42"/>
      <c r="J1985" s="42"/>
      <c r="K1985" s="42"/>
      <c r="L1985" s="42"/>
      <c r="M1985" s="43">
        <f t="shared" ref="M1985" si="2329">SUM(H1985:L1985)</f>
        <v>0</v>
      </c>
      <c r="N1985" s="42"/>
      <c r="O1985" s="53"/>
      <c r="P1985" s="53"/>
      <c r="Q1985" s="53"/>
      <c r="R1985" s="72"/>
      <c r="S1985" s="24">
        <f t="shared" ref="S1985" si="2330">SUM(N1985:R1985)</f>
        <v>0</v>
      </c>
      <c r="T1985" s="42"/>
      <c r="U1985" s="53"/>
      <c r="V1985" s="53"/>
      <c r="W1985" s="53"/>
      <c r="X1985" s="72"/>
      <c r="Y1985" s="24">
        <f t="shared" ref="Y1985" si="2331">SUM(T1985:X1985)</f>
        <v>0</v>
      </c>
      <c r="Z1985" s="24">
        <f t="shared" ref="Z1985" si="2332">G1985+M1985+S1985+Y1985</f>
        <v>0</v>
      </c>
      <c r="AB1985" s="23" t="s">
        <v>701</v>
      </c>
      <c r="AC1985" s="41"/>
      <c r="AD1985" s="42"/>
      <c r="AE1985" s="42"/>
      <c r="AF1985" s="42"/>
      <c r="AG1985" s="42"/>
      <c r="AH1985" s="43">
        <f t="shared" ref="AH1985" si="2333">SUM(AC1985:AG1985)</f>
        <v>0</v>
      </c>
      <c r="AI1985" s="217"/>
      <c r="AJ1985" s="218"/>
      <c r="AK1985" s="218"/>
      <c r="AL1985" s="218"/>
      <c r="AM1985" s="218"/>
      <c r="AN1985" s="43">
        <f t="shared" ref="AN1985" si="2334">SUM(AI1985:AM1985)</f>
        <v>0</v>
      </c>
      <c r="AO1985" s="42"/>
      <c r="AP1985" s="53"/>
      <c r="AQ1985" s="53"/>
      <c r="AR1985" s="53"/>
      <c r="AS1985" s="72"/>
      <c r="AT1985" s="24">
        <f t="shared" ref="AT1985" si="2335">SUM(AO1985:AS1985)</f>
        <v>0</v>
      </c>
      <c r="AU1985" s="42"/>
      <c r="AV1985" s="53"/>
      <c r="AW1985" s="53"/>
      <c r="AX1985" s="53"/>
      <c r="AY1985" s="72"/>
      <c r="AZ1985" s="24">
        <f t="shared" ref="AZ1985" si="2336">SUM(AU1985:AY1985)</f>
        <v>0</v>
      </c>
      <c r="BA1985" s="24">
        <f t="shared" ref="BA1985:BA1987" si="2337">AH1985+AN1985+AT1985+AZ1985</f>
        <v>0</v>
      </c>
      <c r="BB1985" s="128" t="s">
        <v>585</v>
      </c>
    </row>
    <row r="1986" spans="1:54" ht="15" thickBot="1" x14ac:dyDescent="0.2">
      <c r="A1986" s="9" t="s">
        <v>13</v>
      </c>
      <c r="B1986" s="25">
        <f>SUM(B1960:B1985)</f>
        <v>0</v>
      </c>
      <c r="C1986" s="26">
        <f>SUM(C1960:C1985)</f>
        <v>1</v>
      </c>
      <c r="D1986" s="26">
        <f>SUM(D1960:D1985)</f>
        <v>5</v>
      </c>
      <c r="E1986" s="26">
        <f>SUM(E1960:E1985)</f>
        <v>3</v>
      </c>
      <c r="F1986" s="27">
        <f>SUM(F1960:F1985)</f>
        <v>2</v>
      </c>
      <c r="G1986" s="19">
        <f>SUM(B1986:F1986)</f>
        <v>11</v>
      </c>
      <c r="H1986" s="25">
        <f>SUM(H1960:H1985)</f>
        <v>1</v>
      </c>
      <c r="I1986" s="26">
        <f>SUM(I1960:I1985)</f>
        <v>6</v>
      </c>
      <c r="J1986" s="26">
        <f>SUM(J1960:J1985)</f>
        <v>3</v>
      </c>
      <c r="K1986" s="26">
        <f>SUM(K1960:K1985)</f>
        <v>7</v>
      </c>
      <c r="L1986" s="27">
        <f>SUM(L1960:L1985)</f>
        <v>4</v>
      </c>
      <c r="M1986" s="25">
        <f>SUM(H1986:L1986)</f>
        <v>21</v>
      </c>
      <c r="N1986" s="65">
        <f>SUM(N1960:N1985)</f>
        <v>0</v>
      </c>
      <c r="O1986" s="18">
        <f>SUM(O1960:O1985)</f>
        <v>2</v>
      </c>
      <c r="P1986" s="18">
        <f>SUM(P1960:P1985)</f>
        <v>2</v>
      </c>
      <c r="Q1986" s="18">
        <f>SUM(Q1960:Q1985)</f>
        <v>1</v>
      </c>
      <c r="R1986" s="70">
        <f>SUM(R1960:R1985)</f>
        <v>2</v>
      </c>
      <c r="S1986" s="49">
        <f>SUM(N1986:R1986)</f>
        <v>7</v>
      </c>
      <c r="T1986" s="74">
        <f>SUM(T1960:T1985)</f>
        <v>0</v>
      </c>
      <c r="U1986" s="18">
        <f>SUM(U1960:U1985)</f>
        <v>2</v>
      </c>
      <c r="V1986" s="18">
        <f>SUM(V1960:V1985)</f>
        <v>2</v>
      </c>
      <c r="W1986" s="18">
        <f>SUM(W1960:W1985)</f>
        <v>1</v>
      </c>
      <c r="X1986" s="70">
        <f>SUM(X1960:X1985)</f>
        <v>1</v>
      </c>
      <c r="Y1986" s="49">
        <f>SUM(T1986:X1986)</f>
        <v>6</v>
      </c>
      <c r="Z1986" s="137">
        <f>G1986+M1986+S1986+Y1986</f>
        <v>45</v>
      </c>
      <c r="AB1986" s="9" t="s">
        <v>13</v>
      </c>
      <c r="AC1986" s="25">
        <f>SUM(AC1960:AC1985)</f>
        <v>0</v>
      </c>
      <c r="AD1986" s="26">
        <f t="shared" ref="AD1986" si="2338">SUM(AD1960:AD1985)</f>
        <v>0</v>
      </c>
      <c r="AE1986" s="26">
        <f t="shared" ref="AE1986" si="2339">SUM(AE1960:AE1985)</f>
        <v>3</v>
      </c>
      <c r="AF1986" s="26">
        <f t="shared" ref="AF1986" si="2340">SUM(AF1960:AF1985)</f>
        <v>0</v>
      </c>
      <c r="AG1986" s="27">
        <f t="shared" ref="AG1986" si="2341">SUM(AG1960:AG1985)</f>
        <v>0</v>
      </c>
      <c r="AH1986" s="19">
        <f>SUM(AC1986:AG1986)</f>
        <v>3</v>
      </c>
      <c r="AI1986" s="25">
        <f>SUM(AI1960:AI1985)</f>
        <v>0</v>
      </c>
      <c r="AJ1986" s="26">
        <f t="shared" ref="AJ1986" si="2342">SUM(AJ1960:AJ1985)</f>
        <v>3</v>
      </c>
      <c r="AK1986" s="26">
        <f t="shared" ref="AK1986" si="2343">SUM(AK1960:AK1985)</f>
        <v>0</v>
      </c>
      <c r="AL1986" s="26">
        <f t="shared" ref="AL1986" si="2344">SUM(AL1960:AL1985)</f>
        <v>0</v>
      </c>
      <c r="AM1986" s="27">
        <f t="shared" ref="AM1986" si="2345">SUM(AM1960:AM1985)</f>
        <v>3</v>
      </c>
      <c r="AN1986" s="19">
        <f>SUM(AI1986:AM1986)</f>
        <v>6</v>
      </c>
      <c r="AO1986" s="25">
        <f>SUM(AO1960:AO1985)</f>
        <v>0</v>
      </c>
      <c r="AP1986" s="26">
        <f t="shared" ref="AP1986" si="2346">SUM(AP1960:AP1985)</f>
        <v>0</v>
      </c>
      <c r="AQ1986" s="26">
        <f t="shared" ref="AQ1986" si="2347">SUM(AQ1960:AQ1985)</f>
        <v>0</v>
      </c>
      <c r="AR1986" s="26">
        <f t="shared" ref="AR1986" si="2348">SUM(AR1960:AR1985)</f>
        <v>0</v>
      </c>
      <c r="AS1986" s="27">
        <f t="shared" ref="AS1986" si="2349">SUM(AS1960:AS1985)</f>
        <v>0</v>
      </c>
      <c r="AT1986" s="19">
        <f>SUM(AO1986:AS1986)</f>
        <v>0</v>
      </c>
      <c r="AU1986" s="25">
        <f>SUM(AU1960:AU1985)</f>
        <v>0</v>
      </c>
      <c r="AV1986" s="26">
        <f t="shared" ref="AV1986" si="2350">SUM(AV1960:AV1985)</f>
        <v>3</v>
      </c>
      <c r="AW1986" s="26">
        <f t="shared" ref="AW1986" si="2351">SUM(AW1960:AW1985)</f>
        <v>0</v>
      </c>
      <c r="AX1986" s="26">
        <f t="shared" ref="AX1986" si="2352">SUM(AX1960:AX1985)</f>
        <v>0</v>
      </c>
      <c r="AY1986" s="27">
        <f t="shared" ref="AY1986" si="2353">SUM(AY1960:AY1985)</f>
        <v>0</v>
      </c>
      <c r="AZ1986" s="19">
        <f>SUM(AU1986:AY1986)</f>
        <v>3</v>
      </c>
      <c r="BA1986" s="77">
        <f t="shared" si="2337"/>
        <v>12</v>
      </c>
    </row>
    <row r="1987" spans="1:54" ht="15" thickBot="1" x14ac:dyDescent="0.2">
      <c r="A1987" s="32" t="s">
        <v>14</v>
      </c>
      <c r="B1987" s="29">
        <f t="shared" ref="B1987:Y1987" si="2354">B1959-B1986</f>
        <v>7</v>
      </c>
      <c r="C1987" s="30">
        <f t="shared" si="2354"/>
        <v>4</v>
      </c>
      <c r="D1987" s="30">
        <f t="shared" si="2354"/>
        <v>2</v>
      </c>
      <c r="E1987" s="30">
        <f t="shared" si="2354"/>
        <v>9</v>
      </c>
      <c r="F1987" s="31">
        <f t="shared" si="2354"/>
        <v>6</v>
      </c>
      <c r="G1987" s="31">
        <f t="shared" si="2354"/>
        <v>28</v>
      </c>
      <c r="H1987" s="29">
        <f t="shared" si="2354"/>
        <v>4</v>
      </c>
      <c r="I1987" s="30">
        <f t="shared" si="2354"/>
        <v>2</v>
      </c>
      <c r="J1987" s="30">
        <f t="shared" si="2354"/>
        <v>3</v>
      </c>
      <c r="K1987" s="30">
        <f t="shared" si="2354"/>
        <v>0</v>
      </c>
      <c r="L1987" s="31">
        <f t="shared" si="2354"/>
        <v>6</v>
      </c>
      <c r="M1987" s="66">
        <f t="shared" si="2354"/>
        <v>15</v>
      </c>
      <c r="N1987" s="29">
        <f t="shared" si="2354"/>
        <v>5</v>
      </c>
      <c r="O1987" s="30">
        <f t="shared" si="2354"/>
        <v>4</v>
      </c>
      <c r="P1987" s="30">
        <f t="shared" si="2354"/>
        <v>6</v>
      </c>
      <c r="Q1987" s="30">
        <f t="shared" si="2354"/>
        <v>4</v>
      </c>
      <c r="R1987" s="66">
        <f t="shared" si="2354"/>
        <v>3</v>
      </c>
      <c r="S1987" s="33">
        <f t="shared" si="2354"/>
        <v>22</v>
      </c>
      <c r="T1987" s="75">
        <f t="shared" si="2354"/>
        <v>4</v>
      </c>
      <c r="U1987" s="30">
        <f t="shared" si="2354"/>
        <v>5</v>
      </c>
      <c r="V1987" s="30">
        <f t="shared" si="2354"/>
        <v>12</v>
      </c>
      <c r="W1987" s="30">
        <f t="shared" si="2354"/>
        <v>6</v>
      </c>
      <c r="X1987" s="66">
        <f t="shared" si="2354"/>
        <v>4</v>
      </c>
      <c r="Y1987" s="33">
        <f t="shared" si="2354"/>
        <v>31</v>
      </c>
      <c r="Z1987" s="77">
        <f>G1987+M1987+S1987+Y1987</f>
        <v>96</v>
      </c>
      <c r="AB1987" s="32" t="s">
        <v>14</v>
      </c>
      <c r="AC1987" s="29">
        <f>AC1959-AC1986</f>
        <v>73</v>
      </c>
      <c r="AD1987" s="30">
        <f t="shared" ref="AD1987" si="2355">AD1959-AD1986</f>
        <v>26</v>
      </c>
      <c r="AE1987" s="30">
        <f t="shared" ref="AE1987" si="2356">AE1959-AE1986</f>
        <v>21</v>
      </c>
      <c r="AF1987" s="30">
        <f t="shared" ref="AF1987" si="2357">AF1959-AF1986</f>
        <v>0</v>
      </c>
      <c r="AG1987" s="31">
        <f t="shared" ref="AG1987" si="2358">AG1959-AG1986</f>
        <v>0</v>
      </c>
      <c r="AH1987" s="31">
        <f>AH1959-AH1986</f>
        <v>120</v>
      </c>
      <c r="AI1987" s="29">
        <f>AI1959-AI1986</f>
        <v>69</v>
      </c>
      <c r="AJ1987" s="30">
        <f t="shared" ref="AJ1987" si="2359">AJ1959-AJ1986</f>
        <v>38</v>
      </c>
      <c r="AK1987" s="30">
        <f t="shared" ref="AK1987" si="2360">AK1959-AK1986</f>
        <v>49</v>
      </c>
      <c r="AL1987" s="30">
        <f t="shared" ref="AL1987" si="2361">AL1959-AL1986</f>
        <v>19</v>
      </c>
      <c r="AM1987" s="31">
        <f t="shared" ref="AM1987" si="2362">AM1959-AM1986</f>
        <v>43</v>
      </c>
      <c r="AN1987" s="31">
        <f>AN1959-AN1986</f>
        <v>218</v>
      </c>
      <c r="AO1987" s="29">
        <f>AO1959-AO1986</f>
        <v>134</v>
      </c>
      <c r="AP1987" s="30">
        <f t="shared" ref="AP1987" si="2363">AP1959-AP1986</f>
        <v>81</v>
      </c>
      <c r="AQ1987" s="30">
        <f t="shared" ref="AQ1987" si="2364">AQ1959-AQ1986</f>
        <v>78</v>
      </c>
      <c r="AR1987" s="30">
        <f t="shared" ref="AR1987" si="2365">AR1959-AR1986</f>
        <v>101</v>
      </c>
      <c r="AS1987" s="31">
        <f t="shared" ref="AS1987" si="2366">AS1959-AS1986</f>
        <v>114</v>
      </c>
      <c r="AT1987" s="31">
        <f>AT1959-AT1986</f>
        <v>508</v>
      </c>
      <c r="AU1987" s="29">
        <f>AU1959-AU1986</f>
        <v>102</v>
      </c>
      <c r="AV1987" s="30">
        <f t="shared" ref="AV1987" si="2367">AV1959-AV1986</f>
        <v>39</v>
      </c>
      <c r="AW1987" s="30">
        <f t="shared" ref="AW1987" si="2368">AW1959-AW1986</f>
        <v>0</v>
      </c>
      <c r="AX1987" s="30">
        <f t="shared" ref="AX1987" si="2369">AX1959-AX1986</f>
        <v>0</v>
      </c>
      <c r="AY1987" s="31">
        <f t="shared" ref="AY1987" si="2370">AY1959-AY1986</f>
        <v>55</v>
      </c>
      <c r="AZ1987" s="31">
        <f>AZ1959-AZ1986</f>
        <v>196</v>
      </c>
      <c r="BA1987" s="77">
        <f t="shared" si="2337"/>
        <v>1042</v>
      </c>
    </row>
    <row r="1988" spans="1:54" x14ac:dyDescent="0.15">
      <c r="AC1988" s="216"/>
      <c r="AD1988" s="216"/>
      <c r="AE1988" s="216"/>
      <c r="AF1988" s="216" t="s">
        <v>702</v>
      </c>
      <c r="AG1988" s="216" t="s">
        <v>702</v>
      </c>
      <c r="AH1988" s="216"/>
      <c r="AI1988" s="216"/>
      <c r="AJ1988" s="216"/>
      <c r="AK1988" s="216"/>
      <c r="AL1988" s="216"/>
      <c r="AM1988" s="216"/>
      <c r="AN1988" s="216"/>
      <c r="AO1988" s="216"/>
      <c r="AP1988" s="216"/>
      <c r="AQ1988" s="216"/>
      <c r="AR1988" s="216"/>
      <c r="AS1988" s="216"/>
      <c r="AT1988" s="216"/>
      <c r="AU1988" s="216"/>
      <c r="AV1988" s="216"/>
      <c r="AW1988" s="216" t="s">
        <v>702</v>
      </c>
      <c r="AX1988" s="216" t="s">
        <v>702</v>
      </c>
      <c r="AY1988" s="216"/>
    </row>
    <row r="1990" spans="1:54" ht="19.5" thickBot="1" x14ac:dyDescent="0.25">
      <c r="A1990" s="1" t="s">
        <v>15</v>
      </c>
      <c r="AB1990" s="1" t="s">
        <v>16</v>
      </c>
    </row>
    <row r="1991" spans="1:54" ht="15" thickBot="1" x14ac:dyDescent="0.2">
      <c r="A1991" s="4"/>
      <c r="B1991" s="245" t="s">
        <v>17</v>
      </c>
      <c r="C1991" s="246"/>
      <c r="D1991" s="246"/>
      <c r="E1991" s="246"/>
      <c r="F1991" s="246"/>
      <c r="G1991" s="247"/>
      <c r="H1991" s="245" t="s">
        <v>18</v>
      </c>
      <c r="I1991" s="246"/>
      <c r="J1991" s="246"/>
      <c r="K1991" s="246"/>
      <c r="L1991" s="246"/>
      <c r="M1991" s="247"/>
      <c r="N1991" s="248" t="s">
        <v>27</v>
      </c>
      <c r="O1991" s="249"/>
      <c r="P1991" s="249"/>
      <c r="Q1991" s="249"/>
      <c r="R1991" s="249"/>
      <c r="S1991" s="250"/>
      <c r="T1991" s="248" t="s">
        <v>28</v>
      </c>
      <c r="U1991" s="249"/>
      <c r="V1991" s="249"/>
      <c r="W1991" s="249"/>
      <c r="X1991" s="249"/>
      <c r="Y1991" s="250"/>
      <c r="Z1991" s="251" t="s">
        <v>1</v>
      </c>
      <c r="AB1991" s="4"/>
      <c r="AC1991" s="253" t="s">
        <v>17</v>
      </c>
      <c r="AD1991" s="249"/>
      <c r="AE1991" s="249"/>
      <c r="AF1991" s="249"/>
      <c r="AG1991" s="249"/>
      <c r="AH1991" s="250"/>
      <c r="AI1991" s="248" t="s">
        <v>18</v>
      </c>
      <c r="AJ1991" s="249"/>
      <c r="AK1991" s="249"/>
      <c r="AL1991" s="249"/>
      <c r="AM1991" s="249"/>
      <c r="AN1991" s="250"/>
      <c r="AO1991" s="248" t="s">
        <v>27</v>
      </c>
      <c r="AP1991" s="249"/>
      <c r="AQ1991" s="249"/>
      <c r="AR1991" s="249"/>
      <c r="AS1991" s="249"/>
      <c r="AT1991" s="250"/>
      <c r="AU1991" s="248" t="s">
        <v>28</v>
      </c>
      <c r="AV1991" s="249"/>
      <c r="AW1991" s="249"/>
      <c r="AX1991" s="249"/>
      <c r="AY1991" s="249"/>
      <c r="AZ1991" s="250"/>
      <c r="BA1991" s="243" t="s">
        <v>1</v>
      </c>
    </row>
    <row r="1992" spans="1:54" ht="15" thickBot="1" x14ac:dyDescent="0.2">
      <c r="A1992" s="9" t="s">
        <v>2</v>
      </c>
      <c r="B1992" s="6" t="s">
        <v>3</v>
      </c>
      <c r="C1992" s="7" t="s">
        <v>4</v>
      </c>
      <c r="D1992" s="7" t="s">
        <v>5</v>
      </c>
      <c r="E1992" s="48" t="s">
        <v>20</v>
      </c>
      <c r="F1992" s="8" t="s">
        <v>21</v>
      </c>
      <c r="G1992" s="5" t="s">
        <v>6</v>
      </c>
      <c r="H1992" s="6" t="s">
        <v>3</v>
      </c>
      <c r="I1992" s="7" t="s">
        <v>4</v>
      </c>
      <c r="J1992" s="7" t="s">
        <v>5</v>
      </c>
      <c r="K1992" s="48" t="s">
        <v>20</v>
      </c>
      <c r="L1992" s="8" t="s">
        <v>21</v>
      </c>
      <c r="M1992" s="5" t="s">
        <v>6</v>
      </c>
      <c r="N1992" s="6" t="s">
        <v>3</v>
      </c>
      <c r="O1992" s="7" t="s">
        <v>4</v>
      </c>
      <c r="P1992" s="7" t="s">
        <v>5</v>
      </c>
      <c r="Q1992" s="48" t="s">
        <v>20</v>
      </c>
      <c r="R1992" s="8" t="s">
        <v>21</v>
      </c>
      <c r="S1992" s="5" t="s">
        <v>6</v>
      </c>
      <c r="T1992" s="7" t="s">
        <v>3</v>
      </c>
      <c r="U1992" s="7" t="s">
        <v>4</v>
      </c>
      <c r="V1992" s="7" t="s">
        <v>5</v>
      </c>
      <c r="W1992" s="48" t="s">
        <v>20</v>
      </c>
      <c r="X1992" s="109" t="s">
        <v>21</v>
      </c>
      <c r="Y1992" s="62" t="s">
        <v>6</v>
      </c>
      <c r="Z1992" s="252"/>
      <c r="AB1992" s="9" t="s">
        <v>2</v>
      </c>
      <c r="AC1992" s="6" t="s">
        <v>3</v>
      </c>
      <c r="AD1992" s="7" t="s">
        <v>4</v>
      </c>
      <c r="AE1992" s="7" t="s">
        <v>5</v>
      </c>
      <c r="AF1992" s="48" t="s">
        <v>20</v>
      </c>
      <c r="AG1992" s="8" t="s">
        <v>21</v>
      </c>
      <c r="AH1992" s="5" t="s">
        <v>6</v>
      </c>
      <c r="AI1992" s="6" t="s">
        <v>3</v>
      </c>
      <c r="AJ1992" s="7" t="s">
        <v>4</v>
      </c>
      <c r="AK1992" s="7" t="s">
        <v>5</v>
      </c>
      <c r="AL1992" s="48" t="s">
        <v>20</v>
      </c>
      <c r="AM1992" s="8" t="s">
        <v>21</v>
      </c>
      <c r="AN1992" s="5" t="s">
        <v>6</v>
      </c>
      <c r="AO1992" s="6" t="s">
        <v>3</v>
      </c>
      <c r="AP1992" s="7" t="s">
        <v>4</v>
      </c>
      <c r="AQ1992" s="7" t="s">
        <v>5</v>
      </c>
      <c r="AR1992" s="48" t="s">
        <v>20</v>
      </c>
      <c r="AS1992" s="8" t="s">
        <v>21</v>
      </c>
      <c r="AT1992" s="5" t="s">
        <v>6</v>
      </c>
      <c r="AU1992" s="7" t="s">
        <v>3</v>
      </c>
      <c r="AV1992" s="7" t="s">
        <v>4</v>
      </c>
      <c r="AW1992" s="7" t="s">
        <v>5</v>
      </c>
      <c r="AX1992" s="48" t="s">
        <v>20</v>
      </c>
      <c r="AY1992" s="109" t="s">
        <v>21</v>
      </c>
      <c r="AZ1992" s="62" t="s">
        <v>6</v>
      </c>
      <c r="BA1992" s="244"/>
    </row>
    <row r="1993" spans="1:54" ht="14.25" x14ac:dyDescent="0.15">
      <c r="A1993" s="103" t="s">
        <v>43</v>
      </c>
      <c r="B1993" s="104">
        <f>B1987</f>
        <v>7</v>
      </c>
      <c r="C1993" s="105">
        <f>C1987</f>
        <v>4</v>
      </c>
      <c r="D1993" s="105">
        <f>D1987</f>
        <v>2</v>
      </c>
      <c r="E1993" s="105">
        <f>E1987</f>
        <v>9</v>
      </c>
      <c r="F1993" s="105">
        <f>F1987</f>
        <v>6</v>
      </c>
      <c r="G1993" s="106">
        <f t="shared" ref="G1993" si="2371">SUM(B1993:F1993)</f>
        <v>28</v>
      </c>
      <c r="H1993" s="104">
        <f>H1987</f>
        <v>4</v>
      </c>
      <c r="I1993" s="105">
        <f>I1987</f>
        <v>2</v>
      </c>
      <c r="J1993" s="105">
        <f>J1987</f>
        <v>3</v>
      </c>
      <c r="K1993" s="105">
        <f>K1987</f>
        <v>0</v>
      </c>
      <c r="L1993" s="105">
        <f>L1987</f>
        <v>6</v>
      </c>
      <c r="M1993" s="107">
        <f t="shared" ref="M1993" si="2372">SUM(H1993:L1993)</f>
        <v>15</v>
      </c>
      <c r="N1993" s="104">
        <f>N1987</f>
        <v>5</v>
      </c>
      <c r="O1993" s="105">
        <f>O1987</f>
        <v>4</v>
      </c>
      <c r="P1993" s="105">
        <f>P1987</f>
        <v>6</v>
      </c>
      <c r="Q1993" s="105">
        <f>Q1987</f>
        <v>4</v>
      </c>
      <c r="R1993" s="105">
        <f>R1987</f>
        <v>3</v>
      </c>
      <c r="S1993" s="108">
        <f t="shared" ref="S1993" si="2373">SUM(N1993:R1993)</f>
        <v>22</v>
      </c>
      <c r="T1993" s="104">
        <f>T1987</f>
        <v>4</v>
      </c>
      <c r="U1993" s="105">
        <f>U1987</f>
        <v>5</v>
      </c>
      <c r="V1993" s="105">
        <f>V1987</f>
        <v>12</v>
      </c>
      <c r="W1993" s="105">
        <f>W1987</f>
        <v>6</v>
      </c>
      <c r="X1993" s="105">
        <f>X1987</f>
        <v>4</v>
      </c>
      <c r="Y1993" s="106">
        <f t="shared" ref="Y1993" si="2374">SUM(T1993:X1993)</f>
        <v>31</v>
      </c>
      <c r="Z1993" s="106">
        <f t="shared" ref="Z1993:Z2024" si="2375">G1993+M1993+S1993+Y1993</f>
        <v>96</v>
      </c>
      <c r="AB1993" s="103" t="s">
        <v>43</v>
      </c>
      <c r="AC1993" s="104">
        <f>AC1987</f>
        <v>73</v>
      </c>
      <c r="AD1993" s="105">
        <f t="shared" ref="AD1993:AG1993" si="2376">AD1987</f>
        <v>26</v>
      </c>
      <c r="AE1993" s="105">
        <f t="shared" si="2376"/>
        <v>21</v>
      </c>
      <c r="AF1993" s="105">
        <f t="shared" si="2376"/>
        <v>0</v>
      </c>
      <c r="AG1993" s="105">
        <f t="shared" si="2376"/>
        <v>0</v>
      </c>
      <c r="AH1993" s="106">
        <f>SUM(AC1993:AG1993)</f>
        <v>120</v>
      </c>
      <c r="AI1993" s="104">
        <f>AI1987</f>
        <v>69</v>
      </c>
      <c r="AJ1993" s="105">
        <f t="shared" ref="AJ1993:AM1993" si="2377">AJ1987</f>
        <v>38</v>
      </c>
      <c r="AK1993" s="105">
        <f t="shared" si="2377"/>
        <v>49</v>
      </c>
      <c r="AL1993" s="105">
        <f t="shared" si="2377"/>
        <v>19</v>
      </c>
      <c r="AM1993" s="105">
        <f t="shared" si="2377"/>
        <v>43</v>
      </c>
      <c r="AN1993" s="106">
        <f>SUM(AI1993:AM1993)</f>
        <v>218</v>
      </c>
      <c r="AO1993" s="104">
        <f>AO1987</f>
        <v>134</v>
      </c>
      <c r="AP1993" s="105">
        <f t="shared" ref="AP1993:AS1993" si="2378">AP1987</f>
        <v>81</v>
      </c>
      <c r="AQ1993" s="105">
        <f t="shared" si="2378"/>
        <v>78</v>
      </c>
      <c r="AR1993" s="105">
        <f t="shared" si="2378"/>
        <v>101</v>
      </c>
      <c r="AS1993" s="105">
        <f t="shared" si="2378"/>
        <v>114</v>
      </c>
      <c r="AT1993" s="106">
        <f>SUM(AO1993:AS1993)</f>
        <v>508</v>
      </c>
      <c r="AU1993" s="104">
        <f>AU1987</f>
        <v>102</v>
      </c>
      <c r="AV1993" s="105">
        <f t="shared" ref="AV1993:AY1993" si="2379">AV1987</f>
        <v>39</v>
      </c>
      <c r="AW1993" s="105">
        <f t="shared" si="2379"/>
        <v>0</v>
      </c>
      <c r="AX1993" s="105">
        <f t="shared" si="2379"/>
        <v>0</v>
      </c>
      <c r="AY1993" s="105">
        <f t="shared" si="2379"/>
        <v>55</v>
      </c>
      <c r="AZ1993" s="106">
        <f>SUM(AU1993:AY1993)</f>
        <v>196</v>
      </c>
      <c r="BA1993" s="106">
        <f>AH1993+AN1993+AT1993+AZ1993</f>
        <v>1042</v>
      </c>
    </row>
    <row r="1994" spans="1:54" ht="14.25" x14ac:dyDescent="0.15">
      <c r="A1994" s="10" t="s">
        <v>181</v>
      </c>
      <c r="B1994" s="14"/>
      <c r="C1994" s="15"/>
      <c r="D1994" s="15">
        <v>3</v>
      </c>
      <c r="E1994" s="15"/>
      <c r="F1994" s="15"/>
      <c r="G1994" s="43">
        <f t="shared" ref="G1994:G1995" si="2380">SUM(B1994:F1994)</f>
        <v>3</v>
      </c>
      <c r="H1994" s="14"/>
      <c r="I1994" s="15">
        <v>3</v>
      </c>
      <c r="J1994" s="15">
        <v>3</v>
      </c>
      <c r="K1994" s="15">
        <v>3</v>
      </c>
      <c r="L1994" s="15"/>
      <c r="M1994" s="43">
        <f t="shared" ref="M1994:M1995" si="2381">SUM(H1994:L1994)</f>
        <v>9</v>
      </c>
      <c r="N1994" s="14"/>
      <c r="O1994" s="55"/>
      <c r="P1994" s="55"/>
      <c r="Q1994" s="55"/>
      <c r="R1994" s="67"/>
      <c r="S1994" s="24">
        <f t="shared" ref="S1994:S1995" si="2382">SUM(N1994:R1994)</f>
        <v>0</v>
      </c>
      <c r="T1994" s="15"/>
      <c r="U1994" s="55"/>
      <c r="V1994" s="55"/>
      <c r="W1994" s="55"/>
      <c r="X1994" s="67"/>
      <c r="Y1994" s="24">
        <f t="shared" ref="Y1994:Y1995" si="2383">SUM(T1994:X1994)</f>
        <v>0</v>
      </c>
      <c r="Z1994" s="24">
        <f t="shared" ref="Z1994:Z1996" si="2384">G1994+M1994+S1994+Y1994</f>
        <v>12</v>
      </c>
      <c r="AA1994" s="83">
        <v>45832</v>
      </c>
      <c r="AB1994" s="10" t="s">
        <v>181</v>
      </c>
      <c r="AC1994" s="14"/>
      <c r="AD1994" s="15"/>
      <c r="AE1994" s="15"/>
      <c r="AF1994" s="15"/>
      <c r="AG1994" s="15"/>
      <c r="AH1994" s="43">
        <f t="shared" ref="AH1994:AH2016" si="2385">SUM(AC1994:AG1994)</f>
        <v>0</v>
      </c>
      <c r="AI1994" s="14"/>
      <c r="AJ1994" s="15"/>
      <c r="AK1994" s="15"/>
      <c r="AL1994" s="15"/>
      <c r="AM1994" s="15"/>
      <c r="AN1994" s="43">
        <f t="shared" ref="AN1994:AN2016" si="2386">SUM(AI1994:AM1994)</f>
        <v>0</v>
      </c>
      <c r="AO1994" s="14"/>
      <c r="AP1994" s="55"/>
      <c r="AQ1994" s="55"/>
      <c r="AR1994" s="55"/>
      <c r="AS1994" s="67"/>
      <c r="AT1994" s="24">
        <f t="shared" ref="AT1994:AT2016" si="2387">SUM(AO1994:AS1994)</f>
        <v>0</v>
      </c>
      <c r="AU1994" s="15"/>
      <c r="AV1994" s="55"/>
      <c r="AW1994" s="55"/>
      <c r="AX1994" s="55"/>
      <c r="AY1994" s="67"/>
      <c r="AZ1994" s="24">
        <f t="shared" ref="AZ1994:AZ2016" si="2388">SUM(AU1994:AY1994)</f>
        <v>0</v>
      </c>
      <c r="BA1994" s="24">
        <f t="shared" ref="BA1994:BA2016" si="2389">AH1994+AN1994+AT1994+AZ1994</f>
        <v>0</v>
      </c>
    </row>
    <row r="1995" spans="1:54" ht="14.25" x14ac:dyDescent="0.15">
      <c r="A1995" s="10" t="s">
        <v>181</v>
      </c>
      <c r="B1995" s="14"/>
      <c r="C1995" s="15">
        <v>3</v>
      </c>
      <c r="D1995" s="15"/>
      <c r="E1995" s="15"/>
      <c r="F1995" s="15"/>
      <c r="G1995" s="43">
        <f t="shared" si="2380"/>
        <v>3</v>
      </c>
      <c r="H1995" s="14"/>
      <c r="I1995" s="15"/>
      <c r="J1995" s="15"/>
      <c r="K1995" s="15">
        <v>3</v>
      </c>
      <c r="L1995" s="15"/>
      <c r="M1995" s="43">
        <f t="shared" si="2381"/>
        <v>3</v>
      </c>
      <c r="N1995" s="14"/>
      <c r="O1995" s="55">
        <v>3</v>
      </c>
      <c r="P1995" s="55">
        <v>3</v>
      </c>
      <c r="Q1995" s="55">
        <v>3</v>
      </c>
      <c r="R1995" s="67">
        <v>3</v>
      </c>
      <c r="S1995" s="24">
        <f t="shared" si="2382"/>
        <v>12</v>
      </c>
      <c r="T1995" s="15"/>
      <c r="U1995" s="55"/>
      <c r="V1995" s="55"/>
      <c r="W1995" s="55"/>
      <c r="X1995" s="67"/>
      <c r="Y1995" s="24">
        <f t="shared" si="2383"/>
        <v>0</v>
      </c>
      <c r="Z1995" s="24">
        <f t="shared" si="2384"/>
        <v>18</v>
      </c>
      <c r="AA1995" s="83">
        <v>45843</v>
      </c>
      <c r="AB1995" s="10" t="s">
        <v>181</v>
      </c>
      <c r="AC1995" s="14"/>
      <c r="AD1995" s="15"/>
      <c r="AE1995" s="15"/>
      <c r="AF1995" s="15"/>
      <c r="AG1995" s="15"/>
      <c r="AH1995" s="43">
        <f t="shared" si="2385"/>
        <v>0</v>
      </c>
      <c r="AI1995" s="14"/>
      <c r="AJ1995" s="15"/>
      <c r="AK1995" s="15"/>
      <c r="AL1995" s="15"/>
      <c r="AM1995" s="15"/>
      <c r="AN1995" s="43">
        <f t="shared" si="2386"/>
        <v>0</v>
      </c>
      <c r="AO1995" s="14"/>
      <c r="AP1995" s="55"/>
      <c r="AQ1995" s="55"/>
      <c r="AR1995" s="55"/>
      <c r="AS1995" s="67"/>
      <c r="AT1995" s="24">
        <f t="shared" si="2387"/>
        <v>0</v>
      </c>
      <c r="AU1995" s="15"/>
      <c r="AV1995" s="55"/>
      <c r="AW1995" s="55"/>
      <c r="AX1995" s="55"/>
      <c r="AY1995" s="67"/>
      <c r="AZ1995" s="24">
        <f t="shared" si="2388"/>
        <v>0</v>
      </c>
      <c r="BA1995" s="24">
        <f t="shared" si="2389"/>
        <v>0</v>
      </c>
    </row>
    <row r="1996" spans="1:54" ht="14.25" x14ac:dyDescent="0.15">
      <c r="A1996" s="10" t="s">
        <v>703</v>
      </c>
      <c r="B1996" s="14"/>
      <c r="C1996" s="15">
        <v>2</v>
      </c>
      <c r="D1996" s="15">
        <v>2</v>
      </c>
      <c r="E1996" s="15"/>
      <c r="F1996" s="15"/>
      <c r="G1996" s="43">
        <f t="shared" ref="G1996" si="2390">SUM(B1996:F1996)</f>
        <v>4</v>
      </c>
      <c r="H1996" s="14">
        <v>2</v>
      </c>
      <c r="I1996" s="15">
        <v>2</v>
      </c>
      <c r="J1996" s="15">
        <v>2</v>
      </c>
      <c r="K1996" s="15">
        <v>5</v>
      </c>
      <c r="L1996" s="15">
        <v>2</v>
      </c>
      <c r="M1996" s="43">
        <f t="shared" ref="M1996" si="2391">SUM(H1996:L1996)</f>
        <v>13</v>
      </c>
      <c r="N1996" s="14"/>
      <c r="O1996" s="55"/>
      <c r="P1996" s="55"/>
      <c r="Q1996" s="55">
        <v>2</v>
      </c>
      <c r="R1996" s="67"/>
      <c r="S1996" s="24">
        <f t="shared" ref="S1996" si="2392">SUM(N1996:R1996)</f>
        <v>2</v>
      </c>
      <c r="T1996" s="15"/>
      <c r="U1996" s="55"/>
      <c r="V1996" s="55"/>
      <c r="W1996" s="55"/>
      <c r="X1996" s="67"/>
      <c r="Y1996" s="24">
        <f t="shared" ref="Y1996" si="2393">SUM(T1996:X1996)</f>
        <v>0</v>
      </c>
      <c r="Z1996" s="24">
        <f t="shared" si="2384"/>
        <v>19</v>
      </c>
      <c r="AA1996" s="83">
        <v>45866</v>
      </c>
      <c r="AB1996" s="10" t="s">
        <v>181</v>
      </c>
      <c r="AC1996" s="14"/>
      <c r="AD1996" s="15"/>
      <c r="AE1996" s="15"/>
      <c r="AF1996" s="15"/>
      <c r="AG1996" s="15"/>
      <c r="AH1996" s="43">
        <f t="shared" si="2385"/>
        <v>0</v>
      </c>
      <c r="AI1996" s="14"/>
      <c r="AJ1996" s="15"/>
      <c r="AK1996" s="15"/>
      <c r="AL1996" s="15"/>
      <c r="AM1996" s="15"/>
      <c r="AN1996" s="43">
        <f t="shared" si="2386"/>
        <v>0</v>
      </c>
      <c r="AO1996" s="14"/>
      <c r="AP1996" s="55"/>
      <c r="AQ1996" s="55"/>
      <c r="AR1996" s="55"/>
      <c r="AS1996" s="67"/>
      <c r="AT1996" s="24">
        <f t="shared" si="2387"/>
        <v>0</v>
      </c>
      <c r="AU1996" s="15"/>
      <c r="AV1996" s="55"/>
      <c r="AW1996" s="55"/>
      <c r="AX1996" s="55"/>
      <c r="AY1996" s="67"/>
      <c r="AZ1996" s="24">
        <f t="shared" si="2388"/>
        <v>0</v>
      </c>
      <c r="BA1996" s="24">
        <f t="shared" si="2389"/>
        <v>0</v>
      </c>
    </row>
    <row r="1997" spans="1:54" ht="15" thickBot="1" x14ac:dyDescent="0.2">
      <c r="A1997" s="10" t="s">
        <v>181</v>
      </c>
      <c r="B1997" s="14"/>
      <c r="C1997" s="15"/>
      <c r="D1997" s="15"/>
      <c r="E1997" s="15"/>
      <c r="F1997" s="15"/>
      <c r="G1997" s="43">
        <f t="shared" ref="G1997" si="2394">SUM(B1997:F1997)</f>
        <v>0</v>
      </c>
      <c r="H1997" s="14"/>
      <c r="I1997" s="15"/>
      <c r="J1997" s="15"/>
      <c r="K1997" s="15"/>
      <c r="L1997" s="15"/>
      <c r="M1997" s="43">
        <f t="shared" ref="M1997" si="2395">SUM(H1997:L1997)</f>
        <v>0</v>
      </c>
      <c r="N1997" s="14"/>
      <c r="O1997" s="55"/>
      <c r="P1997" s="55"/>
      <c r="Q1997" s="55"/>
      <c r="R1997" s="67"/>
      <c r="S1997" s="24">
        <f t="shared" ref="S1997" si="2396">SUM(N1997:R1997)</f>
        <v>0</v>
      </c>
      <c r="T1997" s="15"/>
      <c r="U1997" s="55"/>
      <c r="V1997" s="55"/>
      <c r="W1997" s="55"/>
      <c r="X1997" s="67"/>
      <c r="Y1997" s="24">
        <f t="shared" ref="Y1997" si="2397">SUM(T1997:X1997)</f>
        <v>0</v>
      </c>
      <c r="Z1997" s="24">
        <f t="shared" ref="Z1997" si="2398">G1997+M1997+S1997+Y1997</f>
        <v>0</v>
      </c>
      <c r="AB1997" s="10" t="s">
        <v>181</v>
      </c>
      <c r="AC1997" s="14"/>
      <c r="AD1997" s="15"/>
      <c r="AE1997" s="15"/>
      <c r="AF1997" s="15"/>
      <c r="AG1997" s="15"/>
      <c r="AH1997" s="43">
        <f t="shared" si="2385"/>
        <v>0</v>
      </c>
      <c r="AI1997" s="14"/>
      <c r="AJ1997" s="15"/>
      <c r="AK1997" s="15"/>
      <c r="AL1997" s="15"/>
      <c r="AM1997" s="15"/>
      <c r="AN1997" s="43">
        <f t="shared" si="2386"/>
        <v>0</v>
      </c>
      <c r="AO1997" s="14"/>
      <c r="AP1997" s="55"/>
      <c r="AQ1997" s="55"/>
      <c r="AR1997" s="55"/>
      <c r="AS1997" s="67"/>
      <c r="AT1997" s="24">
        <f t="shared" si="2387"/>
        <v>0</v>
      </c>
      <c r="AU1997" s="15"/>
      <c r="AV1997" s="55"/>
      <c r="AW1997" s="55"/>
      <c r="AX1997" s="55"/>
      <c r="AY1997" s="67"/>
      <c r="AZ1997" s="24">
        <f t="shared" si="2388"/>
        <v>0</v>
      </c>
      <c r="BA1997" s="24">
        <f t="shared" si="2389"/>
        <v>0</v>
      </c>
    </row>
    <row r="1998" spans="1:54" ht="15" thickBot="1" x14ac:dyDescent="0.2">
      <c r="A1998" s="4" t="s">
        <v>12</v>
      </c>
      <c r="B1998" s="17">
        <f>SUM(B1993:B1997)</f>
        <v>7</v>
      </c>
      <c r="C1998" s="18">
        <f>SUM(C1993:C1997)</f>
        <v>9</v>
      </c>
      <c r="D1998" s="18">
        <f>SUM(D1993:D1997)</f>
        <v>7</v>
      </c>
      <c r="E1998" s="18">
        <f>SUM(E1993:E1997)</f>
        <v>9</v>
      </c>
      <c r="F1998" s="18">
        <f>SUM(F1993:F1997)</f>
        <v>6</v>
      </c>
      <c r="G1998" s="148">
        <f t="shared" ref="G1998:G2024" si="2399">SUM(B1998:F1998)</f>
        <v>38</v>
      </c>
      <c r="H1998" s="17">
        <f>SUM(H1993:H1997)</f>
        <v>6</v>
      </c>
      <c r="I1998" s="18">
        <f>SUM(I1993:I1997)</f>
        <v>7</v>
      </c>
      <c r="J1998" s="18">
        <f>SUM(J1993:J1997)</f>
        <v>8</v>
      </c>
      <c r="K1998" s="18">
        <f>SUM(K1993:K1997)</f>
        <v>11</v>
      </c>
      <c r="L1998" s="18">
        <f>SUM(L1993:L1997)</f>
        <v>8</v>
      </c>
      <c r="M1998" s="17">
        <f t="shared" ref="M1998:M2024" si="2400">SUM(H1998:L1998)</f>
        <v>40</v>
      </c>
      <c r="N1998" s="65">
        <f>SUM(N1993:N1997)</f>
        <v>5</v>
      </c>
      <c r="O1998" s="18">
        <f>SUM(O1993:O1997)</f>
        <v>7</v>
      </c>
      <c r="P1998" s="18">
        <f>SUM(P1993:P1997)</f>
        <v>9</v>
      </c>
      <c r="Q1998" s="18">
        <f>SUM(Q1993:Q1997)</f>
        <v>9</v>
      </c>
      <c r="R1998" s="70">
        <f>SUM(R1993:R1997)</f>
        <v>6</v>
      </c>
      <c r="S1998" s="49">
        <f t="shared" ref="S1998:S2024" si="2401">SUM(N1998:R1998)</f>
        <v>36</v>
      </c>
      <c r="T1998" s="74">
        <f>SUM(T1993:T1997)</f>
        <v>4</v>
      </c>
      <c r="U1998" s="18">
        <f>SUM(U1993:U1997)</f>
        <v>5</v>
      </c>
      <c r="V1998" s="18">
        <f>SUM(V1993:V1997)</f>
        <v>12</v>
      </c>
      <c r="W1998" s="18">
        <f>SUM(W1993:W1997)</f>
        <v>6</v>
      </c>
      <c r="X1998" s="70">
        <f>SUM(X1993:X1997)</f>
        <v>4</v>
      </c>
      <c r="Y1998" s="49">
        <f t="shared" ref="Y1998:Y2024" si="2402">SUM(T1998:X1998)</f>
        <v>31</v>
      </c>
      <c r="Z1998" s="33">
        <f t="shared" si="2375"/>
        <v>145</v>
      </c>
      <c r="AB1998" s="4" t="s">
        <v>12</v>
      </c>
      <c r="AC1998" s="17">
        <f>SUM(AC1993:AC1997)</f>
        <v>73</v>
      </c>
      <c r="AD1998" s="18">
        <f t="shared" ref="AD1998" si="2403">SUM(AD1993:AD1997)</f>
        <v>26</v>
      </c>
      <c r="AE1998" s="18">
        <f t="shared" ref="AE1998" si="2404">SUM(AE1993:AE1997)</f>
        <v>21</v>
      </c>
      <c r="AF1998" s="18">
        <f t="shared" ref="AF1998" si="2405">SUM(AF1993:AF1997)</f>
        <v>0</v>
      </c>
      <c r="AG1998" s="18">
        <f t="shared" ref="AG1998" si="2406">SUM(AG1993:AG1997)</f>
        <v>0</v>
      </c>
      <c r="AH1998" s="148">
        <f>SUM(AC1998:AG1998)</f>
        <v>120</v>
      </c>
      <c r="AI1998" s="17">
        <f>SUM(AI1993:AI1997)</f>
        <v>69</v>
      </c>
      <c r="AJ1998" s="18">
        <f t="shared" ref="AJ1998" si="2407">SUM(AJ1993:AJ1997)</f>
        <v>38</v>
      </c>
      <c r="AK1998" s="18">
        <f t="shared" ref="AK1998" si="2408">SUM(AK1993:AK1997)</f>
        <v>49</v>
      </c>
      <c r="AL1998" s="18">
        <f t="shared" ref="AL1998" si="2409">SUM(AL1993:AL1997)</f>
        <v>19</v>
      </c>
      <c r="AM1998" s="18">
        <f t="shared" ref="AM1998" si="2410">SUM(AM1993:AM1997)</f>
        <v>43</v>
      </c>
      <c r="AN1998" s="148">
        <f>SUM(AI1998:AM1998)</f>
        <v>218</v>
      </c>
      <c r="AO1998" s="17">
        <f>SUM(AO1993:AO1997)</f>
        <v>134</v>
      </c>
      <c r="AP1998" s="18">
        <f t="shared" ref="AP1998" si="2411">SUM(AP1993:AP1997)</f>
        <v>81</v>
      </c>
      <c r="AQ1998" s="18">
        <f t="shared" ref="AQ1998" si="2412">SUM(AQ1993:AQ1997)</f>
        <v>78</v>
      </c>
      <c r="AR1998" s="18">
        <f t="shared" ref="AR1998" si="2413">SUM(AR1993:AR1997)</f>
        <v>101</v>
      </c>
      <c r="AS1998" s="18">
        <f t="shared" ref="AS1998" si="2414">SUM(AS1993:AS1997)</f>
        <v>114</v>
      </c>
      <c r="AT1998" s="148">
        <f>SUM(AO1998:AS1998)</f>
        <v>508</v>
      </c>
      <c r="AU1998" s="17">
        <f>SUM(AU1993:AU1997)</f>
        <v>102</v>
      </c>
      <c r="AV1998" s="18">
        <f t="shared" ref="AV1998" si="2415">SUM(AV1993:AV1997)</f>
        <v>39</v>
      </c>
      <c r="AW1998" s="18">
        <f t="shared" ref="AW1998" si="2416">SUM(AW1993:AW1997)</f>
        <v>0</v>
      </c>
      <c r="AX1998" s="18">
        <f t="shared" ref="AX1998" si="2417">SUM(AX1993:AX1997)</f>
        <v>0</v>
      </c>
      <c r="AY1998" s="18">
        <f t="shared" ref="AY1998" si="2418">SUM(AY1993:AY1997)</f>
        <v>55</v>
      </c>
      <c r="AZ1998" s="148">
        <f>SUM(AU1998:AY1998)</f>
        <v>196</v>
      </c>
      <c r="BA1998" s="33">
        <f>AH1998+AN1998+AT1998+AZ1998</f>
        <v>1042</v>
      </c>
    </row>
    <row r="1999" spans="1:54" ht="14.25" x14ac:dyDescent="0.15">
      <c r="A1999" s="23" t="s">
        <v>699</v>
      </c>
      <c r="B1999" s="41"/>
      <c r="C1999" s="42"/>
      <c r="D1999" s="42"/>
      <c r="E1999" s="42"/>
      <c r="F1999" s="42"/>
      <c r="G1999" s="43">
        <f t="shared" si="2399"/>
        <v>0</v>
      </c>
      <c r="H1999" s="41"/>
      <c r="I1999" s="42"/>
      <c r="J1999" s="42"/>
      <c r="K1999" s="42"/>
      <c r="L1999" s="42"/>
      <c r="M1999" s="43">
        <f t="shared" si="2400"/>
        <v>0</v>
      </c>
      <c r="N1999" s="42"/>
      <c r="O1999" s="53">
        <v>1</v>
      </c>
      <c r="P1999" s="53"/>
      <c r="Q1999" s="53"/>
      <c r="R1999" s="72"/>
      <c r="S1999" s="24">
        <f t="shared" si="2401"/>
        <v>1</v>
      </c>
      <c r="T1999" s="42"/>
      <c r="U1999" s="53"/>
      <c r="V1999" s="53"/>
      <c r="W1999" s="53"/>
      <c r="X1999" s="72"/>
      <c r="Y1999" s="24">
        <f t="shared" si="2402"/>
        <v>0</v>
      </c>
      <c r="Z1999" s="24">
        <f t="shared" si="2375"/>
        <v>1</v>
      </c>
      <c r="AA1999" s="83">
        <v>45832</v>
      </c>
      <c r="AB1999" s="23" t="s">
        <v>126</v>
      </c>
      <c r="AC1999" s="14"/>
      <c r="AD1999" s="15"/>
      <c r="AE1999" s="15">
        <v>3</v>
      </c>
      <c r="AF1999" s="15"/>
      <c r="AG1999" s="15"/>
      <c r="AH1999" s="43">
        <f t="shared" ref="AH1999" si="2419">SUM(AC1999:AG1999)</f>
        <v>3</v>
      </c>
      <c r="AI1999" s="14"/>
      <c r="AJ1999" s="15">
        <v>3</v>
      </c>
      <c r="AK1999" s="15">
        <v>3</v>
      </c>
      <c r="AL1999" s="15">
        <v>3</v>
      </c>
      <c r="AM1999" s="15"/>
      <c r="AN1999" s="43">
        <f t="shared" ref="AN1999" si="2420">SUM(AI1999:AM1999)</f>
        <v>9</v>
      </c>
      <c r="AO1999" s="14"/>
      <c r="AP1999" s="55"/>
      <c r="AQ1999" s="55"/>
      <c r="AR1999" s="55"/>
      <c r="AS1999" s="67"/>
      <c r="AT1999" s="24">
        <f t="shared" ref="AT1999" si="2421">SUM(AO1999:AS1999)</f>
        <v>0</v>
      </c>
      <c r="AU1999" s="15"/>
      <c r="AV1999" s="55"/>
      <c r="AW1999" s="55"/>
      <c r="AX1999" s="55"/>
      <c r="AY1999" s="67"/>
      <c r="AZ1999" s="24">
        <f t="shared" ref="AZ1999" si="2422">SUM(AU1999:AY1999)</f>
        <v>0</v>
      </c>
      <c r="BA1999" s="24">
        <f t="shared" si="2389"/>
        <v>12</v>
      </c>
      <c r="BB1999" s="83">
        <v>45832</v>
      </c>
    </row>
    <row r="2000" spans="1:54" ht="14.25" x14ac:dyDescent="0.15">
      <c r="A2000" s="23" t="s">
        <v>699</v>
      </c>
      <c r="B2000" s="41"/>
      <c r="C2000" s="42"/>
      <c r="D2000" s="42"/>
      <c r="E2000" s="42"/>
      <c r="F2000" s="42"/>
      <c r="G2000" s="43">
        <f t="shared" si="2399"/>
        <v>0</v>
      </c>
      <c r="H2000" s="41"/>
      <c r="I2000" s="42"/>
      <c r="J2000" s="42"/>
      <c r="K2000" s="42">
        <v>1</v>
      </c>
      <c r="L2000" s="42"/>
      <c r="M2000" s="43">
        <f t="shared" si="2400"/>
        <v>1</v>
      </c>
      <c r="N2000" s="42"/>
      <c r="O2000" s="53"/>
      <c r="P2000" s="53"/>
      <c r="Q2000" s="53"/>
      <c r="R2000" s="72"/>
      <c r="S2000" s="24">
        <f t="shared" si="2401"/>
        <v>0</v>
      </c>
      <c r="T2000" s="42"/>
      <c r="U2000" s="53"/>
      <c r="V2000" s="53"/>
      <c r="W2000" s="53"/>
      <c r="X2000" s="72"/>
      <c r="Y2000" s="24">
        <f t="shared" si="2402"/>
        <v>0</v>
      </c>
      <c r="Z2000" s="24">
        <f t="shared" si="2375"/>
        <v>1</v>
      </c>
      <c r="AA2000" s="83">
        <v>45833</v>
      </c>
      <c r="AB2000" s="23" t="s">
        <v>126</v>
      </c>
      <c r="AC2000" s="41"/>
      <c r="AD2000" s="42">
        <v>3</v>
      </c>
      <c r="AE2000" s="42"/>
      <c r="AF2000" s="42"/>
      <c r="AG2000" s="42"/>
      <c r="AH2000" s="43">
        <f t="shared" ref="AH2000:AH2001" si="2423">SUM(AC2000:AG2000)</f>
        <v>3</v>
      </c>
      <c r="AI2000" s="41"/>
      <c r="AJ2000" s="42"/>
      <c r="AK2000" s="42"/>
      <c r="AL2000" s="42">
        <v>3</v>
      </c>
      <c r="AM2000" s="42"/>
      <c r="AN2000" s="43">
        <f t="shared" ref="AN2000:AN2001" si="2424">SUM(AI2000:AM2000)</f>
        <v>3</v>
      </c>
      <c r="AO2000" s="42"/>
      <c r="AP2000" s="53">
        <v>3</v>
      </c>
      <c r="AQ2000" s="53">
        <v>3</v>
      </c>
      <c r="AR2000" s="53">
        <v>3</v>
      </c>
      <c r="AS2000" s="72">
        <v>3</v>
      </c>
      <c r="AT2000" s="24">
        <f t="shared" ref="AT2000:AT2001" si="2425">SUM(AO2000:AS2000)</f>
        <v>12</v>
      </c>
      <c r="AU2000" s="42"/>
      <c r="AV2000" s="53"/>
      <c r="AW2000" s="53"/>
      <c r="AX2000" s="53"/>
      <c r="AY2000" s="72"/>
      <c r="AZ2000" s="24">
        <f t="shared" ref="AZ2000:AZ2001" si="2426">SUM(AU2000:AY2000)</f>
        <v>0</v>
      </c>
      <c r="BA2000" s="24">
        <f t="shared" si="2389"/>
        <v>18</v>
      </c>
      <c r="BB2000" s="83">
        <v>45843</v>
      </c>
    </row>
    <row r="2001" spans="1:54" ht="14.25" x14ac:dyDescent="0.15">
      <c r="A2001" s="23" t="s">
        <v>699</v>
      </c>
      <c r="B2001" s="41"/>
      <c r="C2001" s="42"/>
      <c r="D2001" s="42"/>
      <c r="E2001" s="42"/>
      <c r="F2001" s="42"/>
      <c r="G2001" s="43">
        <f t="shared" si="2399"/>
        <v>0</v>
      </c>
      <c r="H2001" s="41"/>
      <c r="I2001" s="42"/>
      <c r="J2001" s="42"/>
      <c r="K2001" s="42">
        <v>1</v>
      </c>
      <c r="L2001" s="42"/>
      <c r="M2001" s="43">
        <f t="shared" si="2400"/>
        <v>1</v>
      </c>
      <c r="N2001" s="42"/>
      <c r="O2001" s="53"/>
      <c r="P2001" s="53"/>
      <c r="Q2001" s="53"/>
      <c r="R2001" s="72"/>
      <c r="S2001" s="24">
        <f t="shared" si="2401"/>
        <v>0</v>
      </c>
      <c r="T2001" s="42"/>
      <c r="U2001" s="53"/>
      <c r="V2001" s="53"/>
      <c r="W2001" s="53"/>
      <c r="X2001" s="72"/>
      <c r="Y2001" s="24">
        <f t="shared" si="2402"/>
        <v>0</v>
      </c>
      <c r="Z2001" s="24">
        <f t="shared" si="2375"/>
        <v>1</v>
      </c>
      <c r="AA2001" s="83">
        <v>45834</v>
      </c>
      <c r="AB2001" s="23" t="s">
        <v>126</v>
      </c>
      <c r="AC2001" s="41"/>
      <c r="AD2001" s="42">
        <v>2</v>
      </c>
      <c r="AE2001" s="42">
        <v>2</v>
      </c>
      <c r="AF2001" s="42"/>
      <c r="AG2001" s="42"/>
      <c r="AH2001" s="43">
        <f t="shared" si="2423"/>
        <v>4</v>
      </c>
      <c r="AI2001" s="41">
        <v>2</v>
      </c>
      <c r="AJ2001" s="42">
        <v>2</v>
      </c>
      <c r="AK2001" s="42">
        <v>2</v>
      </c>
      <c r="AL2001" s="42">
        <v>5</v>
      </c>
      <c r="AM2001" s="42">
        <v>2</v>
      </c>
      <c r="AN2001" s="43">
        <f t="shared" si="2424"/>
        <v>13</v>
      </c>
      <c r="AO2001" s="42"/>
      <c r="AP2001" s="53"/>
      <c r="AQ2001" s="53"/>
      <c r="AR2001" s="53">
        <v>2</v>
      </c>
      <c r="AS2001" s="72"/>
      <c r="AT2001" s="24">
        <f t="shared" si="2425"/>
        <v>2</v>
      </c>
      <c r="AU2001" s="42"/>
      <c r="AV2001" s="53"/>
      <c r="AW2001" s="53"/>
      <c r="AX2001" s="53"/>
      <c r="AY2001" s="72"/>
      <c r="AZ2001" s="24">
        <f t="shared" si="2426"/>
        <v>0</v>
      </c>
      <c r="BA2001" s="24">
        <f t="shared" si="2389"/>
        <v>19</v>
      </c>
      <c r="BB2001" s="83">
        <v>45866</v>
      </c>
    </row>
    <row r="2002" spans="1:54" ht="14.25" x14ac:dyDescent="0.15">
      <c r="A2002" s="23" t="s">
        <v>699</v>
      </c>
      <c r="B2002" s="41">
        <v>1</v>
      </c>
      <c r="C2002" s="42">
        <v>1</v>
      </c>
      <c r="D2002" s="42"/>
      <c r="E2002" s="42"/>
      <c r="F2002" s="42"/>
      <c r="G2002" s="43">
        <f t="shared" si="2399"/>
        <v>2</v>
      </c>
      <c r="H2002" s="41"/>
      <c r="I2002" s="42"/>
      <c r="J2002" s="42"/>
      <c r="K2002" s="42"/>
      <c r="L2002" s="42"/>
      <c r="M2002" s="43">
        <f t="shared" si="2400"/>
        <v>0</v>
      </c>
      <c r="N2002" s="42"/>
      <c r="O2002" s="53"/>
      <c r="P2002" s="53">
        <v>1</v>
      </c>
      <c r="Q2002" s="53">
        <v>1</v>
      </c>
      <c r="R2002" s="72"/>
      <c r="S2002" s="24">
        <f t="shared" si="2401"/>
        <v>2</v>
      </c>
      <c r="T2002" s="42"/>
      <c r="U2002" s="53"/>
      <c r="V2002" s="53"/>
      <c r="W2002" s="53"/>
      <c r="X2002" s="72"/>
      <c r="Y2002" s="24">
        <f t="shared" si="2402"/>
        <v>0</v>
      </c>
      <c r="Z2002" s="24">
        <f t="shared" si="2375"/>
        <v>4</v>
      </c>
      <c r="AA2002" s="83">
        <v>45838</v>
      </c>
      <c r="AB2002" s="23"/>
      <c r="AC2002" s="41"/>
      <c r="AD2002" s="42"/>
      <c r="AE2002" s="42"/>
      <c r="AF2002" s="42"/>
      <c r="AG2002" s="42"/>
      <c r="AH2002" s="43">
        <f t="shared" si="2385"/>
        <v>0</v>
      </c>
      <c r="AI2002" s="41"/>
      <c r="AJ2002" s="42"/>
      <c r="AK2002" s="42"/>
      <c r="AL2002" s="42"/>
      <c r="AM2002" s="42"/>
      <c r="AN2002" s="43">
        <f t="shared" si="2386"/>
        <v>0</v>
      </c>
      <c r="AO2002" s="42"/>
      <c r="AP2002" s="53"/>
      <c r="AQ2002" s="53"/>
      <c r="AR2002" s="53"/>
      <c r="AS2002" s="72"/>
      <c r="AT2002" s="24">
        <f t="shared" si="2387"/>
        <v>0</v>
      </c>
      <c r="AU2002" s="42"/>
      <c r="AV2002" s="53"/>
      <c r="AW2002" s="53"/>
      <c r="AX2002" s="53"/>
      <c r="AY2002" s="72"/>
      <c r="AZ2002" s="24">
        <f t="shared" si="2388"/>
        <v>0</v>
      </c>
      <c r="BA2002" s="24">
        <f t="shared" si="2389"/>
        <v>0</v>
      </c>
      <c r="BB2002" s="128"/>
    </row>
    <row r="2003" spans="1:54" ht="14.25" x14ac:dyDescent="0.15">
      <c r="A2003" s="23" t="s">
        <v>699</v>
      </c>
      <c r="B2003" s="41"/>
      <c r="C2003" s="42">
        <v>1</v>
      </c>
      <c r="D2003" s="42"/>
      <c r="E2003" s="42"/>
      <c r="F2003" s="42"/>
      <c r="G2003" s="43">
        <f t="shared" si="2399"/>
        <v>1</v>
      </c>
      <c r="H2003" s="41"/>
      <c r="I2003" s="42"/>
      <c r="J2003" s="42"/>
      <c r="K2003" s="42"/>
      <c r="L2003" s="42"/>
      <c r="M2003" s="43">
        <f t="shared" si="2400"/>
        <v>0</v>
      </c>
      <c r="N2003" s="42"/>
      <c r="O2003" s="53"/>
      <c r="P2003" s="53"/>
      <c r="Q2003" s="53">
        <v>1</v>
      </c>
      <c r="R2003" s="72">
        <v>1</v>
      </c>
      <c r="S2003" s="24">
        <f t="shared" si="2401"/>
        <v>2</v>
      </c>
      <c r="T2003" s="42"/>
      <c r="U2003" s="53"/>
      <c r="V2003" s="53"/>
      <c r="W2003" s="53"/>
      <c r="X2003" s="72"/>
      <c r="Y2003" s="24">
        <f t="shared" si="2402"/>
        <v>0</v>
      </c>
      <c r="Z2003" s="24">
        <f t="shared" si="2375"/>
        <v>3</v>
      </c>
      <c r="AA2003" s="93">
        <v>45840</v>
      </c>
      <c r="AB2003" s="23"/>
      <c r="AC2003" s="41"/>
      <c r="AD2003" s="42"/>
      <c r="AE2003" s="42"/>
      <c r="AF2003" s="42"/>
      <c r="AG2003" s="42"/>
      <c r="AH2003" s="43">
        <f t="shared" si="2385"/>
        <v>0</v>
      </c>
      <c r="AI2003" s="41"/>
      <c r="AJ2003" s="42"/>
      <c r="AK2003" s="42"/>
      <c r="AL2003" s="42"/>
      <c r="AM2003" s="42"/>
      <c r="AN2003" s="43">
        <f t="shared" si="2386"/>
        <v>0</v>
      </c>
      <c r="AO2003" s="42"/>
      <c r="AP2003" s="53"/>
      <c r="AQ2003" s="53"/>
      <c r="AR2003" s="53"/>
      <c r="AS2003" s="72"/>
      <c r="AT2003" s="24">
        <f t="shared" si="2387"/>
        <v>0</v>
      </c>
      <c r="AU2003" s="42"/>
      <c r="AV2003" s="53"/>
      <c r="AW2003" s="53"/>
      <c r="AX2003" s="53"/>
      <c r="AY2003" s="72"/>
      <c r="AZ2003" s="24">
        <f t="shared" si="2388"/>
        <v>0</v>
      </c>
      <c r="BA2003" s="24">
        <f t="shared" si="2389"/>
        <v>0</v>
      </c>
      <c r="BB2003" s="128"/>
    </row>
    <row r="2004" spans="1:54" ht="14.25" x14ac:dyDescent="0.15">
      <c r="A2004" s="23" t="s">
        <v>699</v>
      </c>
      <c r="B2004" s="41"/>
      <c r="C2004" s="42"/>
      <c r="D2004" s="42"/>
      <c r="E2004" s="42"/>
      <c r="F2004" s="42"/>
      <c r="G2004" s="43">
        <f t="shared" si="2399"/>
        <v>0</v>
      </c>
      <c r="H2004" s="41"/>
      <c r="I2004" s="42"/>
      <c r="J2004" s="42"/>
      <c r="K2004" s="42"/>
      <c r="L2004" s="42"/>
      <c r="M2004" s="43">
        <f t="shared" si="2400"/>
        <v>0</v>
      </c>
      <c r="N2004" s="42"/>
      <c r="O2004" s="53"/>
      <c r="P2004" s="53"/>
      <c r="Q2004" s="53">
        <v>1</v>
      </c>
      <c r="R2004" s="72"/>
      <c r="S2004" s="24">
        <f t="shared" si="2401"/>
        <v>1</v>
      </c>
      <c r="T2004" s="42"/>
      <c r="U2004" s="53"/>
      <c r="V2004" s="53"/>
      <c r="W2004" s="53"/>
      <c r="X2004" s="72"/>
      <c r="Y2004" s="24">
        <f t="shared" si="2402"/>
        <v>0</v>
      </c>
      <c r="Z2004" s="24">
        <f t="shared" si="2375"/>
        <v>1</v>
      </c>
      <c r="AA2004" s="93">
        <v>45843</v>
      </c>
      <c r="AB2004" s="23"/>
      <c r="AC2004" s="41"/>
      <c r="AD2004" s="42"/>
      <c r="AE2004" s="42"/>
      <c r="AF2004" s="42"/>
      <c r="AG2004" s="42"/>
      <c r="AH2004" s="43">
        <f t="shared" si="2385"/>
        <v>0</v>
      </c>
      <c r="AI2004" s="41"/>
      <c r="AJ2004" s="42"/>
      <c r="AK2004" s="42"/>
      <c r="AL2004" s="42"/>
      <c r="AM2004" s="42"/>
      <c r="AN2004" s="43">
        <f t="shared" si="2386"/>
        <v>0</v>
      </c>
      <c r="AO2004" s="42"/>
      <c r="AP2004" s="53"/>
      <c r="AQ2004" s="53"/>
      <c r="AR2004" s="53"/>
      <c r="AS2004" s="72"/>
      <c r="AT2004" s="24">
        <f t="shared" si="2387"/>
        <v>0</v>
      </c>
      <c r="AU2004" s="42"/>
      <c r="AV2004" s="53"/>
      <c r="AW2004" s="53"/>
      <c r="AX2004" s="53"/>
      <c r="AY2004" s="72"/>
      <c r="AZ2004" s="24">
        <f t="shared" si="2388"/>
        <v>0</v>
      </c>
      <c r="BA2004" s="24">
        <f t="shared" si="2389"/>
        <v>0</v>
      </c>
      <c r="BB2004" s="128"/>
    </row>
    <row r="2005" spans="1:54" ht="14.25" x14ac:dyDescent="0.15">
      <c r="A2005" s="23" t="s">
        <v>699</v>
      </c>
      <c r="B2005" s="41"/>
      <c r="C2005" s="42">
        <v>1</v>
      </c>
      <c r="D2005" s="42"/>
      <c r="E2005" s="42"/>
      <c r="F2005" s="42"/>
      <c r="G2005" s="43">
        <f t="shared" si="2399"/>
        <v>1</v>
      </c>
      <c r="H2005" s="41"/>
      <c r="I2005" s="42"/>
      <c r="J2005" s="42">
        <v>2</v>
      </c>
      <c r="K2005" s="42"/>
      <c r="L2005" s="42"/>
      <c r="M2005" s="43">
        <f t="shared" si="2400"/>
        <v>2</v>
      </c>
      <c r="N2005" s="42"/>
      <c r="O2005" s="53"/>
      <c r="P2005" s="53"/>
      <c r="Q2005" s="53">
        <v>1</v>
      </c>
      <c r="R2005" s="72"/>
      <c r="S2005" s="24">
        <f t="shared" si="2401"/>
        <v>1</v>
      </c>
      <c r="T2005" s="42"/>
      <c r="U2005" s="53">
        <v>1</v>
      </c>
      <c r="V2005" s="53"/>
      <c r="W2005" s="53"/>
      <c r="X2005" s="72"/>
      <c r="Y2005" s="24">
        <f t="shared" si="2402"/>
        <v>1</v>
      </c>
      <c r="Z2005" s="24">
        <f t="shared" si="2375"/>
        <v>5</v>
      </c>
      <c r="AA2005" s="93">
        <v>45845</v>
      </c>
      <c r="AB2005" s="23"/>
      <c r="AC2005" s="41"/>
      <c r="AD2005" s="42"/>
      <c r="AE2005" s="42"/>
      <c r="AF2005" s="42"/>
      <c r="AG2005" s="42"/>
      <c r="AH2005" s="43">
        <f t="shared" si="2385"/>
        <v>0</v>
      </c>
      <c r="AI2005" s="41"/>
      <c r="AJ2005" s="42"/>
      <c r="AK2005" s="42"/>
      <c r="AL2005" s="42"/>
      <c r="AM2005" s="42"/>
      <c r="AN2005" s="43">
        <f t="shared" si="2386"/>
        <v>0</v>
      </c>
      <c r="AO2005" s="42"/>
      <c r="AP2005" s="53"/>
      <c r="AQ2005" s="53"/>
      <c r="AR2005" s="53"/>
      <c r="AS2005" s="72"/>
      <c r="AT2005" s="24">
        <f t="shared" si="2387"/>
        <v>0</v>
      </c>
      <c r="AU2005" s="42"/>
      <c r="AV2005" s="53"/>
      <c r="AW2005" s="53"/>
      <c r="AX2005" s="53"/>
      <c r="AY2005" s="72"/>
      <c r="AZ2005" s="24">
        <f t="shared" si="2388"/>
        <v>0</v>
      </c>
      <c r="BA2005" s="24">
        <f t="shared" si="2389"/>
        <v>0</v>
      </c>
    </row>
    <row r="2006" spans="1:54" ht="14.25" x14ac:dyDescent="0.15">
      <c r="A2006" s="23" t="s">
        <v>699</v>
      </c>
      <c r="B2006" s="41"/>
      <c r="C2006" s="42"/>
      <c r="D2006" s="42">
        <v>1</v>
      </c>
      <c r="E2006" s="42"/>
      <c r="F2006" s="42"/>
      <c r="G2006" s="43">
        <f t="shared" si="2399"/>
        <v>1</v>
      </c>
      <c r="H2006" s="41"/>
      <c r="I2006" s="42"/>
      <c r="J2006" s="42"/>
      <c r="K2006" s="42"/>
      <c r="L2006" s="42"/>
      <c r="M2006" s="43">
        <f t="shared" si="2400"/>
        <v>0</v>
      </c>
      <c r="N2006" s="42"/>
      <c r="O2006" s="53"/>
      <c r="P2006" s="53"/>
      <c r="Q2006" s="53"/>
      <c r="R2006" s="72"/>
      <c r="S2006" s="24">
        <f t="shared" si="2401"/>
        <v>0</v>
      </c>
      <c r="T2006" s="42"/>
      <c r="U2006" s="53"/>
      <c r="V2006" s="53"/>
      <c r="W2006" s="53"/>
      <c r="X2006" s="72"/>
      <c r="Y2006" s="24">
        <f t="shared" si="2402"/>
        <v>0</v>
      </c>
      <c r="Z2006" s="24">
        <f t="shared" si="2375"/>
        <v>1</v>
      </c>
      <c r="AA2006" s="93">
        <v>45847</v>
      </c>
      <c r="AB2006" s="23"/>
      <c r="AC2006" s="41"/>
      <c r="AD2006" s="42"/>
      <c r="AE2006" s="42"/>
      <c r="AF2006" s="42"/>
      <c r="AG2006" s="42"/>
      <c r="AH2006" s="43">
        <f t="shared" si="2385"/>
        <v>0</v>
      </c>
      <c r="AI2006" s="41"/>
      <c r="AJ2006" s="42"/>
      <c r="AK2006" s="42"/>
      <c r="AL2006" s="42"/>
      <c r="AM2006" s="42"/>
      <c r="AN2006" s="43">
        <f t="shared" si="2386"/>
        <v>0</v>
      </c>
      <c r="AO2006" s="42"/>
      <c r="AP2006" s="53"/>
      <c r="AQ2006" s="53"/>
      <c r="AR2006" s="53"/>
      <c r="AS2006" s="72"/>
      <c r="AT2006" s="24">
        <f t="shared" si="2387"/>
        <v>0</v>
      </c>
      <c r="AU2006" s="42"/>
      <c r="AV2006" s="53"/>
      <c r="AW2006" s="53"/>
      <c r="AX2006" s="53"/>
      <c r="AY2006" s="72"/>
      <c r="AZ2006" s="24">
        <f t="shared" si="2388"/>
        <v>0</v>
      </c>
      <c r="BA2006" s="24">
        <f t="shared" si="2389"/>
        <v>0</v>
      </c>
    </row>
    <row r="2007" spans="1:54" ht="14.25" x14ac:dyDescent="0.15">
      <c r="A2007" s="23" t="s">
        <v>699</v>
      </c>
      <c r="B2007" s="41"/>
      <c r="C2007" s="42"/>
      <c r="D2007" s="42">
        <v>1</v>
      </c>
      <c r="E2007" s="42"/>
      <c r="F2007" s="42"/>
      <c r="G2007" s="43">
        <f t="shared" si="2399"/>
        <v>1</v>
      </c>
      <c r="H2007" s="41"/>
      <c r="I2007" s="42">
        <v>1</v>
      </c>
      <c r="J2007" s="42"/>
      <c r="K2007" s="42"/>
      <c r="L2007" s="42">
        <v>1</v>
      </c>
      <c r="M2007" s="43">
        <f t="shared" si="2400"/>
        <v>2</v>
      </c>
      <c r="N2007" s="42"/>
      <c r="O2007" s="53"/>
      <c r="P2007" s="53"/>
      <c r="Q2007" s="53"/>
      <c r="R2007" s="72"/>
      <c r="S2007" s="24">
        <f t="shared" si="2401"/>
        <v>0</v>
      </c>
      <c r="T2007" s="42"/>
      <c r="U2007" s="53"/>
      <c r="V2007" s="53"/>
      <c r="W2007" s="53"/>
      <c r="X2007" s="72"/>
      <c r="Y2007" s="24">
        <f t="shared" si="2402"/>
        <v>0</v>
      </c>
      <c r="Z2007" s="24">
        <f t="shared" si="2375"/>
        <v>3</v>
      </c>
      <c r="AA2007" s="93">
        <v>45848</v>
      </c>
      <c r="AB2007" s="23"/>
      <c r="AC2007" s="41"/>
      <c r="AD2007" s="42"/>
      <c r="AE2007" s="42"/>
      <c r="AF2007" s="42"/>
      <c r="AG2007" s="42"/>
      <c r="AH2007" s="43">
        <f t="shared" si="2385"/>
        <v>0</v>
      </c>
      <c r="AI2007" s="41"/>
      <c r="AJ2007" s="42"/>
      <c r="AK2007" s="42"/>
      <c r="AL2007" s="42"/>
      <c r="AM2007" s="42"/>
      <c r="AN2007" s="43">
        <f t="shared" si="2386"/>
        <v>0</v>
      </c>
      <c r="AO2007" s="42"/>
      <c r="AP2007" s="53"/>
      <c r="AQ2007" s="53"/>
      <c r="AR2007" s="53"/>
      <c r="AS2007" s="72"/>
      <c r="AT2007" s="24">
        <f t="shared" si="2387"/>
        <v>0</v>
      </c>
      <c r="AU2007" s="42"/>
      <c r="AV2007" s="53"/>
      <c r="AW2007" s="53"/>
      <c r="AX2007" s="53"/>
      <c r="AY2007" s="72"/>
      <c r="AZ2007" s="24">
        <f t="shared" si="2388"/>
        <v>0</v>
      </c>
      <c r="BA2007" s="24">
        <f t="shared" si="2389"/>
        <v>0</v>
      </c>
    </row>
    <row r="2008" spans="1:54" ht="14.25" x14ac:dyDescent="0.15">
      <c r="A2008" s="23" t="s">
        <v>699</v>
      </c>
      <c r="B2008" s="41"/>
      <c r="C2008" s="42"/>
      <c r="D2008" s="42">
        <v>1</v>
      </c>
      <c r="E2008" s="42"/>
      <c r="F2008" s="42"/>
      <c r="G2008" s="43">
        <f t="shared" si="2399"/>
        <v>1</v>
      </c>
      <c r="H2008" s="41"/>
      <c r="I2008" s="42"/>
      <c r="J2008" s="42"/>
      <c r="K2008" s="42"/>
      <c r="L2008" s="42">
        <v>1</v>
      </c>
      <c r="M2008" s="43">
        <f t="shared" si="2400"/>
        <v>1</v>
      </c>
      <c r="N2008" s="42"/>
      <c r="O2008" s="53">
        <v>1</v>
      </c>
      <c r="P2008" s="53"/>
      <c r="Q2008" s="53"/>
      <c r="R2008" s="72"/>
      <c r="S2008" s="24">
        <f t="shared" si="2401"/>
        <v>1</v>
      </c>
      <c r="T2008" s="42"/>
      <c r="U2008" s="53">
        <v>-1</v>
      </c>
      <c r="V2008" s="53"/>
      <c r="W2008" s="53"/>
      <c r="X2008" s="72"/>
      <c r="Y2008" s="24">
        <f t="shared" si="2402"/>
        <v>-1</v>
      </c>
      <c r="Z2008" s="24">
        <f t="shared" si="2375"/>
        <v>2</v>
      </c>
      <c r="AA2008" s="93">
        <v>45852</v>
      </c>
      <c r="AB2008" s="23"/>
      <c r="AC2008" s="41"/>
      <c r="AD2008" s="42"/>
      <c r="AE2008" s="42"/>
      <c r="AF2008" s="42"/>
      <c r="AG2008" s="42"/>
      <c r="AH2008" s="43">
        <f t="shared" si="2385"/>
        <v>0</v>
      </c>
      <c r="AI2008" s="41"/>
      <c r="AJ2008" s="42"/>
      <c r="AK2008" s="42"/>
      <c r="AL2008" s="42"/>
      <c r="AM2008" s="42"/>
      <c r="AN2008" s="43">
        <f t="shared" si="2386"/>
        <v>0</v>
      </c>
      <c r="AO2008" s="42"/>
      <c r="AP2008" s="53"/>
      <c r="AQ2008" s="53"/>
      <c r="AR2008" s="53"/>
      <c r="AS2008" s="72"/>
      <c r="AT2008" s="24">
        <f t="shared" si="2387"/>
        <v>0</v>
      </c>
      <c r="AU2008" s="42"/>
      <c r="AV2008" s="53"/>
      <c r="AW2008" s="53"/>
      <c r="AX2008" s="53"/>
      <c r="AY2008" s="72"/>
      <c r="AZ2008" s="24">
        <f t="shared" si="2388"/>
        <v>0</v>
      </c>
      <c r="BA2008" s="24">
        <f t="shared" si="2389"/>
        <v>0</v>
      </c>
    </row>
    <row r="2009" spans="1:54" ht="14.25" x14ac:dyDescent="0.15">
      <c r="A2009" s="23" t="s">
        <v>699</v>
      </c>
      <c r="B2009" s="41"/>
      <c r="C2009" s="42"/>
      <c r="D2009" s="42"/>
      <c r="E2009" s="42">
        <v>1</v>
      </c>
      <c r="F2009" s="42"/>
      <c r="G2009" s="43">
        <f t="shared" si="2399"/>
        <v>1</v>
      </c>
      <c r="H2009" s="41">
        <v>1</v>
      </c>
      <c r="I2009" s="42"/>
      <c r="J2009" s="42"/>
      <c r="K2009" s="42">
        <v>1</v>
      </c>
      <c r="L2009" s="42"/>
      <c r="M2009" s="43">
        <f t="shared" si="2400"/>
        <v>2</v>
      </c>
      <c r="N2009" s="42"/>
      <c r="O2009" s="53"/>
      <c r="P2009" s="53"/>
      <c r="Q2009" s="53"/>
      <c r="R2009" s="72"/>
      <c r="S2009" s="24">
        <f t="shared" si="2401"/>
        <v>0</v>
      </c>
      <c r="T2009" s="42"/>
      <c r="U2009" s="53"/>
      <c r="V2009" s="53"/>
      <c r="W2009" s="53"/>
      <c r="X2009" s="72"/>
      <c r="Y2009" s="24">
        <f t="shared" si="2402"/>
        <v>0</v>
      </c>
      <c r="Z2009" s="24">
        <f t="shared" si="2375"/>
        <v>3</v>
      </c>
      <c r="AA2009" s="93">
        <v>45853</v>
      </c>
      <c r="AB2009" s="23"/>
      <c r="AC2009" s="41"/>
      <c r="AD2009" s="42"/>
      <c r="AE2009" s="42"/>
      <c r="AF2009" s="42"/>
      <c r="AG2009" s="42"/>
      <c r="AH2009" s="43">
        <f t="shared" si="2385"/>
        <v>0</v>
      </c>
      <c r="AI2009" s="41"/>
      <c r="AJ2009" s="42"/>
      <c r="AK2009" s="42"/>
      <c r="AL2009" s="42"/>
      <c r="AM2009" s="42"/>
      <c r="AN2009" s="43">
        <f t="shared" si="2386"/>
        <v>0</v>
      </c>
      <c r="AO2009" s="42"/>
      <c r="AP2009" s="53"/>
      <c r="AQ2009" s="53"/>
      <c r="AR2009" s="53"/>
      <c r="AS2009" s="72"/>
      <c r="AT2009" s="24">
        <f t="shared" si="2387"/>
        <v>0</v>
      </c>
      <c r="AU2009" s="42"/>
      <c r="AV2009" s="53"/>
      <c r="AW2009" s="53"/>
      <c r="AX2009" s="53"/>
      <c r="AY2009" s="72"/>
      <c r="AZ2009" s="24">
        <f t="shared" si="2388"/>
        <v>0</v>
      </c>
      <c r="BA2009" s="24">
        <f t="shared" si="2389"/>
        <v>0</v>
      </c>
    </row>
    <row r="2010" spans="1:54" ht="14.25" x14ac:dyDescent="0.15">
      <c r="A2010" s="23" t="s">
        <v>699</v>
      </c>
      <c r="B2010" s="41"/>
      <c r="C2010" s="42"/>
      <c r="D2010" s="42"/>
      <c r="E2010" s="42"/>
      <c r="F2010" s="42"/>
      <c r="G2010" s="43">
        <f t="shared" si="2399"/>
        <v>0</v>
      </c>
      <c r="H2010" s="41"/>
      <c r="I2010" s="42">
        <v>1</v>
      </c>
      <c r="J2010" s="42"/>
      <c r="K2010" s="42"/>
      <c r="L2010" s="42"/>
      <c r="M2010" s="43">
        <f t="shared" si="2400"/>
        <v>1</v>
      </c>
      <c r="N2010" s="42"/>
      <c r="O2010" s="53"/>
      <c r="P2010" s="53"/>
      <c r="Q2010" s="53"/>
      <c r="R2010" s="72"/>
      <c r="S2010" s="24">
        <f t="shared" si="2401"/>
        <v>0</v>
      </c>
      <c r="T2010" s="42"/>
      <c r="U2010" s="53"/>
      <c r="V2010" s="53"/>
      <c r="W2010" s="53"/>
      <c r="X2010" s="72"/>
      <c r="Y2010" s="24">
        <f t="shared" si="2402"/>
        <v>0</v>
      </c>
      <c r="Z2010" s="24">
        <f t="shared" si="2375"/>
        <v>1</v>
      </c>
      <c r="AA2010" s="93">
        <v>45854</v>
      </c>
      <c r="AB2010" s="23"/>
      <c r="AC2010" s="41"/>
      <c r="AD2010" s="42"/>
      <c r="AE2010" s="42"/>
      <c r="AF2010" s="42"/>
      <c r="AG2010" s="42"/>
      <c r="AH2010" s="43">
        <f t="shared" si="2385"/>
        <v>0</v>
      </c>
      <c r="AI2010" s="41"/>
      <c r="AJ2010" s="42"/>
      <c r="AK2010" s="42"/>
      <c r="AL2010" s="42"/>
      <c r="AM2010" s="42"/>
      <c r="AN2010" s="43">
        <f t="shared" si="2386"/>
        <v>0</v>
      </c>
      <c r="AO2010" s="42"/>
      <c r="AP2010" s="53"/>
      <c r="AQ2010" s="53"/>
      <c r="AR2010" s="53"/>
      <c r="AS2010" s="72"/>
      <c r="AT2010" s="24">
        <f t="shared" si="2387"/>
        <v>0</v>
      </c>
      <c r="AU2010" s="42"/>
      <c r="AV2010" s="53"/>
      <c r="AW2010" s="53"/>
      <c r="AX2010" s="53"/>
      <c r="AY2010" s="72"/>
      <c r="AZ2010" s="24">
        <f t="shared" si="2388"/>
        <v>0</v>
      </c>
      <c r="BA2010" s="24">
        <f t="shared" si="2389"/>
        <v>0</v>
      </c>
    </row>
    <row r="2011" spans="1:54" ht="14.25" x14ac:dyDescent="0.15">
      <c r="A2011" s="23" t="s">
        <v>699</v>
      </c>
      <c r="B2011" s="41"/>
      <c r="C2011" s="42">
        <v>1</v>
      </c>
      <c r="D2011" s="42"/>
      <c r="E2011" s="42"/>
      <c r="F2011" s="42"/>
      <c r="G2011" s="43">
        <f t="shared" si="2399"/>
        <v>1</v>
      </c>
      <c r="H2011" s="41"/>
      <c r="I2011" s="42"/>
      <c r="J2011" s="42">
        <v>1</v>
      </c>
      <c r="K2011" s="42"/>
      <c r="L2011" s="42"/>
      <c r="M2011" s="43">
        <f t="shared" si="2400"/>
        <v>1</v>
      </c>
      <c r="N2011" s="42"/>
      <c r="O2011" s="53"/>
      <c r="P2011" s="53"/>
      <c r="Q2011" s="53"/>
      <c r="R2011" s="72"/>
      <c r="S2011" s="24">
        <f t="shared" si="2401"/>
        <v>0</v>
      </c>
      <c r="T2011" s="42"/>
      <c r="U2011" s="53"/>
      <c r="V2011" s="53"/>
      <c r="W2011" s="53"/>
      <c r="X2011" s="72"/>
      <c r="Y2011" s="24">
        <f t="shared" si="2402"/>
        <v>0</v>
      </c>
      <c r="Z2011" s="24">
        <f t="shared" si="2375"/>
        <v>2</v>
      </c>
      <c r="AA2011" s="93">
        <v>45856</v>
      </c>
      <c r="AB2011" s="23"/>
      <c r="AC2011" s="41"/>
      <c r="AD2011" s="42"/>
      <c r="AE2011" s="42"/>
      <c r="AF2011" s="42"/>
      <c r="AG2011" s="42"/>
      <c r="AH2011" s="43">
        <f t="shared" si="2385"/>
        <v>0</v>
      </c>
      <c r="AI2011" s="41"/>
      <c r="AJ2011" s="42"/>
      <c r="AK2011" s="42"/>
      <c r="AL2011" s="42"/>
      <c r="AM2011" s="42"/>
      <c r="AN2011" s="43">
        <f t="shared" si="2386"/>
        <v>0</v>
      </c>
      <c r="AO2011" s="42"/>
      <c r="AP2011" s="53"/>
      <c r="AQ2011" s="53"/>
      <c r="AR2011" s="53"/>
      <c r="AS2011" s="72"/>
      <c r="AT2011" s="24">
        <f t="shared" si="2387"/>
        <v>0</v>
      </c>
      <c r="AU2011" s="42"/>
      <c r="AV2011" s="53"/>
      <c r="AW2011" s="53"/>
      <c r="AX2011" s="53"/>
      <c r="AY2011" s="72"/>
      <c r="AZ2011" s="24">
        <f t="shared" si="2388"/>
        <v>0</v>
      </c>
      <c r="BA2011" s="24">
        <f t="shared" si="2389"/>
        <v>0</v>
      </c>
    </row>
    <row r="2012" spans="1:54" ht="14.25" x14ac:dyDescent="0.15">
      <c r="A2012" s="23" t="s">
        <v>699</v>
      </c>
      <c r="B2012" s="41"/>
      <c r="C2012" s="42"/>
      <c r="D2012" s="42"/>
      <c r="E2012" s="42">
        <v>1</v>
      </c>
      <c r="F2012" s="42">
        <v>1</v>
      </c>
      <c r="G2012" s="43">
        <f t="shared" si="2399"/>
        <v>2</v>
      </c>
      <c r="H2012" s="41">
        <v>1</v>
      </c>
      <c r="I2012" s="42"/>
      <c r="J2012" s="42"/>
      <c r="K2012" s="42">
        <v>1</v>
      </c>
      <c r="L2012" s="42">
        <v>2</v>
      </c>
      <c r="M2012" s="43">
        <f t="shared" si="2400"/>
        <v>4</v>
      </c>
      <c r="N2012" s="42"/>
      <c r="O2012" s="53"/>
      <c r="P2012" s="53"/>
      <c r="Q2012" s="53"/>
      <c r="R2012" s="72"/>
      <c r="S2012" s="24">
        <f t="shared" si="2401"/>
        <v>0</v>
      </c>
      <c r="T2012" s="42"/>
      <c r="U2012" s="53"/>
      <c r="V2012" s="53">
        <v>1</v>
      </c>
      <c r="W2012" s="53">
        <v>1</v>
      </c>
      <c r="X2012" s="72"/>
      <c r="Y2012" s="24">
        <f t="shared" si="2402"/>
        <v>2</v>
      </c>
      <c r="Z2012" s="24">
        <f t="shared" si="2375"/>
        <v>8</v>
      </c>
      <c r="AA2012" s="93">
        <v>45860</v>
      </c>
      <c r="AB2012" s="23"/>
      <c r="AC2012" s="41"/>
      <c r="AD2012" s="42"/>
      <c r="AE2012" s="42"/>
      <c r="AF2012" s="42"/>
      <c r="AG2012" s="42"/>
      <c r="AH2012" s="43">
        <f t="shared" si="2385"/>
        <v>0</v>
      </c>
      <c r="AI2012" s="41"/>
      <c r="AJ2012" s="42"/>
      <c r="AK2012" s="42"/>
      <c r="AL2012" s="42"/>
      <c r="AM2012" s="42"/>
      <c r="AN2012" s="43">
        <f t="shared" si="2386"/>
        <v>0</v>
      </c>
      <c r="AO2012" s="42"/>
      <c r="AP2012" s="53"/>
      <c r="AQ2012" s="53"/>
      <c r="AR2012" s="53"/>
      <c r="AS2012" s="72"/>
      <c r="AT2012" s="24">
        <f t="shared" si="2387"/>
        <v>0</v>
      </c>
      <c r="AU2012" s="42"/>
      <c r="AV2012" s="53"/>
      <c r="AW2012" s="53"/>
      <c r="AX2012" s="53"/>
      <c r="AY2012" s="72"/>
      <c r="AZ2012" s="24">
        <f t="shared" si="2388"/>
        <v>0</v>
      </c>
      <c r="BA2012" s="24">
        <f t="shared" si="2389"/>
        <v>0</v>
      </c>
    </row>
    <row r="2013" spans="1:54" ht="14.25" x14ac:dyDescent="0.15">
      <c r="A2013" s="23" t="s">
        <v>699</v>
      </c>
      <c r="B2013" s="41"/>
      <c r="C2013" s="42"/>
      <c r="D2013" s="42"/>
      <c r="E2013" s="42"/>
      <c r="F2013" s="42"/>
      <c r="G2013" s="43">
        <f t="shared" si="2399"/>
        <v>0</v>
      </c>
      <c r="H2013" s="41"/>
      <c r="I2013" s="42"/>
      <c r="J2013" s="42"/>
      <c r="K2013" s="42">
        <v>1</v>
      </c>
      <c r="L2013" s="42"/>
      <c r="M2013" s="43">
        <f t="shared" si="2400"/>
        <v>1</v>
      </c>
      <c r="N2013" s="42"/>
      <c r="O2013" s="53"/>
      <c r="P2013" s="53"/>
      <c r="Q2013" s="53"/>
      <c r="R2013" s="72"/>
      <c r="S2013" s="24">
        <f t="shared" si="2401"/>
        <v>0</v>
      </c>
      <c r="T2013" s="42"/>
      <c r="U2013" s="53"/>
      <c r="V2013" s="53"/>
      <c r="W2013" s="53"/>
      <c r="X2013" s="72"/>
      <c r="Y2013" s="24">
        <f t="shared" si="2402"/>
        <v>0</v>
      </c>
      <c r="Z2013" s="24">
        <f t="shared" si="2375"/>
        <v>1</v>
      </c>
      <c r="AA2013" s="93">
        <v>45862</v>
      </c>
      <c r="AB2013" s="23"/>
      <c r="AC2013" s="41"/>
      <c r="AD2013" s="42"/>
      <c r="AE2013" s="42"/>
      <c r="AF2013" s="42"/>
      <c r="AG2013" s="42"/>
      <c r="AH2013" s="43">
        <f t="shared" si="2385"/>
        <v>0</v>
      </c>
      <c r="AI2013" s="41"/>
      <c r="AJ2013" s="42"/>
      <c r="AK2013" s="42"/>
      <c r="AL2013" s="42"/>
      <c r="AM2013" s="42"/>
      <c r="AN2013" s="43">
        <f t="shared" si="2386"/>
        <v>0</v>
      </c>
      <c r="AO2013" s="42"/>
      <c r="AP2013" s="53"/>
      <c r="AQ2013" s="53"/>
      <c r="AR2013" s="53"/>
      <c r="AS2013" s="72"/>
      <c r="AT2013" s="24">
        <f t="shared" si="2387"/>
        <v>0</v>
      </c>
      <c r="AU2013" s="42"/>
      <c r="AV2013" s="53"/>
      <c r="AW2013" s="53"/>
      <c r="AX2013" s="53"/>
      <c r="AY2013" s="72"/>
      <c r="AZ2013" s="24">
        <f t="shared" si="2388"/>
        <v>0</v>
      </c>
      <c r="BA2013" s="24">
        <f t="shared" si="2389"/>
        <v>0</v>
      </c>
    </row>
    <row r="2014" spans="1:54" ht="14.25" x14ac:dyDescent="0.15">
      <c r="A2014" s="23" t="s">
        <v>699</v>
      </c>
      <c r="B2014" s="41"/>
      <c r="C2014" s="42"/>
      <c r="D2014" s="42"/>
      <c r="E2014" s="42"/>
      <c r="F2014" s="42">
        <v>-1</v>
      </c>
      <c r="G2014" s="43">
        <f t="shared" si="2399"/>
        <v>-1</v>
      </c>
      <c r="H2014" s="41"/>
      <c r="I2014" s="42"/>
      <c r="J2014" s="42"/>
      <c r="K2014" s="42">
        <v>1</v>
      </c>
      <c r="L2014" s="42"/>
      <c r="M2014" s="43">
        <f t="shared" si="2400"/>
        <v>1</v>
      </c>
      <c r="N2014" s="42"/>
      <c r="O2014" s="53"/>
      <c r="P2014" s="53"/>
      <c r="Q2014" s="53"/>
      <c r="R2014" s="72"/>
      <c r="S2014" s="24">
        <f t="shared" si="2401"/>
        <v>0</v>
      </c>
      <c r="T2014" s="42"/>
      <c r="U2014" s="53"/>
      <c r="V2014" s="53"/>
      <c r="W2014" s="53"/>
      <c r="X2014" s="72"/>
      <c r="Y2014" s="24">
        <f t="shared" si="2402"/>
        <v>0</v>
      </c>
      <c r="Z2014" s="24">
        <f t="shared" si="2375"/>
        <v>0</v>
      </c>
      <c r="AA2014" s="93">
        <v>45863</v>
      </c>
      <c r="AB2014" s="23"/>
      <c r="AC2014" s="41"/>
      <c r="AD2014" s="42"/>
      <c r="AE2014" s="42"/>
      <c r="AF2014" s="42"/>
      <c r="AG2014" s="42"/>
      <c r="AH2014" s="43">
        <f t="shared" si="2385"/>
        <v>0</v>
      </c>
      <c r="AI2014" s="41"/>
      <c r="AJ2014" s="42"/>
      <c r="AK2014" s="42"/>
      <c r="AL2014" s="42"/>
      <c r="AM2014" s="42"/>
      <c r="AN2014" s="43">
        <f t="shared" si="2386"/>
        <v>0</v>
      </c>
      <c r="AO2014" s="42"/>
      <c r="AP2014" s="53"/>
      <c r="AQ2014" s="53"/>
      <c r="AR2014" s="53"/>
      <c r="AS2014" s="72"/>
      <c r="AT2014" s="24">
        <f t="shared" si="2387"/>
        <v>0</v>
      </c>
      <c r="AU2014" s="42"/>
      <c r="AV2014" s="53"/>
      <c r="AW2014" s="53"/>
      <c r="AX2014" s="53"/>
      <c r="AY2014" s="72"/>
      <c r="AZ2014" s="24">
        <f t="shared" si="2388"/>
        <v>0</v>
      </c>
      <c r="BA2014" s="24">
        <f t="shared" si="2389"/>
        <v>0</v>
      </c>
    </row>
    <row r="2015" spans="1:54" ht="14.25" x14ac:dyDescent="0.15">
      <c r="A2015" s="23" t="s">
        <v>699</v>
      </c>
      <c r="B2015" s="41"/>
      <c r="C2015" s="42"/>
      <c r="D2015" s="42"/>
      <c r="E2015" s="42"/>
      <c r="F2015" s="42">
        <v>1</v>
      </c>
      <c r="G2015" s="43">
        <f t="shared" si="2399"/>
        <v>1</v>
      </c>
      <c r="H2015" s="41"/>
      <c r="I2015" s="42"/>
      <c r="J2015" s="42">
        <v>1</v>
      </c>
      <c r="K2015" s="42"/>
      <c r="L2015" s="42"/>
      <c r="M2015" s="43">
        <f t="shared" si="2400"/>
        <v>1</v>
      </c>
      <c r="N2015" s="42"/>
      <c r="O2015" s="53"/>
      <c r="P2015" s="53"/>
      <c r="Q2015" s="53"/>
      <c r="R2015" s="72">
        <v>1</v>
      </c>
      <c r="S2015" s="24">
        <f t="shared" si="2401"/>
        <v>1</v>
      </c>
      <c r="T2015" s="42"/>
      <c r="U2015" s="53"/>
      <c r="V2015" s="53"/>
      <c r="W2015" s="53"/>
      <c r="X2015" s="72">
        <v>1</v>
      </c>
      <c r="Y2015" s="24">
        <f t="shared" si="2402"/>
        <v>1</v>
      </c>
      <c r="Z2015" s="24">
        <f t="shared" si="2375"/>
        <v>4</v>
      </c>
      <c r="AA2015" s="93">
        <v>45866</v>
      </c>
      <c r="AB2015" s="23"/>
      <c r="AC2015" s="41"/>
      <c r="AD2015" s="42"/>
      <c r="AE2015" s="42"/>
      <c r="AF2015" s="42"/>
      <c r="AG2015" s="42"/>
      <c r="AH2015" s="43">
        <f t="shared" si="2385"/>
        <v>0</v>
      </c>
      <c r="AI2015" s="41"/>
      <c r="AJ2015" s="42"/>
      <c r="AK2015" s="42"/>
      <c r="AL2015" s="42"/>
      <c r="AM2015" s="42"/>
      <c r="AN2015" s="43">
        <f t="shared" si="2386"/>
        <v>0</v>
      </c>
      <c r="AO2015" s="42"/>
      <c r="AP2015" s="53"/>
      <c r="AQ2015" s="53"/>
      <c r="AR2015" s="53"/>
      <c r="AS2015" s="72"/>
      <c r="AT2015" s="24">
        <f t="shared" si="2387"/>
        <v>0</v>
      </c>
      <c r="AU2015" s="42"/>
      <c r="AV2015" s="53"/>
      <c r="AW2015" s="53"/>
      <c r="AX2015" s="53"/>
      <c r="AY2015" s="72"/>
      <c r="AZ2015" s="24">
        <f t="shared" si="2388"/>
        <v>0</v>
      </c>
      <c r="BA2015" s="24">
        <f t="shared" si="2389"/>
        <v>0</v>
      </c>
    </row>
    <row r="2016" spans="1:54" ht="14.25" x14ac:dyDescent="0.15">
      <c r="A2016" s="23" t="s">
        <v>699</v>
      </c>
      <c r="B2016" s="41">
        <v>1</v>
      </c>
      <c r="C2016" s="42"/>
      <c r="D2016" s="42"/>
      <c r="E2016" s="42"/>
      <c r="F2016" s="42"/>
      <c r="G2016" s="43">
        <f t="shared" si="2399"/>
        <v>1</v>
      </c>
      <c r="H2016" s="41"/>
      <c r="I2016" s="42"/>
      <c r="J2016" s="42"/>
      <c r="K2016" s="42"/>
      <c r="L2016" s="42"/>
      <c r="M2016" s="43">
        <f t="shared" si="2400"/>
        <v>0</v>
      </c>
      <c r="N2016" s="42"/>
      <c r="O2016" s="53"/>
      <c r="P2016" s="53"/>
      <c r="Q2016" s="53"/>
      <c r="R2016" s="72"/>
      <c r="S2016" s="24">
        <f t="shared" si="2401"/>
        <v>0</v>
      </c>
      <c r="T2016" s="42"/>
      <c r="U2016" s="53"/>
      <c r="V2016" s="53"/>
      <c r="W2016" s="53"/>
      <c r="X2016" s="72"/>
      <c r="Y2016" s="24">
        <f t="shared" si="2402"/>
        <v>0</v>
      </c>
      <c r="Z2016" s="24">
        <f t="shared" si="2375"/>
        <v>1</v>
      </c>
      <c r="AA2016" s="93">
        <v>45867</v>
      </c>
      <c r="AB2016" s="23"/>
      <c r="AC2016" s="41"/>
      <c r="AD2016" s="42"/>
      <c r="AE2016" s="42"/>
      <c r="AF2016" s="42"/>
      <c r="AG2016" s="42"/>
      <c r="AH2016" s="43">
        <f t="shared" si="2385"/>
        <v>0</v>
      </c>
      <c r="AI2016" s="41"/>
      <c r="AJ2016" s="42"/>
      <c r="AK2016" s="42"/>
      <c r="AL2016" s="42"/>
      <c r="AM2016" s="42"/>
      <c r="AN2016" s="43">
        <f t="shared" si="2386"/>
        <v>0</v>
      </c>
      <c r="AO2016" s="42"/>
      <c r="AP2016" s="53"/>
      <c r="AQ2016" s="53"/>
      <c r="AR2016" s="53"/>
      <c r="AS2016" s="72"/>
      <c r="AT2016" s="24">
        <f t="shared" si="2387"/>
        <v>0</v>
      </c>
      <c r="AU2016" s="42"/>
      <c r="AV2016" s="53"/>
      <c r="AW2016" s="53"/>
      <c r="AX2016" s="53"/>
      <c r="AY2016" s="72"/>
      <c r="AZ2016" s="24">
        <f t="shared" si="2388"/>
        <v>0</v>
      </c>
      <c r="BA2016" s="24">
        <f t="shared" si="2389"/>
        <v>0</v>
      </c>
    </row>
    <row r="2017" spans="1:53" ht="14.25" x14ac:dyDescent="0.15">
      <c r="A2017" s="23" t="s">
        <v>704</v>
      </c>
      <c r="B2017" s="41"/>
      <c r="C2017" s="42"/>
      <c r="D2017" s="42">
        <v>1</v>
      </c>
      <c r="E2017" s="42"/>
      <c r="F2017" s="42"/>
      <c r="G2017" s="43">
        <f t="shared" si="2399"/>
        <v>1</v>
      </c>
      <c r="H2017" s="41"/>
      <c r="I2017" s="42"/>
      <c r="J2017" s="42"/>
      <c r="K2017" s="42"/>
      <c r="L2017" s="42"/>
      <c r="M2017" s="43">
        <f t="shared" si="2400"/>
        <v>0</v>
      </c>
      <c r="N2017" s="42"/>
      <c r="O2017" s="53"/>
      <c r="P2017" s="53"/>
      <c r="Q2017" s="53"/>
      <c r="R2017" s="72"/>
      <c r="S2017" s="24">
        <f t="shared" si="2401"/>
        <v>0</v>
      </c>
      <c r="T2017" s="42"/>
      <c r="U2017" s="53"/>
      <c r="V2017" s="53"/>
      <c r="W2017" s="53"/>
      <c r="X2017" s="72"/>
      <c r="Y2017" s="24">
        <f t="shared" si="2402"/>
        <v>0</v>
      </c>
      <c r="Z2017" s="24">
        <f t="shared" si="2375"/>
        <v>1</v>
      </c>
      <c r="AA2017" s="83">
        <v>45869</v>
      </c>
      <c r="AB2017" s="23"/>
      <c r="AC2017" s="41"/>
      <c r="AD2017" s="42"/>
      <c r="AE2017" s="42"/>
      <c r="AF2017" s="42"/>
      <c r="AG2017" s="42"/>
      <c r="AH2017" s="43">
        <f t="shared" ref="AH2017:AH2021" si="2427">SUM(AC2017:AG2017)</f>
        <v>0</v>
      </c>
      <c r="AI2017" s="41"/>
      <c r="AJ2017" s="42"/>
      <c r="AK2017" s="42"/>
      <c r="AL2017" s="42"/>
      <c r="AM2017" s="42"/>
      <c r="AN2017" s="43">
        <f t="shared" ref="AN2017:AN2021" si="2428">SUM(AI2017:AM2017)</f>
        <v>0</v>
      </c>
      <c r="AO2017" s="42"/>
      <c r="AP2017" s="53"/>
      <c r="AQ2017" s="53"/>
      <c r="AR2017" s="53"/>
      <c r="AS2017" s="72"/>
      <c r="AT2017" s="24">
        <f t="shared" ref="AT2017:AT2021" si="2429">SUM(AO2017:AS2017)</f>
        <v>0</v>
      </c>
      <c r="AU2017" s="42"/>
      <c r="AV2017" s="53"/>
      <c r="AW2017" s="53"/>
      <c r="AX2017" s="53"/>
      <c r="AY2017" s="72"/>
      <c r="AZ2017" s="24">
        <f t="shared" ref="AZ2017:AZ2021" si="2430">SUM(AU2017:AY2017)</f>
        <v>0</v>
      </c>
      <c r="BA2017" s="24">
        <f t="shared" ref="BA2017:BA2021" si="2431">AH2017+AN2017+AT2017+AZ2017</f>
        <v>0</v>
      </c>
    </row>
    <row r="2018" spans="1:53" ht="14.25" x14ac:dyDescent="0.15">
      <c r="A2018" s="23" t="s">
        <v>699</v>
      </c>
      <c r="B2018" s="41"/>
      <c r="C2018" s="42">
        <v>1</v>
      </c>
      <c r="D2018" s="42"/>
      <c r="E2018" s="42"/>
      <c r="F2018" s="42"/>
      <c r="G2018" s="43">
        <f t="shared" si="2399"/>
        <v>1</v>
      </c>
      <c r="H2018" s="41"/>
      <c r="I2018" s="42"/>
      <c r="J2018" s="42"/>
      <c r="K2018" s="42"/>
      <c r="L2018" s="42"/>
      <c r="M2018" s="43">
        <f t="shared" si="2400"/>
        <v>0</v>
      </c>
      <c r="N2018" s="42"/>
      <c r="O2018" s="53"/>
      <c r="P2018" s="53"/>
      <c r="Q2018" s="53"/>
      <c r="R2018" s="72"/>
      <c r="S2018" s="24">
        <f t="shared" si="2401"/>
        <v>0</v>
      </c>
      <c r="T2018" s="42"/>
      <c r="U2018" s="53"/>
      <c r="V2018" s="53"/>
      <c r="W2018" s="53"/>
      <c r="X2018" s="72"/>
      <c r="Y2018" s="24">
        <f t="shared" si="2402"/>
        <v>0</v>
      </c>
      <c r="Z2018" s="24">
        <f t="shared" si="2375"/>
        <v>1</v>
      </c>
      <c r="AA2018" s="93">
        <v>45869</v>
      </c>
      <c r="AB2018" s="23"/>
      <c r="AC2018" s="41"/>
      <c r="AD2018" s="42"/>
      <c r="AE2018" s="42"/>
      <c r="AF2018" s="42"/>
      <c r="AG2018" s="42"/>
      <c r="AH2018" s="43">
        <f t="shared" si="2427"/>
        <v>0</v>
      </c>
      <c r="AI2018" s="41"/>
      <c r="AJ2018" s="42"/>
      <c r="AK2018" s="42"/>
      <c r="AL2018" s="42"/>
      <c r="AM2018" s="42"/>
      <c r="AN2018" s="43">
        <f t="shared" si="2428"/>
        <v>0</v>
      </c>
      <c r="AO2018" s="42"/>
      <c r="AP2018" s="53"/>
      <c r="AQ2018" s="53"/>
      <c r="AR2018" s="53"/>
      <c r="AS2018" s="72"/>
      <c r="AT2018" s="24">
        <f t="shared" si="2429"/>
        <v>0</v>
      </c>
      <c r="AU2018" s="42"/>
      <c r="AV2018" s="53"/>
      <c r="AW2018" s="53"/>
      <c r="AX2018" s="53"/>
      <c r="AY2018" s="72"/>
      <c r="AZ2018" s="24">
        <f t="shared" si="2430"/>
        <v>0</v>
      </c>
      <c r="BA2018" s="24">
        <f t="shared" si="2431"/>
        <v>0</v>
      </c>
    </row>
    <row r="2019" spans="1:53" ht="14.25" x14ac:dyDescent="0.15">
      <c r="A2019" s="23" t="s">
        <v>699</v>
      </c>
      <c r="B2019" s="41">
        <v>1</v>
      </c>
      <c r="C2019" s="42"/>
      <c r="D2019" s="42"/>
      <c r="E2019" s="42"/>
      <c r="F2019" s="42"/>
      <c r="G2019" s="43">
        <f t="shared" si="2399"/>
        <v>1</v>
      </c>
      <c r="H2019" s="41"/>
      <c r="I2019" s="42"/>
      <c r="J2019" s="42"/>
      <c r="K2019" s="42"/>
      <c r="L2019" s="42"/>
      <c r="M2019" s="43">
        <f t="shared" si="2400"/>
        <v>0</v>
      </c>
      <c r="N2019" s="42"/>
      <c r="O2019" s="53"/>
      <c r="P2019" s="53"/>
      <c r="Q2019" s="53"/>
      <c r="R2019" s="72"/>
      <c r="S2019" s="24">
        <f t="shared" si="2401"/>
        <v>0</v>
      </c>
      <c r="T2019" s="42"/>
      <c r="U2019" s="53"/>
      <c r="V2019" s="53"/>
      <c r="W2019" s="53"/>
      <c r="X2019" s="72"/>
      <c r="Y2019" s="24">
        <f t="shared" si="2402"/>
        <v>0</v>
      </c>
      <c r="Z2019" s="24">
        <f t="shared" si="2375"/>
        <v>1</v>
      </c>
      <c r="AA2019" s="93">
        <v>45870</v>
      </c>
      <c r="AB2019" s="23"/>
      <c r="AC2019" s="41"/>
      <c r="AD2019" s="42"/>
      <c r="AE2019" s="42"/>
      <c r="AF2019" s="42"/>
      <c r="AG2019" s="42"/>
      <c r="AH2019" s="43">
        <f t="shared" si="2427"/>
        <v>0</v>
      </c>
      <c r="AI2019" s="41"/>
      <c r="AJ2019" s="42"/>
      <c r="AK2019" s="42"/>
      <c r="AL2019" s="42"/>
      <c r="AM2019" s="42"/>
      <c r="AN2019" s="43">
        <f t="shared" si="2428"/>
        <v>0</v>
      </c>
      <c r="AO2019" s="42"/>
      <c r="AP2019" s="53"/>
      <c r="AQ2019" s="53"/>
      <c r="AR2019" s="53"/>
      <c r="AS2019" s="72"/>
      <c r="AT2019" s="24">
        <f t="shared" si="2429"/>
        <v>0</v>
      </c>
      <c r="AU2019" s="42"/>
      <c r="AV2019" s="53"/>
      <c r="AW2019" s="53"/>
      <c r="AX2019" s="53"/>
      <c r="AY2019" s="72"/>
      <c r="AZ2019" s="24">
        <f t="shared" si="2430"/>
        <v>0</v>
      </c>
      <c r="BA2019" s="24">
        <f t="shared" si="2431"/>
        <v>0</v>
      </c>
    </row>
    <row r="2020" spans="1:53" ht="14.25" x14ac:dyDescent="0.15">
      <c r="A2020" s="23" t="s">
        <v>699</v>
      </c>
      <c r="B2020" s="41"/>
      <c r="C2020" s="42"/>
      <c r="D2020" s="42"/>
      <c r="E2020" s="42"/>
      <c r="F2020" s="42"/>
      <c r="G2020" s="43">
        <f t="shared" si="2399"/>
        <v>0</v>
      </c>
      <c r="H2020" s="41"/>
      <c r="I2020" s="42"/>
      <c r="J2020" s="42"/>
      <c r="K2020" s="42">
        <v>2</v>
      </c>
      <c r="L2020" s="42"/>
      <c r="M2020" s="43">
        <f t="shared" si="2400"/>
        <v>2</v>
      </c>
      <c r="N2020" s="42"/>
      <c r="O2020" s="53"/>
      <c r="P2020" s="53"/>
      <c r="Q2020" s="53"/>
      <c r="R2020" s="72"/>
      <c r="S2020" s="24">
        <f t="shared" si="2401"/>
        <v>0</v>
      </c>
      <c r="T2020" s="42"/>
      <c r="U2020" s="53"/>
      <c r="V2020" s="53"/>
      <c r="W2020" s="53"/>
      <c r="X2020" s="72"/>
      <c r="Y2020" s="24">
        <f t="shared" si="2402"/>
        <v>0</v>
      </c>
      <c r="Z2020" s="24">
        <f t="shared" si="2375"/>
        <v>2</v>
      </c>
      <c r="AA2020" s="93">
        <v>45873</v>
      </c>
      <c r="AB2020" s="23"/>
      <c r="AC2020" s="41"/>
      <c r="AD2020" s="42"/>
      <c r="AE2020" s="42"/>
      <c r="AF2020" s="42"/>
      <c r="AG2020" s="42"/>
      <c r="AH2020" s="43">
        <f t="shared" si="2427"/>
        <v>0</v>
      </c>
      <c r="AI2020" s="41"/>
      <c r="AJ2020" s="42"/>
      <c r="AK2020" s="42"/>
      <c r="AL2020" s="42"/>
      <c r="AM2020" s="42"/>
      <c r="AN2020" s="43">
        <f t="shared" si="2428"/>
        <v>0</v>
      </c>
      <c r="AO2020" s="42"/>
      <c r="AP2020" s="53"/>
      <c r="AQ2020" s="53"/>
      <c r="AR2020" s="53"/>
      <c r="AS2020" s="72"/>
      <c r="AT2020" s="24">
        <f t="shared" si="2429"/>
        <v>0</v>
      </c>
      <c r="AU2020" s="42"/>
      <c r="AV2020" s="53"/>
      <c r="AW2020" s="53"/>
      <c r="AX2020" s="53"/>
      <c r="AY2020" s="72"/>
      <c r="AZ2020" s="24">
        <f t="shared" si="2430"/>
        <v>0</v>
      </c>
      <c r="BA2020" s="24">
        <f t="shared" si="2431"/>
        <v>0</v>
      </c>
    </row>
    <row r="2021" spans="1:53" ht="14.25" x14ac:dyDescent="0.15">
      <c r="A2021" s="23" t="s">
        <v>699</v>
      </c>
      <c r="B2021" s="41"/>
      <c r="C2021" s="42"/>
      <c r="D2021" s="42"/>
      <c r="E2021" s="42"/>
      <c r="F2021" s="42"/>
      <c r="G2021" s="43">
        <f t="shared" si="2399"/>
        <v>0</v>
      </c>
      <c r="H2021" s="41"/>
      <c r="I2021" s="42"/>
      <c r="J2021" s="42"/>
      <c r="K2021" s="42"/>
      <c r="L2021" s="42"/>
      <c r="M2021" s="43">
        <f t="shared" si="2400"/>
        <v>0</v>
      </c>
      <c r="N2021" s="42"/>
      <c r="O2021" s="53"/>
      <c r="P2021" s="53"/>
      <c r="Q2021" s="53"/>
      <c r="R2021" s="72">
        <v>1</v>
      </c>
      <c r="S2021" s="24">
        <f t="shared" si="2401"/>
        <v>1</v>
      </c>
      <c r="T2021" s="42"/>
      <c r="U2021" s="53">
        <v>1</v>
      </c>
      <c r="V2021" s="53"/>
      <c r="W2021" s="53"/>
      <c r="X2021" s="72"/>
      <c r="Y2021" s="24">
        <f t="shared" si="2402"/>
        <v>1</v>
      </c>
      <c r="Z2021" s="24">
        <f t="shared" si="2375"/>
        <v>2</v>
      </c>
      <c r="AA2021" s="93">
        <v>45874</v>
      </c>
      <c r="AB2021" s="23"/>
      <c r="AC2021" s="41"/>
      <c r="AD2021" s="42"/>
      <c r="AE2021" s="42"/>
      <c r="AF2021" s="42"/>
      <c r="AG2021" s="42"/>
      <c r="AH2021" s="43">
        <f t="shared" si="2427"/>
        <v>0</v>
      </c>
      <c r="AI2021" s="41"/>
      <c r="AJ2021" s="42"/>
      <c r="AK2021" s="42"/>
      <c r="AL2021" s="42"/>
      <c r="AM2021" s="42"/>
      <c r="AN2021" s="43">
        <f t="shared" si="2428"/>
        <v>0</v>
      </c>
      <c r="AO2021" s="42"/>
      <c r="AP2021" s="53"/>
      <c r="AQ2021" s="53"/>
      <c r="AR2021" s="53"/>
      <c r="AS2021" s="72"/>
      <c r="AT2021" s="24">
        <f t="shared" si="2429"/>
        <v>0</v>
      </c>
      <c r="AU2021" s="42"/>
      <c r="AV2021" s="53"/>
      <c r="AW2021" s="53"/>
      <c r="AX2021" s="53"/>
      <c r="AY2021" s="72"/>
      <c r="AZ2021" s="24">
        <f t="shared" si="2430"/>
        <v>0</v>
      </c>
      <c r="BA2021" s="24">
        <f t="shared" si="2431"/>
        <v>0</v>
      </c>
    </row>
    <row r="2022" spans="1:53" ht="14.25" x14ac:dyDescent="0.15">
      <c r="A2022" s="23" t="s">
        <v>699</v>
      </c>
      <c r="B2022" s="41"/>
      <c r="C2022" s="42"/>
      <c r="D2022" s="42"/>
      <c r="E2022" s="42"/>
      <c r="F2022" s="42"/>
      <c r="G2022" s="43">
        <f t="shared" si="2399"/>
        <v>0</v>
      </c>
      <c r="H2022" s="41"/>
      <c r="I2022" s="42"/>
      <c r="J2022" s="42">
        <v>1</v>
      </c>
      <c r="K2022" s="42"/>
      <c r="L2022" s="42"/>
      <c r="M2022" s="43">
        <f t="shared" si="2400"/>
        <v>1</v>
      </c>
      <c r="N2022" s="42"/>
      <c r="O2022" s="53"/>
      <c r="P2022" s="53"/>
      <c r="Q2022" s="53"/>
      <c r="R2022" s="72"/>
      <c r="S2022" s="24">
        <f t="shared" si="2401"/>
        <v>0</v>
      </c>
      <c r="T2022" s="42"/>
      <c r="U2022" s="53"/>
      <c r="V2022" s="53"/>
      <c r="W2022" s="53"/>
      <c r="X2022" s="72">
        <v>1</v>
      </c>
      <c r="Y2022" s="24">
        <f t="shared" si="2402"/>
        <v>1</v>
      </c>
      <c r="Z2022" s="24">
        <f t="shared" si="2375"/>
        <v>2</v>
      </c>
      <c r="AA2022" s="93">
        <v>45876</v>
      </c>
      <c r="AB2022" s="23"/>
      <c r="AC2022" s="41"/>
      <c r="AD2022" s="42"/>
      <c r="AE2022" s="42"/>
      <c r="AF2022" s="42"/>
      <c r="AG2022" s="42"/>
      <c r="AH2022" s="43">
        <f t="shared" ref="AH2022:AH2024" si="2432">SUM(AC2022:AG2022)</f>
        <v>0</v>
      </c>
      <c r="AI2022" s="41"/>
      <c r="AJ2022" s="42"/>
      <c r="AK2022" s="42"/>
      <c r="AL2022" s="42"/>
      <c r="AM2022" s="42"/>
      <c r="AN2022" s="43">
        <f t="shared" ref="AN2022:AN2024" si="2433">SUM(AI2022:AM2022)</f>
        <v>0</v>
      </c>
      <c r="AO2022" s="42"/>
      <c r="AP2022" s="53"/>
      <c r="AQ2022" s="53"/>
      <c r="AR2022" s="53"/>
      <c r="AS2022" s="72"/>
      <c r="AT2022" s="24">
        <f t="shared" ref="AT2022:AT2024" si="2434">SUM(AO2022:AS2022)</f>
        <v>0</v>
      </c>
      <c r="AU2022" s="42"/>
      <c r="AV2022" s="53"/>
      <c r="AW2022" s="53"/>
      <c r="AX2022" s="53"/>
      <c r="AY2022" s="72"/>
      <c r="AZ2022" s="24">
        <f t="shared" ref="AZ2022:AZ2024" si="2435">SUM(AU2022:AY2022)</f>
        <v>0</v>
      </c>
      <c r="BA2022" s="24">
        <f t="shared" ref="BA2022:BA2026" si="2436">AH2022+AN2022+AT2022+AZ2022</f>
        <v>0</v>
      </c>
    </row>
    <row r="2023" spans="1:53" ht="14.25" x14ac:dyDescent="0.15">
      <c r="A2023" s="23" t="s">
        <v>699</v>
      </c>
      <c r="B2023" s="41"/>
      <c r="C2023" s="42"/>
      <c r="D2023" s="42"/>
      <c r="E2023" s="42">
        <v>1</v>
      </c>
      <c r="F2023" s="42"/>
      <c r="G2023" s="43">
        <f t="shared" si="2399"/>
        <v>1</v>
      </c>
      <c r="H2023" s="41"/>
      <c r="I2023" s="42"/>
      <c r="J2023" s="42"/>
      <c r="K2023" s="42"/>
      <c r="L2023" s="42"/>
      <c r="M2023" s="43">
        <f t="shared" si="2400"/>
        <v>0</v>
      </c>
      <c r="N2023" s="42"/>
      <c r="O2023" s="53"/>
      <c r="P2023" s="53"/>
      <c r="Q2023" s="53"/>
      <c r="R2023" s="72"/>
      <c r="S2023" s="24">
        <f t="shared" si="2401"/>
        <v>0</v>
      </c>
      <c r="T2023" s="42"/>
      <c r="U2023" s="53"/>
      <c r="V2023" s="53"/>
      <c r="W2023" s="53"/>
      <c r="X2023" s="72"/>
      <c r="Y2023" s="24">
        <f t="shared" si="2402"/>
        <v>0</v>
      </c>
      <c r="Z2023" s="24">
        <f t="shared" si="2375"/>
        <v>1</v>
      </c>
      <c r="AA2023" s="93">
        <v>45877</v>
      </c>
      <c r="AB2023" s="23"/>
      <c r="AC2023" s="41"/>
      <c r="AD2023" s="42"/>
      <c r="AE2023" s="42"/>
      <c r="AF2023" s="42"/>
      <c r="AG2023" s="42"/>
      <c r="AH2023" s="43">
        <f t="shared" si="2432"/>
        <v>0</v>
      </c>
      <c r="AI2023" s="41"/>
      <c r="AJ2023" s="42"/>
      <c r="AK2023" s="42"/>
      <c r="AL2023" s="42"/>
      <c r="AM2023" s="42"/>
      <c r="AN2023" s="43">
        <f t="shared" si="2433"/>
        <v>0</v>
      </c>
      <c r="AO2023" s="42"/>
      <c r="AP2023" s="53"/>
      <c r="AQ2023" s="53"/>
      <c r="AR2023" s="53"/>
      <c r="AS2023" s="72"/>
      <c r="AT2023" s="24">
        <f t="shared" si="2434"/>
        <v>0</v>
      </c>
      <c r="AU2023" s="42"/>
      <c r="AV2023" s="53"/>
      <c r="AW2023" s="53"/>
      <c r="AX2023" s="53"/>
      <c r="AY2023" s="72"/>
      <c r="AZ2023" s="24">
        <f t="shared" si="2435"/>
        <v>0</v>
      </c>
      <c r="BA2023" s="24">
        <f t="shared" si="2436"/>
        <v>0</v>
      </c>
    </row>
    <row r="2024" spans="1:53" ht="15" thickBot="1" x14ac:dyDescent="0.2">
      <c r="A2024" s="23" t="s">
        <v>699</v>
      </c>
      <c r="B2024" s="41">
        <v>1</v>
      </c>
      <c r="C2024" s="42"/>
      <c r="D2024" s="42"/>
      <c r="E2024" s="42"/>
      <c r="F2024" s="42"/>
      <c r="G2024" s="43">
        <f t="shared" si="2399"/>
        <v>1</v>
      </c>
      <c r="H2024" s="41"/>
      <c r="I2024" s="42"/>
      <c r="J2024" s="42">
        <v>1</v>
      </c>
      <c r="K2024" s="42"/>
      <c r="L2024" s="42"/>
      <c r="M2024" s="43">
        <f t="shared" si="2400"/>
        <v>1</v>
      </c>
      <c r="N2024" s="42"/>
      <c r="O2024" s="53"/>
      <c r="P2024" s="53"/>
      <c r="Q2024" s="53"/>
      <c r="R2024" s="72">
        <v>1</v>
      </c>
      <c r="S2024" s="24">
        <f t="shared" si="2401"/>
        <v>1</v>
      </c>
      <c r="T2024" s="42">
        <v>1</v>
      </c>
      <c r="U2024" s="53">
        <v>1</v>
      </c>
      <c r="V2024" s="53"/>
      <c r="W2024" s="53"/>
      <c r="X2024" s="72"/>
      <c r="Y2024" s="24">
        <f t="shared" si="2402"/>
        <v>2</v>
      </c>
      <c r="Z2024" s="24">
        <f t="shared" si="2375"/>
        <v>5</v>
      </c>
      <c r="AA2024" s="93">
        <v>45887</v>
      </c>
      <c r="AB2024" s="23"/>
      <c r="AC2024" s="41"/>
      <c r="AD2024" s="42"/>
      <c r="AE2024" s="42"/>
      <c r="AF2024" s="42"/>
      <c r="AG2024" s="42"/>
      <c r="AH2024" s="43">
        <f t="shared" si="2432"/>
        <v>0</v>
      </c>
      <c r="AI2024" s="41"/>
      <c r="AJ2024" s="42"/>
      <c r="AK2024" s="42"/>
      <c r="AL2024" s="42"/>
      <c r="AM2024" s="42"/>
      <c r="AN2024" s="43">
        <f t="shared" si="2433"/>
        <v>0</v>
      </c>
      <c r="AO2024" s="42"/>
      <c r="AP2024" s="53"/>
      <c r="AQ2024" s="53"/>
      <c r="AR2024" s="53"/>
      <c r="AS2024" s="72"/>
      <c r="AT2024" s="24">
        <f t="shared" si="2434"/>
        <v>0</v>
      </c>
      <c r="AU2024" s="42"/>
      <c r="AV2024" s="53"/>
      <c r="AW2024" s="53"/>
      <c r="AX2024" s="53"/>
      <c r="AY2024" s="72"/>
      <c r="AZ2024" s="24">
        <f t="shared" si="2435"/>
        <v>0</v>
      </c>
      <c r="BA2024" s="24">
        <f t="shared" si="2436"/>
        <v>0</v>
      </c>
    </row>
    <row r="2025" spans="1:53" ht="15" thickBot="1" x14ac:dyDescent="0.2">
      <c r="A2025" s="9" t="s">
        <v>13</v>
      </c>
      <c r="B2025" s="25">
        <f>SUM(B1999:B2024)</f>
        <v>4</v>
      </c>
      <c r="C2025" s="26">
        <f>SUM(C1999:C2024)</f>
        <v>5</v>
      </c>
      <c r="D2025" s="26">
        <f>SUM(D1999:D2024)</f>
        <v>4</v>
      </c>
      <c r="E2025" s="26">
        <f>SUM(E1999:E2024)</f>
        <v>3</v>
      </c>
      <c r="F2025" s="27">
        <f>SUM(F1999:F2024)</f>
        <v>1</v>
      </c>
      <c r="G2025" s="19">
        <f>SUM(B2025:F2025)</f>
        <v>17</v>
      </c>
      <c r="H2025" s="25">
        <f>SUM(H1999:H2024)</f>
        <v>2</v>
      </c>
      <c r="I2025" s="26">
        <f>SUM(I1999:I2024)</f>
        <v>2</v>
      </c>
      <c r="J2025" s="26">
        <f>SUM(J1999:J2024)</f>
        <v>6</v>
      </c>
      <c r="K2025" s="26">
        <f>SUM(K1999:K2024)</f>
        <v>8</v>
      </c>
      <c r="L2025" s="27">
        <f>SUM(L1999:L2024)</f>
        <v>4</v>
      </c>
      <c r="M2025" s="25">
        <f>SUM(H2025:L2025)</f>
        <v>22</v>
      </c>
      <c r="N2025" s="65">
        <f>SUM(N1999:N2024)</f>
        <v>0</v>
      </c>
      <c r="O2025" s="18">
        <f>SUM(O1999:O2024)</f>
        <v>2</v>
      </c>
      <c r="P2025" s="18">
        <f>SUM(P1999:P2024)</f>
        <v>1</v>
      </c>
      <c r="Q2025" s="18">
        <f>SUM(Q1999:Q2024)</f>
        <v>4</v>
      </c>
      <c r="R2025" s="70">
        <f>SUM(R1999:R2024)</f>
        <v>4</v>
      </c>
      <c r="S2025" s="49">
        <f>SUM(N2025:R2025)</f>
        <v>11</v>
      </c>
      <c r="T2025" s="74">
        <f>SUM(T1999:T2024)</f>
        <v>1</v>
      </c>
      <c r="U2025" s="18">
        <f>SUM(U1999:U2024)</f>
        <v>2</v>
      </c>
      <c r="V2025" s="18">
        <f>SUM(V1999:V2024)</f>
        <v>1</v>
      </c>
      <c r="W2025" s="18">
        <f>SUM(W1999:W2024)</f>
        <v>1</v>
      </c>
      <c r="X2025" s="70">
        <f>SUM(X1999:X2024)</f>
        <v>2</v>
      </c>
      <c r="Y2025" s="49">
        <f>SUM(T2025:X2025)</f>
        <v>7</v>
      </c>
      <c r="Z2025" s="137">
        <f>G2025+M2025+S2025+Y2025</f>
        <v>57</v>
      </c>
      <c r="AB2025" s="9" t="s">
        <v>13</v>
      </c>
      <c r="AC2025" s="25">
        <f>SUM(AC1999:AC2024)</f>
        <v>0</v>
      </c>
      <c r="AD2025" s="26">
        <f t="shared" ref="AD2025" si="2437">SUM(AD1999:AD2024)</f>
        <v>5</v>
      </c>
      <c r="AE2025" s="26">
        <f t="shared" ref="AE2025" si="2438">SUM(AE1999:AE2024)</f>
        <v>5</v>
      </c>
      <c r="AF2025" s="26">
        <f t="shared" ref="AF2025" si="2439">SUM(AF1999:AF2024)</f>
        <v>0</v>
      </c>
      <c r="AG2025" s="27">
        <f t="shared" ref="AG2025" si="2440">SUM(AG1999:AG2024)</f>
        <v>0</v>
      </c>
      <c r="AH2025" s="19">
        <f>SUM(AC2025:AG2025)</f>
        <v>10</v>
      </c>
      <c r="AI2025" s="25">
        <f>SUM(AI1999:AI2024)</f>
        <v>2</v>
      </c>
      <c r="AJ2025" s="26">
        <f t="shared" ref="AJ2025" si="2441">SUM(AJ1999:AJ2024)</f>
        <v>5</v>
      </c>
      <c r="AK2025" s="26">
        <f t="shared" ref="AK2025" si="2442">SUM(AK1999:AK2024)</f>
        <v>5</v>
      </c>
      <c r="AL2025" s="26">
        <f t="shared" ref="AL2025" si="2443">SUM(AL1999:AL2024)</f>
        <v>11</v>
      </c>
      <c r="AM2025" s="27">
        <f t="shared" ref="AM2025" si="2444">SUM(AM1999:AM2024)</f>
        <v>2</v>
      </c>
      <c r="AN2025" s="19">
        <f>SUM(AI2025:AM2025)</f>
        <v>25</v>
      </c>
      <c r="AO2025" s="25">
        <f>SUM(AO1999:AO2024)</f>
        <v>0</v>
      </c>
      <c r="AP2025" s="26">
        <f t="shared" ref="AP2025" si="2445">SUM(AP1999:AP2024)</f>
        <v>3</v>
      </c>
      <c r="AQ2025" s="26">
        <f t="shared" ref="AQ2025" si="2446">SUM(AQ1999:AQ2024)</f>
        <v>3</v>
      </c>
      <c r="AR2025" s="26">
        <f t="shared" ref="AR2025" si="2447">SUM(AR1999:AR2024)</f>
        <v>5</v>
      </c>
      <c r="AS2025" s="27">
        <f t="shared" ref="AS2025" si="2448">SUM(AS1999:AS2024)</f>
        <v>3</v>
      </c>
      <c r="AT2025" s="19">
        <f>SUM(AO2025:AS2025)</f>
        <v>14</v>
      </c>
      <c r="AU2025" s="25">
        <f>SUM(AU1999:AU2024)</f>
        <v>0</v>
      </c>
      <c r="AV2025" s="26">
        <f t="shared" ref="AV2025" si="2449">SUM(AV1999:AV2024)</f>
        <v>0</v>
      </c>
      <c r="AW2025" s="26">
        <f t="shared" ref="AW2025" si="2450">SUM(AW1999:AW2024)</f>
        <v>0</v>
      </c>
      <c r="AX2025" s="26">
        <f t="shared" ref="AX2025" si="2451">SUM(AX1999:AX2024)</f>
        <v>0</v>
      </c>
      <c r="AY2025" s="27">
        <f t="shared" ref="AY2025" si="2452">SUM(AY1999:AY2024)</f>
        <v>0</v>
      </c>
      <c r="AZ2025" s="19">
        <f>SUM(AU2025:AY2025)</f>
        <v>0</v>
      </c>
      <c r="BA2025" s="77">
        <f t="shared" si="2436"/>
        <v>49</v>
      </c>
    </row>
    <row r="2026" spans="1:53" ht="15" thickBot="1" x14ac:dyDescent="0.2">
      <c r="A2026" s="32" t="s">
        <v>14</v>
      </c>
      <c r="B2026" s="29">
        <f t="shared" ref="B2026:Y2026" si="2453">B1998-B2025</f>
        <v>3</v>
      </c>
      <c r="C2026" s="30">
        <f t="shared" si="2453"/>
        <v>4</v>
      </c>
      <c r="D2026" s="30">
        <f t="shared" si="2453"/>
        <v>3</v>
      </c>
      <c r="E2026" s="30">
        <f t="shared" si="2453"/>
        <v>6</v>
      </c>
      <c r="F2026" s="31">
        <f t="shared" si="2453"/>
        <v>5</v>
      </c>
      <c r="G2026" s="31">
        <f t="shared" si="2453"/>
        <v>21</v>
      </c>
      <c r="H2026" s="29">
        <f t="shared" si="2453"/>
        <v>4</v>
      </c>
      <c r="I2026" s="30">
        <f t="shared" si="2453"/>
        <v>5</v>
      </c>
      <c r="J2026" s="30">
        <f t="shared" si="2453"/>
        <v>2</v>
      </c>
      <c r="K2026" s="30">
        <f t="shared" si="2453"/>
        <v>3</v>
      </c>
      <c r="L2026" s="31">
        <f t="shared" si="2453"/>
        <v>4</v>
      </c>
      <c r="M2026" s="66">
        <f t="shared" si="2453"/>
        <v>18</v>
      </c>
      <c r="N2026" s="29">
        <f t="shared" si="2453"/>
        <v>5</v>
      </c>
      <c r="O2026" s="30">
        <f t="shared" si="2453"/>
        <v>5</v>
      </c>
      <c r="P2026" s="30">
        <f t="shared" si="2453"/>
        <v>8</v>
      </c>
      <c r="Q2026" s="30">
        <f t="shared" si="2453"/>
        <v>5</v>
      </c>
      <c r="R2026" s="66">
        <f t="shared" si="2453"/>
        <v>2</v>
      </c>
      <c r="S2026" s="33">
        <f t="shared" si="2453"/>
        <v>25</v>
      </c>
      <c r="T2026" s="75">
        <f t="shared" si="2453"/>
        <v>3</v>
      </c>
      <c r="U2026" s="30">
        <f t="shared" si="2453"/>
        <v>3</v>
      </c>
      <c r="V2026" s="30">
        <f t="shared" si="2453"/>
        <v>11</v>
      </c>
      <c r="W2026" s="30">
        <f t="shared" si="2453"/>
        <v>5</v>
      </c>
      <c r="X2026" s="66">
        <f t="shared" si="2453"/>
        <v>2</v>
      </c>
      <c r="Y2026" s="33">
        <f t="shared" si="2453"/>
        <v>24</v>
      </c>
      <c r="Z2026" s="77">
        <f>G2026+M2026+S2026+Y2026</f>
        <v>88</v>
      </c>
      <c r="AB2026" s="32" t="s">
        <v>14</v>
      </c>
      <c r="AC2026" s="29">
        <f>AC1998-AC2025</f>
        <v>73</v>
      </c>
      <c r="AD2026" s="30">
        <f t="shared" ref="AD2026" si="2454">AD1998-AD2025</f>
        <v>21</v>
      </c>
      <c r="AE2026" s="30">
        <f t="shared" ref="AE2026" si="2455">AE1998-AE2025</f>
        <v>16</v>
      </c>
      <c r="AF2026" s="30">
        <f t="shared" ref="AF2026" si="2456">AF1998-AF2025</f>
        <v>0</v>
      </c>
      <c r="AG2026" s="31">
        <f t="shared" ref="AG2026" si="2457">AG1998-AG2025</f>
        <v>0</v>
      </c>
      <c r="AH2026" s="31">
        <f>AH1998-AH2025</f>
        <v>110</v>
      </c>
      <c r="AI2026" s="29">
        <f>AI1998-AI2025</f>
        <v>67</v>
      </c>
      <c r="AJ2026" s="30">
        <f t="shared" ref="AJ2026" si="2458">AJ1998-AJ2025</f>
        <v>33</v>
      </c>
      <c r="AK2026" s="30">
        <f t="shared" ref="AK2026" si="2459">AK1998-AK2025</f>
        <v>44</v>
      </c>
      <c r="AL2026" s="30">
        <f t="shared" ref="AL2026" si="2460">AL1998-AL2025</f>
        <v>8</v>
      </c>
      <c r="AM2026" s="31">
        <f t="shared" ref="AM2026" si="2461">AM1998-AM2025</f>
        <v>41</v>
      </c>
      <c r="AN2026" s="31">
        <f>AN1998-AN2025</f>
        <v>193</v>
      </c>
      <c r="AO2026" s="29">
        <f>AO1998-AO2025</f>
        <v>134</v>
      </c>
      <c r="AP2026" s="30">
        <f t="shared" ref="AP2026" si="2462">AP1998-AP2025</f>
        <v>78</v>
      </c>
      <c r="AQ2026" s="30">
        <f t="shared" ref="AQ2026" si="2463">AQ1998-AQ2025</f>
        <v>75</v>
      </c>
      <c r="AR2026" s="30">
        <f t="shared" ref="AR2026" si="2464">AR1998-AR2025</f>
        <v>96</v>
      </c>
      <c r="AS2026" s="31">
        <f t="shared" ref="AS2026" si="2465">AS1998-AS2025</f>
        <v>111</v>
      </c>
      <c r="AT2026" s="31">
        <f>AT1998-AT2025</f>
        <v>494</v>
      </c>
      <c r="AU2026" s="29">
        <f>AU1998-AU2025</f>
        <v>102</v>
      </c>
      <c r="AV2026" s="30">
        <f t="shared" ref="AV2026" si="2466">AV1998-AV2025</f>
        <v>39</v>
      </c>
      <c r="AW2026" s="30">
        <f t="shared" ref="AW2026" si="2467">AW1998-AW2025</f>
        <v>0</v>
      </c>
      <c r="AX2026" s="30">
        <f t="shared" ref="AX2026" si="2468">AX1998-AX2025</f>
        <v>0</v>
      </c>
      <c r="AY2026" s="31">
        <f t="shared" ref="AY2026" si="2469">AY1998-AY2025</f>
        <v>55</v>
      </c>
      <c r="AZ2026" s="31">
        <f>AZ1998-AZ2025</f>
        <v>196</v>
      </c>
      <c r="BA2026" s="77">
        <f t="shared" si="2436"/>
        <v>993</v>
      </c>
    </row>
    <row r="2027" spans="1:53" x14ac:dyDescent="0.15">
      <c r="AC2027" s="216"/>
      <c r="AD2027" s="216"/>
      <c r="AE2027" s="216"/>
      <c r="AF2027" s="216" t="s">
        <v>700</v>
      </c>
      <c r="AG2027" s="216" t="s">
        <v>700</v>
      </c>
      <c r="AH2027" s="216"/>
      <c r="AI2027" s="216"/>
      <c r="AJ2027" s="216"/>
      <c r="AK2027" s="216"/>
      <c r="AL2027" s="216"/>
      <c r="AM2027" s="216"/>
      <c r="AN2027" s="216"/>
      <c r="AO2027" s="216"/>
      <c r="AP2027" s="216"/>
      <c r="AQ2027" s="216"/>
      <c r="AR2027" s="216"/>
      <c r="AS2027" s="216"/>
      <c r="AT2027" s="216"/>
      <c r="AU2027" s="216"/>
      <c r="AV2027" s="216"/>
      <c r="AW2027" s="216" t="s">
        <v>700</v>
      </c>
      <c r="AX2027" s="216" t="s">
        <v>700</v>
      </c>
      <c r="AY2027" s="216"/>
    </row>
    <row r="2029" spans="1:53" ht="19.5" thickBot="1" x14ac:dyDescent="0.25">
      <c r="A2029" s="1" t="s">
        <v>15</v>
      </c>
      <c r="AB2029" s="1" t="s">
        <v>16</v>
      </c>
    </row>
    <row r="2030" spans="1:53" ht="15" thickBot="1" x14ac:dyDescent="0.2">
      <c r="A2030" s="4"/>
      <c r="B2030" s="245" t="s">
        <v>17</v>
      </c>
      <c r="C2030" s="246"/>
      <c r="D2030" s="246"/>
      <c r="E2030" s="246"/>
      <c r="F2030" s="246"/>
      <c r="G2030" s="247"/>
      <c r="H2030" s="245" t="s">
        <v>18</v>
      </c>
      <c r="I2030" s="246"/>
      <c r="J2030" s="246"/>
      <c r="K2030" s="246"/>
      <c r="L2030" s="246"/>
      <c r="M2030" s="247"/>
      <c r="N2030" s="248" t="s">
        <v>27</v>
      </c>
      <c r="O2030" s="249"/>
      <c r="P2030" s="249"/>
      <c r="Q2030" s="249"/>
      <c r="R2030" s="249"/>
      <c r="S2030" s="250"/>
      <c r="T2030" s="248" t="s">
        <v>28</v>
      </c>
      <c r="U2030" s="249"/>
      <c r="V2030" s="249"/>
      <c r="W2030" s="249"/>
      <c r="X2030" s="249"/>
      <c r="Y2030" s="250"/>
      <c r="Z2030" s="251" t="s">
        <v>1</v>
      </c>
      <c r="AB2030" s="4"/>
      <c r="AC2030" s="253" t="s">
        <v>17</v>
      </c>
      <c r="AD2030" s="249"/>
      <c r="AE2030" s="249"/>
      <c r="AF2030" s="249"/>
      <c r="AG2030" s="249"/>
      <c r="AH2030" s="250"/>
      <c r="AI2030" s="248" t="s">
        <v>18</v>
      </c>
      <c r="AJ2030" s="249"/>
      <c r="AK2030" s="249"/>
      <c r="AL2030" s="249"/>
      <c r="AM2030" s="249"/>
      <c r="AN2030" s="250"/>
      <c r="AO2030" s="248" t="s">
        <v>27</v>
      </c>
      <c r="AP2030" s="249"/>
      <c r="AQ2030" s="249"/>
      <c r="AR2030" s="249"/>
      <c r="AS2030" s="249"/>
      <c r="AT2030" s="250"/>
      <c r="AU2030" s="248" t="s">
        <v>28</v>
      </c>
      <c r="AV2030" s="249"/>
      <c r="AW2030" s="249"/>
      <c r="AX2030" s="249"/>
      <c r="AY2030" s="249"/>
      <c r="AZ2030" s="250"/>
      <c r="BA2030" s="243" t="s">
        <v>1</v>
      </c>
    </row>
    <row r="2031" spans="1:53" ht="15" thickBot="1" x14ac:dyDescent="0.2">
      <c r="A2031" s="9" t="s">
        <v>2</v>
      </c>
      <c r="B2031" s="6" t="s">
        <v>3</v>
      </c>
      <c r="C2031" s="7" t="s">
        <v>4</v>
      </c>
      <c r="D2031" s="7" t="s">
        <v>5</v>
      </c>
      <c r="E2031" s="48" t="s">
        <v>20</v>
      </c>
      <c r="F2031" s="8" t="s">
        <v>21</v>
      </c>
      <c r="G2031" s="5" t="s">
        <v>6</v>
      </c>
      <c r="H2031" s="6" t="s">
        <v>3</v>
      </c>
      <c r="I2031" s="7" t="s">
        <v>4</v>
      </c>
      <c r="J2031" s="7" t="s">
        <v>5</v>
      </c>
      <c r="K2031" s="48" t="s">
        <v>20</v>
      </c>
      <c r="L2031" s="8" t="s">
        <v>21</v>
      </c>
      <c r="M2031" s="5" t="s">
        <v>6</v>
      </c>
      <c r="N2031" s="6" t="s">
        <v>3</v>
      </c>
      <c r="O2031" s="7" t="s">
        <v>4</v>
      </c>
      <c r="P2031" s="7" t="s">
        <v>5</v>
      </c>
      <c r="Q2031" s="48" t="s">
        <v>20</v>
      </c>
      <c r="R2031" s="8" t="s">
        <v>21</v>
      </c>
      <c r="S2031" s="5" t="s">
        <v>6</v>
      </c>
      <c r="T2031" s="7" t="s">
        <v>3</v>
      </c>
      <c r="U2031" s="7" t="s">
        <v>4</v>
      </c>
      <c r="V2031" s="7" t="s">
        <v>5</v>
      </c>
      <c r="W2031" s="48" t="s">
        <v>20</v>
      </c>
      <c r="X2031" s="109" t="s">
        <v>21</v>
      </c>
      <c r="Y2031" s="62" t="s">
        <v>6</v>
      </c>
      <c r="Z2031" s="252"/>
      <c r="AB2031" s="9" t="s">
        <v>2</v>
      </c>
      <c r="AC2031" s="6" t="s">
        <v>3</v>
      </c>
      <c r="AD2031" s="7" t="s">
        <v>4</v>
      </c>
      <c r="AE2031" s="7" t="s">
        <v>5</v>
      </c>
      <c r="AF2031" s="48" t="s">
        <v>20</v>
      </c>
      <c r="AG2031" s="8" t="s">
        <v>21</v>
      </c>
      <c r="AH2031" s="5" t="s">
        <v>6</v>
      </c>
      <c r="AI2031" s="6" t="s">
        <v>3</v>
      </c>
      <c r="AJ2031" s="7" t="s">
        <v>4</v>
      </c>
      <c r="AK2031" s="7" t="s">
        <v>5</v>
      </c>
      <c r="AL2031" s="48" t="s">
        <v>20</v>
      </c>
      <c r="AM2031" s="8" t="s">
        <v>21</v>
      </c>
      <c r="AN2031" s="5" t="s">
        <v>6</v>
      </c>
      <c r="AO2031" s="6" t="s">
        <v>3</v>
      </c>
      <c r="AP2031" s="7" t="s">
        <v>4</v>
      </c>
      <c r="AQ2031" s="7" t="s">
        <v>5</v>
      </c>
      <c r="AR2031" s="48" t="s">
        <v>20</v>
      </c>
      <c r="AS2031" s="8" t="s">
        <v>21</v>
      </c>
      <c r="AT2031" s="5" t="s">
        <v>6</v>
      </c>
      <c r="AU2031" s="7" t="s">
        <v>3</v>
      </c>
      <c r="AV2031" s="7" t="s">
        <v>4</v>
      </c>
      <c r="AW2031" s="7" t="s">
        <v>5</v>
      </c>
      <c r="AX2031" s="48" t="s">
        <v>20</v>
      </c>
      <c r="AY2031" s="109" t="s">
        <v>21</v>
      </c>
      <c r="AZ2031" s="62" t="s">
        <v>6</v>
      </c>
      <c r="BA2031" s="244"/>
    </row>
    <row r="2032" spans="1:53" ht="14.25" x14ac:dyDescent="0.15">
      <c r="A2032" s="103" t="s">
        <v>43</v>
      </c>
      <c r="B2032" s="104">
        <f>B2026</f>
        <v>3</v>
      </c>
      <c r="C2032" s="105">
        <f>C2026</f>
        <v>4</v>
      </c>
      <c r="D2032" s="105">
        <f>D2026</f>
        <v>3</v>
      </c>
      <c r="E2032" s="105">
        <f>E2026</f>
        <v>6</v>
      </c>
      <c r="F2032" s="105">
        <f>F2026</f>
        <v>5</v>
      </c>
      <c r="G2032" s="106">
        <f t="shared" ref="G2032" si="2470">SUM(B2032:F2032)</f>
        <v>21</v>
      </c>
      <c r="H2032" s="104">
        <f>H2026</f>
        <v>4</v>
      </c>
      <c r="I2032" s="105">
        <f>I2026</f>
        <v>5</v>
      </c>
      <c r="J2032" s="105">
        <f>J2026</f>
        <v>2</v>
      </c>
      <c r="K2032" s="105">
        <f>K2026</f>
        <v>3</v>
      </c>
      <c r="L2032" s="105">
        <f>L2026</f>
        <v>4</v>
      </c>
      <c r="M2032" s="107">
        <f t="shared" ref="M2032" si="2471">SUM(H2032:L2032)</f>
        <v>18</v>
      </c>
      <c r="N2032" s="104">
        <f>N2026</f>
        <v>5</v>
      </c>
      <c r="O2032" s="105">
        <f>O2026</f>
        <v>5</v>
      </c>
      <c r="P2032" s="105">
        <f>P2026</f>
        <v>8</v>
      </c>
      <c r="Q2032" s="105">
        <f>Q2026</f>
        <v>5</v>
      </c>
      <c r="R2032" s="105">
        <f>R2026</f>
        <v>2</v>
      </c>
      <c r="S2032" s="108">
        <f t="shared" ref="S2032" si="2472">SUM(N2032:R2032)</f>
        <v>25</v>
      </c>
      <c r="T2032" s="104">
        <f>T2026</f>
        <v>3</v>
      </c>
      <c r="U2032" s="105">
        <f>U2026</f>
        <v>3</v>
      </c>
      <c r="V2032" s="105">
        <f>V2026</f>
        <v>11</v>
      </c>
      <c r="W2032" s="105">
        <f>W2026</f>
        <v>5</v>
      </c>
      <c r="X2032" s="105">
        <f>X2026</f>
        <v>2</v>
      </c>
      <c r="Y2032" s="106">
        <f t="shared" ref="Y2032" si="2473">SUM(T2032:X2032)</f>
        <v>24</v>
      </c>
      <c r="Z2032" s="106">
        <f t="shared" ref="Z2032:Z2062" si="2474">G2032+M2032+S2032+Y2032</f>
        <v>88</v>
      </c>
      <c r="AB2032" s="103" t="s">
        <v>43</v>
      </c>
      <c r="AC2032" s="104">
        <f>AC2026</f>
        <v>73</v>
      </c>
      <c r="AD2032" s="105">
        <f t="shared" ref="AD2032:AG2032" si="2475">AD2026</f>
        <v>21</v>
      </c>
      <c r="AE2032" s="105">
        <f t="shared" si="2475"/>
        <v>16</v>
      </c>
      <c r="AF2032" s="105">
        <f t="shared" si="2475"/>
        <v>0</v>
      </c>
      <c r="AG2032" s="105">
        <f t="shared" si="2475"/>
        <v>0</v>
      </c>
      <c r="AH2032" s="106">
        <f>SUM(AC2032:AG2032)</f>
        <v>110</v>
      </c>
      <c r="AI2032" s="104">
        <f>AI2026</f>
        <v>67</v>
      </c>
      <c r="AJ2032" s="105">
        <f t="shared" ref="AJ2032:AM2032" si="2476">AJ2026</f>
        <v>33</v>
      </c>
      <c r="AK2032" s="105">
        <f t="shared" si="2476"/>
        <v>44</v>
      </c>
      <c r="AL2032" s="105">
        <f t="shared" si="2476"/>
        <v>8</v>
      </c>
      <c r="AM2032" s="105">
        <f t="shared" si="2476"/>
        <v>41</v>
      </c>
      <c r="AN2032" s="106">
        <f>SUM(AI2032:AM2032)</f>
        <v>193</v>
      </c>
      <c r="AO2032" s="104">
        <f>AO2026</f>
        <v>134</v>
      </c>
      <c r="AP2032" s="105">
        <f t="shared" ref="AP2032:AS2032" si="2477">AP2026</f>
        <v>78</v>
      </c>
      <c r="AQ2032" s="105">
        <f t="shared" si="2477"/>
        <v>75</v>
      </c>
      <c r="AR2032" s="105">
        <f t="shared" si="2477"/>
        <v>96</v>
      </c>
      <c r="AS2032" s="105">
        <f t="shared" si="2477"/>
        <v>111</v>
      </c>
      <c r="AT2032" s="106">
        <f>SUM(AO2032:AS2032)</f>
        <v>494</v>
      </c>
      <c r="AU2032" s="104">
        <f>AU2026</f>
        <v>102</v>
      </c>
      <c r="AV2032" s="105">
        <f t="shared" ref="AV2032:AY2032" si="2478">AV2026</f>
        <v>39</v>
      </c>
      <c r="AW2032" s="105">
        <f t="shared" si="2478"/>
        <v>0</v>
      </c>
      <c r="AX2032" s="105">
        <f t="shared" si="2478"/>
        <v>0</v>
      </c>
      <c r="AY2032" s="105">
        <f t="shared" si="2478"/>
        <v>55</v>
      </c>
      <c r="AZ2032" s="106">
        <f>SUM(AU2032:AY2032)</f>
        <v>196</v>
      </c>
      <c r="BA2032" s="106">
        <f>AH2032+AN2032+AT2032+AZ2032</f>
        <v>993</v>
      </c>
    </row>
    <row r="2033" spans="1:54" ht="14.25" x14ac:dyDescent="0.15">
      <c r="A2033" s="10" t="s">
        <v>616</v>
      </c>
      <c r="B2033" s="14">
        <v>0</v>
      </c>
      <c r="C2033" s="15">
        <v>0</v>
      </c>
      <c r="D2033" s="15">
        <v>0</v>
      </c>
      <c r="E2033" s="15">
        <v>1</v>
      </c>
      <c r="F2033" s="15">
        <v>1</v>
      </c>
      <c r="G2033" s="43">
        <f t="shared" ref="G2033:G2034" si="2479">SUM(B2033:F2033)</f>
        <v>2</v>
      </c>
      <c r="H2033" s="14">
        <v>0</v>
      </c>
      <c r="I2033" s="15">
        <v>0</v>
      </c>
      <c r="J2033" s="15">
        <v>0</v>
      </c>
      <c r="K2033" s="15">
        <v>0</v>
      </c>
      <c r="L2033" s="15">
        <v>-1</v>
      </c>
      <c r="M2033" s="43">
        <f t="shared" ref="M2033:M2036" si="2480">SUM(H2033:L2033)</f>
        <v>-1</v>
      </c>
      <c r="N2033" s="14">
        <v>0</v>
      </c>
      <c r="O2033" s="55">
        <v>0</v>
      </c>
      <c r="P2033" s="55">
        <v>0</v>
      </c>
      <c r="Q2033" s="55">
        <v>-1</v>
      </c>
      <c r="R2033" s="67">
        <v>1</v>
      </c>
      <c r="S2033" s="24">
        <f t="shared" ref="S2033:S2036" si="2481">SUM(N2033:R2033)</f>
        <v>0</v>
      </c>
      <c r="T2033" s="15">
        <v>1</v>
      </c>
      <c r="U2033" s="55">
        <v>0</v>
      </c>
      <c r="V2033" s="55">
        <v>-1</v>
      </c>
      <c r="W2033" s="55">
        <v>0</v>
      </c>
      <c r="X2033" s="67">
        <v>0</v>
      </c>
      <c r="Y2033" s="24">
        <f t="shared" ref="Y2033:Y2036" si="2482">SUM(T2033:X2033)</f>
        <v>0</v>
      </c>
      <c r="Z2033" s="24">
        <f t="shared" si="2474"/>
        <v>1</v>
      </c>
      <c r="AA2033" s="93">
        <v>45894</v>
      </c>
      <c r="AB2033" s="10" t="s">
        <v>181</v>
      </c>
      <c r="AC2033" s="14"/>
      <c r="AD2033" s="15"/>
      <c r="AE2033" s="15"/>
      <c r="AF2033" s="15"/>
      <c r="AG2033" s="15"/>
      <c r="AH2033" s="43">
        <f t="shared" ref="AH2033:AH2058" si="2483">SUM(AC2033:AG2033)</f>
        <v>0</v>
      </c>
      <c r="AI2033" s="14"/>
      <c r="AJ2033" s="15"/>
      <c r="AK2033" s="15"/>
      <c r="AL2033" s="15"/>
      <c r="AM2033" s="15"/>
      <c r="AN2033" s="43">
        <f t="shared" ref="AN2033:AN2058" si="2484">SUM(AI2033:AM2033)</f>
        <v>0</v>
      </c>
      <c r="AO2033" s="14"/>
      <c r="AP2033" s="55"/>
      <c r="AQ2033" s="55"/>
      <c r="AR2033" s="55"/>
      <c r="AS2033" s="67"/>
      <c r="AT2033" s="24">
        <f t="shared" ref="AT2033:AT2058" si="2485">SUM(AO2033:AS2033)</f>
        <v>0</v>
      </c>
      <c r="AU2033" s="15"/>
      <c r="AV2033" s="55"/>
      <c r="AW2033" s="55"/>
      <c r="AX2033" s="55"/>
      <c r="AY2033" s="67"/>
      <c r="AZ2033" s="24">
        <f t="shared" ref="AZ2033:AZ2058" si="2486">SUM(AU2033:AY2033)</f>
        <v>0</v>
      </c>
      <c r="BA2033" s="24">
        <f t="shared" ref="BA2033:BA2065" si="2487">AH2033+AN2033+AT2033+AZ2033</f>
        <v>0</v>
      </c>
    </row>
    <row r="2034" spans="1:54" ht="14.25" x14ac:dyDescent="0.15">
      <c r="A2034" s="10" t="s">
        <v>181</v>
      </c>
      <c r="B2034" s="14">
        <v>3</v>
      </c>
      <c r="C2034" s="15">
        <v>3</v>
      </c>
      <c r="D2034" s="15">
        <v>3</v>
      </c>
      <c r="E2034" s="15"/>
      <c r="F2034" s="15"/>
      <c r="G2034" s="43">
        <f t="shared" si="2479"/>
        <v>9</v>
      </c>
      <c r="H2034" s="14"/>
      <c r="I2034" s="15"/>
      <c r="J2034" s="15">
        <v>5</v>
      </c>
      <c r="K2034" s="15"/>
      <c r="L2034" s="15">
        <v>3</v>
      </c>
      <c r="M2034" s="43">
        <f t="shared" si="2480"/>
        <v>8</v>
      </c>
      <c r="N2034" s="14"/>
      <c r="O2034" s="55"/>
      <c r="P2034" s="55"/>
      <c r="Q2034" s="55"/>
      <c r="R2034" s="67"/>
      <c r="S2034" s="24">
        <f t="shared" si="2481"/>
        <v>0</v>
      </c>
      <c r="T2034" s="15"/>
      <c r="U2034" s="55">
        <v>3</v>
      </c>
      <c r="V2034" s="55"/>
      <c r="W2034" s="55"/>
      <c r="X2034" s="67">
        <v>3</v>
      </c>
      <c r="Y2034" s="24">
        <f t="shared" si="2482"/>
        <v>6</v>
      </c>
      <c r="Z2034" s="24">
        <f t="shared" si="2474"/>
        <v>23</v>
      </c>
      <c r="AA2034" s="83">
        <v>45898</v>
      </c>
      <c r="AB2034" s="10" t="s">
        <v>181</v>
      </c>
      <c r="AC2034" s="14"/>
      <c r="AD2034" s="15"/>
      <c r="AE2034" s="15"/>
      <c r="AF2034" s="15"/>
      <c r="AG2034" s="15"/>
      <c r="AH2034" s="43">
        <f t="shared" si="2483"/>
        <v>0</v>
      </c>
      <c r="AI2034" s="14"/>
      <c r="AJ2034" s="15"/>
      <c r="AK2034" s="15"/>
      <c r="AL2034" s="15"/>
      <c r="AM2034" s="15"/>
      <c r="AN2034" s="43">
        <f t="shared" si="2484"/>
        <v>0</v>
      </c>
      <c r="AO2034" s="14"/>
      <c r="AP2034" s="55"/>
      <c r="AQ2034" s="55"/>
      <c r="AR2034" s="55"/>
      <c r="AS2034" s="67"/>
      <c r="AT2034" s="24">
        <f t="shared" si="2485"/>
        <v>0</v>
      </c>
      <c r="AU2034" s="15"/>
      <c r="AV2034" s="55"/>
      <c r="AW2034" s="55"/>
      <c r="AX2034" s="55"/>
      <c r="AY2034" s="67"/>
      <c r="AZ2034" s="24">
        <f t="shared" si="2486"/>
        <v>0</v>
      </c>
      <c r="BA2034" s="24">
        <f t="shared" si="2487"/>
        <v>0</v>
      </c>
    </row>
    <row r="2035" spans="1:54" ht="14.25" x14ac:dyDescent="0.15">
      <c r="A2035" s="10" t="s">
        <v>181</v>
      </c>
      <c r="B2035" s="41"/>
      <c r="C2035" s="42"/>
      <c r="D2035" s="42"/>
      <c r="E2035" s="42"/>
      <c r="F2035" s="42"/>
      <c r="G2035" s="43">
        <f t="shared" ref="G2035" si="2488">SUM(B2035:F2035)</f>
        <v>0</v>
      </c>
      <c r="H2035" s="41"/>
      <c r="I2035" s="42">
        <v>3</v>
      </c>
      <c r="J2035" s="42"/>
      <c r="K2035" s="42">
        <v>3</v>
      </c>
      <c r="L2035" s="42"/>
      <c r="M2035" s="43">
        <f t="shared" si="2480"/>
        <v>6</v>
      </c>
      <c r="N2035" s="42"/>
      <c r="O2035" s="53"/>
      <c r="P2035" s="53"/>
      <c r="Q2035" s="53"/>
      <c r="R2035" s="72"/>
      <c r="S2035" s="24">
        <f t="shared" si="2481"/>
        <v>0</v>
      </c>
      <c r="T2035" s="42"/>
      <c r="U2035" s="53"/>
      <c r="V2035" s="53"/>
      <c r="W2035" s="53"/>
      <c r="X2035" s="72"/>
      <c r="Y2035" s="24">
        <f t="shared" si="2482"/>
        <v>0</v>
      </c>
      <c r="Z2035" s="24">
        <f t="shared" si="2474"/>
        <v>6</v>
      </c>
      <c r="AA2035" s="83">
        <v>45910</v>
      </c>
      <c r="AB2035" s="10" t="s">
        <v>181</v>
      </c>
      <c r="AC2035" s="14"/>
      <c r="AD2035" s="15"/>
      <c r="AE2035" s="15"/>
      <c r="AF2035" s="15"/>
      <c r="AG2035" s="15"/>
      <c r="AH2035" s="43">
        <f t="shared" si="2483"/>
        <v>0</v>
      </c>
      <c r="AI2035" s="14"/>
      <c r="AJ2035" s="15"/>
      <c r="AK2035" s="15"/>
      <c r="AL2035" s="15"/>
      <c r="AM2035" s="15"/>
      <c r="AN2035" s="43">
        <f t="shared" si="2484"/>
        <v>0</v>
      </c>
      <c r="AO2035" s="14"/>
      <c r="AP2035" s="55"/>
      <c r="AQ2035" s="55"/>
      <c r="AR2035" s="55"/>
      <c r="AS2035" s="67"/>
      <c r="AT2035" s="24">
        <f t="shared" si="2485"/>
        <v>0</v>
      </c>
      <c r="AU2035" s="15"/>
      <c r="AV2035" s="55"/>
      <c r="AW2035" s="55"/>
      <c r="AX2035" s="55"/>
      <c r="AY2035" s="67"/>
      <c r="AZ2035" s="24">
        <f t="shared" si="2486"/>
        <v>0</v>
      </c>
      <c r="BA2035" s="24">
        <f t="shared" si="2487"/>
        <v>0</v>
      </c>
    </row>
    <row r="2036" spans="1:54" ht="15" thickBot="1" x14ac:dyDescent="0.2">
      <c r="A2036" s="10" t="s">
        <v>181</v>
      </c>
      <c r="B2036" s="14"/>
      <c r="C2036" s="15"/>
      <c r="D2036" s="15"/>
      <c r="E2036" s="15"/>
      <c r="F2036" s="15"/>
      <c r="G2036" s="43">
        <f t="shared" ref="G2036" si="2489">SUM(B2036:F2036)</f>
        <v>0</v>
      </c>
      <c r="H2036" s="14">
        <v>3</v>
      </c>
      <c r="I2036" s="15"/>
      <c r="J2036" s="15">
        <v>3</v>
      </c>
      <c r="K2036" s="15"/>
      <c r="L2036" s="15">
        <v>3</v>
      </c>
      <c r="M2036" s="43">
        <f t="shared" si="2480"/>
        <v>9</v>
      </c>
      <c r="N2036" s="14">
        <v>3</v>
      </c>
      <c r="O2036" s="55"/>
      <c r="P2036" s="55"/>
      <c r="Q2036" s="55">
        <v>3</v>
      </c>
      <c r="R2036" s="67">
        <v>3</v>
      </c>
      <c r="S2036" s="24">
        <f t="shared" si="2481"/>
        <v>9</v>
      </c>
      <c r="T2036" s="15">
        <v>3</v>
      </c>
      <c r="U2036" s="55"/>
      <c r="V2036" s="55"/>
      <c r="W2036" s="55"/>
      <c r="X2036" s="67">
        <v>3</v>
      </c>
      <c r="Y2036" s="24">
        <f t="shared" si="2482"/>
        <v>6</v>
      </c>
      <c r="Z2036" s="24">
        <f t="shared" si="2474"/>
        <v>24</v>
      </c>
      <c r="AA2036" s="83">
        <v>45929</v>
      </c>
      <c r="AB2036" s="10" t="s">
        <v>181</v>
      </c>
      <c r="AC2036" s="14"/>
      <c r="AD2036" s="15"/>
      <c r="AE2036" s="15"/>
      <c r="AF2036" s="15"/>
      <c r="AG2036" s="15"/>
      <c r="AH2036" s="43">
        <f t="shared" si="2483"/>
        <v>0</v>
      </c>
      <c r="AI2036" s="14"/>
      <c r="AJ2036" s="15"/>
      <c r="AK2036" s="15"/>
      <c r="AL2036" s="15"/>
      <c r="AM2036" s="15"/>
      <c r="AN2036" s="43">
        <f t="shared" si="2484"/>
        <v>0</v>
      </c>
      <c r="AO2036" s="14"/>
      <c r="AP2036" s="55"/>
      <c r="AQ2036" s="55"/>
      <c r="AR2036" s="55"/>
      <c r="AS2036" s="67"/>
      <c r="AT2036" s="24">
        <f t="shared" si="2485"/>
        <v>0</v>
      </c>
      <c r="AU2036" s="15"/>
      <c r="AV2036" s="55"/>
      <c r="AW2036" s="55"/>
      <c r="AX2036" s="55"/>
      <c r="AY2036" s="67"/>
      <c r="AZ2036" s="24">
        <f t="shared" si="2486"/>
        <v>0</v>
      </c>
      <c r="BA2036" s="24">
        <f t="shared" si="2487"/>
        <v>0</v>
      </c>
    </row>
    <row r="2037" spans="1:54" ht="15" thickBot="1" x14ac:dyDescent="0.2">
      <c r="A2037" s="4" t="s">
        <v>12</v>
      </c>
      <c r="B2037" s="17">
        <f>SUM(B2032:B2036)</f>
        <v>6</v>
      </c>
      <c r="C2037" s="18">
        <f>SUM(C2032:C2036)</f>
        <v>7</v>
      </c>
      <c r="D2037" s="18">
        <f>SUM(D2032:D2036)</f>
        <v>6</v>
      </c>
      <c r="E2037" s="18">
        <f>SUM(E2032:E2036)</f>
        <v>7</v>
      </c>
      <c r="F2037" s="18">
        <f>SUM(F2032:F2036)</f>
        <v>6</v>
      </c>
      <c r="G2037" s="148">
        <f t="shared" ref="G2037:G2062" si="2490">SUM(B2037:F2037)</f>
        <v>32</v>
      </c>
      <c r="H2037" s="17">
        <f>SUM(H2032:H2036)</f>
        <v>7</v>
      </c>
      <c r="I2037" s="18">
        <f>SUM(I2032:I2036)</f>
        <v>8</v>
      </c>
      <c r="J2037" s="18">
        <f>SUM(J2032:J2036)</f>
        <v>10</v>
      </c>
      <c r="K2037" s="18">
        <f>SUM(K2032:K2036)</f>
        <v>6</v>
      </c>
      <c r="L2037" s="18">
        <f>SUM(L2032:L2036)</f>
        <v>9</v>
      </c>
      <c r="M2037" s="17">
        <f t="shared" ref="M2037:M2062" si="2491">SUM(H2037:L2037)</f>
        <v>40</v>
      </c>
      <c r="N2037" s="65">
        <f>SUM(N2032:N2036)</f>
        <v>8</v>
      </c>
      <c r="O2037" s="18">
        <f>SUM(O2032:O2036)</f>
        <v>5</v>
      </c>
      <c r="P2037" s="18">
        <f>SUM(P2032:P2036)</f>
        <v>8</v>
      </c>
      <c r="Q2037" s="18">
        <f>SUM(Q2032:Q2036)</f>
        <v>7</v>
      </c>
      <c r="R2037" s="70">
        <f>SUM(R2032:R2036)</f>
        <v>6</v>
      </c>
      <c r="S2037" s="49">
        <f t="shared" ref="S2037:S2062" si="2492">SUM(N2037:R2037)</f>
        <v>34</v>
      </c>
      <c r="T2037" s="74">
        <f>SUM(T2032:T2036)</f>
        <v>7</v>
      </c>
      <c r="U2037" s="18">
        <f>SUM(U2032:U2036)</f>
        <v>6</v>
      </c>
      <c r="V2037" s="18">
        <f>SUM(V2032:V2036)</f>
        <v>10</v>
      </c>
      <c r="W2037" s="18">
        <f>SUM(W2032:W2036)</f>
        <v>5</v>
      </c>
      <c r="X2037" s="70">
        <f>SUM(X2032:X2036)</f>
        <v>8</v>
      </c>
      <c r="Y2037" s="49">
        <f t="shared" ref="Y2037:Y2062" si="2493">SUM(T2037:X2037)</f>
        <v>36</v>
      </c>
      <c r="Z2037" s="33">
        <f t="shared" si="2474"/>
        <v>142</v>
      </c>
      <c r="AB2037" s="4" t="s">
        <v>12</v>
      </c>
      <c r="AC2037" s="17">
        <f>SUM(AC2032:AC2036)</f>
        <v>73</v>
      </c>
      <c r="AD2037" s="18">
        <f t="shared" ref="AD2037:AG2037" si="2494">SUM(AD2032:AD2036)</f>
        <v>21</v>
      </c>
      <c r="AE2037" s="18">
        <f t="shared" si="2494"/>
        <v>16</v>
      </c>
      <c r="AF2037" s="18">
        <f t="shared" si="2494"/>
        <v>0</v>
      </c>
      <c r="AG2037" s="18">
        <f t="shared" si="2494"/>
        <v>0</v>
      </c>
      <c r="AH2037" s="148">
        <f>SUM(AC2037:AG2037)</f>
        <v>110</v>
      </c>
      <c r="AI2037" s="17">
        <f>SUM(AI2032:AI2036)</f>
        <v>67</v>
      </c>
      <c r="AJ2037" s="18">
        <f t="shared" ref="AJ2037" si="2495">SUM(AJ2032:AJ2036)</f>
        <v>33</v>
      </c>
      <c r="AK2037" s="18">
        <f t="shared" ref="AK2037" si="2496">SUM(AK2032:AK2036)</f>
        <v>44</v>
      </c>
      <c r="AL2037" s="18">
        <f t="shared" ref="AL2037" si="2497">SUM(AL2032:AL2036)</f>
        <v>8</v>
      </c>
      <c r="AM2037" s="18">
        <f t="shared" ref="AM2037" si="2498">SUM(AM2032:AM2036)</f>
        <v>41</v>
      </c>
      <c r="AN2037" s="148">
        <f>SUM(AI2037:AM2037)</f>
        <v>193</v>
      </c>
      <c r="AO2037" s="17">
        <f>SUM(AO2032:AO2036)</f>
        <v>134</v>
      </c>
      <c r="AP2037" s="18">
        <f t="shared" ref="AP2037" si="2499">SUM(AP2032:AP2036)</f>
        <v>78</v>
      </c>
      <c r="AQ2037" s="18">
        <f t="shared" ref="AQ2037" si="2500">SUM(AQ2032:AQ2036)</f>
        <v>75</v>
      </c>
      <c r="AR2037" s="18">
        <f t="shared" ref="AR2037" si="2501">SUM(AR2032:AR2036)</f>
        <v>96</v>
      </c>
      <c r="AS2037" s="18">
        <f t="shared" ref="AS2037" si="2502">SUM(AS2032:AS2036)</f>
        <v>111</v>
      </c>
      <c r="AT2037" s="148">
        <f>SUM(AO2037:AS2037)</f>
        <v>494</v>
      </c>
      <c r="AU2037" s="17">
        <f>SUM(AU2032:AU2036)</f>
        <v>102</v>
      </c>
      <c r="AV2037" s="18">
        <f t="shared" ref="AV2037" si="2503">SUM(AV2032:AV2036)</f>
        <v>39</v>
      </c>
      <c r="AW2037" s="18">
        <f t="shared" ref="AW2037" si="2504">SUM(AW2032:AW2036)</f>
        <v>0</v>
      </c>
      <c r="AX2037" s="18">
        <f t="shared" ref="AX2037" si="2505">SUM(AX2032:AX2036)</f>
        <v>0</v>
      </c>
      <c r="AY2037" s="18">
        <f t="shared" ref="AY2037" si="2506">SUM(AY2032:AY2036)</f>
        <v>55</v>
      </c>
      <c r="AZ2037" s="148">
        <f>SUM(AU2037:AY2037)</f>
        <v>196</v>
      </c>
      <c r="BA2037" s="33">
        <f>AH2037+AN2037+AT2037+AZ2037</f>
        <v>993</v>
      </c>
    </row>
    <row r="2038" spans="1:54" ht="14.25" x14ac:dyDescent="0.15">
      <c r="A2038" s="23" t="s">
        <v>699</v>
      </c>
      <c r="B2038" s="41"/>
      <c r="C2038" s="42">
        <v>1</v>
      </c>
      <c r="D2038" s="42"/>
      <c r="E2038" s="42"/>
      <c r="F2038" s="42"/>
      <c r="G2038" s="43">
        <f t="shared" si="2490"/>
        <v>1</v>
      </c>
      <c r="H2038" s="41"/>
      <c r="I2038" s="42"/>
      <c r="J2038" s="42"/>
      <c r="K2038" s="42"/>
      <c r="L2038" s="42"/>
      <c r="M2038" s="43">
        <f t="shared" si="2491"/>
        <v>0</v>
      </c>
      <c r="N2038" s="42"/>
      <c r="O2038" s="53"/>
      <c r="P2038" s="53"/>
      <c r="Q2038" s="53"/>
      <c r="R2038" s="72"/>
      <c r="S2038" s="24">
        <f t="shared" si="2492"/>
        <v>0</v>
      </c>
      <c r="T2038" s="42"/>
      <c r="U2038" s="53"/>
      <c r="V2038" s="53"/>
      <c r="W2038" s="53"/>
      <c r="X2038" s="72"/>
      <c r="Y2038" s="24">
        <f t="shared" si="2493"/>
        <v>0</v>
      </c>
      <c r="Z2038" s="24">
        <f t="shared" si="2474"/>
        <v>1</v>
      </c>
      <c r="AA2038" s="83">
        <v>45888</v>
      </c>
      <c r="AB2038" s="23" t="s">
        <v>126</v>
      </c>
      <c r="AC2038" s="41">
        <v>3</v>
      </c>
      <c r="AD2038" s="42">
        <v>3</v>
      </c>
      <c r="AE2038" s="42">
        <v>3</v>
      </c>
      <c r="AF2038" s="42"/>
      <c r="AG2038" s="42"/>
      <c r="AH2038" s="43">
        <f t="shared" ref="AH2038" si="2507">SUM(AC2038:AG2038)</f>
        <v>9</v>
      </c>
      <c r="AI2038" s="41"/>
      <c r="AJ2038" s="42"/>
      <c r="AK2038" s="42">
        <v>5</v>
      </c>
      <c r="AL2038" s="42"/>
      <c r="AM2038" s="42">
        <v>3</v>
      </c>
      <c r="AN2038" s="43">
        <f t="shared" si="2484"/>
        <v>8</v>
      </c>
      <c r="AO2038" s="42"/>
      <c r="AP2038" s="53"/>
      <c r="AQ2038" s="53"/>
      <c r="AR2038" s="53"/>
      <c r="AS2038" s="72"/>
      <c r="AT2038" s="24">
        <f t="shared" si="2485"/>
        <v>0</v>
      </c>
      <c r="AU2038" s="42"/>
      <c r="AV2038" s="53">
        <v>3</v>
      </c>
      <c r="AW2038" s="53"/>
      <c r="AX2038" s="53"/>
      <c r="AY2038" s="72">
        <v>3</v>
      </c>
      <c r="AZ2038" s="24">
        <f t="shared" si="2486"/>
        <v>6</v>
      </c>
      <c r="BA2038" s="24">
        <f t="shared" si="2487"/>
        <v>23</v>
      </c>
      <c r="BB2038" s="83">
        <v>45898</v>
      </c>
    </row>
    <row r="2039" spans="1:54" ht="14.25" x14ac:dyDescent="0.15">
      <c r="A2039" s="23" t="s">
        <v>699</v>
      </c>
      <c r="B2039" s="41"/>
      <c r="C2039" s="42"/>
      <c r="D2039" s="42"/>
      <c r="E2039" s="42">
        <v>1</v>
      </c>
      <c r="F2039" s="42"/>
      <c r="G2039" s="43">
        <f t="shared" si="2490"/>
        <v>1</v>
      </c>
      <c r="H2039" s="41"/>
      <c r="I2039" s="42"/>
      <c r="J2039" s="42"/>
      <c r="K2039" s="42"/>
      <c r="L2039" s="42"/>
      <c r="M2039" s="43">
        <f t="shared" si="2491"/>
        <v>0</v>
      </c>
      <c r="N2039" s="42"/>
      <c r="O2039" s="53"/>
      <c r="P2039" s="53">
        <v>1</v>
      </c>
      <c r="Q2039" s="53"/>
      <c r="R2039" s="72"/>
      <c r="S2039" s="24">
        <f t="shared" si="2492"/>
        <v>1</v>
      </c>
      <c r="T2039" s="42"/>
      <c r="U2039" s="53"/>
      <c r="V2039" s="53"/>
      <c r="W2039" s="53"/>
      <c r="X2039" s="72"/>
      <c r="Y2039" s="24">
        <f t="shared" si="2493"/>
        <v>0</v>
      </c>
      <c r="Z2039" s="24">
        <f t="shared" si="2474"/>
        <v>2</v>
      </c>
      <c r="AA2039" s="83">
        <v>45890</v>
      </c>
      <c r="AB2039" s="23" t="s">
        <v>126</v>
      </c>
      <c r="AC2039" s="41"/>
      <c r="AD2039" s="42"/>
      <c r="AE2039" s="42"/>
      <c r="AF2039" s="42"/>
      <c r="AG2039" s="42"/>
      <c r="AH2039" s="43">
        <f t="shared" ref="AH2039:AH2041" si="2508">SUM(AC2039:AG2039)</f>
        <v>0</v>
      </c>
      <c r="AI2039" s="41"/>
      <c r="AJ2039" s="42">
        <v>3</v>
      </c>
      <c r="AK2039" s="42"/>
      <c r="AL2039" s="42">
        <v>3</v>
      </c>
      <c r="AM2039" s="42"/>
      <c r="AN2039" s="43">
        <f t="shared" ref="AN2039:AN2041" si="2509">SUM(AI2039:AM2039)</f>
        <v>6</v>
      </c>
      <c r="AO2039" s="42"/>
      <c r="AP2039" s="53"/>
      <c r="AQ2039" s="53"/>
      <c r="AR2039" s="53"/>
      <c r="AS2039" s="72"/>
      <c r="AT2039" s="24">
        <f t="shared" ref="AT2039:AT2041" si="2510">SUM(AO2039:AS2039)</f>
        <v>0</v>
      </c>
      <c r="AU2039" s="42"/>
      <c r="AV2039" s="53"/>
      <c r="AW2039" s="53"/>
      <c r="AX2039" s="53"/>
      <c r="AY2039" s="72"/>
      <c r="AZ2039" s="24">
        <f t="shared" ref="AZ2039:AZ2041" si="2511">SUM(AU2039:AY2039)</f>
        <v>0</v>
      </c>
      <c r="BA2039" s="24">
        <f t="shared" ref="BA2039:BA2041" si="2512">AH2039+AN2039+AT2039+AZ2039</f>
        <v>6</v>
      </c>
      <c r="BB2039" s="83">
        <v>45910</v>
      </c>
    </row>
    <row r="2040" spans="1:54" ht="14.25" x14ac:dyDescent="0.15">
      <c r="A2040" s="23" t="s">
        <v>699</v>
      </c>
      <c r="B2040" s="41">
        <v>1</v>
      </c>
      <c r="C2040" s="42"/>
      <c r="D2040" s="42"/>
      <c r="E2040" s="42"/>
      <c r="F2040" s="42">
        <v>1</v>
      </c>
      <c r="G2040" s="43">
        <f t="shared" si="2490"/>
        <v>2</v>
      </c>
      <c r="H2040" s="41"/>
      <c r="I2040" s="42"/>
      <c r="J2040" s="42"/>
      <c r="K2040" s="42">
        <v>1</v>
      </c>
      <c r="L2040" s="42"/>
      <c r="M2040" s="43">
        <f t="shared" si="2491"/>
        <v>1</v>
      </c>
      <c r="N2040" s="42"/>
      <c r="O2040" s="53"/>
      <c r="P2040" s="53"/>
      <c r="Q2040" s="53"/>
      <c r="R2040" s="72"/>
      <c r="S2040" s="24">
        <f t="shared" si="2492"/>
        <v>0</v>
      </c>
      <c r="T2040" s="42"/>
      <c r="U2040" s="53"/>
      <c r="V2040" s="53"/>
      <c r="W2040" s="53"/>
      <c r="X2040" s="72"/>
      <c r="Y2040" s="24">
        <f t="shared" si="2493"/>
        <v>0</v>
      </c>
      <c r="Z2040" s="24">
        <f t="shared" si="2474"/>
        <v>3</v>
      </c>
      <c r="AA2040" s="83">
        <v>45894</v>
      </c>
      <c r="AB2040" s="23" t="s">
        <v>126</v>
      </c>
      <c r="AC2040" s="41"/>
      <c r="AD2040" s="42"/>
      <c r="AE2040" s="42"/>
      <c r="AF2040" s="42"/>
      <c r="AG2040" s="42"/>
      <c r="AH2040" s="43">
        <f t="shared" ref="AH2040" si="2513">SUM(AC2040:AG2040)</f>
        <v>0</v>
      </c>
      <c r="AI2040" s="41">
        <v>3</v>
      </c>
      <c r="AJ2040" s="42"/>
      <c r="AK2040" s="42">
        <v>3</v>
      </c>
      <c r="AL2040" s="42"/>
      <c r="AM2040" s="42">
        <v>3</v>
      </c>
      <c r="AN2040" s="43">
        <f t="shared" si="2509"/>
        <v>9</v>
      </c>
      <c r="AO2040" s="42">
        <v>3</v>
      </c>
      <c r="AP2040" s="53"/>
      <c r="AQ2040" s="53"/>
      <c r="AR2040" s="53">
        <v>3</v>
      </c>
      <c r="AS2040" s="72">
        <v>3</v>
      </c>
      <c r="AT2040" s="24">
        <f t="shared" si="2510"/>
        <v>9</v>
      </c>
      <c r="AU2040" s="42">
        <v>3</v>
      </c>
      <c r="AV2040" s="53"/>
      <c r="AW2040" s="53"/>
      <c r="AX2040" s="53"/>
      <c r="AY2040" s="72">
        <v>3</v>
      </c>
      <c r="AZ2040" s="24">
        <f t="shared" si="2511"/>
        <v>6</v>
      </c>
      <c r="BA2040" s="24">
        <f t="shared" si="2512"/>
        <v>24</v>
      </c>
      <c r="BB2040" s="83">
        <v>45929</v>
      </c>
    </row>
    <row r="2041" spans="1:54" ht="14.25" x14ac:dyDescent="0.15">
      <c r="A2041" s="23" t="s">
        <v>699</v>
      </c>
      <c r="B2041" s="41"/>
      <c r="C2041" s="42"/>
      <c r="D2041" s="42"/>
      <c r="E2041" s="42">
        <f>1+1</f>
        <v>2</v>
      </c>
      <c r="F2041" s="42"/>
      <c r="G2041" s="43">
        <f t="shared" si="2490"/>
        <v>2</v>
      </c>
      <c r="H2041" s="41"/>
      <c r="I2041" s="42"/>
      <c r="J2041" s="42"/>
      <c r="K2041" s="42"/>
      <c r="L2041" s="42"/>
      <c r="M2041" s="43">
        <f t="shared" si="2491"/>
        <v>0</v>
      </c>
      <c r="N2041" s="42"/>
      <c r="O2041" s="53">
        <v>1</v>
      </c>
      <c r="P2041" s="53"/>
      <c r="Q2041" s="53"/>
      <c r="R2041" s="72"/>
      <c r="S2041" s="24">
        <f t="shared" si="2492"/>
        <v>1</v>
      </c>
      <c r="T2041" s="42"/>
      <c r="U2041" s="53"/>
      <c r="V2041" s="53"/>
      <c r="W2041" s="53"/>
      <c r="X2041" s="72"/>
      <c r="Y2041" s="24">
        <f t="shared" si="2493"/>
        <v>0</v>
      </c>
      <c r="Z2041" s="24">
        <f t="shared" si="2474"/>
        <v>3</v>
      </c>
      <c r="AA2041" s="83">
        <v>45896</v>
      </c>
      <c r="AB2041" s="23"/>
      <c r="AC2041" s="41"/>
      <c r="AD2041" s="42"/>
      <c r="AE2041" s="42"/>
      <c r="AF2041" s="42"/>
      <c r="AG2041" s="42"/>
      <c r="AH2041" s="43">
        <f t="shared" si="2508"/>
        <v>0</v>
      </c>
      <c r="AI2041" s="41"/>
      <c r="AJ2041" s="42"/>
      <c r="AK2041" s="42"/>
      <c r="AL2041" s="42"/>
      <c r="AM2041" s="42"/>
      <c r="AN2041" s="43">
        <f t="shared" si="2509"/>
        <v>0</v>
      </c>
      <c r="AO2041" s="42"/>
      <c r="AP2041" s="53"/>
      <c r="AQ2041" s="53"/>
      <c r="AR2041" s="53"/>
      <c r="AS2041" s="72"/>
      <c r="AT2041" s="24">
        <f t="shared" si="2510"/>
        <v>0</v>
      </c>
      <c r="AU2041" s="42"/>
      <c r="AV2041" s="53"/>
      <c r="AW2041" s="53"/>
      <c r="AX2041" s="53"/>
      <c r="AY2041" s="72"/>
      <c r="AZ2041" s="24">
        <f t="shared" si="2511"/>
        <v>0</v>
      </c>
      <c r="BA2041" s="24">
        <f t="shared" si="2512"/>
        <v>0</v>
      </c>
      <c r="BB2041" s="128"/>
    </row>
    <row r="2042" spans="1:54" ht="14.25" x14ac:dyDescent="0.15">
      <c r="A2042" s="23" t="s">
        <v>699</v>
      </c>
      <c r="B2042" s="41"/>
      <c r="C2042" s="42"/>
      <c r="D2042" s="42"/>
      <c r="E2042" s="42"/>
      <c r="F2042" s="42"/>
      <c r="G2042" s="43">
        <f t="shared" si="2490"/>
        <v>0</v>
      </c>
      <c r="H2042" s="41"/>
      <c r="I2042" s="42"/>
      <c r="J2042" s="42">
        <v>1</v>
      </c>
      <c r="K2042" s="42"/>
      <c r="L2042" s="42"/>
      <c r="M2042" s="43">
        <f t="shared" si="2491"/>
        <v>1</v>
      </c>
      <c r="N2042" s="42"/>
      <c r="O2042" s="53"/>
      <c r="P2042" s="53"/>
      <c r="Q2042" s="53"/>
      <c r="R2042" s="72"/>
      <c r="S2042" s="24">
        <f t="shared" si="2492"/>
        <v>0</v>
      </c>
      <c r="T2042" s="42"/>
      <c r="U2042" s="53"/>
      <c r="V2042" s="53"/>
      <c r="W2042" s="53"/>
      <c r="X2042" s="72"/>
      <c r="Y2042" s="24">
        <f t="shared" si="2493"/>
        <v>0</v>
      </c>
      <c r="Z2042" s="24">
        <f t="shared" si="2474"/>
        <v>1</v>
      </c>
      <c r="AA2042" s="83">
        <v>45897</v>
      </c>
      <c r="AB2042" s="23"/>
      <c r="AC2042" s="41"/>
      <c r="AD2042" s="42"/>
      <c r="AE2042" s="42"/>
      <c r="AF2042" s="42"/>
      <c r="AG2042" s="42"/>
      <c r="AH2042" s="43">
        <f t="shared" si="2483"/>
        <v>0</v>
      </c>
      <c r="AI2042" s="41"/>
      <c r="AJ2042" s="42"/>
      <c r="AK2042" s="42"/>
      <c r="AL2042" s="42"/>
      <c r="AM2042" s="42"/>
      <c r="AN2042" s="43">
        <f t="shared" si="2484"/>
        <v>0</v>
      </c>
      <c r="AO2042" s="42"/>
      <c r="AP2042" s="53"/>
      <c r="AQ2042" s="53"/>
      <c r="AR2042" s="53"/>
      <c r="AS2042" s="72"/>
      <c r="AT2042" s="24">
        <f t="shared" si="2485"/>
        <v>0</v>
      </c>
      <c r="AU2042" s="42"/>
      <c r="AV2042" s="53"/>
      <c r="AW2042" s="53"/>
      <c r="AX2042" s="53"/>
      <c r="AY2042" s="72"/>
      <c r="AZ2042" s="24">
        <f t="shared" si="2486"/>
        <v>0</v>
      </c>
      <c r="BA2042" s="24">
        <f t="shared" si="2487"/>
        <v>0</v>
      </c>
      <c r="BB2042" s="128"/>
    </row>
    <row r="2043" spans="1:54" ht="14.25" x14ac:dyDescent="0.15">
      <c r="A2043" s="23" t="s">
        <v>699</v>
      </c>
      <c r="B2043" s="41"/>
      <c r="C2043" s="42"/>
      <c r="D2043" s="42"/>
      <c r="E2043" s="42"/>
      <c r="F2043" s="42"/>
      <c r="G2043" s="43">
        <f t="shared" si="2490"/>
        <v>0</v>
      </c>
      <c r="H2043" s="41"/>
      <c r="I2043" s="42"/>
      <c r="J2043" s="42"/>
      <c r="K2043" s="42"/>
      <c r="L2043" s="42"/>
      <c r="M2043" s="43">
        <f t="shared" si="2491"/>
        <v>0</v>
      </c>
      <c r="N2043" s="42"/>
      <c r="O2043" s="53"/>
      <c r="P2043" s="53"/>
      <c r="Q2043" s="53"/>
      <c r="R2043" s="72"/>
      <c r="S2043" s="24">
        <f t="shared" si="2492"/>
        <v>0</v>
      </c>
      <c r="T2043" s="42"/>
      <c r="U2043" s="53"/>
      <c r="V2043" s="53"/>
      <c r="W2043" s="53"/>
      <c r="X2043" s="72">
        <v>1</v>
      </c>
      <c r="Y2043" s="24">
        <f t="shared" si="2493"/>
        <v>1</v>
      </c>
      <c r="Z2043" s="24">
        <f t="shared" si="2474"/>
        <v>1</v>
      </c>
      <c r="AA2043" s="83">
        <v>45898</v>
      </c>
      <c r="AB2043" s="23"/>
      <c r="AC2043" s="41"/>
      <c r="AD2043" s="42"/>
      <c r="AE2043" s="42"/>
      <c r="AF2043" s="42"/>
      <c r="AG2043" s="42"/>
      <c r="AH2043" s="43">
        <f t="shared" si="2483"/>
        <v>0</v>
      </c>
      <c r="AI2043" s="41"/>
      <c r="AJ2043" s="42"/>
      <c r="AK2043" s="42"/>
      <c r="AL2043" s="42"/>
      <c r="AM2043" s="42"/>
      <c r="AN2043" s="43">
        <f t="shared" si="2484"/>
        <v>0</v>
      </c>
      <c r="AO2043" s="42"/>
      <c r="AP2043" s="53"/>
      <c r="AQ2043" s="53"/>
      <c r="AR2043" s="53"/>
      <c r="AS2043" s="72"/>
      <c r="AT2043" s="24">
        <f t="shared" si="2485"/>
        <v>0</v>
      </c>
      <c r="AU2043" s="42"/>
      <c r="AV2043" s="53"/>
      <c r="AW2043" s="53"/>
      <c r="AX2043" s="53"/>
      <c r="AY2043" s="72"/>
      <c r="AZ2043" s="24">
        <f t="shared" si="2486"/>
        <v>0</v>
      </c>
      <c r="BA2043" s="24">
        <f t="shared" si="2487"/>
        <v>0</v>
      </c>
      <c r="BB2043" s="128"/>
    </row>
    <row r="2044" spans="1:54" ht="14.25" x14ac:dyDescent="0.15">
      <c r="A2044" s="23" t="s">
        <v>699</v>
      </c>
      <c r="B2044" s="41"/>
      <c r="C2044" s="42"/>
      <c r="D2044" s="42"/>
      <c r="E2044" s="42"/>
      <c r="F2044" s="42"/>
      <c r="G2044" s="43">
        <f t="shared" si="2490"/>
        <v>0</v>
      </c>
      <c r="H2044" s="41"/>
      <c r="I2044" s="42"/>
      <c r="J2044" s="42"/>
      <c r="K2044" s="42"/>
      <c r="L2044" s="42"/>
      <c r="M2044" s="43">
        <f t="shared" si="2491"/>
        <v>0</v>
      </c>
      <c r="N2044" s="42"/>
      <c r="O2044" s="53"/>
      <c r="P2044" s="53"/>
      <c r="Q2044" s="53"/>
      <c r="R2044" s="72"/>
      <c r="S2044" s="24">
        <f t="shared" si="2492"/>
        <v>0</v>
      </c>
      <c r="T2044" s="42"/>
      <c r="U2044" s="53"/>
      <c r="V2044" s="53"/>
      <c r="W2044" s="53"/>
      <c r="X2044" s="72">
        <v>1</v>
      </c>
      <c r="Y2044" s="24">
        <f t="shared" si="2493"/>
        <v>1</v>
      </c>
      <c r="Z2044" s="24">
        <f t="shared" si="2474"/>
        <v>1</v>
      </c>
      <c r="AA2044" s="93">
        <v>45899</v>
      </c>
      <c r="AB2044" s="23"/>
      <c r="AC2044" s="41"/>
      <c r="AD2044" s="42"/>
      <c r="AE2044" s="42"/>
      <c r="AF2044" s="42"/>
      <c r="AG2044" s="42"/>
      <c r="AH2044" s="43">
        <f t="shared" si="2483"/>
        <v>0</v>
      </c>
      <c r="AI2044" s="41"/>
      <c r="AJ2044" s="42"/>
      <c r="AK2044" s="42"/>
      <c r="AL2044" s="42"/>
      <c r="AM2044" s="42"/>
      <c r="AN2044" s="43">
        <f t="shared" si="2484"/>
        <v>0</v>
      </c>
      <c r="AO2044" s="42"/>
      <c r="AP2044" s="53"/>
      <c r="AQ2044" s="53"/>
      <c r="AR2044" s="53"/>
      <c r="AS2044" s="72"/>
      <c r="AT2044" s="24">
        <f t="shared" si="2485"/>
        <v>0</v>
      </c>
      <c r="AU2044" s="42"/>
      <c r="AV2044" s="53"/>
      <c r="AW2044" s="53"/>
      <c r="AX2044" s="53"/>
      <c r="AY2044" s="72"/>
      <c r="AZ2044" s="24">
        <f t="shared" si="2486"/>
        <v>0</v>
      </c>
      <c r="BA2044" s="24">
        <f t="shared" si="2487"/>
        <v>0</v>
      </c>
    </row>
    <row r="2045" spans="1:54" ht="14.25" x14ac:dyDescent="0.15">
      <c r="A2045" s="23" t="s">
        <v>699</v>
      </c>
      <c r="B2045" s="41"/>
      <c r="C2045" s="42">
        <v>1</v>
      </c>
      <c r="D2045" s="42"/>
      <c r="E2045" s="42"/>
      <c r="F2045" s="42"/>
      <c r="G2045" s="43">
        <f t="shared" si="2490"/>
        <v>1</v>
      </c>
      <c r="H2045" s="41"/>
      <c r="I2045" s="42"/>
      <c r="J2045" s="42">
        <v>1</v>
      </c>
      <c r="K2045" s="42">
        <v>1</v>
      </c>
      <c r="L2045" s="42"/>
      <c r="M2045" s="43">
        <f t="shared" si="2491"/>
        <v>2</v>
      </c>
      <c r="N2045" s="42">
        <v>1</v>
      </c>
      <c r="O2045" s="53"/>
      <c r="P2045" s="53"/>
      <c r="Q2045" s="53"/>
      <c r="R2045" s="72">
        <v>1</v>
      </c>
      <c r="S2045" s="24">
        <f t="shared" si="2492"/>
        <v>2</v>
      </c>
      <c r="T2045" s="42">
        <v>1</v>
      </c>
      <c r="U2045" s="53"/>
      <c r="V2045" s="53"/>
      <c r="W2045" s="53"/>
      <c r="X2045" s="72"/>
      <c r="Y2045" s="24">
        <f t="shared" si="2493"/>
        <v>1</v>
      </c>
      <c r="Z2045" s="24">
        <f t="shared" si="2474"/>
        <v>6</v>
      </c>
      <c r="AA2045" s="93">
        <v>45901</v>
      </c>
      <c r="AB2045" s="23"/>
      <c r="AC2045" s="41"/>
      <c r="AD2045" s="42"/>
      <c r="AE2045" s="42"/>
      <c r="AF2045" s="42"/>
      <c r="AG2045" s="42"/>
      <c r="AH2045" s="43">
        <f t="shared" si="2483"/>
        <v>0</v>
      </c>
      <c r="AI2045" s="41"/>
      <c r="AJ2045" s="42"/>
      <c r="AK2045" s="42"/>
      <c r="AL2045" s="42"/>
      <c r="AM2045" s="42"/>
      <c r="AN2045" s="43">
        <f t="shared" si="2484"/>
        <v>0</v>
      </c>
      <c r="AO2045" s="42"/>
      <c r="AP2045" s="53"/>
      <c r="AQ2045" s="53"/>
      <c r="AR2045" s="53"/>
      <c r="AS2045" s="72"/>
      <c r="AT2045" s="24">
        <f t="shared" si="2485"/>
        <v>0</v>
      </c>
      <c r="AU2045" s="42"/>
      <c r="AV2045" s="53"/>
      <c r="AW2045" s="53"/>
      <c r="AX2045" s="53"/>
      <c r="AY2045" s="72"/>
      <c r="AZ2045" s="24">
        <f t="shared" si="2486"/>
        <v>0</v>
      </c>
      <c r="BA2045" s="24">
        <f t="shared" si="2487"/>
        <v>0</v>
      </c>
    </row>
    <row r="2046" spans="1:54" ht="14.25" x14ac:dyDescent="0.15">
      <c r="A2046" s="23" t="s">
        <v>699</v>
      </c>
      <c r="B2046" s="41"/>
      <c r="C2046" s="42"/>
      <c r="D2046" s="42"/>
      <c r="E2046" s="42">
        <v>1</v>
      </c>
      <c r="F2046" s="42"/>
      <c r="G2046" s="43">
        <f t="shared" si="2490"/>
        <v>1</v>
      </c>
      <c r="H2046" s="41"/>
      <c r="I2046" s="42">
        <v>1</v>
      </c>
      <c r="J2046" s="42"/>
      <c r="K2046" s="42"/>
      <c r="L2046" s="42"/>
      <c r="M2046" s="43">
        <f t="shared" si="2491"/>
        <v>1</v>
      </c>
      <c r="N2046" s="42"/>
      <c r="O2046" s="53"/>
      <c r="P2046" s="53"/>
      <c r="Q2046" s="53"/>
      <c r="R2046" s="72"/>
      <c r="S2046" s="24">
        <f t="shared" si="2492"/>
        <v>0</v>
      </c>
      <c r="T2046" s="42"/>
      <c r="U2046" s="53"/>
      <c r="V2046" s="53"/>
      <c r="W2046" s="53"/>
      <c r="X2046" s="72"/>
      <c r="Y2046" s="24">
        <f t="shared" si="2493"/>
        <v>0</v>
      </c>
      <c r="Z2046" s="24">
        <f t="shared" si="2474"/>
        <v>2</v>
      </c>
      <c r="AA2046" s="93">
        <v>45903</v>
      </c>
      <c r="AB2046" s="23"/>
      <c r="AC2046" s="41"/>
      <c r="AD2046" s="42"/>
      <c r="AE2046" s="42"/>
      <c r="AF2046" s="42"/>
      <c r="AG2046" s="42"/>
      <c r="AH2046" s="43">
        <f t="shared" si="2483"/>
        <v>0</v>
      </c>
      <c r="AI2046" s="41"/>
      <c r="AJ2046" s="42"/>
      <c r="AK2046" s="42"/>
      <c r="AL2046" s="42"/>
      <c r="AM2046" s="42"/>
      <c r="AN2046" s="43">
        <f t="shared" si="2484"/>
        <v>0</v>
      </c>
      <c r="AO2046" s="42"/>
      <c r="AP2046" s="53"/>
      <c r="AQ2046" s="53"/>
      <c r="AR2046" s="53"/>
      <c r="AS2046" s="72"/>
      <c r="AT2046" s="24">
        <f t="shared" si="2485"/>
        <v>0</v>
      </c>
      <c r="AU2046" s="42"/>
      <c r="AV2046" s="53"/>
      <c r="AW2046" s="53"/>
      <c r="AX2046" s="53"/>
      <c r="AY2046" s="72"/>
      <c r="AZ2046" s="24">
        <f t="shared" si="2486"/>
        <v>0</v>
      </c>
      <c r="BA2046" s="24">
        <f t="shared" si="2487"/>
        <v>0</v>
      </c>
    </row>
    <row r="2047" spans="1:54" ht="14.25" x14ac:dyDescent="0.15">
      <c r="A2047" s="23" t="s">
        <v>699</v>
      </c>
      <c r="B2047" s="41"/>
      <c r="C2047" s="42"/>
      <c r="D2047" s="42"/>
      <c r="E2047" s="42"/>
      <c r="F2047" s="42">
        <v>1</v>
      </c>
      <c r="G2047" s="43">
        <f t="shared" si="2490"/>
        <v>1</v>
      </c>
      <c r="H2047" s="41"/>
      <c r="I2047" s="42"/>
      <c r="J2047" s="42"/>
      <c r="K2047" s="42"/>
      <c r="L2047" s="42"/>
      <c r="M2047" s="43">
        <f t="shared" si="2491"/>
        <v>0</v>
      </c>
      <c r="N2047" s="42"/>
      <c r="O2047" s="53"/>
      <c r="P2047" s="53"/>
      <c r="Q2047" s="53"/>
      <c r="R2047" s="72"/>
      <c r="S2047" s="24">
        <f t="shared" si="2492"/>
        <v>0</v>
      </c>
      <c r="T2047" s="42"/>
      <c r="U2047" s="53"/>
      <c r="V2047" s="53"/>
      <c r="W2047" s="53"/>
      <c r="X2047" s="72"/>
      <c r="Y2047" s="24">
        <f t="shared" si="2493"/>
        <v>0</v>
      </c>
      <c r="Z2047" s="24">
        <f t="shared" si="2474"/>
        <v>1</v>
      </c>
      <c r="AA2047" s="93">
        <v>45905</v>
      </c>
      <c r="AB2047" s="23"/>
      <c r="AC2047" s="41"/>
      <c r="AD2047" s="42"/>
      <c r="AE2047" s="42"/>
      <c r="AF2047" s="42"/>
      <c r="AG2047" s="42"/>
      <c r="AH2047" s="43">
        <f t="shared" si="2483"/>
        <v>0</v>
      </c>
      <c r="AI2047" s="41"/>
      <c r="AJ2047" s="42"/>
      <c r="AK2047" s="42"/>
      <c r="AL2047" s="42"/>
      <c r="AM2047" s="42"/>
      <c r="AN2047" s="43">
        <f t="shared" si="2484"/>
        <v>0</v>
      </c>
      <c r="AO2047" s="42"/>
      <c r="AP2047" s="53"/>
      <c r="AQ2047" s="53"/>
      <c r="AR2047" s="53"/>
      <c r="AS2047" s="72"/>
      <c r="AT2047" s="24">
        <f t="shared" si="2485"/>
        <v>0</v>
      </c>
      <c r="AU2047" s="42"/>
      <c r="AV2047" s="53"/>
      <c r="AW2047" s="53"/>
      <c r="AX2047" s="53"/>
      <c r="AY2047" s="72"/>
      <c r="AZ2047" s="24">
        <f t="shared" si="2486"/>
        <v>0</v>
      </c>
      <c r="BA2047" s="24">
        <f t="shared" si="2487"/>
        <v>0</v>
      </c>
    </row>
    <row r="2048" spans="1:54" ht="14.25" x14ac:dyDescent="0.15">
      <c r="A2048" s="23" t="s">
        <v>706</v>
      </c>
      <c r="B2048" s="41">
        <v>1</v>
      </c>
      <c r="C2048" s="42"/>
      <c r="D2048" s="42"/>
      <c r="E2048" s="42"/>
      <c r="F2048" s="42"/>
      <c r="G2048" s="43">
        <f t="shared" si="2490"/>
        <v>1</v>
      </c>
      <c r="H2048" s="41"/>
      <c r="I2048" s="42"/>
      <c r="J2048" s="42"/>
      <c r="K2048" s="42"/>
      <c r="L2048" s="42"/>
      <c r="M2048" s="43">
        <f t="shared" si="2491"/>
        <v>0</v>
      </c>
      <c r="N2048" s="42">
        <v>1</v>
      </c>
      <c r="O2048" s="53"/>
      <c r="P2048" s="53"/>
      <c r="Q2048" s="53"/>
      <c r="R2048" s="72"/>
      <c r="S2048" s="24">
        <f t="shared" si="2492"/>
        <v>1</v>
      </c>
      <c r="T2048" s="42"/>
      <c r="U2048" s="53"/>
      <c r="V2048" s="53"/>
      <c r="W2048" s="53"/>
      <c r="X2048" s="72"/>
      <c r="Y2048" s="24">
        <f t="shared" si="2493"/>
        <v>0</v>
      </c>
      <c r="Z2048" s="24">
        <f t="shared" si="2474"/>
        <v>2</v>
      </c>
      <c r="AA2048" s="93">
        <v>45908</v>
      </c>
      <c r="AB2048" s="23"/>
      <c r="AC2048" s="41"/>
      <c r="AD2048" s="42"/>
      <c r="AE2048" s="42"/>
      <c r="AF2048" s="42"/>
      <c r="AG2048" s="42"/>
      <c r="AH2048" s="43">
        <f t="shared" si="2483"/>
        <v>0</v>
      </c>
      <c r="AI2048" s="41"/>
      <c r="AJ2048" s="42"/>
      <c r="AK2048" s="42"/>
      <c r="AL2048" s="42"/>
      <c r="AM2048" s="42"/>
      <c r="AN2048" s="43">
        <f t="shared" si="2484"/>
        <v>0</v>
      </c>
      <c r="AO2048" s="42"/>
      <c r="AP2048" s="53"/>
      <c r="AQ2048" s="53"/>
      <c r="AR2048" s="53"/>
      <c r="AS2048" s="72"/>
      <c r="AT2048" s="24">
        <f t="shared" si="2485"/>
        <v>0</v>
      </c>
      <c r="AU2048" s="42"/>
      <c r="AV2048" s="53"/>
      <c r="AW2048" s="53"/>
      <c r="AX2048" s="53"/>
      <c r="AY2048" s="72"/>
      <c r="AZ2048" s="24">
        <f t="shared" si="2486"/>
        <v>0</v>
      </c>
      <c r="BA2048" s="24">
        <f t="shared" si="2487"/>
        <v>0</v>
      </c>
    </row>
    <row r="2049" spans="1:55" ht="14.25" x14ac:dyDescent="0.15">
      <c r="A2049" s="23" t="s">
        <v>699</v>
      </c>
      <c r="B2049" s="41"/>
      <c r="C2049" s="42"/>
      <c r="D2049" s="42"/>
      <c r="E2049" s="42"/>
      <c r="F2049" s="42"/>
      <c r="G2049" s="43">
        <f t="shared" si="2490"/>
        <v>0</v>
      </c>
      <c r="H2049" s="41"/>
      <c r="I2049" s="42"/>
      <c r="J2049" s="42">
        <v>1</v>
      </c>
      <c r="K2049" s="42"/>
      <c r="L2049" s="42"/>
      <c r="M2049" s="43">
        <f t="shared" si="2491"/>
        <v>1</v>
      </c>
      <c r="N2049" s="42"/>
      <c r="O2049" s="53"/>
      <c r="P2049" s="53"/>
      <c r="Q2049" s="53"/>
      <c r="R2049" s="72"/>
      <c r="S2049" s="24">
        <f t="shared" si="2492"/>
        <v>0</v>
      </c>
      <c r="T2049" s="42"/>
      <c r="U2049" s="53"/>
      <c r="V2049" s="53"/>
      <c r="W2049" s="53"/>
      <c r="X2049" s="72"/>
      <c r="Y2049" s="24">
        <f t="shared" si="2493"/>
        <v>0</v>
      </c>
      <c r="Z2049" s="24">
        <f t="shared" si="2474"/>
        <v>1</v>
      </c>
      <c r="AA2049" s="93">
        <v>45906</v>
      </c>
      <c r="AB2049" s="23"/>
      <c r="AC2049" s="41"/>
      <c r="AD2049" s="42"/>
      <c r="AE2049" s="42"/>
      <c r="AF2049" s="42"/>
      <c r="AG2049" s="42"/>
      <c r="AH2049" s="43">
        <f t="shared" si="2483"/>
        <v>0</v>
      </c>
      <c r="AI2049" s="41"/>
      <c r="AJ2049" s="42"/>
      <c r="AK2049" s="42"/>
      <c r="AL2049" s="42"/>
      <c r="AM2049" s="42"/>
      <c r="AN2049" s="43">
        <f t="shared" si="2484"/>
        <v>0</v>
      </c>
      <c r="AO2049" s="42"/>
      <c r="AP2049" s="53"/>
      <c r="AQ2049" s="53"/>
      <c r="AR2049" s="53"/>
      <c r="AS2049" s="72"/>
      <c r="AT2049" s="24">
        <f t="shared" si="2485"/>
        <v>0</v>
      </c>
      <c r="AU2049" s="42"/>
      <c r="AV2049" s="53"/>
      <c r="AW2049" s="53"/>
      <c r="AX2049" s="53"/>
      <c r="AY2049" s="72"/>
      <c r="AZ2049" s="24">
        <f t="shared" si="2486"/>
        <v>0</v>
      </c>
      <c r="BA2049" s="24">
        <f t="shared" si="2487"/>
        <v>0</v>
      </c>
    </row>
    <row r="2050" spans="1:55" ht="14.25" x14ac:dyDescent="0.15">
      <c r="A2050" s="23" t="s">
        <v>699</v>
      </c>
      <c r="B2050" s="41"/>
      <c r="C2050" s="42"/>
      <c r="D2050" s="42"/>
      <c r="E2050" s="42">
        <v>1</v>
      </c>
      <c r="F2050" s="42"/>
      <c r="G2050" s="43">
        <f t="shared" si="2490"/>
        <v>1</v>
      </c>
      <c r="H2050" s="41">
        <v>1</v>
      </c>
      <c r="I2050" s="42">
        <v>1</v>
      </c>
      <c r="J2050" s="42"/>
      <c r="K2050" s="42"/>
      <c r="L2050" s="42"/>
      <c r="M2050" s="43">
        <f t="shared" si="2491"/>
        <v>2</v>
      </c>
      <c r="N2050" s="42"/>
      <c r="O2050" s="53"/>
      <c r="P2050" s="53"/>
      <c r="Q2050" s="53"/>
      <c r="R2050" s="72"/>
      <c r="S2050" s="24">
        <f t="shared" si="2492"/>
        <v>0</v>
      </c>
      <c r="T2050" s="42"/>
      <c r="U2050" s="53"/>
      <c r="V2050" s="53"/>
      <c r="W2050" s="53">
        <v>1</v>
      </c>
      <c r="X2050" s="72"/>
      <c r="Y2050" s="24">
        <f t="shared" si="2493"/>
        <v>1</v>
      </c>
      <c r="Z2050" s="24">
        <f t="shared" si="2474"/>
        <v>4</v>
      </c>
      <c r="AA2050" s="93">
        <v>45908</v>
      </c>
      <c r="AB2050" s="23"/>
      <c r="AC2050" s="41"/>
      <c r="AD2050" s="42"/>
      <c r="AE2050" s="42"/>
      <c r="AF2050" s="42"/>
      <c r="AG2050" s="42"/>
      <c r="AH2050" s="43">
        <f t="shared" si="2483"/>
        <v>0</v>
      </c>
      <c r="AI2050" s="41"/>
      <c r="AJ2050" s="42"/>
      <c r="AK2050" s="42"/>
      <c r="AL2050" s="42"/>
      <c r="AM2050" s="42"/>
      <c r="AN2050" s="43">
        <f t="shared" si="2484"/>
        <v>0</v>
      </c>
      <c r="AO2050" s="42"/>
      <c r="AP2050" s="53"/>
      <c r="AQ2050" s="53"/>
      <c r="AR2050" s="53"/>
      <c r="AS2050" s="72"/>
      <c r="AT2050" s="24">
        <f t="shared" si="2485"/>
        <v>0</v>
      </c>
      <c r="AU2050" s="42"/>
      <c r="AV2050" s="53"/>
      <c r="AW2050" s="53"/>
      <c r="AX2050" s="53"/>
      <c r="AY2050" s="72"/>
      <c r="AZ2050" s="24">
        <f t="shared" si="2486"/>
        <v>0</v>
      </c>
      <c r="BA2050" s="24">
        <f t="shared" si="2487"/>
        <v>0</v>
      </c>
    </row>
    <row r="2051" spans="1:55" ht="14.25" x14ac:dyDescent="0.15">
      <c r="A2051" s="23" t="s">
        <v>699</v>
      </c>
      <c r="B2051" s="41"/>
      <c r="C2051" s="42"/>
      <c r="D2051" s="42"/>
      <c r="E2051" s="42">
        <v>1</v>
      </c>
      <c r="F2051" s="42"/>
      <c r="G2051" s="43">
        <f t="shared" si="2490"/>
        <v>1</v>
      </c>
      <c r="H2051" s="41"/>
      <c r="I2051" s="42"/>
      <c r="J2051" s="42"/>
      <c r="K2051" s="42">
        <v>1</v>
      </c>
      <c r="L2051" s="42"/>
      <c r="M2051" s="43">
        <f t="shared" si="2491"/>
        <v>1</v>
      </c>
      <c r="N2051" s="42"/>
      <c r="O2051" s="53"/>
      <c r="P2051" s="53"/>
      <c r="Q2051" s="53"/>
      <c r="R2051" s="72"/>
      <c r="S2051" s="24">
        <f t="shared" si="2492"/>
        <v>0</v>
      </c>
      <c r="T2051" s="42"/>
      <c r="U2051" s="53"/>
      <c r="V2051" s="53"/>
      <c r="W2051" s="53"/>
      <c r="X2051" s="72">
        <v>1</v>
      </c>
      <c r="Y2051" s="24">
        <f t="shared" si="2493"/>
        <v>1</v>
      </c>
      <c r="Z2051" s="24">
        <f t="shared" si="2474"/>
        <v>3</v>
      </c>
      <c r="AA2051" s="93">
        <v>45909</v>
      </c>
      <c r="AB2051" s="23"/>
      <c r="AC2051" s="41"/>
      <c r="AD2051" s="42"/>
      <c r="AE2051" s="42"/>
      <c r="AF2051" s="42"/>
      <c r="AG2051" s="42"/>
      <c r="AH2051" s="43">
        <f t="shared" si="2483"/>
        <v>0</v>
      </c>
      <c r="AI2051" s="41"/>
      <c r="AJ2051" s="42"/>
      <c r="AK2051" s="42"/>
      <c r="AL2051" s="42"/>
      <c r="AM2051" s="42"/>
      <c r="AN2051" s="43">
        <f t="shared" si="2484"/>
        <v>0</v>
      </c>
      <c r="AO2051" s="42"/>
      <c r="AP2051" s="53"/>
      <c r="AQ2051" s="53"/>
      <c r="AR2051" s="53"/>
      <c r="AS2051" s="72"/>
      <c r="AT2051" s="24">
        <f t="shared" si="2485"/>
        <v>0</v>
      </c>
      <c r="AU2051" s="42"/>
      <c r="AV2051" s="53"/>
      <c r="AW2051" s="53"/>
      <c r="AX2051" s="53"/>
      <c r="AY2051" s="72"/>
      <c r="AZ2051" s="24">
        <f t="shared" si="2486"/>
        <v>0</v>
      </c>
      <c r="BA2051" s="24">
        <f t="shared" si="2487"/>
        <v>0</v>
      </c>
    </row>
    <row r="2052" spans="1:55" ht="14.25" x14ac:dyDescent="0.15">
      <c r="A2052" s="23" t="s">
        <v>699</v>
      </c>
      <c r="B2052" s="41"/>
      <c r="C2052" s="42"/>
      <c r="D2052" s="42"/>
      <c r="E2052" s="42">
        <v>1</v>
      </c>
      <c r="F2052" s="42"/>
      <c r="G2052" s="43">
        <f t="shared" si="2490"/>
        <v>1</v>
      </c>
      <c r="H2052" s="41"/>
      <c r="I2052" s="42"/>
      <c r="J2052" s="42"/>
      <c r="K2052" s="42"/>
      <c r="L2052" s="42"/>
      <c r="M2052" s="43">
        <f t="shared" si="2491"/>
        <v>0</v>
      </c>
      <c r="N2052" s="42"/>
      <c r="O2052" s="53"/>
      <c r="P2052" s="53"/>
      <c r="Q2052" s="53"/>
      <c r="R2052" s="72"/>
      <c r="S2052" s="24">
        <f t="shared" si="2492"/>
        <v>0</v>
      </c>
      <c r="T2052" s="42"/>
      <c r="U2052" s="53"/>
      <c r="V2052" s="53"/>
      <c r="W2052" s="53"/>
      <c r="X2052" s="72"/>
      <c r="Y2052" s="24">
        <f t="shared" si="2493"/>
        <v>0</v>
      </c>
      <c r="Z2052" s="24">
        <f t="shared" si="2474"/>
        <v>1</v>
      </c>
      <c r="AA2052" s="93">
        <v>45911</v>
      </c>
      <c r="AB2052" s="23"/>
      <c r="AC2052" s="41"/>
      <c r="AD2052" s="42"/>
      <c r="AE2052" s="42"/>
      <c r="AF2052" s="42"/>
      <c r="AG2052" s="42"/>
      <c r="AH2052" s="43">
        <f t="shared" si="2483"/>
        <v>0</v>
      </c>
      <c r="AI2052" s="41"/>
      <c r="AJ2052" s="42"/>
      <c r="AK2052" s="42"/>
      <c r="AL2052" s="42"/>
      <c r="AM2052" s="42"/>
      <c r="AN2052" s="43">
        <f t="shared" si="2484"/>
        <v>0</v>
      </c>
      <c r="AO2052" s="42"/>
      <c r="AP2052" s="53"/>
      <c r="AQ2052" s="53"/>
      <c r="AR2052" s="53"/>
      <c r="AS2052" s="72"/>
      <c r="AT2052" s="24">
        <f t="shared" si="2485"/>
        <v>0</v>
      </c>
      <c r="AU2052" s="42"/>
      <c r="AV2052" s="53"/>
      <c r="AW2052" s="53"/>
      <c r="AX2052" s="53"/>
      <c r="AY2052" s="72"/>
      <c r="AZ2052" s="24">
        <f t="shared" si="2486"/>
        <v>0</v>
      </c>
      <c r="BA2052" s="24">
        <f t="shared" si="2487"/>
        <v>0</v>
      </c>
    </row>
    <row r="2053" spans="1:55" ht="14.25" x14ac:dyDescent="0.15">
      <c r="A2053" s="23" t="s">
        <v>699</v>
      </c>
      <c r="B2053" s="41"/>
      <c r="C2053" s="42"/>
      <c r="D2053" s="42"/>
      <c r="E2053" s="42"/>
      <c r="F2053" s="42"/>
      <c r="G2053" s="43">
        <f t="shared" si="2490"/>
        <v>0</v>
      </c>
      <c r="H2053" s="41"/>
      <c r="I2053" s="42"/>
      <c r="J2053" s="42"/>
      <c r="K2053" s="42">
        <v>1</v>
      </c>
      <c r="L2053" s="42"/>
      <c r="M2053" s="43">
        <f t="shared" si="2491"/>
        <v>1</v>
      </c>
      <c r="N2053" s="42"/>
      <c r="O2053" s="53"/>
      <c r="P2053" s="53"/>
      <c r="Q2053" s="53"/>
      <c r="R2053" s="72"/>
      <c r="S2053" s="24">
        <f t="shared" si="2492"/>
        <v>0</v>
      </c>
      <c r="T2053" s="42"/>
      <c r="U2053" s="53"/>
      <c r="V2053" s="53"/>
      <c r="W2053" s="53"/>
      <c r="X2053" s="72"/>
      <c r="Y2053" s="24">
        <f t="shared" si="2493"/>
        <v>0</v>
      </c>
      <c r="Z2053" s="24">
        <f t="shared" si="2474"/>
        <v>1</v>
      </c>
      <c r="AA2053" s="93">
        <v>45912</v>
      </c>
      <c r="AB2053" s="23"/>
      <c r="AC2053" s="41"/>
      <c r="AD2053" s="42"/>
      <c r="AE2053" s="42"/>
      <c r="AF2053" s="42"/>
      <c r="AG2053" s="42"/>
      <c r="AH2053" s="43">
        <f t="shared" si="2483"/>
        <v>0</v>
      </c>
      <c r="AI2053" s="41"/>
      <c r="AJ2053" s="42"/>
      <c r="AK2053" s="42"/>
      <c r="AL2053" s="42"/>
      <c r="AM2053" s="42"/>
      <c r="AN2053" s="43">
        <f t="shared" si="2484"/>
        <v>0</v>
      </c>
      <c r="AO2053" s="42"/>
      <c r="AP2053" s="53"/>
      <c r="AQ2053" s="53"/>
      <c r="AR2053" s="53"/>
      <c r="AS2053" s="72"/>
      <c r="AT2053" s="24">
        <f t="shared" si="2485"/>
        <v>0</v>
      </c>
      <c r="AU2053" s="42"/>
      <c r="AV2053" s="53"/>
      <c r="AW2053" s="53"/>
      <c r="AX2053" s="53"/>
      <c r="AY2053" s="72"/>
      <c r="AZ2053" s="24">
        <f t="shared" si="2486"/>
        <v>0</v>
      </c>
      <c r="BA2053" s="24">
        <f t="shared" si="2487"/>
        <v>0</v>
      </c>
    </row>
    <row r="2054" spans="1:55" ht="14.25" x14ac:dyDescent="0.15">
      <c r="A2054" s="23" t="s">
        <v>699</v>
      </c>
      <c r="B2054" s="41"/>
      <c r="C2054" s="42"/>
      <c r="D2054" s="42"/>
      <c r="E2054" s="42"/>
      <c r="F2054" s="42"/>
      <c r="G2054" s="43">
        <f t="shared" si="2490"/>
        <v>0</v>
      </c>
      <c r="H2054" s="41"/>
      <c r="I2054" s="42"/>
      <c r="J2054" s="42"/>
      <c r="K2054" s="42"/>
      <c r="L2054" s="42">
        <v>1</v>
      </c>
      <c r="M2054" s="43">
        <f t="shared" si="2491"/>
        <v>1</v>
      </c>
      <c r="N2054" s="42"/>
      <c r="O2054" s="53"/>
      <c r="P2054" s="53"/>
      <c r="Q2054" s="53"/>
      <c r="R2054" s="72"/>
      <c r="S2054" s="24">
        <f t="shared" si="2492"/>
        <v>0</v>
      </c>
      <c r="T2054" s="42"/>
      <c r="U2054" s="53"/>
      <c r="V2054" s="53"/>
      <c r="W2054" s="53">
        <v>1</v>
      </c>
      <c r="X2054" s="72"/>
      <c r="Y2054" s="24">
        <f t="shared" si="2493"/>
        <v>1</v>
      </c>
      <c r="Z2054" s="24">
        <f t="shared" si="2474"/>
        <v>2</v>
      </c>
      <c r="AA2054" s="93">
        <v>45916</v>
      </c>
      <c r="AB2054" s="23"/>
      <c r="AC2054" s="41"/>
      <c r="AD2054" s="42"/>
      <c r="AE2054" s="42"/>
      <c r="AF2054" s="42"/>
      <c r="AG2054" s="42"/>
      <c r="AH2054" s="43">
        <f t="shared" si="2483"/>
        <v>0</v>
      </c>
      <c r="AI2054" s="41"/>
      <c r="AJ2054" s="42"/>
      <c r="AK2054" s="42"/>
      <c r="AL2054" s="42"/>
      <c r="AM2054" s="42"/>
      <c r="AN2054" s="43">
        <f t="shared" si="2484"/>
        <v>0</v>
      </c>
      <c r="AO2054" s="42"/>
      <c r="AP2054" s="53"/>
      <c r="AQ2054" s="53"/>
      <c r="AR2054" s="53"/>
      <c r="AS2054" s="72"/>
      <c r="AT2054" s="24">
        <f t="shared" si="2485"/>
        <v>0</v>
      </c>
      <c r="AU2054" s="42"/>
      <c r="AV2054" s="53"/>
      <c r="AW2054" s="53"/>
      <c r="AX2054" s="53"/>
      <c r="AY2054" s="72"/>
      <c r="AZ2054" s="24">
        <f t="shared" si="2486"/>
        <v>0</v>
      </c>
      <c r="BA2054" s="24">
        <f t="shared" si="2487"/>
        <v>0</v>
      </c>
    </row>
    <row r="2055" spans="1:55" ht="14.25" x14ac:dyDescent="0.15">
      <c r="A2055" s="23" t="s">
        <v>699</v>
      </c>
      <c r="B2055" s="41"/>
      <c r="C2055" s="42"/>
      <c r="D2055" s="42"/>
      <c r="E2055" s="42"/>
      <c r="F2055" s="42"/>
      <c r="G2055" s="43">
        <f t="shared" si="2490"/>
        <v>0</v>
      </c>
      <c r="H2055" s="41"/>
      <c r="I2055" s="42"/>
      <c r="J2055" s="42"/>
      <c r="K2055" s="42"/>
      <c r="L2055" s="42"/>
      <c r="M2055" s="43">
        <f t="shared" si="2491"/>
        <v>0</v>
      </c>
      <c r="N2055" s="42"/>
      <c r="O2055" s="53"/>
      <c r="P2055" s="53">
        <v>1</v>
      </c>
      <c r="Q2055" s="53"/>
      <c r="R2055" s="72"/>
      <c r="S2055" s="24">
        <f t="shared" si="2492"/>
        <v>1</v>
      </c>
      <c r="T2055" s="42"/>
      <c r="U2055" s="53"/>
      <c r="V2055" s="53"/>
      <c r="W2055" s="53"/>
      <c r="X2055" s="72"/>
      <c r="Y2055" s="24">
        <f t="shared" si="2493"/>
        <v>0</v>
      </c>
      <c r="Z2055" s="24">
        <f t="shared" si="2474"/>
        <v>1</v>
      </c>
      <c r="AA2055" s="93">
        <v>45917</v>
      </c>
      <c r="AB2055" s="23"/>
      <c r="AC2055" s="41"/>
      <c r="AD2055" s="42"/>
      <c r="AE2055" s="42"/>
      <c r="AF2055" s="42"/>
      <c r="AG2055" s="42"/>
      <c r="AH2055" s="43">
        <f t="shared" si="2483"/>
        <v>0</v>
      </c>
      <c r="AI2055" s="41"/>
      <c r="AJ2055" s="42"/>
      <c r="AK2055" s="42"/>
      <c r="AL2055" s="42"/>
      <c r="AM2055" s="42"/>
      <c r="AN2055" s="43">
        <f t="shared" si="2484"/>
        <v>0</v>
      </c>
      <c r="AO2055" s="42"/>
      <c r="AP2055" s="53"/>
      <c r="AQ2055" s="53"/>
      <c r="AR2055" s="53"/>
      <c r="AS2055" s="72"/>
      <c r="AT2055" s="24">
        <f t="shared" si="2485"/>
        <v>0</v>
      </c>
      <c r="AU2055" s="42"/>
      <c r="AV2055" s="53"/>
      <c r="AW2055" s="53"/>
      <c r="AX2055" s="53"/>
      <c r="AY2055" s="72"/>
      <c r="AZ2055" s="24">
        <f t="shared" si="2486"/>
        <v>0</v>
      </c>
      <c r="BA2055" s="24">
        <f t="shared" si="2487"/>
        <v>0</v>
      </c>
    </row>
    <row r="2056" spans="1:55" ht="14.25" x14ac:dyDescent="0.15">
      <c r="A2056" s="23" t="s">
        <v>699</v>
      </c>
      <c r="B2056" s="41"/>
      <c r="C2056" s="42"/>
      <c r="D2056" s="42">
        <v>1</v>
      </c>
      <c r="E2056" s="42"/>
      <c r="F2056" s="42"/>
      <c r="G2056" s="43">
        <f t="shared" si="2490"/>
        <v>1</v>
      </c>
      <c r="H2056" s="41">
        <v>1</v>
      </c>
      <c r="I2056" s="42"/>
      <c r="J2056" s="42">
        <v>1</v>
      </c>
      <c r="K2056" s="42"/>
      <c r="L2056" s="42">
        <v>1</v>
      </c>
      <c r="M2056" s="43">
        <f t="shared" si="2491"/>
        <v>3</v>
      </c>
      <c r="N2056" s="42"/>
      <c r="O2056" s="53"/>
      <c r="P2056" s="53"/>
      <c r="Q2056" s="53"/>
      <c r="R2056" s="72"/>
      <c r="S2056" s="24">
        <f t="shared" si="2492"/>
        <v>0</v>
      </c>
      <c r="T2056" s="42"/>
      <c r="U2056" s="53"/>
      <c r="V2056" s="53"/>
      <c r="W2056" s="53">
        <v>1</v>
      </c>
      <c r="X2056" s="72"/>
      <c r="Y2056" s="24">
        <f t="shared" si="2493"/>
        <v>1</v>
      </c>
      <c r="Z2056" s="24">
        <f t="shared" si="2474"/>
        <v>5</v>
      </c>
      <c r="AA2056" s="93">
        <v>45922</v>
      </c>
      <c r="AB2056" s="23"/>
      <c r="AC2056" s="41"/>
      <c r="AD2056" s="42"/>
      <c r="AE2056" s="42"/>
      <c r="AF2056" s="42"/>
      <c r="AG2056" s="42"/>
      <c r="AH2056" s="43">
        <f t="shared" si="2483"/>
        <v>0</v>
      </c>
      <c r="AI2056" s="41"/>
      <c r="AJ2056" s="42"/>
      <c r="AK2056" s="42"/>
      <c r="AL2056" s="42"/>
      <c r="AM2056" s="42"/>
      <c r="AN2056" s="43">
        <f t="shared" si="2484"/>
        <v>0</v>
      </c>
      <c r="AO2056" s="42"/>
      <c r="AP2056" s="53"/>
      <c r="AQ2056" s="53"/>
      <c r="AR2056" s="53"/>
      <c r="AS2056" s="72"/>
      <c r="AT2056" s="24">
        <f t="shared" si="2485"/>
        <v>0</v>
      </c>
      <c r="AU2056" s="42"/>
      <c r="AV2056" s="53"/>
      <c r="AW2056" s="53"/>
      <c r="AX2056" s="53"/>
      <c r="AY2056" s="72"/>
      <c r="AZ2056" s="24">
        <f t="shared" si="2486"/>
        <v>0</v>
      </c>
      <c r="BA2056" s="24">
        <f t="shared" si="2487"/>
        <v>0</v>
      </c>
    </row>
    <row r="2057" spans="1:55" ht="14.25" x14ac:dyDescent="0.15">
      <c r="A2057" s="23" t="s">
        <v>699</v>
      </c>
      <c r="B2057" s="41"/>
      <c r="C2057" s="42"/>
      <c r="D2057" s="42"/>
      <c r="E2057" s="42"/>
      <c r="F2057" s="42"/>
      <c r="G2057" s="43">
        <f t="shared" si="2490"/>
        <v>0</v>
      </c>
      <c r="H2057" s="41"/>
      <c r="I2057" s="42"/>
      <c r="J2057" s="42"/>
      <c r="K2057" s="42"/>
      <c r="L2057" s="42">
        <v>1</v>
      </c>
      <c r="M2057" s="43">
        <f t="shared" si="2491"/>
        <v>1</v>
      </c>
      <c r="N2057" s="42"/>
      <c r="O2057" s="53"/>
      <c r="P2057" s="53"/>
      <c r="Q2057" s="53"/>
      <c r="R2057" s="72"/>
      <c r="S2057" s="24">
        <f t="shared" si="2492"/>
        <v>0</v>
      </c>
      <c r="T2057" s="42"/>
      <c r="U2057" s="53"/>
      <c r="V2057" s="53"/>
      <c r="W2057" s="53">
        <v>1</v>
      </c>
      <c r="X2057" s="72"/>
      <c r="Y2057" s="24">
        <f t="shared" si="2493"/>
        <v>1</v>
      </c>
      <c r="Z2057" s="24">
        <f t="shared" si="2474"/>
        <v>2</v>
      </c>
      <c r="AA2057" s="93">
        <v>45924</v>
      </c>
      <c r="AB2057" s="23"/>
      <c r="AC2057" s="41"/>
      <c r="AD2057" s="42"/>
      <c r="AE2057" s="42"/>
      <c r="AF2057" s="42"/>
      <c r="AG2057" s="42"/>
      <c r="AH2057" s="43">
        <f t="shared" si="2483"/>
        <v>0</v>
      </c>
      <c r="AI2057" s="41"/>
      <c r="AJ2057" s="42"/>
      <c r="AK2057" s="42"/>
      <c r="AL2057" s="42"/>
      <c r="AM2057" s="42"/>
      <c r="AN2057" s="43">
        <f t="shared" si="2484"/>
        <v>0</v>
      </c>
      <c r="AO2057" s="42"/>
      <c r="AP2057" s="53"/>
      <c r="AQ2057" s="53"/>
      <c r="AR2057" s="53"/>
      <c r="AS2057" s="72"/>
      <c r="AT2057" s="24">
        <f t="shared" si="2485"/>
        <v>0</v>
      </c>
      <c r="AU2057" s="42"/>
      <c r="AV2057" s="53"/>
      <c r="AW2057" s="53"/>
      <c r="AX2057" s="53"/>
      <c r="AY2057" s="72"/>
      <c r="AZ2057" s="24">
        <f t="shared" si="2486"/>
        <v>0</v>
      </c>
      <c r="BA2057" s="24">
        <f t="shared" si="2487"/>
        <v>0</v>
      </c>
    </row>
    <row r="2058" spans="1:55" ht="14.25" x14ac:dyDescent="0.15">
      <c r="A2058" s="23" t="s">
        <v>699</v>
      </c>
      <c r="B2058" s="41"/>
      <c r="C2058" s="42"/>
      <c r="D2058" s="42"/>
      <c r="E2058" s="42"/>
      <c r="F2058" s="42"/>
      <c r="G2058" s="43">
        <f t="shared" si="2490"/>
        <v>0</v>
      </c>
      <c r="H2058" s="41"/>
      <c r="I2058" s="42"/>
      <c r="J2058" s="42"/>
      <c r="K2058" s="42"/>
      <c r="L2058" s="42"/>
      <c r="M2058" s="43">
        <f t="shared" si="2491"/>
        <v>0</v>
      </c>
      <c r="N2058" s="42"/>
      <c r="O2058" s="53"/>
      <c r="P2058" s="53">
        <v>1</v>
      </c>
      <c r="Q2058" s="53">
        <v>1</v>
      </c>
      <c r="R2058" s="72"/>
      <c r="S2058" s="24">
        <f t="shared" si="2492"/>
        <v>2</v>
      </c>
      <c r="T2058" s="42"/>
      <c r="U2058" s="53"/>
      <c r="V2058" s="53"/>
      <c r="W2058" s="53"/>
      <c r="X2058" s="72"/>
      <c r="Y2058" s="24">
        <f t="shared" si="2493"/>
        <v>0</v>
      </c>
      <c r="Z2058" s="24">
        <f t="shared" si="2474"/>
        <v>2</v>
      </c>
      <c r="AA2058" s="93">
        <v>45926</v>
      </c>
      <c r="AB2058" s="23"/>
      <c r="AC2058" s="41"/>
      <c r="AD2058" s="42"/>
      <c r="AE2058" s="42"/>
      <c r="AF2058" s="42"/>
      <c r="AG2058" s="42"/>
      <c r="AH2058" s="43">
        <f t="shared" si="2483"/>
        <v>0</v>
      </c>
      <c r="AI2058" s="41"/>
      <c r="AJ2058" s="42"/>
      <c r="AK2058" s="42"/>
      <c r="AL2058" s="42"/>
      <c r="AM2058" s="42"/>
      <c r="AN2058" s="43">
        <f t="shared" si="2484"/>
        <v>0</v>
      </c>
      <c r="AO2058" s="42"/>
      <c r="AP2058" s="53"/>
      <c r="AQ2058" s="53"/>
      <c r="AR2058" s="53"/>
      <c r="AS2058" s="72"/>
      <c r="AT2058" s="24">
        <f t="shared" si="2485"/>
        <v>0</v>
      </c>
      <c r="AU2058" s="42"/>
      <c r="AV2058" s="53"/>
      <c r="AW2058" s="53"/>
      <c r="AX2058" s="53"/>
      <c r="AY2058" s="72"/>
      <c r="AZ2058" s="24">
        <f t="shared" si="2486"/>
        <v>0</v>
      </c>
      <c r="BA2058" s="24">
        <f t="shared" si="2487"/>
        <v>0</v>
      </c>
    </row>
    <row r="2059" spans="1:55" ht="14.25" x14ac:dyDescent="0.15">
      <c r="A2059" s="23" t="s">
        <v>699</v>
      </c>
      <c r="B2059" s="41"/>
      <c r="C2059" s="42"/>
      <c r="D2059" s="42"/>
      <c r="E2059" s="42"/>
      <c r="F2059" s="42"/>
      <c r="G2059" s="43">
        <f t="shared" si="2490"/>
        <v>0</v>
      </c>
      <c r="H2059" s="41"/>
      <c r="I2059" s="42"/>
      <c r="J2059" s="42"/>
      <c r="K2059" s="42"/>
      <c r="L2059" s="42">
        <v>1</v>
      </c>
      <c r="M2059" s="43">
        <f t="shared" si="2491"/>
        <v>1</v>
      </c>
      <c r="N2059" s="42"/>
      <c r="O2059" s="53"/>
      <c r="P2059" s="53"/>
      <c r="Q2059" s="53"/>
      <c r="R2059" s="72"/>
      <c r="S2059" s="24">
        <f t="shared" si="2492"/>
        <v>0</v>
      </c>
      <c r="T2059" s="42"/>
      <c r="U2059" s="53"/>
      <c r="V2059" s="53"/>
      <c r="W2059" s="53"/>
      <c r="X2059" s="72"/>
      <c r="Y2059" s="24">
        <f t="shared" si="2493"/>
        <v>0</v>
      </c>
      <c r="Z2059" s="24">
        <f t="shared" si="2474"/>
        <v>1</v>
      </c>
      <c r="AA2059" s="93">
        <v>45929</v>
      </c>
      <c r="AB2059" s="23"/>
      <c r="AC2059" s="41"/>
      <c r="AD2059" s="42"/>
      <c r="AE2059" s="42"/>
      <c r="AF2059" s="42"/>
      <c r="AG2059" s="42"/>
      <c r="AH2059" s="43">
        <f t="shared" ref="AH2059:AH2060" si="2514">SUM(AC2059:AG2059)</f>
        <v>0</v>
      </c>
      <c r="AI2059" s="41"/>
      <c r="AJ2059" s="42"/>
      <c r="AK2059" s="42"/>
      <c r="AL2059" s="42"/>
      <c r="AM2059" s="42"/>
      <c r="AN2059" s="43">
        <f t="shared" ref="AN2059:AN2060" si="2515">SUM(AI2059:AM2059)</f>
        <v>0</v>
      </c>
      <c r="AO2059" s="42"/>
      <c r="AP2059" s="53"/>
      <c r="AQ2059" s="53"/>
      <c r="AR2059" s="53"/>
      <c r="AS2059" s="72"/>
      <c r="AT2059" s="24">
        <f t="shared" ref="AT2059:AT2060" si="2516">SUM(AO2059:AS2059)</f>
        <v>0</v>
      </c>
      <c r="AU2059" s="42"/>
      <c r="AV2059" s="53"/>
      <c r="AW2059" s="53"/>
      <c r="AX2059" s="53"/>
      <c r="AY2059" s="72"/>
      <c r="AZ2059" s="24">
        <f t="shared" ref="AZ2059:AZ2060" si="2517">SUM(AU2059:AY2059)</f>
        <v>0</v>
      </c>
      <c r="BA2059" s="24">
        <f t="shared" ref="BA2059:BA2060" si="2518">AH2059+AN2059+AT2059+AZ2059</f>
        <v>0</v>
      </c>
    </row>
    <row r="2060" spans="1:55" ht="14.25" x14ac:dyDescent="0.15">
      <c r="A2060" s="23" t="s">
        <v>699</v>
      </c>
      <c r="B2060" s="41"/>
      <c r="C2060" s="42"/>
      <c r="D2060" s="42">
        <v>1</v>
      </c>
      <c r="E2060" s="42"/>
      <c r="F2060" s="42"/>
      <c r="G2060" s="43">
        <f t="shared" si="2490"/>
        <v>1</v>
      </c>
      <c r="H2060" s="41"/>
      <c r="I2060" s="42"/>
      <c r="J2060" s="42"/>
      <c r="K2060" s="42"/>
      <c r="L2060" s="42"/>
      <c r="M2060" s="43">
        <f t="shared" si="2491"/>
        <v>0</v>
      </c>
      <c r="N2060" s="42"/>
      <c r="O2060" s="53"/>
      <c r="P2060" s="53"/>
      <c r="Q2060" s="53">
        <v>1</v>
      </c>
      <c r="R2060" s="72">
        <v>1</v>
      </c>
      <c r="S2060" s="24">
        <f t="shared" si="2492"/>
        <v>2</v>
      </c>
      <c r="T2060" s="42"/>
      <c r="U2060" s="53"/>
      <c r="V2060" s="53"/>
      <c r="W2060" s="53"/>
      <c r="X2060" s="72"/>
      <c r="Y2060" s="24">
        <f t="shared" si="2493"/>
        <v>0</v>
      </c>
      <c r="Z2060" s="24">
        <f t="shared" si="2474"/>
        <v>3</v>
      </c>
      <c r="AA2060" s="93">
        <v>45930</v>
      </c>
      <c r="AB2060" s="23"/>
      <c r="AC2060" s="41"/>
      <c r="AD2060" s="42"/>
      <c r="AE2060" s="42"/>
      <c r="AF2060" s="42"/>
      <c r="AG2060" s="42"/>
      <c r="AH2060" s="43">
        <f t="shared" si="2514"/>
        <v>0</v>
      </c>
      <c r="AI2060" s="41"/>
      <c r="AJ2060" s="42"/>
      <c r="AK2060" s="42"/>
      <c r="AL2060" s="42"/>
      <c r="AM2060" s="42"/>
      <c r="AN2060" s="43">
        <f t="shared" si="2515"/>
        <v>0</v>
      </c>
      <c r="AO2060" s="42"/>
      <c r="AP2060" s="53"/>
      <c r="AQ2060" s="53"/>
      <c r="AR2060" s="53"/>
      <c r="AS2060" s="72"/>
      <c r="AT2060" s="24">
        <f t="shared" si="2516"/>
        <v>0</v>
      </c>
      <c r="AU2060" s="42"/>
      <c r="AV2060" s="53"/>
      <c r="AW2060" s="53"/>
      <c r="AX2060" s="53"/>
      <c r="AY2060" s="72"/>
      <c r="AZ2060" s="24">
        <f t="shared" si="2517"/>
        <v>0</v>
      </c>
      <c r="BA2060" s="24">
        <f t="shared" si="2518"/>
        <v>0</v>
      </c>
    </row>
    <row r="2061" spans="1:55" ht="14.25" x14ac:dyDescent="0.15">
      <c r="A2061" s="23" t="s">
        <v>699</v>
      </c>
      <c r="B2061" s="41"/>
      <c r="C2061" s="42"/>
      <c r="D2061" s="42"/>
      <c r="E2061" s="42"/>
      <c r="F2061" s="42"/>
      <c r="G2061" s="43">
        <f t="shared" si="2490"/>
        <v>0</v>
      </c>
      <c r="H2061" s="41"/>
      <c r="I2061" s="42"/>
      <c r="J2061" s="42"/>
      <c r="K2061" s="42"/>
      <c r="L2061" s="42"/>
      <c r="M2061" s="43">
        <f t="shared" si="2491"/>
        <v>0</v>
      </c>
      <c r="N2061" s="42"/>
      <c r="O2061" s="53"/>
      <c r="P2061" s="53"/>
      <c r="Q2061" s="53">
        <v>2</v>
      </c>
      <c r="R2061" s="72"/>
      <c r="S2061" s="24">
        <f t="shared" si="2492"/>
        <v>2</v>
      </c>
      <c r="T2061" s="42"/>
      <c r="U2061" s="53"/>
      <c r="V2061" s="53"/>
      <c r="W2061" s="53"/>
      <c r="X2061" s="72">
        <v>1</v>
      </c>
      <c r="Y2061" s="24">
        <f t="shared" si="2493"/>
        <v>1</v>
      </c>
      <c r="Z2061" s="24">
        <f t="shared" si="2474"/>
        <v>3</v>
      </c>
      <c r="AA2061" s="93">
        <v>45931</v>
      </c>
      <c r="AB2061" s="23"/>
      <c r="AC2061" s="41"/>
      <c r="AD2061" s="42"/>
      <c r="AE2061" s="42"/>
      <c r="AF2061" s="42"/>
      <c r="AG2061" s="42"/>
      <c r="AH2061" s="43">
        <f t="shared" ref="AH2061:AH2062" si="2519">SUM(AC2061:AG2061)</f>
        <v>0</v>
      </c>
      <c r="AI2061" s="41"/>
      <c r="AJ2061" s="42"/>
      <c r="AK2061" s="42"/>
      <c r="AL2061" s="42"/>
      <c r="AM2061" s="42"/>
      <c r="AN2061" s="43">
        <f t="shared" ref="AN2061:AN2062" si="2520">SUM(AI2061:AM2061)</f>
        <v>0</v>
      </c>
      <c r="AO2061" s="42"/>
      <c r="AP2061" s="53"/>
      <c r="AQ2061" s="53"/>
      <c r="AR2061" s="53"/>
      <c r="AS2061" s="72"/>
      <c r="AT2061" s="24">
        <f t="shared" ref="AT2061:AT2062" si="2521">SUM(AO2061:AS2061)</f>
        <v>0</v>
      </c>
      <c r="AU2061" s="42"/>
      <c r="AV2061" s="53"/>
      <c r="AW2061" s="53"/>
      <c r="AX2061" s="53"/>
      <c r="AY2061" s="72"/>
      <c r="AZ2061" s="24">
        <f t="shared" ref="AZ2061:AZ2062" si="2522">SUM(AU2061:AY2061)</f>
        <v>0</v>
      </c>
      <c r="BA2061" s="24">
        <f t="shared" ref="BA2061:BA2062" si="2523">AH2061+AN2061+AT2061+AZ2061</f>
        <v>0</v>
      </c>
    </row>
    <row r="2062" spans="1:55" ht="14.25" x14ac:dyDescent="0.15">
      <c r="A2062" s="23" t="s">
        <v>699</v>
      </c>
      <c r="B2062" s="41"/>
      <c r="C2062" s="42"/>
      <c r="D2062" s="42"/>
      <c r="E2062" s="42"/>
      <c r="F2062" s="42"/>
      <c r="G2062" s="43">
        <f t="shared" si="2490"/>
        <v>0</v>
      </c>
      <c r="H2062" s="41"/>
      <c r="I2062" s="42"/>
      <c r="J2062" s="42">
        <v>1</v>
      </c>
      <c r="K2062" s="42"/>
      <c r="L2062" s="42">
        <v>1</v>
      </c>
      <c r="M2062" s="43">
        <f t="shared" si="2491"/>
        <v>2</v>
      </c>
      <c r="N2062" s="42"/>
      <c r="O2062" s="53"/>
      <c r="P2062" s="53"/>
      <c r="Q2062" s="53"/>
      <c r="R2062" s="72"/>
      <c r="S2062" s="24">
        <f t="shared" si="2492"/>
        <v>0</v>
      </c>
      <c r="T2062" s="42"/>
      <c r="U2062" s="53"/>
      <c r="V2062" s="53"/>
      <c r="W2062" s="53"/>
      <c r="X2062" s="72"/>
      <c r="Y2062" s="24">
        <f t="shared" si="2493"/>
        <v>0</v>
      </c>
      <c r="Z2062" s="24">
        <f t="shared" si="2474"/>
        <v>2</v>
      </c>
      <c r="AA2062" s="93">
        <v>45934</v>
      </c>
      <c r="AB2062" s="23"/>
      <c r="AC2062" s="41"/>
      <c r="AD2062" s="42"/>
      <c r="AE2062" s="42"/>
      <c r="AF2062" s="42"/>
      <c r="AG2062" s="42"/>
      <c r="AH2062" s="43">
        <f t="shared" si="2519"/>
        <v>0</v>
      </c>
      <c r="AI2062" s="41"/>
      <c r="AJ2062" s="42"/>
      <c r="AK2062" s="42"/>
      <c r="AL2062" s="42"/>
      <c r="AM2062" s="42"/>
      <c r="AN2062" s="43">
        <f t="shared" si="2520"/>
        <v>0</v>
      </c>
      <c r="AO2062" s="42"/>
      <c r="AP2062" s="53"/>
      <c r="AQ2062" s="53"/>
      <c r="AR2062" s="53"/>
      <c r="AS2062" s="72"/>
      <c r="AT2062" s="24">
        <f t="shared" si="2521"/>
        <v>0</v>
      </c>
      <c r="AU2062" s="42"/>
      <c r="AV2062" s="53"/>
      <c r="AW2062" s="53"/>
      <c r="AX2062" s="53"/>
      <c r="AY2062" s="72"/>
      <c r="AZ2062" s="24">
        <f t="shared" si="2522"/>
        <v>0</v>
      </c>
      <c r="BA2062" s="24">
        <f t="shared" si="2523"/>
        <v>0</v>
      </c>
      <c r="BC2062" s="111"/>
    </row>
    <row r="2063" spans="1:55" ht="15" thickBot="1" x14ac:dyDescent="0.2">
      <c r="A2063" s="23" t="s">
        <v>699</v>
      </c>
      <c r="B2063" s="41"/>
      <c r="C2063" s="42"/>
      <c r="D2063" s="42">
        <v>1</v>
      </c>
      <c r="E2063" s="42"/>
      <c r="F2063" s="42"/>
      <c r="G2063" s="43">
        <f t="shared" ref="G2063" si="2524">SUM(B2063:F2063)</f>
        <v>1</v>
      </c>
      <c r="H2063" s="41"/>
      <c r="I2063" s="42"/>
      <c r="J2063" s="42"/>
      <c r="K2063" s="42"/>
      <c r="L2063" s="42">
        <v>1</v>
      </c>
      <c r="M2063" s="43">
        <f t="shared" ref="M2063" si="2525">SUM(H2063:L2063)</f>
        <v>1</v>
      </c>
      <c r="N2063" s="42"/>
      <c r="O2063" s="53">
        <v>1</v>
      </c>
      <c r="P2063" s="53"/>
      <c r="Q2063" s="53"/>
      <c r="R2063" s="72"/>
      <c r="S2063" s="24">
        <f t="shared" ref="S2063" si="2526">SUM(N2063:R2063)</f>
        <v>1</v>
      </c>
      <c r="T2063" s="42"/>
      <c r="U2063" s="53"/>
      <c r="V2063" s="53"/>
      <c r="W2063" s="53"/>
      <c r="X2063" s="72"/>
      <c r="Y2063" s="24">
        <f t="shared" ref="Y2063" si="2527">SUM(T2063:X2063)</f>
        <v>0</v>
      </c>
      <c r="Z2063" s="24">
        <f t="shared" ref="Z2063" si="2528">G2063+M2063+S2063+Y2063</f>
        <v>3</v>
      </c>
      <c r="AA2063" s="93">
        <v>45936</v>
      </c>
      <c r="AB2063" s="23"/>
      <c r="AC2063" s="41"/>
      <c r="AD2063" s="42"/>
      <c r="AE2063" s="42"/>
      <c r="AF2063" s="42"/>
      <c r="AG2063" s="42"/>
      <c r="AH2063" s="43">
        <f t="shared" ref="AH2063" si="2529">SUM(AC2063:AG2063)</f>
        <v>0</v>
      </c>
      <c r="AI2063" s="41"/>
      <c r="AJ2063" s="42"/>
      <c r="AK2063" s="42"/>
      <c r="AL2063" s="42"/>
      <c r="AM2063" s="42"/>
      <c r="AN2063" s="43">
        <f t="shared" ref="AN2063" si="2530">SUM(AI2063:AM2063)</f>
        <v>0</v>
      </c>
      <c r="AO2063" s="42"/>
      <c r="AP2063" s="53"/>
      <c r="AQ2063" s="53"/>
      <c r="AR2063" s="53"/>
      <c r="AS2063" s="72"/>
      <c r="AT2063" s="24">
        <f t="shared" ref="AT2063" si="2531">SUM(AO2063:AS2063)</f>
        <v>0</v>
      </c>
      <c r="AU2063" s="42"/>
      <c r="AV2063" s="53"/>
      <c r="AW2063" s="53"/>
      <c r="AX2063" s="53"/>
      <c r="AY2063" s="72"/>
      <c r="AZ2063" s="24">
        <f t="shared" ref="AZ2063" si="2532">SUM(AU2063:AY2063)</f>
        <v>0</v>
      </c>
      <c r="BA2063" s="24">
        <f t="shared" ref="BA2063" si="2533">AH2063+AN2063+AT2063+AZ2063</f>
        <v>0</v>
      </c>
      <c r="BC2063" s="111"/>
    </row>
    <row r="2064" spans="1:55" ht="15" thickBot="1" x14ac:dyDescent="0.2">
      <c r="A2064" s="9" t="s">
        <v>13</v>
      </c>
      <c r="B2064" s="25">
        <f>SUM(B2038:B2063)</f>
        <v>2</v>
      </c>
      <c r="C2064" s="26">
        <f>SUM(C2038:C2063)</f>
        <v>2</v>
      </c>
      <c r="D2064" s="26">
        <f>SUM(D2038:D2063)</f>
        <v>3</v>
      </c>
      <c r="E2064" s="220">
        <f>SUM(E2038:E2063)</f>
        <v>7</v>
      </c>
      <c r="F2064" s="27">
        <f>SUM(F2038:F2063)</f>
        <v>2</v>
      </c>
      <c r="G2064" s="19">
        <f>SUM(B2064:F2064)</f>
        <v>16</v>
      </c>
      <c r="H2064" s="25">
        <f>SUM(H2038:H2063)</f>
        <v>2</v>
      </c>
      <c r="I2064" s="26">
        <f>SUM(I2038:I2063)</f>
        <v>2</v>
      </c>
      <c r="J2064" s="26">
        <f>SUM(J2038:J2063)</f>
        <v>5</v>
      </c>
      <c r="K2064" s="26">
        <f>SUM(K2038:K2063)</f>
        <v>4</v>
      </c>
      <c r="L2064" s="27">
        <f>SUM(L2038:L2063)</f>
        <v>6</v>
      </c>
      <c r="M2064" s="25">
        <f>SUM(H2064:L2064)</f>
        <v>19</v>
      </c>
      <c r="N2064" s="65">
        <f>SUM(N2038:N2063)</f>
        <v>2</v>
      </c>
      <c r="O2064" s="18">
        <f>SUM(O2038:O2063)</f>
        <v>2</v>
      </c>
      <c r="P2064" s="18">
        <f>SUM(P2038:P2063)</f>
        <v>3</v>
      </c>
      <c r="Q2064" s="18">
        <f>SUM(Q2038:Q2063)</f>
        <v>4</v>
      </c>
      <c r="R2064" s="70">
        <f>SUM(R2038:R2063)</f>
        <v>2</v>
      </c>
      <c r="S2064" s="49">
        <f>SUM(N2064:R2064)</f>
        <v>13</v>
      </c>
      <c r="T2064" s="74">
        <f>SUM(T2038:T2063)</f>
        <v>1</v>
      </c>
      <c r="U2064" s="18">
        <f>SUM(U2038:U2063)</f>
        <v>0</v>
      </c>
      <c r="V2064" s="18">
        <f>SUM(V2038:V2063)</f>
        <v>0</v>
      </c>
      <c r="W2064" s="18">
        <f>SUM(W2038:W2063)</f>
        <v>4</v>
      </c>
      <c r="X2064" s="70">
        <f>SUM(X2038:X2063)</f>
        <v>4</v>
      </c>
      <c r="Y2064" s="49">
        <f>SUM(T2064:X2064)</f>
        <v>9</v>
      </c>
      <c r="Z2064" s="137">
        <f>G2064+M2064+S2064+Y2064</f>
        <v>57</v>
      </c>
      <c r="AB2064" s="9" t="s">
        <v>13</v>
      </c>
      <c r="AC2064" s="25">
        <f>SUM(AC2038:AC2063)</f>
        <v>3</v>
      </c>
      <c r="AD2064" s="26">
        <f t="shared" ref="AD2064:AG2064" si="2534">SUM(AD2038:AD2063)</f>
        <v>3</v>
      </c>
      <c r="AE2064" s="26">
        <f t="shared" si="2534"/>
        <v>3</v>
      </c>
      <c r="AF2064" s="220">
        <f t="shared" si="2534"/>
        <v>0</v>
      </c>
      <c r="AG2064" s="222">
        <f t="shared" si="2534"/>
        <v>0</v>
      </c>
      <c r="AH2064" s="19">
        <f>SUM(AC2064:AG2064)</f>
        <v>9</v>
      </c>
      <c r="AI2064" s="25">
        <f>SUM(AI2038:AI2063)</f>
        <v>3</v>
      </c>
      <c r="AJ2064" s="26">
        <f t="shared" ref="AJ2064" si="2535">SUM(AJ2038:AJ2063)</f>
        <v>3</v>
      </c>
      <c r="AK2064" s="26">
        <f t="shared" ref="AK2064" si="2536">SUM(AK2038:AK2063)</f>
        <v>8</v>
      </c>
      <c r="AL2064" s="26">
        <f t="shared" ref="AL2064" si="2537">SUM(AL2038:AL2063)</f>
        <v>3</v>
      </c>
      <c r="AM2064" s="27">
        <f t="shared" ref="AM2064" si="2538">SUM(AM2038:AM2063)</f>
        <v>6</v>
      </c>
      <c r="AN2064" s="19">
        <f>SUM(AI2064:AM2064)</f>
        <v>23</v>
      </c>
      <c r="AO2064" s="25">
        <f>SUM(AO2038:AO2063)</f>
        <v>3</v>
      </c>
      <c r="AP2064" s="26">
        <f t="shared" ref="AP2064" si="2539">SUM(AP2038:AP2063)</f>
        <v>0</v>
      </c>
      <c r="AQ2064" s="26">
        <f t="shared" ref="AQ2064" si="2540">SUM(AQ2038:AQ2063)</f>
        <v>0</v>
      </c>
      <c r="AR2064" s="26">
        <f t="shared" ref="AR2064" si="2541">SUM(AR2038:AR2063)</f>
        <v>3</v>
      </c>
      <c r="AS2064" s="27">
        <f t="shared" ref="AS2064" si="2542">SUM(AS2038:AS2063)</f>
        <v>3</v>
      </c>
      <c r="AT2064" s="19">
        <f>SUM(AO2064:AS2064)</f>
        <v>9</v>
      </c>
      <c r="AU2064" s="25">
        <f>SUM(AU2038:AU2063)</f>
        <v>3</v>
      </c>
      <c r="AV2064" s="26">
        <f t="shared" ref="AV2064" si="2543">SUM(AV2038:AV2063)</f>
        <v>3</v>
      </c>
      <c r="AW2064" s="220">
        <f t="shared" ref="AW2064" si="2544">SUM(AW2038:AW2063)</f>
        <v>0</v>
      </c>
      <c r="AX2064" s="220">
        <f t="shared" ref="AX2064" si="2545">SUM(AX2038:AX2063)</f>
        <v>0</v>
      </c>
      <c r="AY2064" s="27">
        <f t="shared" ref="AY2064" si="2546">SUM(AY2038:AY2063)</f>
        <v>6</v>
      </c>
      <c r="AZ2064" s="19">
        <f>SUM(AU2064:AY2064)</f>
        <v>12</v>
      </c>
      <c r="BA2064" s="77">
        <f t="shared" si="2487"/>
        <v>53</v>
      </c>
    </row>
    <row r="2065" spans="1:55" ht="15" thickBot="1" x14ac:dyDescent="0.2">
      <c r="A2065" s="32" t="s">
        <v>14</v>
      </c>
      <c r="B2065" s="29">
        <f t="shared" ref="B2065:Y2065" si="2547">B2037-B2064</f>
        <v>4</v>
      </c>
      <c r="C2065" s="30">
        <f t="shared" si="2547"/>
        <v>5</v>
      </c>
      <c r="D2065" s="30">
        <f t="shared" si="2547"/>
        <v>3</v>
      </c>
      <c r="E2065" s="221">
        <f t="shared" si="2547"/>
        <v>0</v>
      </c>
      <c r="F2065" s="31">
        <f t="shared" si="2547"/>
        <v>4</v>
      </c>
      <c r="G2065" s="31">
        <f t="shared" si="2547"/>
        <v>16</v>
      </c>
      <c r="H2065" s="29">
        <f t="shared" si="2547"/>
        <v>5</v>
      </c>
      <c r="I2065" s="30">
        <f t="shared" si="2547"/>
        <v>6</v>
      </c>
      <c r="J2065" s="30">
        <f t="shared" si="2547"/>
        <v>5</v>
      </c>
      <c r="K2065" s="30">
        <f t="shared" si="2547"/>
        <v>2</v>
      </c>
      <c r="L2065" s="31">
        <f t="shared" si="2547"/>
        <v>3</v>
      </c>
      <c r="M2065" s="66">
        <f t="shared" si="2547"/>
        <v>21</v>
      </c>
      <c r="N2065" s="29">
        <f t="shared" si="2547"/>
        <v>6</v>
      </c>
      <c r="O2065" s="30">
        <f t="shared" si="2547"/>
        <v>3</v>
      </c>
      <c r="P2065" s="30">
        <f t="shared" si="2547"/>
        <v>5</v>
      </c>
      <c r="Q2065" s="30">
        <f t="shared" si="2547"/>
        <v>3</v>
      </c>
      <c r="R2065" s="66">
        <f t="shared" si="2547"/>
        <v>4</v>
      </c>
      <c r="S2065" s="33">
        <f t="shared" si="2547"/>
        <v>21</v>
      </c>
      <c r="T2065" s="75">
        <f t="shared" si="2547"/>
        <v>6</v>
      </c>
      <c r="U2065" s="30">
        <f t="shared" si="2547"/>
        <v>6</v>
      </c>
      <c r="V2065" s="30">
        <f t="shared" si="2547"/>
        <v>10</v>
      </c>
      <c r="W2065" s="30">
        <f t="shared" si="2547"/>
        <v>1</v>
      </c>
      <c r="X2065" s="66">
        <f t="shared" si="2547"/>
        <v>4</v>
      </c>
      <c r="Y2065" s="33">
        <f t="shared" si="2547"/>
        <v>27</v>
      </c>
      <c r="Z2065" s="77">
        <f>G2065+M2065+S2065+Y2065</f>
        <v>85</v>
      </c>
      <c r="AB2065" s="32" t="s">
        <v>14</v>
      </c>
      <c r="AC2065" s="29">
        <f>AC2037-AC2064</f>
        <v>70</v>
      </c>
      <c r="AD2065" s="30">
        <f t="shared" ref="AD2065:AG2065" si="2548">AD2037-AD2064</f>
        <v>18</v>
      </c>
      <c r="AE2065" s="30">
        <f t="shared" si="2548"/>
        <v>13</v>
      </c>
      <c r="AF2065" s="221">
        <f t="shared" si="2548"/>
        <v>0</v>
      </c>
      <c r="AG2065" s="223">
        <f t="shared" si="2548"/>
        <v>0</v>
      </c>
      <c r="AH2065" s="31">
        <f>AH2037-AH2064</f>
        <v>101</v>
      </c>
      <c r="AI2065" s="29">
        <f>AI2037-AI2064</f>
        <v>64</v>
      </c>
      <c r="AJ2065" s="30">
        <f t="shared" ref="AJ2065" si="2549">AJ2037-AJ2064</f>
        <v>30</v>
      </c>
      <c r="AK2065" s="30">
        <f t="shared" ref="AK2065" si="2550">AK2037-AK2064</f>
        <v>36</v>
      </c>
      <c r="AL2065" s="30">
        <f t="shared" ref="AL2065" si="2551">AL2037-AL2064</f>
        <v>5</v>
      </c>
      <c r="AM2065" s="31">
        <f t="shared" ref="AM2065" si="2552">AM2037-AM2064</f>
        <v>35</v>
      </c>
      <c r="AN2065" s="31">
        <f>AN2037-AN2064</f>
        <v>170</v>
      </c>
      <c r="AO2065" s="29">
        <f>AO2037-AO2064</f>
        <v>131</v>
      </c>
      <c r="AP2065" s="30">
        <f t="shared" ref="AP2065" si="2553">AP2037-AP2064</f>
        <v>78</v>
      </c>
      <c r="AQ2065" s="30">
        <f t="shared" ref="AQ2065" si="2554">AQ2037-AQ2064</f>
        <v>75</v>
      </c>
      <c r="AR2065" s="30">
        <f t="shared" ref="AR2065" si="2555">AR2037-AR2064</f>
        <v>93</v>
      </c>
      <c r="AS2065" s="31">
        <f t="shared" ref="AS2065" si="2556">AS2037-AS2064</f>
        <v>108</v>
      </c>
      <c r="AT2065" s="31">
        <f>AT2037-AT2064</f>
        <v>485</v>
      </c>
      <c r="AU2065" s="29">
        <f>AU2037-AU2064</f>
        <v>99</v>
      </c>
      <c r="AV2065" s="30">
        <f t="shared" ref="AV2065" si="2557">AV2037-AV2064</f>
        <v>36</v>
      </c>
      <c r="AW2065" s="221">
        <f t="shared" ref="AW2065" si="2558">AW2037-AW2064</f>
        <v>0</v>
      </c>
      <c r="AX2065" s="221">
        <f t="shared" ref="AX2065" si="2559">AX2037-AX2064</f>
        <v>0</v>
      </c>
      <c r="AY2065" s="31">
        <f t="shared" ref="AY2065" si="2560">AY2037-AY2064</f>
        <v>49</v>
      </c>
      <c r="AZ2065" s="31">
        <f>AZ2037-AZ2064</f>
        <v>184</v>
      </c>
      <c r="BA2065" s="77">
        <f t="shared" si="2487"/>
        <v>940</v>
      </c>
      <c r="BC2065" s="2" t="s">
        <v>705</v>
      </c>
    </row>
    <row r="2066" spans="1:55" x14ac:dyDescent="0.15">
      <c r="B2066" s="216"/>
      <c r="C2066" s="216"/>
      <c r="D2066" s="216"/>
      <c r="E2066" s="216" t="s">
        <v>707</v>
      </c>
      <c r="F2066" s="216" t="s">
        <v>707</v>
      </c>
      <c r="G2066" s="216"/>
      <c r="H2066" s="216"/>
      <c r="I2066" s="216"/>
      <c r="J2066" s="216"/>
      <c r="K2066" s="216"/>
      <c r="L2066" s="216"/>
      <c r="M2066" s="216"/>
      <c r="N2066" s="216"/>
      <c r="O2066" s="216"/>
      <c r="P2066" s="216"/>
      <c r="Q2066" s="216"/>
      <c r="R2066" s="216"/>
      <c r="S2066" s="216"/>
      <c r="T2066" s="216"/>
      <c r="U2066" s="216"/>
      <c r="V2066" s="216" t="s">
        <v>707</v>
      </c>
      <c r="W2066" s="216" t="s">
        <v>707</v>
      </c>
      <c r="X2066" s="216"/>
      <c r="AC2066" s="216"/>
      <c r="AD2066" s="216"/>
      <c r="AE2066" s="216"/>
      <c r="AF2066" s="216" t="s">
        <v>707</v>
      </c>
      <c r="AG2066" s="216" t="s">
        <v>707</v>
      </c>
      <c r="AH2066" s="216"/>
      <c r="AI2066" s="216"/>
      <c r="AJ2066" s="216"/>
      <c r="AK2066" s="216"/>
      <c r="AL2066" s="216"/>
      <c r="AM2066" s="216"/>
      <c r="AN2066" s="216"/>
      <c r="AO2066" s="216"/>
      <c r="AP2066" s="216"/>
      <c r="AQ2066" s="216"/>
      <c r="AR2066" s="216"/>
      <c r="AS2066" s="216"/>
      <c r="AT2066" s="216"/>
      <c r="AU2066" s="216"/>
      <c r="AV2066" s="216"/>
      <c r="AW2066" s="216" t="s">
        <v>707</v>
      </c>
      <c r="AX2066" s="216" t="s">
        <v>707</v>
      </c>
      <c r="AY2066" s="216"/>
    </row>
    <row r="2068" spans="1:55" ht="19.5" thickBot="1" x14ac:dyDescent="0.25">
      <c r="A2068" s="1" t="s">
        <v>15</v>
      </c>
      <c r="AB2068" s="1" t="s">
        <v>16</v>
      </c>
    </row>
    <row r="2069" spans="1:55" ht="15" thickBot="1" x14ac:dyDescent="0.2">
      <c r="A2069" s="4"/>
      <c r="B2069" s="245" t="s">
        <v>17</v>
      </c>
      <c r="C2069" s="246"/>
      <c r="D2069" s="246"/>
      <c r="E2069" s="246"/>
      <c r="F2069" s="246"/>
      <c r="G2069" s="247"/>
      <c r="H2069" s="245" t="s">
        <v>18</v>
      </c>
      <c r="I2069" s="246"/>
      <c r="J2069" s="246"/>
      <c r="K2069" s="246"/>
      <c r="L2069" s="246"/>
      <c r="M2069" s="247"/>
      <c r="N2069" s="248" t="s">
        <v>27</v>
      </c>
      <c r="O2069" s="249"/>
      <c r="P2069" s="249"/>
      <c r="Q2069" s="249"/>
      <c r="R2069" s="249"/>
      <c r="S2069" s="250"/>
      <c r="T2069" s="248" t="s">
        <v>28</v>
      </c>
      <c r="U2069" s="249"/>
      <c r="V2069" s="249"/>
      <c r="W2069" s="249"/>
      <c r="X2069" s="249"/>
      <c r="Y2069" s="250"/>
      <c r="Z2069" s="251" t="s">
        <v>1</v>
      </c>
      <c r="AB2069" s="4"/>
      <c r="AC2069" s="253" t="s">
        <v>17</v>
      </c>
      <c r="AD2069" s="249"/>
      <c r="AE2069" s="249"/>
      <c r="AF2069" s="249"/>
      <c r="AG2069" s="249"/>
      <c r="AH2069" s="250"/>
      <c r="AI2069" s="248" t="s">
        <v>18</v>
      </c>
      <c r="AJ2069" s="249"/>
      <c r="AK2069" s="249"/>
      <c r="AL2069" s="249"/>
      <c r="AM2069" s="249"/>
      <c r="AN2069" s="250"/>
      <c r="AO2069" s="248" t="s">
        <v>27</v>
      </c>
      <c r="AP2069" s="249"/>
      <c r="AQ2069" s="249"/>
      <c r="AR2069" s="249"/>
      <c r="AS2069" s="249"/>
      <c r="AT2069" s="250"/>
      <c r="AU2069" s="248" t="s">
        <v>28</v>
      </c>
      <c r="AV2069" s="249"/>
      <c r="AW2069" s="249"/>
      <c r="AX2069" s="249"/>
      <c r="AY2069" s="249"/>
      <c r="AZ2069" s="250"/>
      <c r="BA2069" s="243" t="s">
        <v>1</v>
      </c>
    </row>
    <row r="2070" spans="1:55" ht="15" thickBot="1" x14ac:dyDescent="0.2">
      <c r="A2070" s="9" t="s">
        <v>2</v>
      </c>
      <c r="B2070" s="6" t="s">
        <v>3</v>
      </c>
      <c r="C2070" s="7" t="s">
        <v>4</v>
      </c>
      <c r="D2070" s="7" t="s">
        <v>5</v>
      </c>
      <c r="E2070" s="48" t="s">
        <v>20</v>
      </c>
      <c r="F2070" s="8" t="s">
        <v>21</v>
      </c>
      <c r="G2070" s="5" t="s">
        <v>6</v>
      </c>
      <c r="H2070" s="6" t="s">
        <v>3</v>
      </c>
      <c r="I2070" s="7" t="s">
        <v>4</v>
      </c>
      <c r="J2070" s="7" t="s">
        <v>5</v>
      </c>
      <c r="K2070" s="48" t="s">
        <v>20</v>
      </c>
      <c r="L2070" s="8" t="s">
        <v>21</v>
      </c>
      <c r="M2070" s="5" t="s">
        <v>6</v>
      </c>
      <c r="N2070" s="6" t="s">
        <v>3</v>
      </c>
      <c r="O2070" s="7" t="s">
        <v>4</v>
      </c>
      <c r="P2070" s="7" t="s">
        <v>5</v>
      </c>
      <c r="Q2070" s="48" t="s">
        <v>20</v>
      </c>
      <c r="R2070" s="8" t="s">
        <v>21</v>
      </c>
      <c r="S2070" s="5" t="s">
        <v>6</v>
      </c>
      <c r="T2070" s="7" t="s">
        <v>3</v>
      </c>
      <c r="U2070" s="7" t="s">
        <v>4</v>
      </c>
      <c r="V2070" s="7" t="s">
        <v>5</v>
      </c>
      <c r="W2070" s="48" t="s">
        <v>20</v>
      </c>
      <c r="X2070" s="109" t="s">
        <v>21</v>
      </c>
      <c r="Y2070" s="62" t="s">
        <v>6</v>
      </c>
      <c r="Z2070" s="252"/>
      <c r="AB2070" s="9" t="s">
        <v>2</v>
      </c>
      <c r="AC2070" s="6" t="s">
        <v>3</v>
      </c>
      <c r="AD2070" s="7" t="s">
        <v>4</v>
      </c>
      <c r="AE2070" s="7" t="s">
        <v>5</v>
      </c>
      <c r="AF2070" s="48" t="s">
        <v>20</v>
      </c>
      <c r="AG2070" s="8" t="s">
        <v>21</v>
      </c>
      <c r="AH2070" s="5" t="s">
        <v>6</v>
      </c>
      <c r="AI2070" s="6" t="s">
        <v>3</v>
      </c>
      <c r="AJ2070" s="7" t="s">
        <v>4</v>
      </c>
      <c r="AK2070" s="7" t="s">
        <v>5</v>
      </c>
      <c r="AL2070" s="48" t="s">
        <v>20</v>
      </c>
      <c r="AM2070" s="8" t="s">
        <v>21</v>
      </c>
      <c r="AN2070" s="5" t="s">
        <v>6</v>
      </c>
      <c r="AO2070" s="6" t="s">
        <v>3</v>
      </c>
      <c r="AP2070" s="7" t="s">
        <v>4</v>
      </c>
      <c r="AQ2070" s="7" t="s">
        <v>5</v>
      </c>
      <c r="AR2070" s="48" t="s">
        <v>20</v>
      </c>
      <c r="AS2070" s="8" t="s">
        <v>21</v>
      </c>
      <c r="AT2070" s="5" t="s">
        <v>6</v>
      </c>
      <c r="AU2070" s="7" t="s">
        <v>3</v>
      </c>
      <c r="AV2070" s="7" t="s">
        <v>4</v>
      </c>
      <c r="AW2070" s="7" t="s">
        <v>5</v>
      </c>
      <c r="AX2070" s="48" t="s">
        <v>20</v>
      </c>
      <c r="AY2070" s="109" t="s">
        <v>21</v>
      </c>
      <c r="AZ2070" s="62" t="s">
        <v>6</v>
      </c>
      <c r="BA2070" s="244"/>
    </row>
    <row r="2071" spans="1:55" ht="14.25" x14ac:dyDescent="0.15">
      <c r="A2071" s="103" t="s">
        <v>43</v>
      </c>
      <c r="B2071" s="104">
        <f>B2065</f>
        <v>4</v>
      </c>
      <c r="C2071" s="105">
        <f>C2065</f>
        <v>5</v>
      </c>
      <c r="D2071" s="105">
        <f>D2065</f>
        <v>3</v>
      </c>
      <c r="E2071" s="105">
        <f>E2065</f>
        <v>0</v>
      </c>
      <c r="F2071" s="105">
        <f>F2065</f>
        <v>4</v>
      </c>
      <c r="G2071" s="106">
        <f t="shared" ref="G2071" si="2561">SUM(B2071:F2071)</f>
        <v>16</v>
      </c>
      <c r="H2071" s="104">
        <f>H2065</f>
        <v>5</v>
      </c>
      <c r="I2071" s="105">
        <f>I2065</f>
        <v>6</v>
      </c>
      <c r="J2071" s="105">
        <f>J2065</f>
        <v>5</v>
      </c>
      <c r="K2071" s="105">
        <f>K2065</f>
        <v>2</v>
      </c>
      <c r="L2071" s="105">
        <f>L2065</f>
        <v>3</v>
      </c>
      <c r="M2071" s="107">
        <f t="shared" ref="M2071:M2075" si="2562">SUM(H2071:L2071)</f>
        <v>21</v>
      </c>
      <c r="N2071" s="104">
        <f>N2065</f>
        <v>6</v>
      </c>
      <c r="O2071" s="105">
        <f>O2065</f>
        <v>3</v>
      </c>
      <c r="P2071" s="105">
        <f>P2065</f>
        <v>5</v>
      </c>
      <c r="Q2071" s="105">
        <f>Q2065</f>
        <v>3</v>
      </c>
      <c r="R2071" s="105">
        <f>R2065</f>
        <v>4</v>
      </c>
      <c r="S2071" s="108">
        <f t="shared" ref="S2071:S2075" si="2563">SUM(N2071:R2071)</f>
        <v>21</v>
      </c>
      <c r="T2071" s="104">
        <f>T2065</f>
        <v>6</v>
      </c>
      <c r="U2071" s="105">
        <f>U2065</f>
        <v>6</v>
      </c>
      <c r="V2071" s="105">
        <f>V2065</f>
        <v>10</v>
      </c>
      <c r="W2071" s="105">
        <f>W2065</f>
        <v>1</v>
      </c>
      <c r="X2071" s="105">
        <f>X2065</f>
        <v>4</v>
      </c>
      <c r="Y2071" s="106">
        <f t="shared" ref="Y2071:Y2075" si="2564">SUM(T2071:X2071)</f>
        <v>27</v>
      </c>
      <c r="Z2071" s="106">
        <f t="shared" ref="Z2071:Z2099" si="2565">G2071+M2071+S2071+Y2071</f>
        <v>85</v>
      </c>
      <c r="AB2071" s="103" t="s">
        <v>43</v>
      </c>
      <c r="AC2071" s="104">
        <f>AC2065</f>
        <v>70</v>
      </c>
      <c r="AD2071" s="105">
        <f t="shared" ref="AD2071:AG2071" si="2566">AD2065</f>
        <v>18</v>
      </c>
      <c r="AE2071" s="105">
        <f t="shared" si="2566"/>
        <v>13</v>
      </c>
      <c r="AF2071" s="105">
        <f t="shared" si="2566"/>
        <v>0</v>
      </c>
      <c r="AG2071" s="105">
        <f t="shared" si="2566"/>
        <v>0</v>
      </c>
      <c r="AH2071" s="106">
        <f>SUM(AC2071:AG2071)</f>
        <v>101</v>
      </c>
      <c r="AI2071" s="104">
        <f>AI2065</f>
        <v>64</v>
      </c>
      <c r="AJ2071" s="105">
        <f t="shared" ref="AJ2071:AM2071" si="2567">AJ2065</f>
        <v>30</v>
      </c>
      <c r="AK2071" s="105">
        <f t="shared" si="2567"/>
        <v>36</v>
      </c>
      <c r="AL2071" s="105">
        <f t="shared" si="2567"/>
        <v>5</v>
      </c>
      <c r="AM2071" s="105">
        <f t="shared" si="2567"/>
        <v>35</v>
      </c>
      <c r="AN2071" s="106">
        <f>SUM(AI2071:AM2071)</f>
        <v>170</v>
      </c>
      <c r="AO2071" s="104">
        <f>AO2065</f>
        <v>131</v>
      </c>
      <c r="AP2071" s="105">
        <f t="shared" ref="AP2071:AS2071" si="2568">AP2065</f>
        <v>78</v>
      </c>
      <c r="AQ2071" s="105">
        <f t="shared" si="2568"/>
        <v>75</v>
      </c>
      <c r="AR2071" s="105">
        <f t="shared" si="2568"/>
        <v>93</v>
      </c>
      <c r="AS2071" s="105">
        <f t="shared" si="2568"/>
        <v>108</v>
      </c>
      <c r="AT2071" s="106">
        <f>SUM(AO2071:AS2071)</f>
        <v>485</v>
      </c>
      <c r="AU2071" s="104">
        <f>AU2065</f>
        <v>99</v>
      </c>
      <c r="AV2071" s="105">
        <f t="shared" ref="AV2071:AY2071" si="2569">AV2065</f>
        <v>36</v>
      </c>
      <c r="AW2071" s="105">
        <f t="shared" si="2569"/>
        <v>0</v>
      </c>
      <c r="AX2071" s="105">
        <f t="shared" si="2569"/>
        <v>0</v>
      </c>
      <c r="AY2071" s="105">
        <f t="shared" si="2569"/>
        <v>49</v>
      </c>
      <c r="AZ2071" s="106">
        <f>SUM(AU2071:AY2071)</f>
        <v>184</v>
      </c>
      <c r="BA2071" s="106">
        <f>AH2071+AN2071+AT2071+AZ2071</f>
        <v>940</v>
      </c>
    </row>
    <row r="2072" spans="1:55" ht="14.25" x14ac:dyDescent="0.15">
      <c r="A2072" s="47" t="s">
        <v>710</v>
      </c>
      <c r="B2072" s="41">
        <v>1</v>
      </c>
      <c r="C2072" s="42"/>
      <c r="D2072" s="42"/>
      <c r="E2072" s="42"/>
      <c r="F2072" s="42"/>
      <c r="G2072" s="43">
        <f t="shared" ref="G2072" si="2570">SUM(B2072:F2072)</f>
        <v>1</v>
      </c>
      <c r="H2072" s="41"/>
      <c r="I2072" s="42"/>
      <c r="J2072" s="42"/>
      <c r="K2072" s="42"/>
      <c r="L2072" s="42"/>
      <c r="M2072" s="43">
        <f t="shared" ref="M2072" si="2571">SUM(H2072:L2072)</f>
        <v>0</v>
      </c>
      <c r="N2072" s="42">
        <v>1</v>
      </c>
      <c r="O2072" s="53"/>
      <c r="P2072" s="53"/>
      <c r="Q2072" s="53"/>
      <c r="R2072" s="72"/>
      <c r="S2072" s="24">
        <f t="shared" ref="S2072" si="2572">SUM(N2072:R2072)</f>
        <v>1</v>
      </c>
      <c r="T2072" s="42"/>
      <c r="U2072" s="53"/>
      <c r="V2072" s="53"/>
      <c r="W2072" s="53"/>
      <c r="X2072" s="72"/>
      <c r="Y2072" s="24">
        <f t="shared" ref="Y2072" si="2573">SUM(T2072:X2072)</f>
        <v>0</v>
      </c>
      <c r="Z2072" s="24">
        <f t="shared" si="2565"/>
        <v>2</v>
      </c>
      <c r="AA2072" s="93">
        <v>45948</v>
      </c>
      <c r="AB2072" s="10" t="s">
        <v>181</v>
      </c>
      <c r="AC2072" s="14"/>
      <c r="AD2072" s="15"/>
      <c r="AE2072" s="15"/>
      <c r="AF2072" s="15"/>
      <c r="AG2072" s="15"/>
      <c r="AH2072" s="43">
        <f t="shared" ref="AH2072:AH2075" si="2574">SUM(AC2072:AG2072)</f>
        <v>0</v>
      </c>
      <c r="AI2072" s="14"/>
      <c r="AJ2072" s="15"/>
      <c r="AK2072" s="15"/>
      <c r="AL2072" s="15"/>
      <c r="AM2072" s="15"/>
      <c r="AN2072" s="43">
        <f t="shared" ref="AN2072:AN2075" si="2575">SUM(AI2072:AM2072)</f>
        <v>0</v>
      </c>
      <c r="AO2072" s="14"/>
      <c r="AP2072" s="55"/>
      <c r="AQ2072" s="55"/>
      <c r="AR2072" s="55"/>
      <c r="AS2072" s="67"/>
      <c r="AT2072" s="24">
        <f t="shared" ref="AT2072:AT2075" si="2576">SUM(AO2072:AS2072)</f>
        <v>0</v>
      </c>
      <c r="AU2072" s="15"/>
      <c r="AV2072" s="55"/>
      <c r="AW2072" s="55"/>
      <c r="AX2072" s="55"/>
      <c r="AY2072" s="67"/>
      <c r="AZ2072" s="24">
        <f t="shared" ref="AZ2072:AZ2075" si="2577">SUM(AU2072:AY2072)</f>
        <v>0</v>
      </c>
      <c r="BA2072" s="24">
        <f t="shared" ref="BA2072:BA2075" si="2578">AH2072+AN2072+AT2072+AZ2072</f>
        <v>0</v>
      </c>
    </row>
    <row r="2073" spans="1:55" ht="14.25" x14ac:dyDescent="0.15">
      <c r="A2073" s="10" t="s">
        <v>181</v>
      </c>
      <c r="B2073" s="14"/>
      <c r="C2073" s="15"/>
      <c r="D2073" s="15"/>
      <c r="E2073" s="15"/>
      <c r="F2073" s="15"/>
      <c r="G2073" s="43">
        <f t="shared" ref="G2073:G2075" si="2579">SUM(B2073:F2073)</f>
        <v>0</v>
      </c>
      <c r="H2073" s="14"/>
      <c r="I2073" s="15"/>
      <c r="J2073" s="15"/>
      <c r="K2073" s="15"/>
      <c r="L2073" s="15"/>
      <c r="M2073" s="43">
        <f t="shared" si="2562"/>
        <v>0</v>
      </c>
      <c r="N2073" s="14"/>
      <c r="O2073" s="55"/>
      <c r="P2073" s="55"/>
      <c r="Q2073" s="55">
        <v>5</v>
      </c>
      <c r="R2073" s="67"/>
      <c r="S2073" s="24">
        <f t="shared" si="2563"/>
        <v>5</v>
      </c>
      <c r="T2073" s="15"/>
      <c r="U2073" s="55"/>
      <c r="V2073" s="55"/>
      <c r="W2073" s="55"/>
      <c r="X2073" s="67"/>
      <c r="Y2073" s="24">
        <f t="shared" si="2564"/>
        <v>0</v>
      </c>
      <c r="Z2073" s="24">
        <f t="shared" si="2565"/>
        <v>5</v>
      </c>
      <c r="AA2073" s="83">
        <v>45953</v>
      </c>
      <c r="AB2073" s="10" t="s">
        <v>181</v>
      </c>
      <c r="AC2073" s="14"/>
      <c r="AD2073" s="15"/>
      <c r="AE2073" s="15"/>
      <c r="AF2073" s="15"/>
      <c r="AG2073" s="15"/>
      <c r="AH2073" s="43">
        <f t="shared" si="2574"/>
        <v>0</v>
      </c>
      <c r="AI2073" s="14"/>
      <c r="AJ2073" s="15"/>
      <c r="AK2073" s="15"/>
      <c r="AL2073" s="15"/>
      <c r="AM2073" s="15"/>
      <c r="AN2073" s="43">
        <f t="shared" si="2575"/>
        <v>0</v>
      </c>
      <c r="AO2073" s="14"/>
      <c r="AP2073" s="55"/>
      <c r="AQ2073" s="55"/>
      <c r="AR2073" s="55"/>
      <c r="AS2073" s="67"/>
      <c r="AT2073" s="24">
        <f t="shared" si="2576"/>
        <v>0</v>
      </c>
      <c r="AU2073" s="15"/>
      <c r="AV2073" s="55"/>
      <c r="AW2073" s="55"/>
      <c r="AX2073" s="55"/>
      <c r="AY2073" s="67"/>
      <c r="AZ2073" s="24">
        <f t="shared" si="2577"/>
        <v>0</v>
      </c>
      <c r="BA2073" s="24">
        <f t="shared" si="2578"/>
        <v>0</v>
      </c>
    </row>
    <row r="2074" spans="1:55" ht="14.25" x14ac:dyDescent="0.15">
      <c r="A2074" s="10" t="s">
        <v>181</v>
      </c>
      <c r="B2074" s="14"/>
      <c r="C2074" s="15"/>
      <c r="D2074" s="15"/>
      <c r="E2074" s="15"/>
      <c r="F2074" s="15"/>
      <c r="G2074" s="43">
        <f t="shared" si="2579"/>
        <v>0</v>
      </c>
      <c r="H2074" s="14"/>
      <c r="I2074" s="15"/>
      <c r="J2074" s="15"/>
      <c r="K2074" s="15">
        <v>5</v>
      </c>
      <c r="L2074" s="15">
        <v>3</v>
      </c>
      <c r="M2074" s="43">
        <f t="shared" si="2562"/>
        <v>8</v>
      </c>
      <c r="N2074" s="14"/>
      <c r="O2074" s="55"/>
      <c r="P2074" s="55"/>
      <c r="Q2074" s="55"/>
      <c r="R2074" s="67"/>
      <c r="S2074" s="24">
        <f t="shared" si="2563"/>
        <v>0</v>
      </c>
      <c r="T2074" s="15"/>
      <c r="U2074" s="55"/>
      <c r="V2074" s="55"/>
      <c r="W2074" s="55"/>
      <c r="X2074" s="67"/>
      <c r="Y2074" s="24">
        <f t="shared" si="2564"/>
        <v>0</v>
      </c>
      <c r="Z2074" s="24">
        <f t="shared" si="2565"/>
        <v>8</v>
      </c>
      <c r="AA2074" s="83">
        <v>45966</v>
      </c>
      <c r="AB2074" s="10" t="s">
        <v>181</v>
      </c>
      <c r="AC2074" s="14"/>
      <c r="AD2074" s="15"/>
      <c r="AE2074" s="15"/>
      <c r="AF2074" s="15"/>
      <c r="AG2074" s="15"/>
      <c r="AH2074" s="43">
        <f t="shared" si="2574"/>
        <v>0</v>
      </c>
      <c r="AI2074" s="14"/>
      <c r="AJ2074" s="15"/>
      <c r="AK2074" s="15"/>
      <c r="AL2074" s="15"/>
      <c r="AM2074" s="15"/>
      <c r="AN2074" s="43">
        <f t="shared" si="2575"/>
        <v>0</v>
      </c>
      <c r="AO2074" s="14"/>
      <c r="AP2074" s="55"/>
      <c r="AQ2074" s="55"/>
      <c r="AR2074" s="55"/>
      <c r="AS2074" s="67"/>
      <c r="AT2074" s="24">
        <f t="shared" si="2576"/>
        <v>0</v>
      </c>
      <c r="AU2074" s="15"/>
      <c r="AV2074" s="55"/>
      <c r="AW2074" s="55"/>
      <c r="AX2074" s="55"/>
      <c r="AY2074" s="67"/>
      <c r="AZ2074" s="24">
        <f t="shared" si="2577"/>
        <v>0</v>
      </c>
      <c r="BA2074" s="24">
        <f t="shared" si="2578"/>
        <v>0</v>
      </c>
    </row>
    <row r="2075" spans="1:55" ht="15" thickBot="1" x14ac:dyDescent="0.2">
      <c r="A2075" s="228" t="s">
        <v>181</v>
      </c>
      <c r="B2075" s="229"/>
      <c r="C2075" s="230"/>
      <c r="D2075" s="230"/>
      <c r="E2075" s="230"/>
      <c r="F2075" s="230"/>
      <c r="G2075" s="22">
        <f t="shared" si="2579"/>
        <v>0</v>
      </c>
      <c r="H2075" s="229"/>
      <c r="I2075" s="230"/>
      <c r="J2075" s="230">
        <v>5</v>
      </c>
      <c r="K2075" s="230"/>
      <c r="L2075" s="230"/>
      <c r="M2075" s="22">
        <f t="shared" si="2562"/>
        <v>5</v>
      </c>
      <c r="N2075" s="229"/>
      <c r="O2075" s="231"/>
      <c r="P2075" s="231"/>
      <c r="Q2075" s="231">
        <v>5</v>
      </c>
      <c r="R2075" s="232"/>
      <c r="S2075" s="225">
        <f t="shared" si="2563"/>
        <v>5</v>
      </c>
      <c r="T2075" s="230"/>
      <c r="U2075" s="231"/>
      <c r="V2075" s="231"/>
      <c r="W2075" s="231"/>
      <c r="X2075" s="232"/>
      <c r="Y2075" s="225">
        <f t="shared" si="2564"/>
        <v>0</v>
      </c>
      <c r="Z2075" s="225">
        <f t="shared" si="2565"/>
        <v>10</v>
      </c>
      <c r="AA2075" s="93">
        <v>45972</v>
      </c>
      <c r="AB2075" s="10" t="s">
        <v>181</v>
      </c>
      <c r="AC2075" s="14"/>
      <c r="AD2075" s="15"/>
      <c r="AE2075" s="15"/>
      <c r="AF2075" s="15"/>
      <c r="AG2075" s="15"/>
      <c r="AH2075" s="43">
        <f t="shared" si="2574"/>
        <v>0</v>
      </c>
      <c r="AI2075" s="14"/>
      <c r="AJ2075" s="15"/>
      <c r="AK2075" s="15"/>
      <c r="AL2075" s="15"/>
      <c r="AM2075" s="15"/>
      <c r="AN2075" s="43">
        <f t="shared" si="2575"/>
        <v>0</v>
      </c>
      <c r="AO2075" s="14"/>
      <c r="AP2075" s="55"/>
      <c r="AQ2075" s="55"/>
      <c r="AR2075" s="55"/>
      <c r="AS2075" s="67"/>
      <c r="AT2075" s="24">
        <f t="shared" si="2576"/>
        <v>0</v>
      </c>
      <c r="AU2075" s="15"/>
      <c r="AV2075" s="55"/>
      <c r="AW2075" s="55"/>
      <c r="AX2075" s="55"/>
      <c r="AY2075" s="67"/>
      <c r="AZ2075" s="24">
        <f t="shared" si="2577"/>
        <v>0</v>
      </c>
      <c r="BA2075" s="24">
        <f t="shared" si="2578"/>
        <v>0</v>
      </c>
    </row>
    <row r="2076" spans="1:55" ht="15" thickBot="1" x14ac:dyDescent="0.2">
      <c r="A2076" s="4" t="s">
        <v>12</v>
      </c>
      <c r="B2076" s="17">
        <f>SUM(B2071:B2075)</f>
        <v>5</v>
      </c>
      <c r="C2076" s="18">
        <f>SUM(C2071:C2075)</f>
        <v>5</v>
      </c>
      <c r="D2076" s="18">
        <f>SUM(D2071:D2075)</f>
        <v>3</v>
      </c>
      <c r="E2076" s="18">
        <f>SUM(E2071:E2075)</f>
        <v>0</v>
      </c>
      <c r="F2076" s="18">
        <f>SUM(F2071:F2075)</f>
        <v>4</v>
      </c>
      <c r="G2076" s="148">
        <f t="shared" ref="G2076:G2099" si="2580">SUM(B2076:F2076)</f>
        <v>17</v>
      </c>
      <c r="H2076" s="17">
        <f>SUM(H2071:H2075)</f>
        <v>5</v>
      </c>
      <c r="I2076" s="18">
        <f>SUM(I2071:I2075)</f>
        <v>6</v>
      </c>
      <c r="J2076" s="18">
        <f>SUM(J2071:J2075)</f>
        <v>10</v>
      </c>
      <c r="K2076" s="18">
        <f>SUM(K2071:K2075)</f>
        <v>7</v>
      </c>
      <c r="L2076" s="18">
        <f>SUM(L2071:L2075)</f>
        <v>6</v>
      </c>
      <c r="M2076" s="17">
        <f t="shared" ref="M2076:M2099" si="2581">SUM(H2076:L2076)</f>
        <v>34</v>
      </c>
      <c r="N2076" s="65">
        <f>SUM(N2071:N2075)</f>
        <v>7</v>
      </c>
      <c r="O2076" s="18">
        <f>SUM(O2071:O2075)</f>
        <v>3</v>
      </c>
      <c r="P2076" s="18">
        <f>SUM(P2071:P2075)</f>
        <v>5</v>
      </c>
      <c r="Q2076" s="18">
        <f>SUM(Q2071:Q2075)</f>
        <v>13</v>
      </c>
      <c r="R2076" s="70">
        <f>SUM(R2071:R2075)</f>
        <v>4</v>
      </c>
      <c r="S2076" s="49">
        <f t="shared" ref="S2076:S2099" si="2582">SUM(N2076:R2076)</f>
        <v>32</v>
      </c>
      <c r="T2076" s="74">
        <f>SUM(T2071:T2075)</f>
        <v>6</v>
      </c>
      <c r="U2076" s="18">
        <f>SUM(U2071:U2075)</f>
        <v>6</v>
      </c>
      <c r="V2076" s="18">
        <f>SUM(V2071:V2075)</f>
        <v>10</v>
      </c>
      <c r="W2076" s="18">
        <f>SUM(W2071:W2075)</f>
        <v>1</v>
      </c>
      <c r="X2076" s="70">
        <f>SUM(X2071:X2075)</f>
        <v>4</v>
      </c>
      <c r="Y2076" s="49">
        <f t="shared" ref="Y2076:Y2099" si="2583">SUM(T2076:X2076)</f>
        <v>27</v>
      </c>
      <c r="Z2076" s="33">
        <f t="shared" si="2565"/>
        <v>110</v>
      </c>
      <c r="AB2076" s="4" t="s">
        <v>12</v>
      </c>
      <c r="AC2076" s="17">
        <f>SUM(AC2071:AC2075)</f>
        <v>70</v>
      </c>
      <c r="AD2076" s="18">
        <f t="shared" ref="AD2076:AG2076" si="2584">SUM(AD2071:AD2075)</f>
        <v>18</v>
      </c>
      <c r="AE2076" s="18">
        <f t="shared" si="2584"/>
        <v>13</v>
      </c>
      <c r="AF2076" s="18">
        <f t="shared" si="2584"/>
        <v>0</v>
      </c>
      <c r="AG2076" s="18">
        <f t="shared" si="2584"/>
        <v>0</v>
      </c>
      <c r="AH2076" s="148">
        <f>SUM(AC2076:AG2076)</f>
        <v>101</v>
      </c>
      <c r="AI2076" s="17">
        <f>SUM(AI2071:AI2075)</f>
        <v>64</v>
      </c>
      <c r="AJ2076" s="18">
        <f t="shared" ref="AJ2076:AM2076" si="2585">SUM(AJ2071:AJ2075)</f>
        <v>30</v>
      </c>
      <c r="AK2076" s="18">
        <f t="shared" si="2585"/>
        <v>36</v>
      </c>
      <c r="AL2076" s="18">
        <f t="shared" si="2585"/>
        <v>5</v>
      </c>
      <c r="AM2076" s="18">
        <f t="shared" si="2585"/>
        <v>35</v>
      </c>
      <c r="AN2076" s="148">
        <f>SUM(AI2076:AM2076)</f>
        <v>170</v>
      </c>
      <c r="AO2076" s="17">
        <f>SUM(AO2071:AO2075)</f>
        <v>131</v>
      </c>
      <c r="AP2076" s="18">
        <f t="shared" ref="AP2076:AS2076" si="2586">SUM(AP2071:AP2075)</f>
        <v>78</v>
      </c>
      <c r="AQ2076" s="18">
        <f t="shared" si="2586"/>
        <v>75</v>
      </c>
      <c r="AR2076" s="18">
        <f t="shared" si="2586"/>
        <v>93</v>
      </c>
      <c r="AS2076" s="18">
        <f t="shared" si="2586"/>
        <v>108</v>
      </c>
      <c r="AT2076" s="148">
        <f>SUM(AO2076:AS2076)</f>
        <v>485</v>
      </c>
      <c r="AU2076" s="17">
        <f>SUM(AU2071:AU2075)</f>
        <v>99</v>
      </c>
      <c r="AV2076" s="18">
        <f t="shared" ref="AV2076:AY2076" si="2587">SUM(AV2071:AV2075)</f>
        <v>36</v>
      </c>
      <c r="AW2076" s="18">
        <f t="shared" si="2587"/>
        <v>0</v>
      </c>
      <c r="AX2076" s="18">
        <f t="shared" si="2587"/>
        <v>0</v>
      </c>
      <c r="AY2076" s="18">
        <f t="shared" si="2587"/>
        <v>49</v>
      </c>
      <c r="AZ2076" s="148">
        <f>SUM(AU2076:AY2076)</f>
        <v>184</v>
      </c>
      <c r="BA2076" s="33">
        <f>AH2076+AN2076+AT2076+AZ2076</f>
        <v>940</v>
      </c>
    </row>
    <row r="2077" spans="1:55" ht="14.25" x14ac:dyDescent="0.15">
      <c r="A2077" s="23" t="s">
        <v>699</v>
      </c>
      <c r="B2077" s="41"/>
      <c r="C2077" s="42"/>
      <c r="D2077" s="42"/>
      <c r="E2077" s="42"/>
      <c r="F2077" s="42"/>
      <c r="G2077" s="43">
        <f t="shared" ref="G2077:G2091" si="2588">SUM(B2077:F2077)</f>
        <v>0</v>
      </c>
      <c r="H2077" s="41"/>
      <c r="I2077" s="42"/>
      <c r="J2077" s="42"/>
      <c r="K2077" s="42"/>
      <c r="L2077" s="42"/>
      <c r="M2077" s="43">
        <f t="shared" ref="M2077:M2091" si="2589">SUM(H2077:L2077)</f>
        <v>0</v>
      </c>
      <c r="N2077" s="42"/>
      <c r="O2077" s="53"/>
      <c r="P2077" s="53"/>
      <c r="Q2077" s="53"/>
      <c r="R2077" s="72"/>
      <c r="S2077" s="24">
        <f t="shared" ref="S2077:S2091" si="2590">SUM(N2077:R2077)</f>
        <v>0</v>
      </c>
      <c r="T2077" s="42"/>
      <c r="U2077" s="53"/>
      <c r="V2077" s="53"/>
      <c r="W2077" s="53">
        <v>1</v>
      </c>
      <c r="X2077" s="72"/>
      <c r="Y2077" s="24">
        <f t="shared" ref="Y2077:Y2091" si="2591">SUM(T2077:X2077)</f>
        <v>1</v>
      </c>
      <c r="Z2077" s="24">
        <f t="shared" ref="Z2077:Z2091" si="2592">G2077+M2077+S2077+Y2077</f>
        <v>1</v>
      </c>
      <c r="AA2077" s="93">
        <v>45939</v>
      </c>
      <c r="AB2077" s="224" t="s">
        <v>711</v>
      </c>
      <c r="AC2077" s="12"/>
      <c r="AD2077" s="13"/>
      <c r="AE2077" s="13"/>
      <c r="AF2077" s="13"/>
      <c r="AG2077" s="13"/>
      <c r="AH2077" s="22">
        <f t="shared" ref="AH2077:AH2078" si="2593">SUM(AC2077:AG2077)</f>
        <v>0</v>
      </c>
      <c r="AI2077" s="12"/>
      <c r="AJ2077" s="13"/>
      <c r="AK2077" s="13"/>
      <c r="AL2077" s="13"/>
      <c r="AM2077" s="13"/>
      <c r="AN2077" s="22">
        <f t="shared" ref="AN2077:AN2078" si="2594">SUM(AI2077:AM2077)</f>
        <v>0</v>
      </c>
      <c r="AO2077" s="13"/>
      <c r="AP2077" s="54"/>
      <c r="AQ2077" s="54"/>
      <c r="AR2077" s="54">
        <v>5</v>
      </c>
      <c r="AS2077" s="68"/>
      <c r="AT2077" s="225">
        <f t="shared" ref="AT2077:AT2078" si="2595">SUM(AO2077:AS2077)</f>
        <v>5</v>
      </c>
      <c r="AU2077" s="13"/>
      <c r="AV2077" s="54"/>
      <c r="AW2077" s="54"/>
      <c r="AX2077" s="54"/>
      <c r="AY2077" s="68"/>
      <c r="AZ2077" s="225">
        <f t="shared" ref="AZ2077:AZ2078" si="2596">SUM(AU2077:AY2077)</f>
        <v>0</v>
      </c>
      <c r="BA2077" s="225">
        <f t="shared" ref="BA2077:BA2078" si="2597">AH2077+AN2077+AT2077+AZ2077</f>
        <v>5</v>
      </c>
      <c r="BB2077" s="93">
        <v>45953</v>
      </c>
    </row>
    <row r="2078" spans="1:55" ht="14.25" x14ac:dyDescent="0.15">
      <c r="A2078" s="23" t="s">
        <v>699</v>
      </c>
      <c r="B2078" s="41">
        <v>1</v>
      </c>
      <c r="C2078" s="42"/>
      <c r="D2078" s="42"/>
      <c r="E2078" s="42"/>
      <c r="F2078" s="42"/>
      <c r="G2078" s="43">
        <f t="shared" si="2588"/>
        <v>1</v>
      </c>
      <c r="H2078" s="41"/>
      <c r="I2078" s="42">
        <v>1</v>
      </c>
      <c r="J2078" s="42"/>
      <c r="K2078" s="42"/>
      <c r="L2078" s="42"/>
      <c r="M2078" s="43">
        <f t="shared" si="2589"/>
        <v>1</v>
      </c>
      <c r="N2078" s="42"/>
      <c r="O2078" s="53"/>
      <c r="P2078" s="53"/>
      <c r="Q2078" s="53">
        <v>1</v>
      </c>
      <c r="R2078" s="72"/>
      <c r="S2078" s="24">
        <f t="shared" si="2590"/>
        <v>1</v>
      </c>
      <c r="T2078" s="42"/>
      <c r="U2078" s="53"/>
      <c r="V2078" s="53"/>
      <c r="W2078" s="53"/>
      <c r="X2078" s="72"/>
      <c r="Y2078" s="24">
        <f t="shared" si="2591"/>
        <v>0</v>
      </c>
      <c r="Z2078" s="24">
        <f t="shared" si="2592"/>
        <v>3</v>
      </c>
      <c r="AA2078" s="93">
        <v>45944</v>
      </c>
      <c r="AB2078" s="23" t="s">
        <v>126</v>
      </c>
      <c r="AC2078" s="41"/>
      <c r="AD2078" s="42"/>
      <c r="AE2078" s="42"/>
      <c r="AF2078" s="42"/>
      <c r="AG2078" s="42"/>
      <c r="AH2078" s="43">
        <f t="shared" si="2593"/>
        <v>0</v>
      </c>
      <c r="AI2078" s="41"/>
      <c r="AJ2078" s="42"/>
      <c r="AK2078" s="42"/>
      <c r="AL2078" s="42">
        <v>5</v>
      </c>
      <c r="AM2078" s="42">
        <v>3</v>
      </c>
      <c r="AN2078" s="43">
        <f t="shared" si="2594"/>
        <v>8</v>
      </c>
      <c r="AO2078" s="42"/>
      <c r="AP2078" s="53"/>
      <c r="AQ2078" s="53"/>
      <c r="AR2078" s="53"/>
      <c r="AS2078" s="72"/>
      <c r="AT2078" s="24">
        <f t="shared" si="2595"/>
        <v>0</v>
      </c>
      <c r="AU2078" s="42"/>
      <c r="AV2078" s="53"/>
      <c r="AW2078" s="53"/>
      <c r="AX2078" s="53"/>
      <c r="AY2078" s="72"/>
      <c r="AZ2078" s="24">
        <f t="shared" si="2596"/>
        <v>0</v>
      </c>
      <c r="BA2078" s="24">
        <f t="shared" si="2597"/>
        <v>8</v>
      </c>
      <c r="BB2078" s="83">
        <v>45966</v>
      </c>
    </row>
    <row r="2079" spans="1:55" ht="14.25" x14ac:dyDescent="0.15">
      <c r="A2079" s="23" t="s">
        <v>699</v>
      </c>
      <c r="B2079" s="41"/>
      <c r="C2079" s="42"/>
      <c r="D2079" s="42"/>
      <c r="E2079" s="42"/>
      <c r="F2079" s="42"/>
      <c r="G2079" s="43">
        <f t="shared" si="2588"/>
        <v>0</v>
      </c>
      <c r="H2079" s="41"/>
      <c r="I2079" s="42"/>
      <c r="J2079" s="42"/>
      <c r="K2079" s="42"/>
      <c r="L2079" s="42">
        <v>1</v>
      </c>
      <c r="M2079" s="43">
        <f t="shared" si="2589"/>
        <v>1</v>
      </c>
      <c r="N2079" s="42"/>
      <c r="O2079" s="53"/>
      <c r="P2079" s="53"/>
      <c r="Q2079" s="53"/>
      <c r="R2079" s="72"/>
      <c r="S2079" s="24">
        <f t="shared" si="2590"/>
        <v>0</v>
      </c>
      <c r="T2079" s="42"/>
      <c r="U2079" s="53"/>
      <c r="V2079" s="53"/>
      <c r="W2079" s="53"/>
      <c r="X2079" s="72"/>
      <c r="Y2079" s="24">
        <f t="shared" si="2591"/>
        <v>0</v>
      </c>
      <c r="Z2079" s="24">
        <f t="shared" si="2592"/>
        <v>1</v>
      </c>
      <c r="AA2079" s="93">
        <v>45945</v>
      </c>
      <c r="AB2079" s="224" t="s">
        <v>126</v>
      </c>
      <c r="AC2079" s="12"/>
      <c r="AD2079" s="13"/>
      <c r="AE2079" s="13"/>
      <c r="AF2079" s="13"/>
      <c r="AG2079" s="13"/>
      <c r="AH2079" s="22">
        <f t="shared" ref="AH2079:AH2097" si="2598">SUM(AC2079:AG2079)</f>
        <v>0</v>
      </c>
      <c r="AI2079" s="12"/>
      <c r="AJ2079" s="13"/>
      <c r="AK2079" s="13">
        <v>5</v>
      </c>
      <c r="AL2079" s="13"/>
      <c r="AM2079" s="13"/>
      <c r="AN2079" s="22">
        <f t="shared" ref="AN2079:AN2097" si="2599">SUM(AI2079:AM2079)</f>
        <v>5</v>
      </c>
      <c r="AO2079" s="13"/>
      <c r="AP2079" s="54"/>
      <c r="AQ2079" s="54"/>
      <c r="AR2079" s="54">
        <v>5</v>
      </c>
      <c r="AS2079" s="68"/>
      <c r="AT2079" s="225">
        <f t="shared" ref="AT2079:AT2097" si="2600">SUM(AO2079:AS2079)</f>
        <v>5</v>
      </c>
      <c r="AU2079" s="13"/>
      <c r="AV2079" s="54"/>
      <c r="AW2079" s="54"/>
      <c r="AX2079" s="54"/>
      <c r="AY2079" s="68"/>
      <c r="AZ2079" s="225">
        <f t="shared" ref="AZ2079:AZ2097" si="2601">SUM(AU2079:AY2079)</f>
        <v>0</v>
      </c>
      <c r="BA2079" s="225">
        <f t="shared" ref="BA2079:BA2104" si="2602">AH2079+AN2079+AT2079+AZ2079</f>
        <v>10</v>
      </c>
      <c r="BB2079" s="93">
        <v>45972</v>
      </c>
    </row>
    <row r="2080" spans="1:55" ht="14.25" x14ac:dyDescent="0.15">
      <c r="A2080" s="23" t="s">
        <v>699</v>
      </c>
      <c r="B2080" s="41"/>
      <c r="C2080" s="42"/>
      <c r="D2080" s="42"/>
      <c r="E2080" s="42"/>
      <c r="F2080" s="42"/>
      <c r="G2080" s="43">
        <f t="shared" si="2588"/>
        <v>0</v>
      </c>
      <c r="H2080" s="41"/>
      <c r="I2080" s="42"/>
      <c r="J2080" s="42"/>
      <c r="K2080" s="42"/>
      <c r="L2080" s="42"/>
      <c r="M2080" s="43">
        <f t="shared" si="2589"/>
        <v>0</v>
      </c>
      <c r="N2080" s="42"/>
      <c r="O2080" s="53"/>
      <c r="P2080" s="53"/>
      <c r="Q2080" s="53">
        <v>1</v>
      </c>
      <c r="R2080" s="72"/>
      <c r="S2080" s="24">
        <f t="shared" si="2590"/>
        <v>1</v>
      </c>
      <c r="T2080" s="42"/>
      <c r="U2080" s="53"/>
      <c r="V2080" s="53"/>
      <c r="W2080" s="53"/>
      <c r="X2080" s="72"/>
      <c r="Y2080" s="24">
        <f t="shared" si="2591"/>
        <v>0</v>
      </c>
      <c r="Z2080" s="24">
        <f t="shared" si="2592"/>
        <v>1</v>
      </c>
      <c r="AA2080" s="93">
        <v>45947</v>
      </c>
      <c r="AB2080" s="224" t="s">
        <v>699</v>
      </c>
      <c r="AC2080" s="12"/>
      <c r="AD2080" s="13"/>
      <c r="AE2080" s="13"/>
      <c r="AF2080" s="13"/>
      <c r="AG2080" s="13"/>
      <c r="AH2080" s="22">
        <f t="shared" si="2598"/>
        <v>0</v>
      </c>
      <c r="AI2080" s="12"/>
      <c r="AJ2080" s="13"/>
      <c r="AK2080" s="13"/>
      <c r="AL2080" s="13"/>
      <c r="AM2080" s="13"/>
      <c r="AN2080" s="22">
        <f t="shared" si="2599"/>
        <v>0</v>
      </c>
      <c r="AO2080" s="13"/>
      <c r="AP2080" s="54">
        <v>1</v>
      </c>
      <c r="AQ2080" s="54"/>
      <c r="AR2080" s="54"/>
      <c r="AS2080" s="68"/>
      <c r="AT2080" s="225">
        <f t="shared" si="2600"/>
        <v>1</v>
      </c>
      <c r="AU2080" s="13"/>
      <c r="AV2080" s="54"/>
      <c r="AW2080" s="54"/>
      <c r="AX2080" s="54"/>
      <c r="AY2080" s="68"/>
      <c r="AZ2080" s="225">
        <f t="shared" si="2601"/>
        <v>0</v>
      </c>
      <c r="BA2080" s="225">
        <f t="shared" si="2602"/>
        <v>1</v>
      </c>
      <c r="BB2080" s="93">
        <v>45972</v>
      </c>
    </row>
    <row r="2081" spans="1:54" ht="14.25" x14ac:dyDescent="0.15">
      <c r="A2081" s="23" t="s">
        <v>699</v>
      </c>
      <c r="B2081" s="41"/>
      <c r="C2081" s="42"/>
      <c r="D2081" s="42"/>
      <c r="E2081" s="42"/>
      <c r="F2081" s="42"/>
      <c r="G2081" s="43">
        <f t="shared" si="2588"/>
        <v>0</v>
      </c>
      <c r="H2081" s="41"/>
      <c r="I2081" s="42"/>
      <c r="J2081" s="42"/>
      <c r="K2081" s="42">
        <v>1</v>
      </c>
      <c r="L2081" s="42"/>
      <c r="M2081" s="43">
        <f t="shared" si="2589"/>
        <v>1</v>
      </c>
      <c r="N2081" s="42"/>
      <c r="O2081" s="53"/>
      <c r="P2081" s="53"/>
      <c r="Q2081" s="53"/>
      <c r="R2081" s="72"/>
      <c r="S2081" s="24">
        <f t="shared" si="2590"/>
        <v>0</v>
      </c>
      <c r="T2081" s="42"/>
      <c r="U2081" s="53"/>
      <c r="V2081" s="53"/>
      <c r="W2081" s="53"/>
      <c r="X2081" s="72"/>
      <c r="Y2081" s="24">
        <f t="shared" si="2591"/>
        <v>0</v>
      </c>
      <c r="Z2081" s="24">
        <f t="shared" si="2592"/>
        <v>1</v>
      </c>
      <c r="AA2081" s="93">
        <v>45950</v>
      </c>
      <c r="AB2081" s="224" t="s">
        <v>126</v>
      </c>
      <c r="AC2081" s="12"/>
      <c r="AD2081" s="13"/>
      <c r="AE2081" s="13"/>
      <c r="AF2081" s="13"/>
      <c r="AG2081" s="13"/>
      <c r="AH2081" s="22">
        <f t="shared" ref="AH2081:AH2082" si="2603">SUM(AC2081:AG2081)</f>
        <v>0</v>
      </c>
      <c r="AI2081" s="12"/>
      <c r="AJ2081" s="13"/>
      <c r="AK2081" s="13"/>
      <c r="AL2081" s="13"/>
      <c r="AM2081" s="13"/>
      <c r="AN2081" s="22">
        <f t="shared" ref="AN2081:AN2082" si="2604">SUM(AI2081:AM2081)</f>
        <v>0</v>
      </c>
      <c r="AO2081" s="13"/>
      <c r="AP2081" s="54">
        <v>5</v>
      </c>
      <c r="AQ2081" s="54"/>
      <c r="AR2081" s="54"/>
      <c r="AS2081" s="68"/>
      <c r="AT2081" s="225">
        <f t="shared" ref="AT2081:AT2082" si="2605">SUM(AO2081:AS2081)</f>
        <v>5</v>
      </c>
      <c r="AU2081" s="13"/>
      <c r="AV2081" s="54"/>
      <c r="AW2081" s="54"/>
      <c r="AX2081" s="54"/>
      <c r="AY2081" s="68"/>
      <c r="AZ2081" s="225">
        <f t="shared" ref="AZ2081:AZ2082" si="2606">SUM(AU2081:AY2081)</f>
        <v>0</v>
      </c>
      <c r="BA2081" s="225">
        <f t="shared" ref="BA2081:BA2082" si="2607">AH2081+AN2081+AT2081+AZ2081</f>
        <v>5</v>
      </c>
      <c r="BB2081" s="93">
        <v>45973</v>
      </c>
    </row>
    <row r="2082" spans="1:54" ht="14.25" x14ac:dyDescent="0.15">
      <c r="A2082" s="23" t="s">
        <v>699</v>
      </c>
      <c r="B2082" s="41">
        <v>1</v>
      </c>
      <c r="C2082" s="42"/>
      <c r="D2082" s="42"/>
      <c r="E2082" s="42"/>
      <c r="F2082" s="42"/>
      <c r="G2082" s="43">
        <f t="shared" si="2588"/>
        <v>1</v>
      </c>
      <c r="H2082" s="41"/>
      <c r="I2082" s="42"/>
      <c r="J2082" s="42"/>
      <c r="K2082" s="42"/>
      <c r="L2082" s="42"/>
      <c r="M2082" s="43">
        <f t="shared" si="2589"/>
        <v>0</v>
      </c>
      <c r="N2082" s="42"/>
      <c r="O2082" s="53"/>
      <c r="P2082" s="53"/>
      <c r="Q2082" s="53"/>
      <c r="R2082" s="72"/>
      <c r="S2082" s="24">
        <f t="shared" si="2590"/>
        <v>0</v>
      </c>
      <c r="T2082" s="42"/>
      <c r="U2082" s="53"/>
      <c r="V2082" s="53"/>
      <c r="W2082" s="53"/>
      <c r="X2082" s="72"/>
      <c r="Y2082" s="24">
        <f t="shared" si="2591"/>
        <v>0</v>
      </c>
      <c r="Z2082" s="24">
        <f t="shared" si="2592"/>
        <v>1</v>
      </c>
      <c r="AA2082" s="93">
        <v>45951</v>
      </c>
      <c r="AB2082" s="23" t="s">
        <v>438</v>
      </c>
      <c r="AC2082" s="41"/>
      <c r="AD2082" s="42"/>
      <c r="AE2082" s="42"/>
      <c r="AF2082" s="42"/>
      <c r="AG2082" s="42"/>
      <c r="AH2082" s="43">
        <f t="shared" si="2603"/>
        <v>0</v>
      </c>
      <c r="AI2082" s="41"/>
      <c r="AJ2082" s="42"/>
      <c r="AK2082" s="42">
        <v>2</v>
      </c>
      <c r="AL2082" s="42"/>
      <c r="AM2082" s="42"/>
      <c r="AN2082" s="43">
        <f t="shared" si="2604"/>
        <v>2</v>
      </c>
      <c r="AO2082" s="42"/>
      <c r="AP2082" s="53">
        <v>1</v>
      </c>
      <c r="AQ2082" s="53"/>
      <c r="AR2082" s="53"/>
      <c r="AS2082" s="72"/>
      <c r="AT2082" s="24">
        <f t="shared" si="2605"/>
        <v>1</v>
      </c>
      <c r="AU2082" s="42"/>
      <c r="AV2082" s="53"/>
      <c r="AW2082" s="53"/>
      <c r="AX2082" s="53"/>
      <c r="AY2082" s="72"/>
      <c r="AZ2082" s="24">
        <f t="shared" si="2606"/>
        <v>0</v>
      </c>
      <c r="BA2082" s="24">
        <f t="shared" si="2607"/>
        <v>3</v>
      </c>
      <c r="BB2082" s="83">
        <v>45974</v>
      </c>
    </row>
    <row r="2083" spans="1:54" ht="14.25" x14ac:dyDescent="0.15">
      <c r="A2083" s="23" t="s">
        <v>699</v>
      </c>
      <c r="B2083" s="41"/>
      <c r="C2083" s="42"/>
      <c r="D2083" s="42"/>
      <c r="E2083" s="42"/>
      <c r="F2083" s="42"/>
      <c r="G2083" s="43">
        <f t="shared" si="2588"/>
        <v>0</v>
      </c>
      <c r="H2083" s="41"/>
      <c r="I2083" s="42"/>
      <c r="J2083" s="42"/>
      <c r="K2083" s="42"/>
      <c r="L2083" s="42"/>
      <c r="M2083" s="43">
        <f t="shared" si="2589"/>
        <v>0</v>
      </c>
      <c r="N2083" s="42"/>
      <c r="O2083" s="53"/>
      <c r="P2083" s="53"/>
      <c r="Q2083" s="53">
        <v>1</v>
      </c>
      <c r="R2083" s="72"/>
      <c r="S2083" s="24">
        <f t="shared" si="2590"/>
        <v>1</v>
      </c>
      <c r="T2083" s="42"/>
      <c r="U2083" s="53"/>
      <c r="V2083" s="53"/>
      <c r="W2083" s="53"/>
      <c r="X2083" s="72"/>
      <c r="Y2083" s="24">
        <f t="shared" si="2591"/>
        <v>0</v>
      </c>
      <c r="Z2083" s="24">
        <f t="shared" si="2592"/>
        <v>1</v>
      </c>
      <c r="AA2083" s="93">
        <v>45952</v>
      </c>
      <c r="AB2083" s="23"/>
      <c r="AC2083" s="41"/>
      <c r="AD2083" s="42"/>
      <c r="AE2083" s="42"/>
      <c r="AF2083" s="42"/>
      <c r="AG2083" s="42"/>
      <c r="AH2083" s="43">
        <f t="shared" si="2598"/>
        <v>0</v>
      </c>
      <c r="AI2083" s="41"/>
      <c r="AJ2083" s="42"/>
      <c r="AK2083" s="42"/>
      <c r="AL2083" s="42"/>
      <c r="AM2083" s="42"/>
      <c r="AN2083" s="43">
        <f t="shared" si="2599"/>
        <v>0</v>
      </c>
      <c r="AO2083" s="42"/>
      <c r="AP2083" s="53"/>
      <c r="AQ2083" s="53"/>
      <c r="AR2083" s="53"/>
      <c r="AS2083" s="72"/>
      <c r="AT2083" s="24">
        <f t="shared" si="2600"/>
        <v>0</v>
      </c>
      <c r="AU2083" s="42"/>
      <c r="AV2083" s="53"/>
      <c r="AW2083" s="53"/>
      <c r="AX2083" s="53"/>
      <c r="AY2083" s="72"/>
      <c r="AZ2083" s="24">
        <f t="shared" si="2601"/>
        <v>0</v>
      </c>
      <c r="BA2083" s="24">
        <f t="shared" si="2602"/>
        <v>0</v>
      </c>
    </row>
    <row r="2084" spans="1:54" ht="14.25" x14ac:dyDescent="0.15">
      <c r="A2084" s="23" t="s">
        <v>699</v>
      </c>
      <c r="B2084" s="41"/>
      <c r="C2084" s="42">
        <v>1</v>
      </c>
      <c r="D2084" s="42"/>
      <c r="E2084" s="42"/>
      <c r="F2084" s="42"/>
      <c r="G2084" s="43">
        <f t="shared" si="2588"/>
        <v>1</v>
      </c>
      <c r="H2084" s="41"/>
      <c r="I2084" s="42"/>
      <c r="J2084" s="42">
        <v>1</v>
      </c>
      <c r="K2084" s="42"/>
      <c r="L2084" s="42">
        <v>1</v>
      </c>
      <c r="M2084" s="43">
        <f t="shared" si="2589"/>
        <v>2</v>
      </c>
      <c r="N2084" s="42"/>
      <c r="O2084" s="53"/>
      <c r="P2084" s="53"/>
      <c r="Q2084" s="53"/>
      <c r="R2084" s="72"/>
      <c r="S2084" s="24">
        <f t="shared" si="2590"/>
        <v>0</v>
      </c>
      <c r="T2084" s="42"/>
      <c r="U2084" s="53"/>
      <c r="V2084" s="53"/>
      <c r="W2084" s="53"/>
      <c r="X2084" s="72"/>
      <c r="Y2084" s="24">
        <f t="shared" si="2591"/>
        <v>0</v>
      </c>
      <c r="Z2084" s="24">
        <f t="shared" si="2592"/>
        <v>3</v>
      </c>
      <c r="AA2084" s="83">
        <v>45957</v>
      </c>
      <c r="AB2084" s="23"/>
      <c r="AC2084" s="41"/>
      <c r="AD2084" s="42"/>
      <c r="AE2084" s="42"/>
      <c r="AF2084" s="42"/>
      <c r="AG2084" s="42"/>
      <c r="AH2084" s="43">
        <f t="shared" si="2598"/>
        <v>0</v>
      </c>
      <c r="AI2084" s="41"/>
      <c r="AJ2084" s="42"/>
      <c r="AK2084" s="42"/>
      <c r="AL2084" s="42"/>
      <c r="AM2084" s="42"/>
      <c r="AN2084" s="43">
        <f t="shared" si="2599"/>
        <v>0</v>
      </c>
      <c r="AO2084" s="42"/>
      <c r="AP2084" s="53"/>
      <c r="AQ2084" s="53"/>
      <c r="AR2084" s="53"/>
      <c r="AS2084" s="72"/>
      <c r="AT2084" s="24">
        <f t="shared" si="2600"/>
        <v>0</v>
      </c>
      <c r="AU2084" s="42"/>
      <c r="AV2084" s="53"/>
      <c r="AW2084" s="53"/>
      <c r="AX2084" s="53"/>
      <c r="AY2084" s="72"/>
      <c r="AZ2084" s="24">
        <f t="shared" si="2601"/>
        <v>0</v>
      </c>
      <c r="BA2084" s="24">
        <f t="shared" si="2602"/>
        <v>0</v>
      </c>
    </row>
    <row r="2085" spans="1:54" ht="14.25" x14ac:dyDescent="0.15">
      <c r="A2085" s="23" t="s">
        <v>699</v>
      </c>
      <c r="B2085" s="41"/>
      <c r="C2085" s="42"/>
      <c r="D2085" s="42"/>
      <c r="E2085" s="42"/>
      <c r="F2085" s="42"/>
      <c r="G2085" s="43">
        <f t="shared" si="2588"/>
        <v>0</v>
      </c>
      <c r="H2085" s="41"/>
      <c r="I2085" s="42"/>
      <c r="J2085" s="42"/>
      <c r="K2085" s="42"/>
      <c r="L2085" s="42"/>
      <c r="M2085" s="43">
        <f t="shared" si="2589"/>
        <v>0</v>
      </c>
      <c r="N2085" s="42"/>
      <c r="O2085" s="53"/>
      <c r="P2085" s="53"/>
      <c r="Q2085" s="53"/>
      <c r="R2085" s="72"/>
      <c r="S2085" s="24">
        <f t="shared" si="2590"/>
        <v>0</v>
      </c>
      <c r="T2085" s="42"/>
      <c r="U2085" s="53"/>
      <c r="V2085" s="53"/>
      <c r="W2085" s="53"/>
      <c r="X2085" s="72"/>
      <c r="Y2085" s="24">
        <f t="shared" si="2591"/>
        <v>0</v>
      </c>
      <c r="Z2085" s="24">
        <f t="shared" si="2592"/>
        <v>0</v>
      </c>
      <c r="AA2085" s="83">
        <v>45958</v>
      </c>
      <c r="AB2085" s="23"/>
      <c r="AC2085" s="41"/>
      <c r="AD2085" s="42"/>
      <c r="AE2085" s="42"/>
      <c r="AF2085" s="42"/>
      <c r="AG2085" s="42"/>
      <c r="AH2085" s="43">
        <f t="shared" si="2598"/>
        <v>0</v>
      </c>
      <c r="AI2085" s="41"/>
      <c r="AJ2085" s="42"/>
      <c r="AK2085" s="42"/>
      <c r="AL2085" s="42"/>
      <c r="AM2085" s="42"/>
      <c r="AN2085" s="43">
        <f t="shared" si="2599"/>
        <v>0</v>
      </c>
      <c r="AO2085" s="42"/>
      <c r="AP2085" s="53"/>
      <c r="AQ2085" s="53"/>
      <c r="AR2085" s="53"/>
      <c r="AS2085" s="72"/>
      <c r="AT2085" s="24">
        <f t="shared" si="2600"/>
        <v>0</v>
      </c>
      <c r="AU2085" s="42"/>
      <c r="AV2085" s="53"/>
      <c r="AW2085" s="53"/>
      <c r="AX2085" s="53"/>
      <c r="AY2085" s="72"/>
      <c r="AZ2085" s="24">
        <f t="shared" si="2601"/>
        <v>0</v>
      </c>
      <c r="BA2085" s="24">
        <f t="shared" si="2602"/>
        <v>0</v>
      </c>
    </row>
    <row r="2086" spans="1:54" ht="14.25" x14ac:dyDescent="0.15">
      <c r="A2086" s="23" t="s">
        <v>712</v>
      </c>
      <c r="B2086" s="41"/>
      <c r="C2086" s="42"/>
      <c r="D2086" s="42"/>
      <c r="E2086" s="42"/>
      <c r="F2086" s="42"/>
      <c r="G2086" s="43">
        <f t="shared" si="2588"/>
        <v>0</v>
      </c>
      <c r="H2086" s="41"/>
      <c r="I2086" s="42"/>
      <c r="J2086" s="42"/>
      <c r="K2086" s="42"/>
      <c r="L2086" s="42"/>
      <c r="M2086" s="43">
        <f t="shared" si="2589"/>
        <v>0</v>
      </c>
      <c r="N2086" s="42"/>
      <c r="O2086" s="53">
        <v>1</v>
      </c>
      <c r="P2086" s="53"/>
      <c r="Q2086" s="53"/>
      <c r="R2086" s="72"/>
      <c r="S2086" s="24">
        <f t="shared" si="2590"/>
        <v>1</v>
      </c>
      <c r="T2086" s="42"/>
      <c r="U2086" s="53"/>
      <c r="V2086" s="53"/>
      <c r="W2086" s="53"/>
      <c r="X2086" s="72"/>
      <c r="Y2086" s="24">
        <f t="shared" si="2591"/>
        <v>0</v>
      </c>
      <c r="Z2086" s="24">
        <f t="shared" si="2592"/>
        <v>1</v>
      </c>
      <c r="AA2086" s="83">
        <v>45965</v>
      </c>
      <c r="AB2086" s="23"/>
      <c r="AC2086" s="41"/>
      <c r="AD2086" s="42"/>
      <c r="AE2086" s="42"/>
      <c r="AF2086" s="42"/>
      <c r="AG2086" s="42"/>
      <c r="AH2086" s="43">
        <f t="shared" si="2598"/>
        <v>0</v>
      </c>
      <c r="AI2086" s="41"/>
      <c r="AJ2086" s="42"/>
      <c r="AK2086" s="42"/>
      <c r="AL2086" s="42"/>
      <c r="AM2086" s="42"/>
      <c r="AN2086" s="43">
        <f t="shared" si="2599"/>
        <v>0</v>
      </c>
      <c r="AO2086" s="42"/>
      <c r="AP2086" s="53"/>
      <c r="AQ2086" s="53"/>
      <c r="AR2086" s="53"/>
      <c r="AS2086" s="72"/>
      <c r="AT2086" s="24">
        <f t="shared" si="2600"/>
        <v>0</v>
      </c>
      <c r="AU2086" s="42"/>
      <c r="AV2086" s="53"/>
      <c r="AW2086" s="53"/>
      <c r="AX2086" s="53"/>
      <c r="AY2086" s="72"/>
      <c r="AZ2086" s="24">
        <f t="shared" si="2601"/>
        <v>0</v>
      </c>
      <c r="BA2086" s="24">
        <f t="shared" si="2602"/>
        <v>0</v>
      </c>
    </row>
    <row r="2087" spans="1:54" ht="14.25" x14ac:dyDescent="0.15">
      <c r="A2087" s="23" t="s">
        <v>699</v>
      </c>
      <c r="B2087" s="41">
        <v>1</v>
      </c>
      <c r="C2087" s="42"/>
      <c r="D2087" s="42"/>
      <c r="E2087" s="42"/>
      <c r="F2087" s="42"/>
      <c r="G2087" s="43">
        <f t="shared" si="2588"/>
        <v>1</v>
      </c>
      <c r="H2087" s="41"/>
      <c r="I2087" s="42"/>
      <c r="J2087" s="42"/>
      <c r="K2087" s="42"/>
      <c r="L2087" s="42"/>
      <c r="M2087" s="43">
        <f t="shared" si="2589"/>
        <v>0</v>
      </c>
      <c r="N2087" s="42"/>
      <c r="O2087" s="53"/>
      <c r="P2087" s="53"/>
      <c r="Q2087" s="53"/>
      <c r="R2087" s="72"/>
      <c r="S2087" s="24">
        <f t="shared" si="2590"/>
        <v>0</v>
      </c>
      <c r="T2087" s="42"/>
      <c r="U2087" s="53"/>
      <c r="V2087" s="53"/>
      <c r="W2087" s="53"/>
      <c r="X2087" s="72"/>
      <c r="Y2087" s="24">
        <f t="shared" si="2591"/>
        <v>0</v>
      </c>
      <c r="Z2087" s="24">
        <f t="shared" si="2592"/>
        <v>1</v>
      </c>
      <c r="AA2087" s="93">
        <v>45961</v>
      </c>
      <c r="AB2087" s="23"/>
      <c r="AC2087" s="41"/>
      <c r="AD2087" s="42"/>
      <c r="AE2087" s="42"/>
      <c r="AF2087" s="42"/>
      <c r="AG2087" s="42"/>
      <c r="AH2087" s="43">
        <f t="shared" si="2598"/>
        <v>0</v>
      </c>
      <c r="AI2087" s="41"/>
      <c r="AJ2087" s="42"/>
      <c r="AK2087" s="42"/>
      <c r="AL2087" s="42"/>
      <c r="AM2087" s="42"/>
      <c r="AN2087" s="43">
        <f t="shared" si="2599"/>
        <v>0</v>
      </c>
      <c r="AO2087" s="42"/>
      <c r="AP2087" s="53"/>
      <c r="AQ2087" s="53"/>
      <c r="AR2087" s="53"/>
      <c r="AS2087" s="72"/>
      <c r="AT2087" s="24">
        <f t="shared" si="2600"/>
        <v>0</v>
      </c>
      <c r="AU2087" s="42"/>
      <c r="AV2087" s="53"/>
      <c r="AW2087" s="53"/>
      <c r="AX2087" s="53"/>
      <c r="AY2087" s="72"/>
      <c r="AZ2087" s="24">
        <f t="shared" si="2601"/>
        <v>0</v>
      </c>
      <c r="BA2087" s="24">
        <f t="shared" si="2602"/>
        <v>0</v>
      </c>
    </row>
    <row r="2088" spans="1:54" ht="14.25" x14ac:dyDescent="0.15">
      <c r="A2088" s="23" t="s">
        <v>438</v>
      </c>
      <c r="B2088" s="41"/>
      <c r="C2088" s="42"/>
      <c r="D2088" s="42"/>
      <c r="E2088" s="42"/>
      <c r="F2088" s="42"/>
      <c r="G2088" s="43">
        <f t="shared" si="2588"/>
        <v>0</v>
      </c>
      <c r="H2088" s="41"/>
      <c r="I2088" s="42"/>
      <c r="J2088" s="42"/>
      <c r="K2088" s="42">
        <v>1</v>
      </c>
      <c r="L2088" s="42">
        <v>1</v>
      </c>
      <c r="M2088" s="43">
        <f t="shared" si="2589"/>
        <v>2</v>
      </c>
      <c r="N2088" s="42"/>
      <c r="O2088" s="53"/>
      <c r="P2088" s="53"/>
      <c r="Q2088" s="53"/>
      <c r="R2088" s="72"/>
      <c r="S2088" s="24">
        <f t="shared" si="2590"/>
        <v>0</v>
      </c>
      <c r="T2088" s="42"/>
      <c r="U2088" s="53"/>
      <c r="V2088" s="53"/>
      <c r="W2088" s="53"/>
      <c r="X2088" s="72"/>
      <c r="Y2088" s="24">
        <f t="shared" si="2591"/>
        <v>0</v>
      </c>
      <c r="Z2088" s="24">
        <f t="shared" si="2592"/>
        <v>2</v>
      </c>
      <c r="AA2088" s="83">
        <v>45967</v>
      </c>
      <c r="AB2088" s="23"/>
      <c r="AC2088" s="41"/>
      <c r="AD2088" s="42"/>
      <c r="AE2088" s="42"/>
      <c r="AF2088" s="42"/>
      <c r="AG2088" s="42"/>
      <c r="AH2088" s="43">
        <f t="shared" si="2598"/>
        <v>0</v>
      </c>
      <c r="AI2088" s="41"/>
      <c r="AJ2088" s="42"/>
      <c r="AK2088" s="42"/>
      <c r="AL2088" s="42"/>
      <c r="AM2088" s="42"/>
      <c r="AN2088" s="43">
        <f t="shared" si="2599"/>
        <v>0</v>
      </c>
      <c r="AO2088" s="42"/>
      <c r="AP2088" s="53"/>
      <c r="AQ2088" s="53"/>
      <c r="AR2088" s="53"/>
      <c r="AS2088" s="72"/>
      <c r="AT2088" s="24">
        <f t="shared" si="2600"/>
        <v>0</v>
      </c>
      <c r="AU2088" s="42"/>
      <c r="AV2088" s="53"/>
      <c r="AW2088" s="53"/>
      <c r="AX2088" s="53"/>
      <c r="AY2088" s="72"/>
      <c r="AZ2088" s="24">
        <f t="shared" si="2601"/>
        <v>0</v>
      </c>
      <c r="BA2088" s="24">
        <f t="shared" si="2602"/>
        <v>0</v>
      </c>
    </row>
    <row r="2089" spans="1:54" ht="14.25" x14ac:dyDescent="0.15">
      <c r="A2089" s="23" t="s">
        <v>699</v>
      </c>
      <c r="B2089" s="41"/>
      <c r="C2089" s="42"/>
      <c r="D2089" s="42"/>
      <c r="E2089" s="42"/>
      <c r="F2089" s="42"/>
      <c r="G2089" s="43">
        <f t="shared" si="2588"/>
        <v>0</v>
      </c>
      <c r="H2089" s="41"/>
      <c r="I2089" s="42"/>
      <c r="J2089" s="42"/>
      <c r="K2089" s="42"/>
      <c r="L2089" s="42"/>
      <c r="M2089" s="43">
        <f t="shared" si="2589"/>
        <v>0</v>
      </c>
      <c r="N2089" s="42"/>
      <c r="O2089" s="53"/>
      <c r="P2089" s="53"/>
      <c r="Q2089" s="53">
        <v>1</v>
      </c>
      <c r="R2089" s="72"/>
      <c r="S2089" s="24">
        <f t="shared" si="2590"/>
        <v>1</v>
      </c>
      <c r="T2089" s="42"/>
      <c r="U2089" s="53"/>
      <c r="V2089" s="53"/>
      <c r="W2089" s="53"/>
      <c r="X2089" s="72"/>
      <c r="Y2089" s="24">
        <f t="shared" si="2591"/>
        <v>0</v>
      </c>
      <c r="Z2089" s="24">
        <f t="shared" si="2592"/>
        <v>1</v>
      </c>
      <c r="AA2089" s="83">
        <v>45965</v>
      </c>
      <c r="AB2089" s="23"/>
      <c r="AC2089" s="41"/>
      <c r="AD2089" s="42"/>
      <c r="AE2089" s="42"/>
      <c r="AF2089" s="42"/>
      <c r="AG2089" s="42"/>
      <c r="AH2089" s="43">
        <f t="shared" si="2598"/>
        <v>0</v>
      </c>
      <c r="AI2089" s="41"/>
      <c r="AJ2089" s="42"/>
      <c r="AK2089" s="42"/>
      <c r="AL2089" s="42"/>
      <c r="AM2089" s="42"/>
      <c r="AN2089" s="43">
        <f t="shared" si="2599"/>
        <v>0</v>
      </c>
      <c r="AO2089" s="42"/>
      <c r="AP2089" s="53"/>
      <c r="AQ2089" s="53"/>
      <c r="AR2089" s="53"/>
      <c r="AS2089" s="72"/>
      <c r="AT2089" s="24">
        <f t="shared" si="2600"/>
        <v>0</v>
      </c>
      <c r="AU2089" s="42"/>
      <c r="AV2089" s="53"/>
      <c r="AW2089" s="53"/>
      <c r="AX2089" s="53"/>
      <c r="AY2089" s="72"/>
      <c r="AZ2089" s="24">
        <f t="shared" si="2601"/>
        <v>0</v>
      </c>
      <c r="BA2089" s="24">
        <f t="shared" si="2602"/>
        <v>0</v>
      </c>
    </row>
    <row r="2090" spans="1:54" ht="14.25" x14ac:dyDescent="0.15">
      <c r="A2090" s="23" t="s">
        <v>699</v>
      </c>
      <c r="B2090" s="41"/>
      <c r="C2090" s="42">
        <v>1</v>
      </c>
      <c r="D2090" s="42"/>
      <c r="E2090" s="42"/>
      <c r="F2090" s="42"/>
      <c r="G2090" s="43">
        <f t="shared" si="2588"/>
        <v>1</v>
      </c>
      <c r="H2090" s="41"/>
      <c r="I2090" s="42"/>
      <c r="J2090" s="42">
        <v>1</v>
      </c>
      <c r="K2090" s="42"/>
      <c r="L2090" s="42"/>
      <c r="M2090" s="43">
        <f t="shared" si="2589"/>
        <v>1</v>
      </c>
      <c r="N2090" s="42"/>
      <c r="O2090" s="53"/>
      <c r="P2090" s="53"/>
      <c r="Q2090" s="53"/>
      <c r="R2090" s="72"/>
      <c r="S2090" s="24">
        <f t="shared" si="2590"/>
        <v>0</v>
      </c>
      <c r="T2090" s="42"/>
      <c r="U2090" s="53"/>
      <c r="V2090" s="53"/>
      <c r="W2090" s="53"/>
      <c r="X2090" s="72"/>
      <c r="Y2090" s="24">
        <f t="shared" si="2591"/>
        <v>0</v>
      </c>
      <c r="Z2090" s="24">
        <f t="shared" si="2592"/>
        <v>2</v>
      </c>
      <c r="AA2090" s="93">
        <v>45966</v>
      </c>
      <c r="AB2090" s="23"/>
      <c r="AC2090" s="41"/>
      <c r="AD2090" s="42"/>
      <c r="AE2090" s="42"/>
      <c r="AF2090" s="42"/>
      <c r="AG2090" s="42"/>
      <c r="AH2090" s="43">
        <f t="shared" si="2598"/>
        <v>0</v>
      </c>
      <c r="AI2090" s="41"/>
      <c r="AJ2090" s="42"/>
      <c r="AK2090" s="42"/>
      <c r="AL2090" s="42"/>
      <c r="AM2090" s="42"/>
      <c r="AN2090" s="43">
        <f t="shared" si="2599"/>
        <v>0</v>
      </c>
      <c r="AO2090" s="42"/>
      <c r="AP2090" s="53"/>
      <c r="AQ2090" s="53"/>
      <c r="AR2090" s="53"/>
      <c r="AS2090" s="72"/>
      <c r="AT2090" s="24">
        <f t="shared" si="2600"/>
        <v>0</v>
      </c>
      <c r="AU2090" s="42"/>
      <c r="AV2090" s="53"/>
      <c r="AW2090" s="53"/>
      <c r="AX2090" s="53"/>
      <c r="AY2090" s="72"/>
      <c r="AZ2090" s="24">
        <f t="shared" si="2601"/>
        <v>0</v>
      </c>
      <c r="BA2090" s="24">
        <f t="shared" si="2602"/>
        <v>0</v>
      </c>
    </row>
    <row r="2091" spans="1:54" ht="14.25" x14ac:dyDescent="0.15">
      <c r="A2091" s="23" t="s">
        <v>438</v>
      </c>
      <c r="B2091" s="41"/>
      <c r="C2091" s="42"/>
      <c r="D2091" s="42"/>
      <c r="E2091" s="42"/>
      <c r="F2091" s="42"/>
      <c r="G2091" s="43">
        <f t="shared" si="2588"/>
        <v>0</v>
      </c>
      <c r="H2091" s="41">
        <v>1</v>
      </c>
      <c r="I2091" s="42"/>
      <c r="J2091" s="42">
        <v>1</v>
      </c>
      <c r="K2091" s="42"/>
      <c r="L2091" s="42">
        <v>1</v>
      </c>
      <c r="M2091" s="43">
        <f t="shared" si="2589"/>
        <v>3</v>
      </c>
      <c r="N2091" s="42"/>
      <c r="O2091" s="53"/>
      <c r="P2091" s="53"/>
      <c r="Q2091" s="53"/>
      <c r="R2091" s="72"/>
      <c r="S2091" s="24">
        <f t="shared" si="2590"/>
        <v>0</v>
      </c>
      <c r="T2091" s="42"/>
      <c r="U2091" s="53"/>
      <c r="V2091" s="53"/>
      <c r="W2091" s="53"/>
      <c r="X2091" s="72"/>
      <c r="Y2091" s="24">
        <f t="shared" si="2591"/>
        <v>0</v>
      </c>
      <c r="Z2091" s="24">
        <f t="shared" si="2592"/>
        <v>3</v>
      </c>
      <c r="AA2091" s="83">
        <v>45968</v>
      </c>
      <c r="AB2091" s="23"/>
      <c r="AC2091" s="41"/>
      <c r="AD2091" s="42"/>
      <c r="AE2091" s="42"/>
      <c r="AF2091" s="42"/>
      <c r="AG2091" s="42"/>
      <c r="AH2091" s="43">
        <f t="shared" si="2598"/>
        <v>0</v>
      </c>
      <c r="AI2091" s="41"/>
      <c r="AJ2091" s="42"/>
      <c r="AK2091" s="42"/>
      <c r="AL2091" s="42"/>
      <c r="AM2091" s="42"/>
      <c r="AN2091" s="43">
        <f t="shared" si="2599"/>
        <v>0</v>
      </c>
      <c r="AO2091" s="42"/>
      <c r="AP2091" s="53"/>
      <c r="AQ2091" s="53"/>
      <c r="AR2091" s="53"/>
      <c r="AS2091" s="72"/>
      <c r="AT2091" s="24">
        <f t="shared" si="2600"/>
        <v>0</v>
      </c>
      <c r="AU2091" s="42"/>
      <c r="AV2091" s="53"/>
      <c r="AW2091" s="53"/>
      <c r="AX2091" s="53"/>
      <c r="AY2091" s="72"/>
      <c r="AZ2091" s="24">
        <f t="shared" si="2601"/>
        <v>0</v>
      </c>
      <c r="BA2091" s="24">
        <f t="shared" si="2602"/>
        <v>0</v>
      </c>
    </row>
    <row r="2092" spans="1:54" ht="14.25" x14ac:dyDescent="0.15">
      <c r="A2092" s="23" t="s">
        <v>699</v>
      </c>
      <c r="B2092" s="41"/>
      <c r="C2092" s="42"/>
      <c r="D2092" s="42"/>
      <c r="E2092" s="42"/>
      <c r="F2092" s="42"/>
      <c r="G2092" s="43">
        <f t="shared" si="2580"/>
        <v>0</v>
      </c>
      <c r="H2092" s="41"/>
      <c r="I2092" s="42"/>
      <c r="J2092" s="42"/>
      <c r="K2092" s="42"/>
      <c r="L2092" s="42"/>
      <c r="M2092" s="43">
        <f t="shared" si="2581"/>
        <v>0</v>
      </c>
      <c r="N2092" s="42"/>
      <c r="O2092" s="53"/>
      <c r="P2092" s="53"/>
      <c r="Q2092" s="53">
        <v>1</v>
      </c>
      <c r="R2092" s="72"/>
      <c r="S2092" s="24">
        <f t="shared" si="2582"/>
        <v>1</v>
      </c>
      <c r="T2092" s="42"/>
      <c r="U2092" s="53"/>
      <c r="V2092" s="53"/>
      <c r="W2092" s="53"/>
      <c r="X2092" s="72"/>
      <c r="Y2092" s="24">
        <f t="shared" si="2583"/>
        <v>0</v>
      </c>
      <c r="Z2092" s="24">
        <f t="shared" si="2565"/>
        <v>1</v>
      </c>
      <c r="AA2092" s="93">
        <v>45967</v>
      </c>
      <c r="AB2092" s="23"/>
      <c r="AC2092" s="41"/>
      <c r="AD2092" s="42"/>
      <c r="AE2092" s="42"/>
      <c r="AF2092" s="42"/>
      <c r="AG2092" s="42"/>
      <c r="AH2092" s="43">
        <f t="shared" si="2598"/>
        <v>0</v>
      </c>
      <c r="AI2092" s="41"/>
      <c r="AJ2092" s="42"/>
      <c r="AK2092" s="42"/>
      <c r="AL2092" s="42"/>
      <c r="AM2092" s="42"/>
      <c r="AN2092" s="43">
        <f t="shared" si="2599"/>
        <v>0</v>
      </c>
      <c r="AO2092" s="42"/>
      <c r="AP2092" s="53"/>
      <c r="AQ2092" s="53"/>
      <c r="AR2092" s="53"/>
      <c r="AS2092" s="72"/>
      <c r="AT2092" s="24">
        <f t="shared" si="2600"/>
        <v>0</v>
      </c>
      <c r="AU2092" s="42"/>
      <c r="AV2092" s="53"/>
      <c r="AW2092" s="53"/>
      <c r="AX2092" s="53"/>
      <c r="AY2092" s="72"/>
      <c r="AZ2092" s="24">
        <f t="shared" si="2601"/>
        <v>0</v>
      </c>
      <c r="BA2092" s="24">
        <f t="shared" si="2602"/>
        <v>0</v>
      </c>
    </row>
    <row r="2093" spans="1:54" ht="14.25" x14ac:dyDescent="0.15">
      <c r="A2093" s="23" t="s">
        <v>438</v>
      </c>
      <c r="B2093" s="41"/>
      <c r="C2093" s="42"/>
      <c r="D2093" s="42"/>
      <c r="E2093" s="42"/>
      <c r="F2093" s="42"/>
      <c r="G2093" s="43">
        <f t="shared" si="2580"/>
        <v>0</v>
      </c>
      <c r="H2093" s="41"/>
      <c r="I2093" s="42"/>
      <c r="J2093" s="42"/>
      <c r="K2093" s="42">
        <v>1</v>
      </c>
      <c r="L2093" s="42"/>
      <c r="M2093" s="43">
        <f t="shared" si="2581"/>
        <v>1</v>
      </c>
      <c r="N2093" s="42"/>
      <c r="O2093" s="53"/>
      <c r="P2093" s="53"/>
      <c r="Q2093" s="53">
        <v>1</v>
      </c>
      <c r="R2093" s="72"/>
      <c r="S2093" s="24">
        <f t="shared" si="2582"/>
        <v>1</v>
      </c>
      <c r="T2093" s="42"/>
      <c r="U2093" s="53"/>
      <c r="V2093" s="53"/>
      <c r="W2093" s="53"/>
      <c r="X2093" s="72"/>
      <c r="Y2093" s="24">
        <f t="shared" si="2583"/>
        <v>0</v>
      </c>
      <c r="Z2093" s="24">
        <f t="shared" si="2565"/>
        <v>2</v>
      </c>
      <c r="AA2093" s="83">
        <v>45971</v>
      </c>
      <c r="AB2093" s="23"/>
      <c r="AC2093" s="41"/>
      <c r="AD2093" s="42"/>
      <c r="AE2093" s="42"/>
      <c r="AF2093" s="42"/>
      <c r="AG2093" s="42"/>
      <c r="AH2093" s="43">
        <f t="shared" si="2598"/>
        <v>0</v>
      </c>
      <c r="AI2093" s="41"/>
      <c r="AJ2093" s="42"/>
      <c r="AK2093" s="42"/>
      <c r="AL2093" s="42"/>
      <c r="AM2093" s="42"/>
      <c r="AN2093" s="43">
        <f t="shared" si="2599"/>
        <v>0</v>
      </c>
      <c r="AO2093" s="42"/>
      <c r="AP2093" s="53"/>
      <c r="AQ2093" s="53"/>
      <c r="AR2093" s="53"/>
      <c r="AS2093" s="72"/>
      <c r="AT2093" s="24">
        <f t="shared" si="2600"/>
        <v>0</v>
      </c>
      <c r="AU2093" s="42"/>
      <c r="AV2093" s="53"/>
      <c r="AW2093" s="53"/>
      <c r="AX2093" s="53"/>
      <c r="AY2093" s="72"/>
      <c r="AZ2093" s="24">
        <f t="shared" si="2601"/>
        <v>0</v>
      </c>
      <c r="BA2093" s="24">
        <f t="shared" si="2602"/>
        <v>0</v>
      </c>
    </row>
    <row r="2094" spans="1:54" ht="14.25" x14ac:dyDescent="0.15">
      <c r="A2094" s="23" t="s">
        <v>699</v>
      </c>
      <c r="B2094" s="41"/>
      <c r="C2094" s="42"/>
      <c r="D2094" s="42"/>
      <c r="E2094" s="42"/>
      <c r="F2094" s="42">
        <v>1</v>
      </c>
      <c r="G2094" s="43">
        <f t="shared" si="2580"/>
        <v>1</v>
      </c>
      <c r="H2094" s="41"/>
      <c r="I2094" s="42"/>
      <c r="J2094" s="42"/>
      <c r="K2094" s="42"/>
      <c r="L2094" s="42"/>
      <c r="M2094" s="43">
        <f t="shared" si="2581"/>
        <v>0</v>
      </c>
      <c r="N2094" s="42"/>
      <c r="O2094" s="53"/>
      <c r="P2094" s="53"/>
      <c r="Q2094" s="53">
        <v>1</v>
      </c>
      <c r="R2094" s="72"/>
      <c r="S2094" s="24">
        <f t="shared" si="2582"/>
        <v>1</v>
      </c>
      <c r="T2094" s="42"/>
      <c r="U2094" s="53"/>
      <c r="V2094" s="53"/>
      <c r="W2094" s="53"/>
      <c r="X2094" s="72"/>
      <c r="Y2094" s="24">
        <f t="shared" si="2583"/>
        <v>0</v>
      </c>
      <c r="Z2094" s="24">
        <f t="shared" si="2565"/>
        <v>2</v>
      </c>
      <c r="AA2094" s="93">
        <v>45968</v>
      </c>
      <c r="AB2094" s="23"/>
      <c r="AC2094" s="41"/>
      <c r="AD2094" s="42"/>
      <c r="AE2094" s="42"/>
      <c r="AF2094" s="42"/>
      <c r="AG2094" s="42"/>
      <c r="AH2094" s="43">
        <f t="shared" si="2598"/>
        <v>0</v>
      </c>
      <c r="AI2094" s="41"/>
      <c r="AJ2094" s="42"/>
      <c r="AK2094" s="42"/>
      <c r="AL2094" s="42"/>
      <c r="AM2094" s="42"/>
      <c r="AN2094" s="43">
        <f t="shared" si="2599"/>
        <v>0</v>
      </c>
      <c r="AO2094" s="42"/>
      <c r="AP2094" s="53"/>
      <c r="AQ2094" s="53"/>
      <c r="AR2094" s="53"/>
      <c r="AS2094" s="72"/>
      <c r="AT2094" s="24">
        <f t="shared" si="2600"/>
        <v>0</v>
      </c>
      <c r="AU2094" s="42"/>
      <c r="AV2094" s="53"/>
      <c r="AW2094" s="53"/>
      <c r="AX2094" s="53"/>
      <c r="AY2094" s="72"/>
      <c r="AZ2094" s="24">
        <f t="shared" si="2601"/>
        <v>0</v>
      </c>
      <c r="BA2094" s="24">
        <f t="shared" si="2602"/>
        <v>0</v>
      </c>
    </row>
    <row r="2095" spans="1:54" ht="14.25" x14ac:dyDescent="0.15">
      <c r="A2095" s="23" t="s">
        <v>438</v>
      </c>
      <c r="B2095" s="41"/>
      <c r="C2095" s="42"/>
      <c r="D2095" s="42"/>
      <c r="E2095" s="42"/>
      <c r="F2095" s="42"/>
      <c r="G2095" s="43">
        <f t="shared" si="2580"/>
        <v>0</v>
      </c>
      <c r="H2095" s="41"/>
      <c r="I2095" s="42"/>
      <c r="J2095" s="42">
        <v>1</v>
      </c>
      <c r="K2095" s="42">
        <v>2</v>
      </c>
      <c r="L2095" s="42"/>
      <c r="M2095" s="43">
        <f t="shared" si="2581"/>
        <v>3</v>
      </c>
      <c r="N2095" s="42"/>
      <c r="O2095" s="53"/>
      <c r="P2095" s="53"/>
      <c r="Q2095" s="53"/>
      <c r="R2095" s="72"/>
      <c r="S2095" s="24">
        <f t="shared" si="2582"/>
        <v>0</v>
      </c>
      <c r="T2095" s="42"/>
      <c r="U2095" s="53"/>
      <c r="V2095" s="53"/>
      <c r="W2095" s="53"/>
      <c r="X2095" s="72"/>
      <c r="Y2095" s="24">
        <f t="shared" si="2583"/>
        <v>0</v>
      </c>
      <c r="Z2095" s="24">
        <f t="shared" si="2565"/>
        <v>3</v>
      </c>
      <c r="AA2095" s="83">
        <v>45973</v>
      </c>
      <c r="AB2095" s="23"/>
      <c r="AC2095" s="41"/>
      <c r="AD2095" s="42"/>
      <c r="AE2095" s="42"/>
      <c r="AF2095" s="42"/>
      <c r="AG2095" s="42"/>
      <c r="AH2095" s="43">
        <f t="shared" si="2598"/>
        <v>0</v>
      </c>
      <c r="AI2095" s="41"/>
      <c r="AJ2095" s="42"/>
      <c r="AK2095" s="42"/>
      <c r="AL2095" s="42"/>
      <c r="AM2095" s="42"/>
      <c r="AN2095" s="43">
        <f t="shared" si="2599"/>
        <v>0</v>
      </c>
      <c r="AO2095" s="42"/>
      <c r="AP2095" s="53"/>
      <c r="AQ2095" s="53"/>
      <c r="AR2095" s="53"/>
      <c r="AS2095" s="72"/>
      <c r="AT2095" s="24">
        <f t="shared" si="2600"/>
        <v>0</v>
      </c>
      <c r="AU2095" s="42"/>
      <c r="AV2095" s="53"/>
      <c r="AW2095" s="53"/>
      <c r="AX2095" s="53"/>
      <c r="AY2095" s="72"/>
      <c r="AZ2095" s="24">
        <f t="shared" si="2601"/>
        <v>0</v>
      </c>
      <c r="BA2095" s="24">
        <f t="shared" si="2602"/>
        <v>0</v>
      </c>
    </row>
    <row r="2096" spans="1:54" ht="14.25" x14ac:dyDescent="0.15">
      <c r="A2096" s="23" t="s">
        <v>699</v>
      </c>
      <c r="B2096" s="41"/>
      <c r="C2096" s="42"/>
      <c r="D2096" s="42"/>
      <c r="E2096" s="42"/>
      <c r="F2096" s="42"/>
      <c r="G2096" s="43">
        <f t="shared" si="2580"/>
        <v>0</v>
      </c>
      <c r="H2096" s="41"/>
      <c r="I2096" s="42"/>
      <c r="J2096" s="42"/>
      <c r="K2096" s="42"/>
      <c r="L2096" s="42"/>
      <c r="M2096" s="43">
        <f t="shared" si="2581"/>
        <v>0</v>
      </c>
      <c r="N2096" s="42"/>
      <c r="O2096" s="53">
        <v>2</v>
      </c>
      <c r="P2096" s="53"/>
      <c r="Q2096" s="53"/>
      <c r="R2096" s="72"/>
      <c r="S2096" s="24">
        <f t="shared" si="2582"/>
        <v>2</v>
      </c>
      <c r="T2096" s="42"/>
      <c r="U2096" s="53"/>
      <c r="V2096" s="53"/>
      <c r="W2096" s="53"/>
      <c r="X2096" s="72"/>
      <c r="Y2096" s="24">
        <f t="shared" si="2583"/>
        <v>0</v>
      </c>
      <c r="Z2096" s="24">
        <f t="shared" si="2565"/>
        <v>2</v>
      </c>
      <c r="AA2096" s="93">
        <v>45971</v>
      </c>
      <c r="AB2096" s="23"/>
      <c r="AC2096" s="41"/>
      <c r="AD2096" s="42"/>
      <c r="AE2096" s="42"/>
      <c r="AF2096" s="42"/>
      <c r="AG2096" s="42"/>
      <c r="AH2096" s="43">
        <f t="shared" si="2598"/>
        <v>0</v>
      </c>
      <c r="AI2096" s="41"/>
      <c r="AJ2096" s="42"/>
      <c r="AK2096" s="42"/>
      <c r="AL2096" s="42"/>
      <c r="AM2096" s="42"/>
      <c r="AN2096" s="43">
        <f t="shared" si="2599"/>
        <v>0</v>
      </c>
      <c r="AO2096" s="42"/>
      <c r="AP2096" s="53"/>
      <c r="AQ2096" s="53"/>
      <c r="AR2096" s="53"/>
      <c r="AS2096" s="72"/>
      <c r="AT2096" s="24">
        <f t="shared" si="2600"/>
        <v>0</v>
      </c>
      <c r="AU2096" s="42"/>
      <c r="AV2096" s="53"/>
      <c r="AW2096" s="53"/>
      <c r="AX2096" s="53"/>
      <c r="AY2096" s="72"/>
      <c r="AZ2096" s="24">
        <f t="shared" si="2601"/>
        <v>0</v>
      </c>
      <c r="BA2096" s="24">
        <f t="shared" si="2602"/>
        <v>0</v>
      </c>
    </row>
    <row r="2097" spans="1:54" ht="14.25" x14ac:dyDescent="0.15">
      <c r="A2097" s="224" t="s">
        <v>713</v>
      </c>
      <c r="B2097" s="12"/>
      <c r="C2097" s="13"/>
      <c r="D2097" s="13"/>
      <c r="E2097" s="13"/>
      <c r="F2097" s="13"/>
      <c r="G2097" s="22">
        <f t="shared" si="2580"/>
        <v>0</v>
      </c>
      <c r="H2097" s="12"/>
      <c r="I2097" s="13"/>
      <c r="J2097" s="13"/>
      <c r="K2097" s="13"/>
      <c r="L2097" s="13"/>
      <c r="M2097" s="22">
        <f t="shared" si="2581"/>
        <v>0</v>
      </c>
      <c r="N2097" s="13"/>
      <c r="O2097" s="54">
        <v>-5</v>
      </c>
      <c r="P2097" s="54"/>
      <c r="Q2097" s="54"/>
      <c r="R2097" s="68"/>
      <c r="S2097" s="225">
        <f t="shared" si="2582"/>
        <v>-5</v>
      </c>
      <c r="T2097" s="13"/>
      <c r="U2097" s="54"/>
      <c r="V2097" s="54"/>
      <c r="W2097" s="54"/>
      <c r="X2097" s="68"/>
      <c r="Y2097" s="225">
        <f t="shared" si="2583"/>
        <v>0</v>
      </c>
      <c r="Z2097" s="225">
        <f t="shared" si="2565"/>
        <v>-5</v>
      </c>
      <c r="AA2097" s="93">
        <v>45973</v>
      </c>
      <c r="AB2097" s="23"/>
      <c r="AC2097" s="41"/>
      <c r="AD2097" s="42"/>
      <c r="AE2097" s="42"/>
      <c r="AF2097" s="42"/>
      <c r="AG2097" s="42"/>
      <c r="AH2097" s="43">
        <f t="shared" si="2598"/>
        <v>0</v>
      </c>
      <c r="AI2097" s="41"/>
      <c r="AJ2097" s="42"/>
      <c r="AK2097" s="42"/>
      <c r="AL2097" s="42"/>
      <c r="AM2097" s="42"/>
      <c r="AN2097" s="43">
        <f t="shared" si="2599"/>
        <v>0</v>
      </c>
      <c r="AO2097" s="42"/>
      <c r="AP2097" s="53"/>
      <c r="AQ2097" s="53"/>
      <c r="AR2097" s="53"/>
      <c r="AS2097" s="72"/>
      <c r="AT2097" s="24">
        <f t="shared" si="2600"/>
        <v>0</v>
      </c>
      <c r="AU2097" s="42"/>
      <c r="AV2097" s="53"/>
      <c r="AW2097" s="53"/>
      <c r="AX2097" s="53"/>
      <c r="AY2097" s="72"/>
      <c r="AZ2097" s="24">
        <f t="shared" si="2601"/>
        <v>0</v>
      </c>
      <c r="BA2097" s="24">
        <f t="shared" si="2602"/>
        <v>0</v>
      </c>
    </row>
    <row r="2098" spans="1:54" ht="14.25" x14ac:dyDescent="0.15">
      <c r="A2098" s="23" t="s">
        <v>699</v>
      </c>
      <c r="B2098" s="41"/>
      <c r="C2098" s="42">
        <v>1</v>
      </c>
      <c r="D2098" s="42"/>
      <c r="E2098" s="42"/>
      <c r="F2098" s="42"/>
      <c r="G2098" s="43">
        <f t="shared" si="2580"/>
        <v>1</v>
      </c>
      <c r="H2098" s="41"/>
      <c r="I2098" s="42"/>
      <c r="J2098" s="42"/>
      <c r="K2098" s="42"/>
      <c r="L2098" s="42"/>
      <c r="M2098" s="43">
        <f t="shared" si="2581"/>
        <v>0</v>
      </c>
      <c r="N2098" s="42"/>
      <c r="O2098" s="53"/>
      <c r="P2098" s="53"/>
      <c r="Q2098" s="53"/>
      <c r="R2098" s="72"/>
      <c r="S2098" s="24">
        <f t="shared" si="2582"/>
        <v>0</v>
      </c>
      <c r="T2098" s="42"/>
      <c r="U2098" s="53"/>
      <c r="V2098" s="53">
        <v>1</v>
      </c>
      <c r="W2098" s="53"/>
      <c r="X2098" s="72"/>
      <c r="Y2098" s="24">
        <f t="shared" si="2583"/>
        <v>1</v>
      </c>
      <c r="Z2098" s="24">
        <f t="shared" si="2565"/>
        <v>2</v>
      </c>
      <c r="AA2098" s="93">
        <v>45972</v>
      </c>
      <c r="AB2098" s="23"/>
      <c r="AC2098" s="41"/>
      <c r="AD2098" s="42"/>
      <c r="AE2098" s="42"/>
      <c r="AF2098" s="42"/>
      <c r="AG2098" s="42"/>
      <c r="AH2098" s="43">
        <f t="shared" ref="AH2098:AH2101" si="2608">SUM(AC2098:AG2098)</f>
        <v>0</v>
      </c>
      <c r="AI2098" s="41"/>
      <c r="AJ2098" s="42"/>
      <c r="AK2098" s="42"/>
      <c r="AL2098" s="42"/>
      <c r="AM2098" s="42"/>
      <c r="AN2098" s="43">
        <f t="shared" ref="AN2098:AN2101" si="2609">SUM(AI2098:AM2098)</f>
        <v>0</v>
      </c>
      <c r="AO2098" s="42"/>
      <c r="AP2098" s="53"/>
      <c r="AQ2098" s="53"/>
      <c r="AR2098" s="53"/>
      <c r="AS2098" s="72"/>
      <c r="AT2098" s="24">
        <f t="shared" ref="AT2098:AT2101" si="2610">SUM(AO2098:AS2098)</f>
        <v>0</v>
      </c>
      <c r="AU2098" s="42"/>
      <c r="AV2098" s="53"/>
      <c r="AW2098" s="53"/>
      <c r="AX2098" s="53"/>
      <c r="AY2098" s="72"/>
      <c r="AZ2098" s="24">
        <f t="shared" ref="AZ2098:AZ2101" si="2611">SUM(AU2098:AY2098)</f>
        <v>0</v>
      </c>
      <c r="BA2098" s="24">
        <f t="shared" si="2602"/>
        <v>0</v>
      </c>
    </row>
    <row r="2099" spans="1:54" ht="14.25" x14ac:dyDescent="0.15">
      <c r="A2099" s="23" t="s">
        <v>438</v>
      </c>
      <c r="B2099" s="41"/>
      <c r="C2099" s="42"/>
      <c r="D2099" s="42"/>
      <c r="E2099" s="42"/>
      <c r="F2099" s="42"/>
      <c r="G2099" s="43">
        <f t="shared" si="2580"/>
        <v>0</v>
      </c>
      <c r="H2099" s="41"/>
      <c r="I2099" s="42"/>
      <c r="J2099" s="42">
        <v>1</v>
      </c>
      <c r="K2099" s="42"/>
      <c r="L2099" s="42"/>
      <c r="M2099" s="43">
        <f t="shared" si="2581"/>
        <v>1</v>
      </c>
      <c r="N2099" s="42"/>
      <c r="O2099" s="53"/>
      <c r="P2099" s="53"/>
      <c r="Q2099" s="53"/>
      <c r="R2099" s="72"/>
      <c r="S2099" s="24">
        <f t="shared" si="2582"/>
        <v>0</v>
      </c>
      <c r="T2099" s="42"/>
      <c r="U2099" s="53"/>
      <c r="V2099" s="53"/>
      <c r="W2099" s="53"/>
      <c r="X2099" s="72"/>
      <c r="Y2099" s="24">
        <f t="shared" si="2583"/>
        <v>0</v>
      </c>
      <c r="Z2099" s="24">
        <f t="shared" si="2565"/>
        <v>1</v>
      </c>
      <c r="AA2099" s="83">
        <v>45975</v>
      </c>
      <c r="AB2099" s="23"/>
      <c r="AC2099" s="41"/>
      <c r="AD2099" s="42"/>
      <c r="AE2099" s="42"/>
      <c r="AF2099" s="42"/>
      <c r="AG2099" s="42"/>
      <c r="AH2099" s="43">
        <f t="shared" si="2608"/>
        <v>0</v>
      </c>
      <c r="AI2099" s="41"/>
      <c r="AJ2099" s="42"/>
      <c r="AK2099" s="42"/>
      <c r="AL2099" s="42"/>
      <c r="AM2099" s="42"/>
      <c r="AN2099" s="43">
        <f t="shared" si="2609"/>
        <v>0</v>
      </c>
      <c r="AO2099" s="42"/>
      <c r="AP2099" s="53"/>
      <c r="AQ2099" s="53"/>
      <c r="AR2099" s="53"/>
      <c r="AS2099" s="72"/>
      <c r="AT2099" s="24">
        <f t="shared" si="2610"/>
        <v>0</v>
      </c>
      <c r="AU2099" s="42"/>
      <c r="AV2099" s="53"/>
      <c r="AW2099" s="53"/>
      <c r="AX2099" s="53"/>
      <c r="AY2099" s="72"/>
      <c r="AZ2099" s="24">
        <f t="shared" si="2611"/>
        <v>0</v>
      </c>
      <c r="BA2099" s="24">
        <f t="shared" si="2602"/>
        <v>0</v>
      </c>
      <c r="BB2099" s="193" t="s">
        <v>714</v>
      </c>
    </row>
    <row r="2100" spans="1:54" ht="14.25" x14ac:dyDescent="0.15">
      <c r="A2100" s="23" t="s">
        <v>438</v>
      </c>
      <c r="B2100" s="41"/>
      <c r="C2100" s="42"/>
      <c r="D2100" s="42"/>
      <c r="E2100" s="42"/>
      <c r="F2100" s="42"/>
      <c r="G2100" s="43">
        <f t="shared" ref="G2100:G2102" si="2612">SUM(B2100:F2100)</f>
        <v>0</v>
      </c>
      <c r="H2100" s="41"/>
      <c r="I2100" s="42"/>
      <c r="J2100" s="42"/>
      <c r="K2100" s="42"/>
      <c r="L2100" s="42"/>
      <c r="M2100" s="43">
        <f t="shared" ref="M2100:M2102" si="2613">SUM(H2100:L2100)</f>
        <v>0</v>
      </c>
      <c r="N2100" s="42"/>
      <c r="O2100" s="53"/>
      <c r="P2100" s="53">
        <v>1</v>
      </c>
      <c r="Q2100" s="53"/>
      <c r="R2100" s="72"/>
      <c r="S2100" s="24">
        <f t="shared" ref="S2100:S2102" si="2614">SUM(N2100:R2100)</f>
        <v>1</v>
      </c>
      <c r="T2100" s="42"/>
      <c r="U2100" s="53"/>
      <c r="V2100" s="53"/>
      <c r="W2100" s="53"/>
      <c r="X2100" s="72"/>
      <c r="Y2100" s="24">
        <f t="shared" ref="Y2100:Y2102" si="2615">SUM(T2100:X2100)</f>
        <v>0</v>
      </c>
      <c r="Z2100" s="24">
        <f t="shared" ref="Z2100:Z2102" si="2616">G2100+M2100+S2100+Y2100</f>
        <v>1</v>
      </c>
      <c r="AA2100" s="83">
        <v>45975</v>
      </c>
      <c r="AB2100" s="23"/>
      <c r="AC2100" s="41"/>
      <c r="AD2100" s="219"/>
      <c r="AE2100" s="219"/>
      <c r="AF2100" s="42"/>
      <c r="AG2100" s="42"/>
      <c r="AH2100" s="43">
        <f t="shared" si="2608"/>
        <v>0</v>
      </c>
      <c r="AI2100" s="41"/>
      <c r="AJ2100" s="42"/>
      <c r="AK2100" s="42"/>
      <c r="AL2100" s="42"/>
      <c r="AM2100" s="42"/>
      <c r="AN2100" s="43">
        <f t="shared" si="2609"/>
        <v>0</v>
      </c>
      <c r="AO2100" s="42"/>
      <c r="AP2100" s="53"/>
      <c r="AQ2100" s="53"/>
      <c r="AR2100" s="53"/>
      <c r="AS2100" s="72"/>
      <c r="AT2100" s="24">
        <f t="shared" si="2610"/>
        <v>0</v>
      </c>
      <c r="AU2100" s="42"/>
      <c r="AV2100" s="53"/>
      <c r="AW2100" s="53"/>
      <c r="AX2100" s="53"/>
      <c r="AY2100" s="72"/>
      <c r="AZ2100" s="24">
        <f t="shared" si="2611"/>
        <v>0</v>
      </c>
      <c r="BA2100" s="24">
        <f t="shared" si="2602"/>
        <v>0</v>
      </c>
    </row>
    <row r="2101" spans="1:54" ht="14.25" x14ac:dyDescent="0.15">
      <c r="A2101" s="23" t="s">
        <v>438</v>
      </c>
      <c r="B2101" s="41"/>
      <c r="C2101" s="42"/>
      <c r="D2101" s="42"/>
      <c r="E2101" s="42"/>
      <c r="F2101" s="42"/>
      <c r="G2101" s="43">
        <f t="shared" si="2612"/>
        <v>0</v>
      </c>
      <c r="H2101" s="41"/>
      <c r="I2101" s="42"/>
      <c r="J2101" s="42">
        <v>1</v>
      </c>
      <c r="K2101" s="42"/>
      <c r="L2101" s="42"/>
      <c r="M2101" s="43">
        <f t="shared" si="2613"/>
        <v>1</v>
      </c>
      <c r="N2101" s="42"/>
      <c r="O2101" s="53"/>
      <c r="P2101" s="53"/>
      <c r="Q2101" s="53">
        <v>1</v>
      </c>
      <c r="R2101" s="72"/>
      <c r="S2101" s="24">
        <f t="shared" si="2614"/>
        <v>1</v>
      </c>
      <c r="T2101" s="42"/>
      <c r="U2101" s="53"/>
      <c r="V2101" s="53"/>
      <c r="W2101" s="53"/>
      <c r="X2101" s="72"/>
      <c r="Y2101" s="24">
        <f t="shared" si="2615"/>
        <v>0</v>
      </c>
      <c r="Z2101" s="24">
        <f t="shared" si="2616"/>
        <v>2</v>
      </c>
      <c r="AA2101" s="83">
        <v>45978</v>
      </c>
      <c r="AB2101" s="23"/>
      <c r="AC2101" s="41"/>
      <c r="AD2101" s="42"/>
      <c r="AE2101" s="42"/>
      <c r="AF2101" s="42"/>
      <c r="AG2101" s="42"/>
      <c r="AH2101" s="43">
        <f t="shared" si="2608"/>
        <v>0</v>
      </c>
      <c r="AI2101" s="41"/>
      <c r="AJ2101" s="42"/>
      <c r="AK2101" s="42"/>
      <c r="AL2101" s="42"/>
      <c r="AM2101" s="42"/>
      <c r="AN2101" s="43">
        <f t="shared" si="2609"/>
        <v>0</v>
      </c>
      <c r="AO2101" s="42"/>
      <c r="AP2101" s="53"/>
      <c r="AQ2101" s="53"/>
      <c r="AR2101" s="53"/>
      <c r="AS2101" s="72"/>
      <c r="AT2101" s="24">
        <f t="shared" si="2610"/>
        <v>0</v>
      </c>
      <c r="AU2101" s="42"/>
      <c r="AV2101" s="53"/>
      <c r="AW2101" s="53"/>
      <c r="AX2101" s="53"/>
      <c r="AY2101" s="72"/>
      <c r="AZ2101" s="24">
        <f t="shared" si="2611"/>
        <v>0</v>
      </c>
      <c r="BA2101" s="24">
        <f t="shared" si="2602"/>
        <v>0</v>
      </c>
      <c r="BB2101" s="128"/>
    </row>
    <row r="2102" spans="1:54" ht="15" thickBot="1" x14ac:dyDescent="0.2">
      <c r="A2102" s="23"/>
      <c r="B2102" s="41"/>
      <c r="C2102" s="42"/>
      <c r="D2102" s="42"/>
      <c r="E2102" s="42"/>
      <c r="F2102" s="42"/>
      <c r="G2102" s="43">
        <f t="shared" si="2612"/>
        <v>0</v>
      </c>
      <c r="H2102" s="41"/>
      <c r="I2102" s="42"/>
      <c r="J2102" s="42"/>
      <c r="K2102" s="42"/>
      <c r="L2102" s="42"/>
      <c r="M2102" s="43">
        <f t="shared" si="2613"/>
        <v>0</v>
      </c>
      <c r="N2102" s="42"/>
      <c r="O2102" s="53"/>
      <c r="P2102" s="53"/>
      <c r="Q2102" s="53"/>
      <c r="R2102" s="72"/>
      <c r="S2102" s="24">
        <f t="shared" si="2614"/>
        <v>0</v>
      </c>
      <c r="T2102" s="42"/>
      <c r="U2102" s="53"/>
      <c r="V2102" s="53"/>
      <c r="W2102" s="53"/>
      <c r="X2102" s="72"/>
      <c r="Y2102" s="24">
        <f t="shared" si="2615"/>
        <v>0</v>
      </c>
      <c r="Z2102" s="24">
        <f t="shared" si="2616"/>
        <v>0</v>
      </c>
      <c r="AA2102" s="83"/>
      <c r="AB2102" s="23"/>
      <c r="AC2102" s="41"/>
      <c r="AD2102" s="42"/>
      <c r="AE2102" s="42"/>
      <c r="AF2102" s="42"/>
      <c r="AG2102" s="42"/>
      <c r="AH2102" s="43">
        <f t="shared" ref="AH2102" si="2617">SUM(AC2102:AG2102)</f>
        <v>0</v>
      </c>
      <c r="AI2102" s="41"/>
      <c r="AJ2102" s="42"/>
      <c r="AK2102" s="42"/>
      <c r="AL2102" s="42"/>
      <c r="AM2102" s="42"/>
      <c r="AN2102" s="43">
        <f t="shared" ref="AN2102" si="2618">SUM(AI2102:AM2102)</f>
        <v>0</v>
      </c>
      <c r="AO2102" s="42"/>
      <c r="AP2102" s="53"/>
      <c r="AQ2102" s="53"/>
      <c r="AR2102" s="53"/>
      <c r="AS2102" s="72"/>
      <c r="AT2102" s="24">
        <f t="shared" ref="AT2102" si="2619">SUM(AO2102:AS2102)</f>
        <v>0</v>
      </c>
      <c r="AU2102" s="42"/>
      <c r="AV2102" s="53"/>
      <c r="AW2102" s="53"/>
      <c r="AX2102" s="53"/>
      <c r="AY2102" s="72"/>
      <c r="AZ2102" s="24">
        <f t="shared" ref="AZ2102" si="2620">SUM(AU2102:AY2102)</f>
        <v>0</v>
      </c>
      <c r="BA2102" s="24">
        <f t="shared" ref="BA2102" si="2621">AH2102+AN2102+AT2102+AZ2102</f>
        <v>0</v>
      </c>
      <c r="BB2102" s="128"/>
    </row>
    <row r="2103" spans="1:54" ht="15" thickBot="1" x14ac:dyDescent="0.2">
      <c r="A2103" s="9" t="s">
        <v>13</v>
      </c>
      <c r="B2103" s="25">
        <f>SUM(B2077:B2102)</f>
        <v>3</v>
      </c>
      <c r="C2103" s="26">
        <f>SUM(C2077:C2102)</f>
        <v>3</v>
      </c>
      <c r="D2103" s="26">
        <f>SUM(D2077:D2102)</f>
        <v>0</v>
      </c>
      <c r="E2103" s="26">
        <f>SUM(E2077:E2102)</f>
        <v>0</v>
      </c>
      <c r="F2103" s="27">
        <f>SUM(F2077:F2102)</f>
        <v>1</v>
      </c>
      <c r="G2103" s="19">
        <f>SUM(B2103:F2103)</f>
        <v>7</v>
      </c>
      <c r="H2103" s="25">
        <f>SUM(H2077:H2102)</f>
        <v>1</v>
      </c>
      <c r="I2103" s="26">
        <f>SUM(I2077:I2102)</f>
        <v>1</v>
      </c>
      <c r="J2103" s="26">
        <f>SUM(J2077:J2102)</f>
        <v>6</v>
      </c>
      <c r="K2103" s="26">
        <f>SUM(K2077:K2102)</f>
        <v>5</v>
      </c>
      <c r="L2103" s="27">
        <f>SUM(L2077:L2102)</f>
        <v>4</v>
      </c>
      <c r="M2103" s="25">
        <f>SUM(H2103:L2103)</f>
        <v>17</v>
      </c>
      <c r="N2103" s="65">
        <f>SUM(N2077:N2102)</f>
        <v>0</v>
      </c>
      <c r="O2103" s="18">
        <f>SUM(O2077:O2102)</f>
        <v>-2</v>
      </c>
      <c r="P2103" s="18">
        <f>SUM(P2077:P2102)</f>
        <v>1</v>
      </c>
      <c r="Q2103" s="18">
        <f>SUM(Q2077:Q2102)</f>
        <v>8</v>
      </c>
      <c r="R2103" s="70">
        <f>SUM(R2077:R2102)</f>
        <v>0</v>
      </c>
      <c r="S2103" s="49">
        <f>SUM(N2103:R2103)</f>
        <v>7</v>
      </c>
      <c r="T2103" s="74">
        <f>SUM(T2077:T2102)</f>
        <v>0</v>
      </c>
      <c r="U2103" s="18">
        <f>SUM(U2077:U2102)</f>
        <v>0</v>
      </c>
      <c r="V2103" s="18">
        <f>SUM(V2077:V2102)</f>
        <v>1</v>
      </c>
      <c r="W2103" s="18">
        <f>SUM(W2077:W2102)</f>
        <v>1</v>
      </c>
      <c r="X2103" s="70">
        <f>SUM(X2077:X2102)</f>
        <v>0</v>
      </c>
      <c r="Y2103" s="49">
        <f>SUM(T2103:X2103)</f>
        <v>2</v>
      </c>
      <c r="Z2103" s="137">
        <f>G2103+M2103+S2103+Y2103</f>
        <v>33</v>
      </c>
      <c r="AB2103" s="9" t="s">
        <v>13</v>
      </c>
      <c r="AC2103" s="25">
        <f>SUM(AC2077:AC2102)</f>
        <v>0</v>
      </c>
      <c r="AD2103" s="26">
        <f t="shared" ref="AD2103:AG2103" si="2622">SUM(AD2077:AD2102)</f>
        <v>0</v>
      </c>
      <c r="AE2103" s="26">
        <f t="shared" si="2622"/>
        <v>0</v>
      </c>
      <c r="AF2103" s="220">
        <f t="shared" si="2622"/>
        <v>0</v>
      </c>
      <c r="AG2103" s="222">
        <f t="shared" si="2622"/>
        <v>0</v>
      </c>
      <c r="AH2103" s="19">
        <f>SUM(AC2103:AG2103)</f>
        <v>0</v>
      </c>
      <c r="AI2103" s="25">
        <f>SUM(AI2077:AI2102)</f>
        <v>0</v>
      </c>
      <c r="AJ2103" s="26">
        <f t="shared" ref="AJ2103:AM2103" si="2623">SUM(AJ2077:AJ2102)</f>
        <v>0</v>
      </c>
      <c r="AK2103" s="26">
        <f t="shared" si="2623"/>
        <v>7</v>
      </c>
      <c r="AL2103" s="226">
        <f t="shared" si="2623"/>
        <v>5</v>
      </c>
      <c r="AM2103" s="27">
        <f t="shared" si="2623"/>
        <v>3</v>
      </c>
      <c r="AN2103" s="19">
        <f>SUM(AI2103:AM2103)</f>
        <v>15</v>
      </c>
      <c r="AO2103" s="25">
        <f>SUM(AO2077:AO2102)</f>
        <v>0</v>
      </c>
      <c r="AP2103" s="26">
        <f t="shared" ref="AP2103:AS2103" si="2624">SUM(AP2077:AP2102)</f>
        <v>7</v>
      </c>
      <c r="AQ2103" s="26">
        <f t="shared" si="2624"/>
        <v>0</v>
      </c>
      <c r="AR2103" s="26">
        <f t="shared" si="2624"/>
        <v>10</v>
      </c>
      <c r="AS2103" s="27">
        <f t="shared" si="2624"/>
        <v>0</v>
      </c>
      <c r="AT2103" s="19">
        <f>SUM(AO2103:AS2103)</f>
        <v>17</v>
      </c>
      <c r="AU2103" s="25">
        <f>SUM(AU2077:AU2102)</f>
        <v>0</v>
      </c>
      <c r="AV2103" s="26">
        <f t="shared" ref="AV2103:AY2103" si="2625">SUM(AV2077:AV2102)</f>
        <v>0</v>
      </c>
      <c r="AW2103" s="220">
        <f t="shared" si="2625"/>
        <v>0</v>
      </c>
      <c r="AX2103" s="220">
        <f t="shared" si="2625"/>
        <v>0</v>
      </c>
      <c r="AY2103" s="27">
        <f t="shared" si="2625"/>
        <v>0</v>
      </c>
      <c r="AZ2103" s="19">
        <f>SUM(AU2103:AY2103)</f>
        <v>0</v>
      </c>
      <c r="BA2103" s="77">
        <f t="shared" si="2602"/>
        <v>32</v>
      </c>
    </row>
    <row r="2104" spans="1:54" ht="15" thickBot="1" x14ac:dyDescent="0.2">
      <c r="A2104" s="32" t="s">
        <v>14</v>
      </c>
      <c r="B2104" s="29">
        <f t="shared" ref="B2104:Y2104" si="2626">B2076-B2103</f>
        <v>2</v>
      </c>
      <c r="C2104" s="30">
        <f t="shared" si="2626"/>
        <v>2</v>
      </c>
      <c r="D2104" s="30">
        <f t="shared" si="2626"/>
        <v>3</v>
      </c>
      <c r="E2104" s="30">
        <f t="shared" si="2626"/>
        <v>0</v>
      </c>
      <c r="F2104" s="31">
        <f t="shared" si="2626"/>
        <v>3</v>
      </c>
      <c r="G2104" s="31">
        <f t="shared" si="2626"/>
        <v>10</v>
      </c>
      <c r="H2104" s="29">
        <f t="shared" si="2626"/>
        <v>4</v>
      </c>
      <c r="I2104" s="30">
        <f t="shared" si="2626"/>
        <v>5</v>
      </c>
      <c r="J2104" s="30">
        <f t="shared" si="2626"/>
        <v>4</v>
      </c>
      <c r="K2104" s="30">
        <f t="shared" si="2626"/>
        <v>2</v>
      </c>
      <c r="L2104" s="31">
        <f t="shared" si="2626"/>
        <v>2</v>
      </c>
      <c r="M2104" s="66">
        <f t="shared" si="2626"/>
        <v>17</v>
      </c>
      <c r="N2104" s="29">
        <f t="shared" si="2626"/>
        <v>7</v>
      </c>
      <c r="O2104" s="30">
        <f t="shared" si="2626"/>
        <v>5</v>
      </c>
      <c r="P2104" s="30">
        <f t="shared" si="2626"/>
        <v>4</v>
      </c>
      <c r="Q2104" s="30">
        <f t="shared" si="2626"/>
        <v>5</v>
      </c>
      <c r="R2104" s="66">
        <f t="shared" si="2626"/>
        <v>4</v>
      </c>
      <c r="S2104" s="33">
        <f t="shared" si="2626"/>
        <v>25</v>
      </c>
      <c r="T2104" s="75">
        <f t="shared" si="2626"/>
        <v>6</v>
      </c>
      <c r="U2104" s="30">
        <f t="shared" si="2626"/>
        <v>6</v>
      </c>
      <c r="V2104" s="30">
        <f t="shared" si="2626"/>
        <v>9</v>
      </c>
      <c r="W2104" s="30">
        <f t="shared" si="2626"/>
        <v>0</v>
      </c>
      <c r="X2104" s="66">
        <f t="shared" si="2626"/>
        <v>4</v>
      </c>
      <c r="Y2104" s="33">
        <f t="shared" si="2626"/>
        <v>25</v>
      </c>
      <c r="Z2104" s="77">
        <f>G2104+M2104+S2104+Y2104</f>
        <v>77</v>
      </c>
      <c r="AB2104" s="32" t="s">
        <v>14</v>
      </c>
      <c r="AC2104" s="29">
        <f>AC2076-AC2103</f>
        <v>70</v>
      </c>
      <c r="AD2104" s="30">
        <f t="shared" ref="AD2104:AG2104" si="2627">AD2076-AD2103</f>
        <v>18</v>
      </c>
      <c r="AE2104" s="30">
        <f t="shared" si="2627"/>
        <v>13</v>
      </c>
      <c r="AF2104" s="221">
        <f t="shared" si="2627"/>
        <v>0</v>
      </c>
      <c r="AG2104" s="223">
        <f t="shared" si="2627"/>
        <v>0</v>
      </c>
      <c r="AH2104" s="31">
        <f>AH2076-AH2103</f>
        <v>101</v>
      </c>
      <c r="AI2104" s="29">
        <f>AI2076-AI2103</f>
        <v>64</v>
      </c>
      <c r="AJ2104" s="30">
        <f t="shared" ref="AJ2104:AM2104" si="2628">AJ2076-AJ2103</f>
        <v>30</v>
      </c>
      <c r="AK2104" s="30">
        <f t="shared" si="2628"/>
        <v>29</v>
      </c>
      <c r="AL2104" s="227">
        <f t="shared" si="2628"/>
        <v>0</v>
      </c>
      <c r="AM2104" s="31">
        <f t="shared" si="2628"/>
        <v>32</v>
      </c>
      <c r="AN2104" s="31">
        <f>AN2076-AN2103</f>
        <v>155</v>
      </c>
      <c r="AO2104" s="29">
        <f>AO2076-AO2103</f>
        <v>131</v>
      </c>
      <c r="AP2104" s="30">
        <f t="shared" ref="AP2104:AS2104" si="2629">AP2076-AP2103</f>
        <v>71</v>
      </c>
      <c r="AQ2104" s="30">
        <f t="shared" si="2629"/>
        <v>75</v>
      </c>
      <c r="AR2104" s="30">
        <f t="shared" si="2629"/>
        <v>83</v>
      </c>
      <c r="AS2104" s="31">
        <f t="shared" si="2629"/>
        <v>108</v>
      </c>
      <c r="AT2104" s="31">
        <f>AT2076-AT2103</f>
        <v>468</v>
      </c>
      <c r="AU2104" s="29">
        <f>AU2076-AU2103</f>
        <v>99</v>
      </c>
      <c r="AV2104" s="30">
        <f t="shared" ref="AV2104:AY2104" si="2630">AV2076-AV2103</f>
        <v>36</v>
      </c>
      <c r="AW2104" s="221">
        <f t="shared" si="2630"/>
        <v>0</v>
      </c>
      <c r="AX2104" s="221">
        <f t="shared" si="2630"/>
        <v>0</v>
      </c>
      <c r="AY2104" s="31">
        <f t="shared" si="2630"/>
        <v>49</v>
      </c>
      <c r="AZ2104" s="31">
        <f>AZ2076-AZ2103</f>
        <v>184</v>
      </c>
      <c r="BA2104" s="77">
        <f t="shared" si="2602"/>
        <v>908</v>
      </c>
    </row>
    <row r="2105" spans="1:54" x14ac:dyDescent="0.15">
      <c r="B2105" s="216"/>
      <c r="C2105" s="216"/>
      <c r="D2105" s="216"/>
      <c r="E2105" s="216" t="s">
        <v>700</v>
      </c>
      <c r="F2105" s="216" t="s">
        <v>700</v>
      </c>
      <c r="G2105" s="216"/>
      <c r="H2105" s="216"/>
      <c r="I2105" s="216"/>
      <c r="J2105" s="216"/>
      <c r="K2105" s="216"/>
      <c r="L2105" s="216"/>
      <c r="M2105" s="216"/>
      <c r="N2105" s="216"/>
      <c r="O2105" s="216"/>
      <c r="P2105" s="216"/>
      <c r="Q2105" s="216"/>
      <c r="R2105" s="216"/>
      <c r="S2105" s="216"/>
      <c r="T2105" s="216"/>
      <c r="U2105" s="216"/>
      <c r="V2105" s="216" t="s">
        <v>700</v>
      </c>
      <c r="W2105" s="216" t="s">
        <v>700</v>
      </c>
      <c r="X2105" s="216"/>
      <c r="AC2105" s="216"/>
      <c r="AD2105" s="216"/>
      <c r="AE2105" s="216"/>
      <c r="AF2105" s="216" t="s">
        <v>700</v>
      </c>
      <c r="AG2105" s="216" t="s">
        <v>700</v>
      </c>
      <c r="AH2105" s="216"/>
      <c r="AI2105" s="216"/>
      <c r="AJ2105" s="216"/>
      <c r="AK2105" s="216"/>
      <c r="AL2105" s="216"/>
      <c r="AM2105" s="216"/>
      <c r="AN2105" s="216"/>
      <c r="AO2105" s="216"/>
      <c r="AP2105" s="216"/>
      <c r="AQ2105" s="216"/>
      <c r="AR2105" s="216"/>
      <c r="AS2105" s="216"/>
      <c r="AT2105" s="216"/>
      <c r="AU2105" s="216"/>
      <c r="AV2105" s="216"/>
      <c r="AW2105" s="216" t="s">
        <v>700</v>
      </c>
      <c r="AX2105" s="216" t="s">
        <v>700</v>
      </c>
      <c r="AY2105" s="216"/>
    </row>
    <row r="2107" spans="1:54" ht="19.5" thickBot="1" x14ac:dyDescent="0.25">
      <c r="A2107" s="1" t="s">
        <v>15</v>
      </c>
      <c r="AB2107" s="1" t="s">
        <v>16</v>
      </c>
    </row>
    <row r="2108" spans="1:54" ht="15" thickBot="1" x14ac:dyDescent="0.2">
      <c r="A2108" s="4"/>
      <c r="B2108" s="245" t="s">
        <v>17</v>
      </c>
      <c r="C2108" s="246"/>
      <c r="D2108" s="246"/>
      <c r="E2108" s="246"/>
      <c r="F2108" s="246"/>
      <c r="G2108" s="247"/>
      <c r="H2108" s="245" t="s">
        <v>18</v>
      </c>
      <c r="I2108" s="246"/>
      <c r="J2108" s="246"/>
      <c r="K2108" s="246"/>
      <c r="L2108" s="246"/>
      <c r="M2108" s="247"/>
      <c r="N2108" s="248" t="s">
        <v>27</v>
      </c>
      <c r="O2108" s="249"/>
      <c r="P2108" s="249"/>
      <c r="Q2108" s="249"/>
      <c r="R2108" s="249"/>
      <c r="S2108" s="250"/>
      <c r="T2108" s="248" t="s">
        <v>28</v>
      </c>
      <c r="U2108" s="249"/>
      <c r="V2108" s="249"/>
      <c r="W2108" s="249"/>
      <c r="X2108" s="249"/>
      <c r="Y2108" s="250"/>
      <c r="Z2108" s="251" t="s">
        <v>1</v>
      </c>
      <c r="AB2108" s="4"/>
      <c r="AC2108" s="253" t="s">
        <v>17</v>
      </c>
      <c r="AD2108" s="249"/>
      <c r="AE2108" s="249"/>
      <c r="AF2108" s="249"/>
      <c r="AG2108" s="249"/>
      <c r="AH2108" s="250"/>
      <c r="AI2108" s="248" t="s">
        <v>18</v>
      </c>
      <c r="AJ2108" s="249"/>
      <c r="AK2108" s="249"/>
      <c r="AL2108" s="249"/>
      <c r="AM2108" s="249"/>
      <c r="AN2108" s="250"/>
      <c r="AO2108" s="248" t="s">
        <v>27</v>
      </c>
      <c r="AP2108" s="249"/>
      <c r="AQ2108" s="249"/>
      <c r="AR2108" s="249"/>
      <c r="AS2108" s="249"/>
      <c r="AT2108" s="250"/>
      <c r="AU2108" s="248" t="s">
        <v>28</v>
      </c>
      <c r="AV2108" s="249"/>
      <c r="AW2108" s="249"/>
      <c r="AX2108" s="249"/>
      <c r="AY2108" s="249"/>
      <c r="AZ2108" s="250"/>
      <c r="BA2108" s="243" t="s">
        <v>1</v>
      </c>
    </row>
    <row r="2109" spans="1:54" ht="15" thickBot="1" x14ac:dyDescent="0.2">
      <c r="A2109" s="9" t="s">
        <v>2</v>
      </c>
      <c r="B2109" s="6" t="s">
        <v>3</v>
      </c>
      <c r="C2109" s="7" t="s">
        <v>4</v>
      </c>
      <c r="D2109" s="7" t="s">
        <v>5</v>
      </c>
      <c r="E2109" s="48" t="s">
        <v>20</v>
      </c>
      <c r="F2109" s="8" t="s">
        <v>21</v>
      </c>
      <c r="G2109" s="5" t="s">
        <v>6</v>
      </c>
      <c r="H2109" s="6" t="s">
        <v>3</v>
      </c>
      <c r="I2109" s="7" t="s">
        <v>4</v>
      </c>
      <c r="J2109" s="7" t="s">
        <v>5</v>
      </c>
      <c r="K2109" s="48" t="s">
        <v>20</v>
      </c>
      <c r="L2109" s="8" t="s">
        <v>21</v>
      </c>
      <c r="M2109" s="5" t="s">
        <v>6</v>
      </c>
      <c r="N2109" s="6" t="s">
        <v>3</v>
      </c>
      <c r="O2109" s="7" t="s">
        <v>4</v>
      </c>
      <c r="P2109" s="7" t="s">
        <v>5</v>
      </c>
      <c r="Q2109" s="48" t="s">
        <v>20</v>
      </c>
      <c r="R2109" s="8" t="s">
        <v>21</v>
      </c>
      <c r="S2109" s="5" t="s">
        <v>6</v>
      </c>
      <c r="T2109" s="7" t="s">
        <v>3</v>
      </c>
      <c r="U2109" s="7" t="s">
        <v>4</v>
      </c>
      <c r="V2109" s="7" t="s">
        <v>5</v>
      </c>
      <c r="W2109" s="48" t="s">
        <v>20</v>
      </c>
      <c r="X2109" s="109" t="s">
        <v>21</v>
      </c>
      <c r="Y2109" s="62" t="s">
        <v>6</v>
      </c>
      <c r="Z2109" s="252"/>
      <c r="AB2109" s="9" t="s">
        <v>2</v>
      </c>
      <c r="AC2109" s="6" t="s">
        <v>3</v>
      </c>
      <c r="AD2109" s="7" t="s">
        <v>4</v>
      </c>
      <c r="AE2109" s="7" t="s">
        <v>5</v>
      </c>
      <c r="AF2109" s="48" t="s">
        <v>20</v>
      </c>
      <c r="AG2109" s="8" t="s">
        <v>21</v>
      </c>
      <c r="AH2109" s="5" t="s">
        <v>6</v>
      </c>
      <c r="AI2109" s="6" t="s">
        <v>3</v>
      </c>
      <c r="AJ2109" s="7" t="s">
        <v>4</v>
      </c>
      <c r="AK2109" s="7" t="s">
        <v>5</v>
      </c>
      <c r="AL2109" s="48" t="s">
        <v>20</v>
      </c>
      <c r="AM2109" s="8" t="s">
        <v>21</v>
      </c>
      <c r="AN2109" s="5" t="s">
        <v>6</v>
      </c>
      <c r="AO2109" s="6" t="s">
        <v>3</v>
      </c>
      <c r="AP2109" s="7" t="s">
        <v>4</v>
      </c>
      <c r="AQ2109" s="7" t="s">
        <v>5</v>
      </c>
      <c r="AR2109" s="48" t="s">
        <v>20</v>
      </c>
      <c r="AS2109" s="8" t="s">
        <v>21</v>
      </c>
      <c r="AT2109" s="5" t="s">
        <v>6</v>
      </c>
      <c r="AU2109" s="7" t="s">
        <v>3</v>
      </c>
      <c r="AV2109" s="7" t="s">
        <v>4</v>
      </c>
      <c r="AW2109" s="7" t="s">
        <v>5</v>
      </c>
      <c r="AX2109" s="48" t="s">
        <v>20</v>
      </c>
      <c r="AY2109" s="109" t="s">
        <v>21</v>
      </c>
      <c r="AZ2109" s="62" t="s">
        <v>6</v>
      </c>
      <c r="BA2109" s="244"/>
    </row>
    <row r="2110" spans="1:54" ht="14.25" x14ac:dyDescent="0.15">
      <c r="A2110" s="103" t="s">
        <v>43</v>
      </c>
      <c r="B2110" s="104">
        <f>B2104</f>
        <v>2</v>
      </c>
      <c r="C2110" s="105">
        <f>C2104</f>
        <v>2</v>
      </c>
      <c r="D2110" s="105">
        <f>D2104</f>
        <v>3</v>
      </c>
      <c r="E2110" s="105">
        <f>E2104</f>
        <v>0</v>
      </c>
      <c r="F2110" s="105">
        <f>F2104</f>
        <v>3</v>
      </c>
      <c r="G2110" s="106">
        <f t="shared" ref="G2110" si="2631">SUM(B2110:F2110)</f>
        <v>10</v>
      </c>
      <c r="H2110" s="104">
        <f>H2104</f>
        <v>4</v>
      </c>
      <c r="I2110" s="105">
        <f>I2104</f>
        <v>5</v>
      </c>
      <c r="J2110" s="105">
        <f>J2104</f>
        <v>4</v>
      </c>
      <c r="K2110" s="105">
        <f>K2104</f>
        <v>2</v>
      </c>
      <c r="L2110" s="105">
        <f>L2104</f>
        <v>2</v>
      </c>
      <c r="M2110" s="107">
        <f t="shared" ref="M2110:M2114" si="2632">SUM(H2110:L2110)</f>
        <v>17</v>
      </c>
      <c r="N2110" s="104">
        <f>N2104</f>
        <v>7</v>
      </c>
      <c r="O2110" s="105">
        <f>O2104</f>
        <v>5</v>
      </c>
      <c r="P2110" s="105">
        <f>P2104</f>
        <v>4</v>
      </c>
      <c r="Q2110" s="105">
        <f>Q2104</f>
        <v>5</v>
      </c>
      <c r="R2110" s="105">
        <f>R2104</f>
        <v>4</v>
      </c>
      <c r="S2110" s="108">
        <f t="shared" ref="S2110:S2114" si="2633">SUM(N2110:R2110)</f>
        <v>25</v>
      </c>
      <c r="T2110" s="104">
        <f>T2104</f>
        <v>6</v>
      </c>
      <c r="U2110" s="105">
        <f>U2104</f>
        <v>6</v>
      </c>
      <c r="V2110" s="105">
        <f>V2104</f>
        <v>9</v>
      </c>
      <c r="W2110" s="105">
        <f>W2104</f>
        <v>0</v>
      </c>
      <c r="X2110" s="105">
        <f>X2104</f>
        <v>4</v>
      </c>
      <c r="Y2110" s="106">
        <f t="shared" ref="Y2110:Y2114" si="2634">SUM(T2110:X2110)</f>
        <v>25</v>
      </c>
      <c r="Z2110" s="106">
        <f t="shared" ref="Z2110:Z2140" si="2635">G2110+M2110+S2110+Y2110</f>
        <v>77</v>
      </c>
      <c r="AB2110" s="103" t="s">
        <v>43</v>
      </c>
      <c r="AC2110" s="104">
        <f>AC2104</f>
        <v>70</v>
      </c>
      <c r="AD2110" s="105">
        <f t="shared" ref="AD2110:AG2110" si="2636">AD2104</f>
        <v>18</v>
      </c>
      <c r="AE2110" s="105">
        <f t="shared" si="2636"/>
        <v>13</v>
      </c>
      <c r="AF2110" s="105">
        <f t="shared" si="2636"/>
        <v>0</v>
      </c>
      <c r="AG2110" s="105">
        <f t="shared" si="2636"/>
        <v>0</v>
      </c>
      <c r="AH2110" s="106">
        <f>SUM(AC2110:AG2110)</f>
        <v>101</v>
      </c>
      <c r="AI2110" s="104">
        <f>AI2104</f>
        <v>64</v>
      </c>
      <c r="AJ2110" s="105">
        <f t="shared" ref="AJ2110:AM2110" si="2637">AJ2104</f>
        <v>30</v>
      </c>
      <c r="AK2110" s="105">
        <f t="shared" si="2637"/>
        <v>29</v>
      </c>
      <c r="AL2110" s="105">
        <f t="shared" si="2637"/>
        <v>0</v>
      </c>
      <c r="AM2110" s="105">
        <f t="shared" si="2637"/>
        <v>32</v>
      </c>
      <c r="AN2110" s="106">
        <f>SUM(AI2110:AM2110)</f>
        <v>155</v>
      </c>
      <c r="AO2110" s="104">
        <f>AO2104</f>
        <v>131</v>
      </c>
      <c r="AP2110" s="105">
        <f t="shared" ref="AP2110:AS2110" si="2638">AP2104</f>
        <v>71</v>
      </c>
      <c r="AQ2110" s="105">
        <f t="shared" si="2638"/>
        <v>75</v>
      </c>
      <c r="AR2110" s="105">
        <f t="shared" si="2638"/>
        <v>83</v>
      </c>
      <c r="AS2110" s="105">
        <f t="shared" si="2638"/>
        <v>108</v>
      </c>
      <c r="AT2110" s="106">
        <f>SUM(AO2110:AS2110)</f>
        <v>468</v>
      </c>
      <c r="AU2110" s="104">
        <f>AU2104</f>
        <v>99</v>
      </c>
      <c r="AV2110" s="105">
        <f t="shared" ref="AV2110:AY2110" si="2639">AV2104</f>
        <v>36</v>
      </c>
      <c r="AW2110" s="105">
        <f t="shared" si="2639"/>
        <v>0</v>
      </c>
      <c r="AX2110" s="105">
        <f t="shared" si="2639"/>
        <v>0</v>
      </c>
      <c r="AY2110" s="105">
        <f t="shared" si="2639"/>
        <v>49</v>
      </c>
      <c r="AZ2110" s="106">
        <f>SUM(AU2110:AY2110)</f>
        <v>184</v>
      </c>
      <c r="BA2110" s="106">
        <f>AH2110+AN2110+AT2110+AZ2110</f>
        <v>908</v>
      </c>
    </row>
    <row r="2111" spans="1:54" ht="14.25" x14ac:dyDescent="0.15">
      <c r="A2111" s="10" t="s">
        <v>181</v>
      </c>
      <c r="B2111" s="41"/>
      <c r="C2111" s="42"/>
      <c r="D2111" s="42"/>
      <c r="E2111" s="42"/>
      <c r="F2111" s="42"/>
      <c r="G2111" s="43">
        <f t="shared" ref="G2111" si="2640">SUM(B2111:F2111)</f>
        <v>0</v>
      </c>
      <c r="H2111" s="41"/>
      <c r="I2111" s="42"/>
      <c r="J2111" s="42"/>
      <c r="K2111" s="42">
        <v>5</v>
      </c>
      <c r="L2111" s="42"/>
      <c r="M2111" s="43">
        <f t="shared" si="2632"/>
        <v>5</v>
      </c>
      <c r="N2111" s="42"/>
      <c r="O2111" s="53"/>
      <c r="P2111" s="53"/>
      <c r="Q2111" s="53"/>
      <c r="R2111" s="72"/>
      <c r="S2111" s="24">
        <f t="shared" si="2633"/>
        <v>0</v>
      </c>
      <c r="T2111" s="42"/>
      <c r="U2111" s="53"/>
      <c r="V2111" s="53"/>
      <c r="W2111" s="53"/>
      <c r="X2111" s="72"/>
      <c r="Y2111" s="24">
        <f t="shared" si="2634"/>
        <v>0</v>
      </c>
      <c r="Z2111" s="24">
        <f t="shared" si="2635"/>
        <v>5</v>
      </c>
      <c r="AA2111" s="93">
        <v>45976</v>
      </c>
      <c r="AB2111" s="10" t="s">
        <v>181</v>
      </c>
      <c r="AC2111" s="14"/>
      <c r="AD2111" s="15"/>
      <c r="AE2111" s="15"/>
      <c r="AF2111" s="15"/>
      <c r="AG2111" s="15"/>
      <c r="AH2111" s="43">
        <f t="shared" ref="AH2111:AH2114" si="2641">SUM(AC2111:AG2111)</f>
        <v>0</v>
      </c>
      <c r="AI2111" s="14"/>
      <c r="AJ2111" s="15"/>
      <c r="AK2111" s="15"/>
      <c r="AL2111" s="15"/>
      <c r="AM2111" s="15"/>
      <c r="AN2111" s="43">
        <f t="shared" ref="AN2111:AN2114" si="2642">SUM(AI2111:AM2111)</f>
        <v>0</v>
      </c>
      <c r="AO2111" s="14"/>
      <c r="AP2111" s="55"/>
      <c r="AQ2111" s="55"/>
      <c r="AR2111" s="55"/>
      <c r="AS2111" s="67"/>
      <c r="AT2111" s="24">
        <f t="shared" ref="AT2111:AT2114" si="2643">SUM(AO2111:AS2111)</f>
        <v>0</v>
      </c>
      <c r="AU2111" s="15"/>
      <c r="AV2111" s="55"/>
      <c r="AW2111" s="55"/>
      <c r="AX2111" s="55"/>
      <c r="AY2111" s="67"/>
      <c r="AZ2111" s="24">
        <f t="shared" ref="AZ2111:AZ2114" si="2644">SUM(AU2111:AY2111)</f>
        <v>0</v>
      </c>
      <c r="BA2111" s="24">
        <f t="shared" ref="BA2111:BA2114" si="2645">AH2111+AN2111+AT2111+AZ2111</f>
        <v>0</v>
      </c>
    </row>
    <row r="2112" spans="1:54" ht="14.25" x14ac:dyDescent="0.15">
      <c r="A2112" s="10" t="s">
        <v>181</v>
      </c>
      <c r="B2112" s="14"/>
      <c r="C2112" s="15"/>
      <c r="D2112" s="15"/>
      <c r="E2112" s="15"/>
      <c r="F2112" s="15"/>
      <c r="G2112" s="43">
        <f t="shared" ref="G2112:G2115" si="2646">SUM(B2112:F2112)</f>
        <v>0</v>
      </c>
      <c r="H2112" s="14"/>
      <c r="I2112" s="15"/>
      <c r="J2112" s="15"/>
      <c r="K2112" s="15"/>
      <c r="L2112" s="15">
        <v>5</v>
      </c>
      <c r="M2112" s="43">
        <f t="shared" si="2632"/>
        <v>5</v>
      </c>
      <c r="N2112" s="14"/>
      <c r="O2112" s="55"/>
      <c r="P2112" s="55"/>
      <c r="Q2112" s="55"/>
      <c r="R2112" s="67"/>
      <c r="S2112" s="24">
        <f t="shared" si="2633"/>
        <v>0</v>
      </c>
      <c r="T2112" s="15"/>
      <c r="U2112" s="55"/>
      <c r="V2112" s="55"/>
      <c r="W2112" s="55"/>
      <c r="X2112" s="67"/>
      <c r="Y2112" s="24">
        <f t="shared" si="2634"/>
        <v>0</v>
      </c>
      <c r="Z2112" s="24">
        <f t="shared" si="2635"/>
        <v>5</v>
      </c>
      <c r="AA2112" s="83">
        <v>45979</v>
      </c>
      <c r="AB2112" s="10" t="s">
        <v>181</v>
      </c>
      <c r="AC2112" s="14"/>
      <c r="AD2112" s="15"/>
      <c r="AE2112" s="15"/>
      <c r="AF2112" s="15"/>
      <c r="AG2112" s="15"/>
      <c r="AH2112" s="43">
        <f t="shared" si="2641"/>
        <v>0</v>
      </c>
      <c r="AI2112" s="14"/>
      <c r="AJ2112" s="15"/>
      <c r="AK2112" s="15"/>
      <c r="AL2112" s="15"/>
      <c r="AM2112" s="15"/>
      <c r="AN2112" s="43">
        <f t="shared" si="2642"/>
        <v>0</v>
      </c>
      <c r="AO2112" s="14"/>
      <c r="AP2112" s="55"/>
      <c r="AQ2112" s="55"/>
      <c r="AR2112" s="55"/>
      <c r="AS2112" s="67"/>
      <c r="AT2112" s="24">
        <f t="shared" si="2643"/>
        <v>0</v>
      </c>
      <c r="AU2112" s="15"/>
      <c r="AV2112" s="55"/>
      <c r="AW2112" s="55"/>
      <c r="AX2112" s="55"/>
      <c r="AY2112" s="67"/>
      <c r="AZ2112" s="24">
        <f t="shared" si="2644"/>
        <v>0</v>
      </c>
      <c r="BA2112" s="24">
        <f t="shared" si="2645"/>
        <v>0</v>
      </c>
    </row>
    <row r="2113" spans="1:55" ht="14.25" x14ac:dyDescent="0.15">
      <c r="A2113" s="228" t="s">
        <v>181</v>
      </c>
      <c r="B2113" s="229">
        <v>3</v>
      </c>
      <c r="C2113" s="230">
        <v>3</v>
      </c>
      <c r="D2113" s="230"/>
      <c r="E2113" s="230"/>
      <c r="F2113" s="230"/>
      <c r="G2113" s="22">
        <f t="shared" si="2646"/>
        <v>6</v>
      </c>
      <c r="H2113" s="229"/>
      <c r="I2113" s="230"/>
      <c r="J2113" s="230"/>
      <c r="K2113" s="230"/>
      <c r="L2113" s="230"/>
      <c r="M2113" s="22">
        <f t="shared" si="2632"/>
        <v>0</v>
      </c>
      <c r="N2113" s="229"/>
      <c r="O2113" s="231"/>
      <c r="P2113" s="231"/>
      <c r="Q2113" s="231"/>
      <c r="R2113" s="232">
        <v>3</v>
      </c>
      <c r="S2113" s="225">
        <f t="shared" si="2633"/>
        <v>3</v>
      </c>
      <c r="T2113" s="230"/>
      <c r="U2113" s="231"/>
      <c r="V2113" s="231"/>
      <c r="W2113" s="231"/>
      <c r="X2113" s="232"/>
      <c r="Y2113" s="225">
        <f t="shared" si="2634"/>
        <v>0</v>
      </c>
      <c r="Z2113" s="225">
        <f t="shared" si="2635"/>
        <v>9</v>
      </c>
      <c r="AA2113" s="93">
        <v>45980</v>
      </c>
      <c r="AB2113" s="10" t="s">
        <v>181</v>
      </c>
      <c r="AC2113" s="14"/>
      <c r="AD2113" s="15"/>
      <c r="AE2113" s="15"/>
      <c r="AF2113" s="15"/>
      <c r="AG2113" s="15"/>
      <c r="AH2113" s="43">
        <f t="shared" si="2641"/>
        <v>0</v>
      </c>
      <c r="AI2113" s="14"/>
      <c r="AJ2113" s="15"/>
      <c r="AK2113" s="15"/>
      <c r="AL2113" s="15"/>
      <c r="AM2113" s="15"/>
      <c r="AN2113" s="43">
        <f t="shared" si="2642"/>
        <v>0</v>
      </c>
      <c r="AO2113" s="14"/>
      <c r="AP2113" s="55"/>
      <c r="AQ2113" s="55"/>
      <c r="AR2113" s="55"/>
      <c r="AS2113" s="67"/>
      <c r="AT2113" s="24">
        <f t="shared" si="2643"/>
        <v>0</v>
      </c>
      <c r="AU2113" s="15"/>
      <c r="AV2113" s="55"/>
      <c r="AW2113" s="55"/>
      <c r="AX2113" s="55"/>
      <c r="AY2113" s="67"/>
      <c r="AZ2113" s="24">
        <f t="shared" si="2644"/>
        <v>0</v>
      </c>
      <c r="BA2113" s="24">
        <f t="shared" si="2645"/>
        <v>0</v>
      </c>
    </row>
    <row r="2114" spans="1:55" ht="15" thickBot="1" x14ac:dyDescent="0.2">
      <c r="A2114" s="10" t="s">
        <v>181</v>
      </c>
      <c r="B2114" s="14"/>
      <c r="C2114" s="15"/>
      <c r="D2114" s="15"/>
      <c r="E2114" s="15"/>
      <c r="F2114" s="15"/>
      <c r="G2114" s="43">
        <f t="shared" si="2646"/>
        <v>0</v>
      </c>
      <c r="H2114" s="14"/>
      <c r="I2114" s="15"/>
      <c r="J2114" s="15"/>
      <c r="K2114" s="15"/>
      <c r="L2114" s="15">
        <v>2</v>
      </c>
      <c r="M2114" s="43">
        <f t="shared" si="2632"/>
        <v>2</v>
      </c>
      <c r="N2114" s="14"/>
      <c r="O2114" s="55">
        <v>3</v>
      </c>
      <c r="P2114" s="55"/>
      <c r="Q2114" s="55">
        <v>3</v>
      </c>
      <c r="R2114" s="67"/>
      <c r="S2114" s="24">
        <f t="shared" si="2633"/>
        <v>6</v>
      </c>
      <c r="T2114" s="15"/>
      <c r="U2114" s="55"/>
      <c r="V2114" s="55"/>
      <c r="W2114" s="55"/>
      <c r="X2114" s="67"/>
      <c r="Y2114" s="24">
        <f t="shared" si="2634"/>
        <v>0</v>
      </c>
      <c r="Z2114" s="24">
        <f t="shared" si="2635"/>
        <v>8</v>
      </c>
      <c r="AA2114" s="83">
        <v>45989</v>
      </c>
      <c r="AB2114" s="10" t="s">
        <v>181</v>
      </c>
      <c r="AC2114" s="14"/>
      <c r="AD2114" s="15"/>
      <c r="AE2114" s="15"/>
      <c r="AF2114" s="15"/>
      <c r="AG2114" s="15"/>
      <c r="AH2114" s="43">
        <f t="shared" si="2641"/>
        <v>0</v>
      </c>
      <c r="AI2114" s="14"/>
      <c r="AJ2114" s="15"/>
      <c r="AK2114" s="15"/>
      <c r="AL2114" s="15"/>
      <c r="AM2114" s="15"/>
      <c r="AN2114" s="43">
        <f t="shared" si="2642"/>
        <v>0</v>
      </c>
      <c r="AO2114" s="14"/>
      <c r="AP2114" s="55"/>
      <c r="AQ2114" s="55"/>
      <c r="AR2114" s="55"/>
      <c r="AS2114" s="67"/>
      <c r="AT2114" s="24">
        <f t="shared" si="2643"/>
        <v>0</v>
      </c>
      <c r="AU2114" s="15"/>
      <c r="AV2114" s="55"/>
      <c r="AW2114" s="55"/>
      <c r="AX2114" s="55"/>
      <c r="AY2114" s="67"/>
      <c r="AZ2114" s="24">
        <f t="shared" si="2644"/>
        <v>0</v>
      </c>
      <c r="BA2114" s="24">
        <f t="shared" si="2645"/>
        <v>0</v>
      </c>
    </row>
    <row r="2115" spans="1:55" ht="15" thickBot="1" x14ac:dyDescent="0.2">
      <c r="A2115" s="4" t="s">
        <v>12</v>
      </c>
      <c r="B2115" s="17">
        <f>SUM(B2110:B2114)</f>
        <v>5</v>
      </c>
      <c r="C2115" s="18">
        <f>SUM(C2110:C2114)</f>
        <v>5</v>
      </c>
      <c r="D2115" s="18">
        <f>SUM(D2110:D2114)</f>
        <v>3</v>
      </c>
      <c r="E2115" s="18">
        <f>SUM(E2110:E2114)</f>
        <v>0</v>
      </c>
      <c r="F2115" s="18">
        <f>SUM(F2110:F2114)</f>
        <v>3</v>
      </c>
      <c r="G2115" s="148">
        <f t="shared" si="2646"/>
        <v>16</v>
      </c>
      <c r="H2115" s="17">
        <f>SUM(H2110:H2114)</f>
        <v>4</v>
      </c>
      <c r="I2115" s="18">
        <f>SUM(I2110:I2114)</f>
        <v>5</v>
      </c>
      <c r="J2115" s="18">
        <f>SUM(J2110:J2114)</f>
        <v>4</v>
      </c>
      <c r="K2115" s="18">
        <f>SUM(K2110:K2114)</f>
        <v>7</v>
      </c>
      <c r="L2115" s="18">
        <f>SUM(L2110:L2114)</f>
        <v>9</v>
      </c>
      <c r="M2115" s="17">
        <f t="shared" ref="M2115" si="2647">SUM(H2115:L2115)</f>
        <v>29</v>
      </c>
      <c r="N2115" s="65">
        <f>SUM(N2110:N2114)</f>
        <v>7</v>
      </c>
      <c r="O2115" s="18">
        <f>SUM(O2110:O2114)</f>
        <v>8</v>
      </c>
      <c r="P2115" s="18">
        <f>SUM(P2110:P2114)</f>
        <v>4</v>
      </c>
      <c r="Q2115" s="18">
        <f>SUM(Q2110:Q2114)</f>
        <v>8</v>
      </c>
      <c r="R2115" s="70">
        <f>SUM(R2110:R2114)</f>
        <v>7</v>
      </c>
      <c r="S2115" s="49">
        <f t="shared" ref="S2115" si="2648">SUM(N2115:R2115)</f>
        <v>34</v>
      </c>
      <c r="T2115" s="74">
        <f>SUM(T2110:T2114)</f>
        <v>6</v>
      </c>
      <c r="U2115" s="18">
        <f>SUM(U2110:U2114)</f>
        <v>6</v>
      </c>
      <c r="V2115" s="18">
        <f>SUM(V2110:V2114)</f>
        <v>9</v>
      </c>
      <c r="W2115" s="18">
        <f>SUM(W2110:W2114)</f>
        <v>0</v>
      </c>
      <c r="X2115" s="70">
        <f>SUM(X2110:X2114)</f>
        <v>4</v>
      </c>
      <c r="Y2115" s="49">
        <f t="shared" ref="Y2115" si="2649">SUM(T2115:X2115)</f>
        <v>25</v>
      </c>
      <c r="Z2115" s="33">
        <f t="shared" si="2635"/>
        <v>104</v>
      </c>
      <c r="AB2115" s="4" t="s">
        <v>12</v>
      </c>
      <c r="AC2115" s="17">
        <f>SUM(AC2110:AC2114)</f>
        <v>70</v>
      </c>
      <c r="AD2115" s="18">
        <f t="shared" ref="AD2115:AG2115" si="2650">SUM(AD2110:AD2114)</f>
        <v>18</v>
      </c>
      <c r="AE2115" s="18">
        <f t="shared" si="2650"/>
        <v>13</v>
      </c>
      <c r="AF2115" s="18">
        <f t="shared" si="2650"/>
        <v>0</v>
      </c>
      <c r="AG2115" s="18">
        <f t="shared" si="2650"/>
        <v>0</v>
      </c>
      <c r="AH2115" s="148">
        <f>SUM(AC2115:AG2115)</f>
        <v>101</v>
      </c>
      <c r="AI2115" s="17">
        <f>SUM(AI2110:AI2114)</f>
        <v>64</v>
      </c>
      <c r="AJ2115" s="18">
        <f t="shared" ref="AJ2115:AM2115" si="2651">SUM(AJ2110:AJ2114)</f>
        <v>30</v>
      </c>
      <c r="AK2115" s="18">
        <f t="shared" si="2651"/>
        <v>29</v>
      </c>
      <c r="AL2115" s="18">
        <f t="shared" si="2651"/>
        <v>0</v>
      </c>
      <c r="AM2115" s="18">
        <f t="shared" si="2651"/>
        <v>32</v>
      </c>
      <c r="AN2115" s="148">
        <f>SUM(AI2115:AM2115)</f>
        <v>155</v>
      </c>
      <c r="AO2115" s="17">
        <f>SUM(AO2110:AO2114)</f>
        <v>131</v>
      </c>
      <c r="AP2115" s="18">
        <f t="shared" ref="AP2115:AS2115" si="2652">SUM(AP2110:AP2114)</f>
        <v>71</v>
      </c>
      <c r="AQ2115" s="18">
        <f t="shared" si="2652"/>
        <v>75</v>
      </c>
      <c r="AR2115" s="18">
        <f t="shared" si="2652"/>
        <v>83</v>
      </c>
      <c r="AS2115" s="18">
        <f t="shared" si="2652"/>
        <v>108</v>
      </c>
      <c r="AT2115" s="148">
        <f>SUM(AO2115:AS2115)</f>
        <v>468</v>
      </c>
      <c r="AU2115" s="17">
        <f>SUM(AU2110:AU2114)</f>
        <v>99</v>
      </c>
      <c r="AV2115" s="18">
        <f t="shared" ref="AV2115:AY2115" si="2653">SUM(AV2110:AV2114)</f>
        <v>36</v>
      </c>
      <c r="AW2115" s="18">
        <f t="shared" si="2653"/>
        <v>0</v>
      </c>
      <c r="AX2115" s="18">
        <f t="shared" si="2653"/>
        <v>0</v>
      </c>
      <c r="AY2115" s="18">
        <f t="shared" si="2653"/>
        <v>49</v>
      </c>
      <c r="AZ2115" s="148">
        <f>SUM(AU2115:AY2115)</f>
        <v>184</v>
      </c>
      <c r="BA2115" s="33">
        <f>AH2115+AN2115+AT2115+AZ2115</f>
        <v>908</v>
      </c>
    </row>
    <row r="2116" spans="1:55" ht="14.25" x14ac:dyDescent="0.15">
      <c r="A2116" s="23" t="s">
        <v>438</v>
      </c>
      <c r="B2116" s="41"/>
      <c r="C2116" s="42"/>
      <c r="D2116" s="42"/>
      <c r="E2116" s="42"/>
      <c r="F2116" s="42"/>
      <c r="G2116" s="43">
        <f t="shared" ref="G2116:G2130" si="2654">SUM(B2116:F2116)</f>
        <v>0</v>
      </c>
      <c r="H2116" s="41"/>
      <c r="I2116" s="42"/>
      <c r="J2116" s="42">
        <v>1</v>
      </c>
      <c r="K2116" s="42">
        <v>1</v>
      </c>
      <c r="L2116" s="42">
        <v>1</v>
      </c>
      <c r="M2116" s="43">
        <f t="shared" ref="M2116:M2130" si="2655">SUM(H2116:L2116)</f>
        <v>3</v>
      </c>
      <c r="N2116" s="42">
        <v>1</v>
      </c>
      <c r="O2116" s="53"/>
      <c r="P2116" s="53"/>
      <c r="Q2116" s="53"/>
      <c r="R2116" s="72"/>
      <c r="S2116" s="24">
        <f t="shared" ref="S2116:S2130" si="2656">SUM(N2116:R2116)</f>
        <v>1</v>
      </c>
      <c r="T2116" s="42"/>
      <c r="U2116" s="53"/>
      <c r="V2116" s="53"/>
      <c r="W2116" s="53"/>
      <c r="X2116" s="72"/>
      <c r="Y2116" s="24">
        <f t="shared" ref="Y2116:Y2130" si="2657">SUM(T2116:X2116)</f>
        <v>0</v>
      </c>
      <c r="Z2116" s="24">
        <f t="shared" si="2635"/>
        <v>4</v>
      </c>
      <c r="AA2116" s="83">
        <v>45980</v>
      </c>
      <c r="AB2116" s="23" t="s">
        <v>715</v>
      </c>
      <c r="AC2116" s="41"/>
      <c r="AD2116" s="42"/>
      <c r="AE2116" s="42"/>
      <c r="AF2116" s="42"/>
      <c r="AG2116" s="42"/>
      <c r="AH2116" s="43">
        <f t="shared" ref="AH2116:AH2121" si="2658">SUM(AC2116:AG2116)</f>
        <v>0</v>
      </c>
      <c r="AI2116" s="41"/>
      <c r="AJ2116" s="42"/>
      <c r="AK2116" s="42"/>
      <c r="AL2116" s="42"/>
      <c r="AM2116" s="42">
        <v>5</v>
      </c>
      <c r="AN2116" s="43">
        <f t="shared" ref="AN2116:AN2121" si="2659">SUM(AI2116:AM2116)</f>
        <v>5</v>
      </c>
      <c r="AO2116" s="42"/>
      <c r="AP2116" s="53"/>
      <c r="AQ2116" s="53"/>
      <c r="AR2116" s="53"/>
      <c r="AS2116" s="72"/>
      <c r="AT2116" s="24">
        <f t="shared" ref="AT2116:AT2121" si="2660">SUM(AO2116:AS2116)</f>
        <v>0</v>
      </c>
      <c r="AU2116" s="42"/>
      <c r="AV2116" s="53"/>
      <c r="AW2116" s="53"/>
      <c r="AX2116" s="53"/>
      <c r="AY2116" s="72"/>
      <c r="AZ2116" s="24">
        <f t="shared" ref="AZ2116:AZ2121" si="2661">SUM(AU2116:AY2116)</f>
        <v>0</v>
      </c>
      <c r="BA2116" s="24">
        <f t="shared" ref="BA2116:BA2121" si="2662">AH2116+AN2116+AT2116+AZ2116</f>
        <v>5</v>
      </c>
      <c r="BB2116" s="83">
        <v>45979</v>
      </c>
    </row>
    <row r="2117" spans="1:55" ht="14.25" x14ac:dyDescent="0.15">
      <c r="A2117" s="23" t="s">
        <v>716</v>
      </c>
      <c r="B2117" s="41"/>
      <c r="C2117" s="42"/>
      <c r="D2117" s="42"/>
      <c r="E2117" s="42"/>
      <c r="F2117" s="42"/>
      <c r="G2117" s="43">
        <f t="shared" si="2654"/>
        <v>0</v>
      </c>
      <c r="H2117" s="41"/>
      <c r="I2117" s="42">
        <v>1</v>
      </c>
      <c r="J2117" s="42"/>
      <c r="K2117" s="42"/>
      <c r="L2117" s="42">
        <v>1</v>
      </c>
      <c r="M2117" s="43">
        <f t="shared" si="2655"/>
        <v>2</v>
      </c>
      <c r="N2117" s="42"/>
      <c r="O2117" s="53"/>
      <c r="P2117" s="53"/>
      <c r="Q2117" s="53"/>
      <c r="R2117" s="72"/>
      <c r="S2117" s="24">
        <f t="shared" si="2656"/>
        <v>0</v>
      </c>
      <c r="T2117" s="42"/>
      <c r="U2117" s="53"/>
      <c r="V2117" s="53"/>
      <c r="W2117" s="53"/>
      <c r="X2117" s="72"/>
      <c r="Y2117" s="24">
        <f t="shared" si="2657"/>
        <v>0</v>
      </c>
      <c r="Z2117" s="24">
        <f t="shared" si="2635"/>
        <v>2</v>
      </c>
      <c r="AA2117" s="93">
        <v>45978</v>
      </c>
      <c r="AB2117" s="224" t="s">
        <v>126</v>
      </c>
      <c r="AC2117" s="12">
        <v>3</v>
      </c>
      <c r="AD2117" s="13">
        <v>3</v>
      </c>
      <c r="AE2117" s="13"/>
      <c r="AF2117" s="13"/>
      <c r="AG2117" s="13"/>
      <c r="AH2117" s="22">
        <f t="shared" si="2658"/>
        <v>6</v>
      </c>
      <c r="AI2117" s="12"/>
      <c r="AJ2117" s="13"/>
      <c r="AK2117" s="13"/>
      <c r="AL2117" s="13"/>
      <c r="AM2117" s="13"/>
      <c r="AN2117" s="22">
        <f t="shared" si="2659"/>
        <v>0</v>
      </c>
      <c r="AO2117" s="13"/>
      <c r="AP2117" s="54"/>
      <c r="AQ2117" s="54"/>
      <c r="AR2117" s="54"/>
      <c r="AS2117" s="68">
        <v>3</v>
      </c>
      <c r="AT2117" s="225">
        <f t="shared" si="2660"/>
        <v>3</v>
      </c>
      <c r="AU2117" s="13"/>
      <c r="AV2117" s="54"/>
      <c r="AW2117" s="54"/>
      <c r="AX2117" s="54"/>
      <c r="AY2117" s="68"/>
      <c r="AZ2117" s="225">
        <f t="shared" si="2661"/>
        <v>0</v>
      </c>
      <c r="BA2117" s="225">
        <f t="shared" si="2662"/>
        <v>9</v>
      </c>
      <c r="BB2117" s="93">
        <v>45980</v>
      </c>
    </row>
    <row r="2118" spans="1:55" ht="14.25" x14ac:dyDescent="0.15">
      <c r="A2118" s="23" t="s">
        <v>438</v>
      </c>
      <c r="B2118" s="41"/>
      <c r="C2118" s="42"/>
      <c r="D2118" s="42"/>
      <c r="E2118" s="42"/>
      <c r="F2118" s="42"/>
      <c r="G2118" s="43">
        <f t="shared" si="2654"/>
        <v>0</v>
      </c>
      <c r="H2118" s="41"/>
      <c r="I2118" s="42"/>
      <c r="J2118" s="42"/>
      <c r="K2118" s="42"/>
      <c r="L2118" s="42">
        <v>1</v>
      </c>
      <c r="M2118" s="43">
        <f t="shared" si="2655"/>
        <v>1</v>
      </c>
      <c r="N2118" s="42"/>
      <c r="O2118" s="53">
        <v>1</v>
      </c>
      <c r="P2118" s="53"/>
      <c r="Q2118" s="53"/>
      <c r="R2118" s="72">
        <v>1</v>
      </c>
      <c r="S2118" s="24">
        <f t="shared" si="2656"/>
        <v>2</v>
      </c>
      <c r="T2118" s="42"/>
      <c r="U2118" s="53"/>
      <c r="V2118" s="53"/>
      <c r="W2118" s="53"/>
      <c r="X2118" s="72"/>
      <c r="Y2118" s="24">
        <f t="shared" si="2657"/>
        <v>0</v>
      </c>
      <c r="Z2118" s="24">
        <f t="shared" si="2635"/>
        <v>3</v>
      </c>
      <c r="AA2118" s="83">
        <v>45981</v>
      </c>
      <c r="AB2118" s="23" t="s">
        <v>126</v>
      </c>
      <c r="AC2118" s="41"/>
      <c r="AD2118" s="42"/>
      <c r="AE2118" s="42"/>
      <c r="AF2118" s="42"/>
      <c r="AG2118" s="42"/>
      <c r="AH2118" s="43">
        <f t="shared" si="2658"/>
        <v>0</v>
      </c>
      <c r="AI2118" s="41"/>
      <c r="AJ2118" s="42"/>
      <c r="AK2118" s="42"/>
      <c r="AL2118" s="42"/>
      <c r="AM2118" s="42">
        <v>2</v>
      </c>
      <c r="AN2118" s="43">
        <f t="shared" si="2659"/>
        <v>2</v>
      </c>
      <c r="AO2118" s="42"/>
      <c r="AP2118" s="53">
        <v>3</v>
      </c>
      <c r="AQ2118" s="53"/>
      <c r="AR2118" s="53">
        <v>3</v>
      </c>
      <c r="AS2118" s="72"/>
      <c r="AT2118" s="24">
        <f t="shared" si="2660"/>
        <v>6</v>
      </c>
      <c r="AU2118" s="42"/>
      <c r="AV2118" s="53"/>
      <c r="AW2118" s="53"/>
      <c r="AX2118" s="53"/>
      <c r="AY2118" s="72"/>
      <c r="AZ2118" s="24">
        <f t="shared" si="2661"/>
        <v>0</v>
      </c>
      <c r="BA2118" s="24">
        <f t="shared" si="2662"/>
        <v>8</v>
      </c>
      <c r="BB2118" s="83">
        <v>45989</v>
      </c>
    </row>
    <row r="2119" spans="1:55" ht="14.25" x14ac:dyDescent="0.15">
      <c r="A2119" s="23" t="s">
        <v>699</v>
      </c>
      <c r="B2119" s="41"/>
      <c r="C2119" s="42"/>
      <c r="D2119" s="42"/>
      <c r="E2119" s="42"/>
      <c r="F2119" s="42"/>
      <c r="G2119" s="43">
        <f t="shared" si="2654"/>
        <v>0</v>
      </c>
      <c r="H2119" s="41"/>
      <c r="I2119" s="42"/>
      <c r="J2119" s="42"/>
      <c r="K2119" s="42"/>
      <c r="L2119" s="42"/>
      <c r="M2119" s="43">
        <f t="shared" si="2655"/>
        <v>0</v>
      </c>
      <c r="N2119" s="42"/>
      <c r="O2119" s="53"/>
      <c r="P2119" s="53"/>
      <c r="Q2119" s="53"/>
      <c r="R2119" s="72">
        <v>1</v>
      </c>
      <c r="S2119" s="24">
        <f t="shared" si="2656"/>
        <v>1</v>
      </c>
      <c r="T2119" s="42"/>
      <c r="U2119" s="53"/>
      <c r="V2119" s="53"/>
      <c r="W2119" s="53"/>
      <c r="X2119" s="72"/>
      <c r="Y2119" s="24">
        <f t="shared" si="2657"/>
        <v>0</v>
      </c>
      <c r="Z2119" s="24">
        <f t="shared" si="2635"/>
        <v>1</v>
      </c>
      <c r="AA2119" s="93">
        <v>45979</v>
      </c>
      <c r="AB2119" s="224" t="s">
        <v>126</v>
      </c>
      <c r="AC2119" s="12"/>
      <c r="AD2119" s="13"/>
      <c r="AE2119" s="13"/>
      <c r="AF2119" s="13"/>
      <c r="AG2119" s="13"/>
      <c r="AH2119" s="22">
        <f t="shared" si="2658"/>
        <v>0</v>
      </c>
      <c r="AI2119" s="12"/>
      <c r="AJ2119" s="13">
        <v>3</v>
      </c>
      <c r="AK2119" s="13">
        <v>3</v>
      </c>
      <c r="AL2119" s="13"/>
      <c r="AM2119" s="13"/>
      <c r="AN2119" s="22">
        <f t="shared" si="2659"/>
        <v>6</v>
      </c>
      <c r="AO2119" s="13"/>
      <c r="AP2119" s="54"/>
      <c r="AQ2119" s="54"/>
      <c r="AR2119" s="54"/>
      <c r="AS2119" s="68"/>
      <c r="AT2119" s="225">
        <f t="shared" si="2660"/>
        <v>0</v>
      </c>
      <c r="AU2119" s="13"/>
      <c r="AV2119" s="54"/>
      <c r="AW2119" s="54"/>
      <c r="AX2119" s="54"/>
      <c r="AY2119" s="68"/>
      <c r="AZ2119" s="225">
        <f t="shared" si="2661"/>
        <v>0</v>
      </c>
      <c r="BA2119" s="225">
        <f t="shared" si="2662"/>
        <v>6</v>
      </c>
      <c r="BB2119" s="93">
        <v>46014</v>
      </c>
    </row>
    <row r="2120" spans="1:55" ht="14.25" x14ac:dyDescent="0.15">
      <c r="A2120" s="23" t="s">
        <v>438</v>
      </c>
      <c r="B2120" s="41"/>
      <c r="C2120" s="42"/>
      <c r="D2120" s="42"/>
      <c r="E2120" s="42"/>
      <c r="F2120" s="42"/>
      <c r="G2120" s="43">
        <f t="shared" si="2654"/>
        <v>0</v>
      </c>
      <c r="H2120" s="41"/>
      <c r="I2120" s="42"/>
      <c r="J2120" s="42">
        <v>1</v>
      </c>
      <c r="K2120" s="42"/>
      <c r="L2120" s="42"/>
      <c r="M2120" s="43">
        <f t="shared" si="2655"/>
        <v>1</v>
      </c>
      <c r="N2120" s="42"/>
      <c r="O2120" s="53"/>
      <c r="P2120" s="53"/>
      <c r="Q2120" s="53"/>
      <c r="R2120" s="72"/>
      <c r="S2120" s="24">
        <f t="shared" si="2656"/>
        <v>0</v>
      </c>
      <c r="T2120" s="42"/>
      <c r="U2120" s="53"/>
      <c r="V2120" s="53"/>
      <c r="W2120" s="53"/>
      <c r="X2120" s="72"/>
      <c r="Y2120" s="24">
        <f t="shared" si="2657"/>
        <v>0</v>
      </c>
      <c r="Z2120" s="24">
        <f t="shared" si="2635"/>
        <v>1</v>
      </c>
      <c r="AA2120" s="83">
        <v>45982</v>
      </c>
      <c r="AB2120" s="23" t="s">
        <v>126</v>
      </c>
      <c r="AC2120" s="41"/>
      <c r="AD2120" s="42"/>
      <c r="AE2120" s="42">
        <v>2</v>
      </c>
      <c r="AF2120" s="42"/>
      <c r="AG2120" s="42"/>
      <c r="AH2120" s="43">
        <f t="shared" si="2658"/>
        <v>2</v>
      </c>
      <c r="AI2120" s="41"/>
      <c r="AJ2120" s="42"/>
      <c r="AK2120" s="42"/>
      <c r="AL2120" s="42"/>
      <c r="AM2120" s="42"/>
      <c r="AN2120" s="43">
        <f t="shared" si="2659"/>
        <v>0</v>
      </c>
      <c r="AO2120" s="42"/>
      <c r="AP2120" s="53"/>
      <c r="AQ2120" s="53"/>
      <c r="AR2120" s="53"/>
      <c r="AS2120" s="72"/>
      <c r="AT2120" s="24">
        <f t="shared" si="2660"/>
        <v>0</v>
      </c>
      <c r="AU2120" s="42"/>
      <c r="AV2120" s="53"/>
      <c r="AW2120" s="53"/>
      <c r="AX2120" s="53"/>
      <c r="AY2120" s="72"/>
      <c r="AZ2120" s="24">
        <f t="shared" si="2661"/>
        <v>0</v>
      </c>
      <c r="BA2120" s="24">
        <f t="shared" si="2662"/>
        <v>2</v>
      </c>
      <c r="BB2120" s="83">
        <v>46045</v>
      </c>
      <c r="BC2120" s="111"/>
    </row>
    <row r="2121" spans="1:55" ht="14.25" x14ac:dyDescent="0.15">
      <c r="A2121" s="23" t="s">
        <v>438</v>
      </c>
      <c r="B2121" s="41"/>
      <c r="C2121" s="42"/>
      <c r="D2121" s="42"/>
      <c r="E2121" s="42"/>
      <c r="F2121" s="42"/>
      <c r="G2121" s="43">
        <f t="shared" si="2654"/>
        <v>0</v>
      </c>
      <c r="H2121" s="41"/>
      <c r="I2121" s="42"/>
      <c r="J2121" s="42"/>
      <c r="K2121" s="42"/>
      <c r="L2121" s="42">
        <v>1</v>
      </c>
      <c r="M2121" s="43">
        <f t="shared" si="2655"/>
        <v>1</v>
      </c>
      <c r="N2121" s="42"/>
      <c r="O2121" s="53"/>
      <c r="P2121" s="53"/>
      <c r="Q2121" s="53">
        <v>2</v>
      </c>
      <c r="R2121" s="72"/>
      <c r="S2121" s="24">
        <f t="shared" si="2656"/>
        <v>2</v>
      </c>
      <c r="T2121" s="42"/>
      <c r="U2121" s="53">
        <v>1</v>
      </c>
      <c r="V2121" s="53"/>
      <c r="W2121" s="53"/>
      <c r="X2121" s="72"/>
      <c r="Y2121" s="24">
        <f t="shared" si="2657"/>
        <v>1</v>
      </c>
      <c r="Z2121" s="24">
        <f t="shared" si="2635"/>
        <v>4</v>
      </c>
      <c r="AA2121" s="83">
        <v>45986</v>
      </c>
      <c r="AB2121" s="23" t="s">
        <v>126</v>
      </c>
      <c r="AC2121" s="41"/>
      <c r="AD2121" s="42"/>
      <c r="AE2121" s="42"/>
      <c r="AF2121" s="42"/>
      <c r="AG2121" s="42"/>
      <c r="AH2121" s="43">
        <f t="shared" si="2658"/>
        <v>0</v>
      </c>
      <c r="AI2121" s="41"/>
      <c r="AJ2121" s="42"/>
      <c r="AK2121" s="42"/>
      <c r="AL2121" s="42"/>
      <c r="AM2121" s="42">
        <v>4</v>
      </c>
      <c r="AN2121" s="43">
        <f t="shared" si="2659"/>
        <v>4</v>
      </c>
      <c r="AO2121" s="42"/>
      <c r="AP2121" s="53"/>
      <c r="AQ2121" s="53"/>
      <c r="AR2121" s="53"/>
      <c r="AS2121" s="72"/>
      <c r="AT2121" s="24">
        <f t="shared" si="2660"/>
        <v>0</v>
      </c>
      <c r="AU2121" s="42"/>
      <c r="AV2121" s="53"/>
      <c r="AW2121" s="53"/>
      <c r="AX2121" s="53"/>
      <c r="AY2121" s="72"/>
      <c r="AZ2121" s="24">
        <f t="shared" si="2661"/>
        <v>0</v>
      </c>
      <c r="BA2121" s="24">
        <f t="shared" si="2662"/>
        <v>4</v>
      </c>
      <c r="BB2121" s="83">
        <v>46052</v>
      </c>
    </row>
    <row r="2122" spans="1:55" ht="14.25" x14ac:dyDescent="0.15">
      <c r="A2122" s="23" t="s">
        <v>438</v>
      </c>
      <c r="B2122" s="41"/>
      <c r="C2122" s="42"/>
      <c r="D2122" s="42"/>
      <c r="E2122" s="42"/>
      <c r="F2122" s="42"/>
      <c r="G2122" s="43">
        <f t="shared" si="2654"/>
        <v>0</v>
      </c>
      <c r="H2122" s="41"/>
      <c r="I2122" s="42"/>
      <c r="J2122" s="42"/>
      <c r="K2122" s="42"/>
      <c r="L2122" s="42"/>
      <c r="M2122" s="43">
        <f t="shared" si="2655"/>
        <v>0</v>
      </c>
      <c r="N2122" s="42"/>
      <c r="O2122" s="53">
        <v>2</v>
      </c>
      <c r="P2122" s="53"/>
      <c r="Q2122" s="53"/>
      <c r="R2122" s="72"/>
      <c r="S2122" s="24">
        <f t="shared" si="2656"/>
        <v>2</v>
      </c>
      <c r="T2122" s="42"/>
      <c r="U2122" s="53"/>
      <c r="V2122" s="53"/>
      <c r="W2122" s="53"/>
      <c r="X2122" s="72"/>
      <c r="Y2122" s="24">
        <f t="shared" si="2657"/>
        <v>0</v>
      </c>
      <c r="Z2122" s="24">
        <f t="shared" si="2635"/>
        <v>2</v>
      </c>
      <c r="AA2122" s="83">
        <v>45989</v>
      </c>
      <c r="AB2122" s="23" t="s">
        <v>126</v>
      </c>
      <c r="AC2122" s="41"/>
      <c r="AD2122" s="42"/>
      <c r="AE2122" s="42">
        <v>3</v>
      </c>
      <c r="AF2122" s="42"/>
      <c r="AG2122" s="42"/>
      <c r="AH2122" s="43">
        <f t="shared" ref="AH2122:AH2141" si="2663">SUM(AC2122:AG2122)</f>
        <v>3</v>
      </c>
      <c r="AI2122" s="41"/>
      <c r="AJ2122" s="42"/>
      <c r="AK2122" s="42"/>
      <c r="AL2122" s="42"/>
      <c r="AM2122" s="42"/>
      <c r="AN2122" s="43">
        <f t="shared" ref="AN2122:AN2141" si="2664">SUM(AI2122:AM2122)</f>
        <v>0</v>
      </c>
      <c r="AO2122" s="42"/>
      <c r="AP2122" s="53"/>
      <c r="AQ2122" s="53"/>
      <c r="AR2122" s="53"/>
      <c r="AS2122" s="72"/>
      <c r="AT2122" s="24">
        <f t="shared" ref="AT2122:AT2141" si="2665">SUM(AO2122:AS2122)</f>
        <v>0</v>
      </c>
      <c r="AU2122" s="42"/>
      <c r="AV2122" s="53"/>
      <c r="AW2122" s="53"/>
      <c r="AX2122" s="53"/>
      <c r="AY2122" s="72"/>
      <c r="AZ2122" s="24">
        <f t="shared" ref="AZ2122:AZ2141" si="2666">SUM(AU2122:AY2122)</f>
        <v>0</v>
      </c>
      <c r="BA2122" s="24">
        <f t="shared" ref="BA2122:BA2143" si="2667">AH2122+AN2122+AT2122+AZ2122</f>
        <v>3</v>
      </c>
      <c r="BB2122" s="83">
        <v>46059</v>
      </c>
    </row>
    <row r="2123" spans="1:55" ht="14.25" x14ac:dyDescent="0.15">
      <c r="A2123" s="23" t="s">
        <v>699</v>
      </c>
      <c r="B2123" s="41"/>
      <c r="C2123" s="42"/>
      <c r="D2123" s="42"/>
      <c r="E2123" s="42"/>
      <c r="F2123" s="42"/>
      <c r="G2123" s="43">
        <f t="shared" si="2654"/>
        <v>0</v>
      </c>
      <c r="H2123" s="41"/>
      <c r="I2123" s="42"/>
      <c r="J2123" s="42"/>
      <c r="K2123" s="42"/>
      <c r="L2123" s="42"/>
      <c r="M2123" s="43">
        <f t="shared" si="2655"/>
        <v>0</v>
      </c>
      <c r="N2123" s="42"/>
      <c r="O2123" s="53"/>
      <c r="P2123" s="53"/>
      <c r="Q2123" s="53">
        <v>1</v>
      </c>
      <c r="R2123" s="72"/>
      <c r="S2123" s="24">
        <f t="shared" si="2656"/>
        <v>1</v>
      </c>
      <c r="T2123" s="42"/>
      <c r="U2123" s="53"/>
      <c r="V2123" s="53"/>
      <c r="W2123" s="53"/>
      <c r="X2123" s="72"/>
      <c r="Y2123" s="24">
        <f t="shared" si="2657"/>
        <v>0</v>
      </c>
      <c r="Z2123" s="24">
        <f t="shared" si="2635"/>
        <v>1</v>
      </c>
      <c r="AA2123" s="83">
        <v>45987</v>
      </c>
      <c r="AB2123" s="23" t="s">
        <v>126</v>
      </c>
      <c r="AC2123" s="41">
        <v>3</v>
      </c>
      <c r="AD2123" s="42"/>
      <c r="AE2123" s="42"/>
      <c r="AF2123" s="42"/>
      <c r="AG2123" s="42"/>
      <c r="AH2123" s="43">
        <f t="shared" si="2663"/>
        <v>3</v>
      </c>
      <c r="AI2123" s="41"/>
      <c r="AJ2123" s="42"/>
      <c r="AK2123" s="42"/>
      <c r="AL2123" s="42"/>
      <c r="AM2123" s="42"/>
      <c r="AN2123" s="43">
        <f t="shared" si="2664"/>
        <v>0</v>
      </c>
      <c r="AO2123" s="42"/>
      <c r="AP2123" s="53"/>
      <c r="AQ2123" s="53"/>
      <c r="AR2123" s="53"/>
      <c r="AS2123" s="72"/>
      <c r="AT2123" s="24">
        <f t="shared" si="2665"/>
        <v>0</v>
      </c>
      <c r="AU2123" s="42"/>
      <c r="AV2123" s="53"/>
      <c r="AW2123" s="53"/>
      <c r="AX2123" s="53"/>
      <c r="AY2123" s="72"/>
      <c r="AZ2123" s="24">
        <f t="shared" si="2666"/>
        <v>0</v>
      </c>
      <c r="BA2123" s="24">
        <f t="shared" si="2667"/>
        <v>3</v>
      </c>
      <c r="BB2123" s="83">
        <v>46063</v>
      </c>
    </row>
    <row r="2124" spans="1:55" ht="14.25" x14ac:dyDescent="0.15">
      <c r="A2124" s="23" t="s">
        <v>438</v>
      </c>
      <c r="B2124" s="41"/>
      <c r="C2124" s="42"/>
      <c r="D2124" s="42"/>
      <c r="E2124" s="42"/>
      <c r="F2124" s="42"/>
      <c r="G2124" s="43">
        <f t="shared" si="2654"/>
        <v>0</v>
      </c>
      <c r="H2124" s="41"/>
      <c r="I2124" s="42"/>
      <c r="J2124" s="42"/>
      <c r="K2124" s="42"/>
      <c r="L2124" s="42">
        <v>1</v>
      </c>
      <c r="M2124" s="43">
        <f t="shared" si="2655"/>
        <v>1</v>
      </c>
      <c r="N2124" s="42"/>
      <c r="O2124" s="53"/>
      <c r="P2124" s="53"/>
      <c r="Q2124" s="53"/>
      <c r="R2124" s="72"/>
      <c r="S2124" s="24">
        <f t="shared" si="2656"/>
        <v>0</v>
      </c>
      <c r="T2124" s="42"/>
      <c r="U2124" s="53"/>
      <c r="V2124" s="53"/>
      <c r="W2124" s="53"/>
      <c r="X2124" s="72"/>
      <c r="Y2124" s="24">
        <f t="shared" si="2657"/>
        <v>0</v>
      </c>
      <c r="Z2124" s="24">
        <f t="shared" si="2635"/>
        <v>1</v>
      </c>
      <c r="AA2124" s="83">
        <v>45989</v>
      </c>
      <c r="AB2124" s="224" t="s">
        <v>126</v>
      </c>
      <c r="AC2124" s="12"/>
      <c r="AD2124" s="13"/>
      <c r="AE2124" s="13"/>
      <c r="AF2124" s="13"/>
      <c r="AG2124" s="13"/>
      <c r="AH2124" s="22">
        <f t="shared" si="2663"/>
        <v>0</v>
      </c>
      <c r="AI2124" s="12">
        <v>2</v>
      </c>
      <c r="AJ2124" s="13"/>
      <c r="AK2124" s="13"/>
      <c r="AL2124" s="13"/>
      <c r="AM2124" s="13"/>
      <c r="AN2124" s="22">
        <f t="shared" si="2664"/>
        <v>2</v>
      </c>
      <c r="AO2124" s="13"/>
      <c r="AP2124" s="54"/>
      <c r="AQ2124" s="54"/>
      <c r="AR2124" s="54">
        <v>2</v>
      </c>
      <c r="AS2124" s="68"/>
      <c r="AT2124" s="225">
        <f t="shared" si="2665"/>
        <v>2</v>
      </c>
      <c r="AU2124" s="13"/>
      <c r="AV2124" s="54"/>
      <c r="AW2124" s="54"/>
      <c r="AX2124" s="54"/>
      <c r="AY2124" s="68">
        <v>2</v>
      </c>
      <c r="AZ2124" s="225">
        <f t="shared" si="2666"/>
        <v>2</v>
      </c>
      <c r="BA2124" s="225">
        <f t="shared" si="2667"/>
        <v>6</v>
      </c>
      <c r="BB2124" s="93">
        <v>46072</v>
      </c>
    </row>
    <row r="2125" spans="1:55" ht="14.25" x14ac:dyDescent="0.15">
      <c r="A2125" s="23" t="s">
        <v>699</v>
      </c>
      <c r="B2125" s="41"/>
      <c r="C2125" s="42"/>
      <c r="D2125" s="42"/>
      <c r="E2125" s="42"/>
      <c r="F2125" s="42"/>
      <c r="G2125" s="43">
        <f t="shared" si="2654"/>
        <v>0</v>
      </c>
      <c r="H2125" s="41"/>
      <c r="I2125" s="42"/>
      <c r="J2125" s="42"/>
      <c r="K2125" s="42"/>
      <c r="L2125" s="42">
        <v>1</v>
      </c>
      <c r="M2125" s="43">
        <f t="shared" si="2655"/>
        <v>1</v>
      </c>
      <c r="N2125" s="42"/>
      <c r="O2125" s="53"/>
      <c r="P2125" s="53"/>
      <c r="Q2125" s="53"/>
      <c r="R2125" s="72"/>
      <c r="S2125" s="24">
        <f t="shared" si="2656"/>
        <v>0</v>
      </c>
      <c r="T2125" s="42"/>
      <c r="U2125" s="53"/>
      <c r="V2125" s="53"/>
      <c r="W2125" s="53"/>
      <c r="X2125" s="72"/>
      <c r="Y2125" s="24">
        <f t="shared" si="2657"/>
        <v>0</v>
      </c>
      <c r="Z2125" s="24">
        <f t="shared" si="2635"/>
        <v>1</v>
      </c>
      <c r="AA2125" s="83">
        <v>45988</v>
      </c>
      <c r="AB2125" s="23" t="s">
        <v>126</v>
      </c>
      <c r="AC2125" s="41"/>
      <c r="AD2125" s="42"/>
      <c r="AE2125" s="42"/>
      <c r="AF2125" s="42"/>
      <c r="AG2125" s="42"/>
      <c r="AH2125" s="43">
        <f t="shared" si="2663"/>
        <v>0</v>
      </c>
      <c r="AI2125" s="41"/>
      <c r="AJ2125" s="42"/>
      <c r="AK2125" s="42">
        <v>2</v>
      </c>
      <c r="AL2125" s="42"/>
      <c r="AM2125" s="42">
        <v>2</v>
      </c>
      <c r="AN2125" s="43">
        <f t="shared" si="2664"/>
        <v>4</v>
      </c>
      <c r="AO2125" s="42"/>
      <c r="AP2125" s="53"/>
      <c r="AQ2125" s="53"/>
      <c r="AR2125" s="53"/>
      <c r="AS2125" s="72"/>
      <c r="AT2125" s="24">
        <f t="shared" si="2665"/>
        <v>0</v>
      </c>
      <c r="AU2125" s="42"/>
      <c r="AV2125" s="53"/>
      <c r="AW2125" s="53"/>
      <c r="AX2125" s="53"/>
      <c r="AY2125" s="72"/>
      <c r="AZ2125" s="24">
        <f t="shared" si="2666"/>
        <v>0</v>
      </c>
      <c r="BA2125" s="24">
        <f t="shared" si="2667"/>
        <v>4</v>
      </c>
      <c r="BB2125" s="83">
        <v>46073</v>
      </c>
    </row>
    <row r="2126" spans="1:55" ht="14.25" x14ac:dyDescent="0.15">
      <c r="A2126" s="23" t="s">
        <v>717</v>
      </c>
      <c r="B2126" s="41"/>
      <c r="C2126" s="42"/>
      <c r="D2126" s="42"/>
      <c r="E2126" s="42"/>
      <c r="F2126" s="42"/>
      <c r="G2126" s="43">
        <f t="shared" si="2654"/>
        <v>0</v>
      </c>
      <c r="H2126" s="41"/>
      <c r="I2126" s="42"/>
      <c r="J2126" s="42"/>
      <c r="K2126" s="42">
        <v>-1</v>
      </c>
      <c r="L2126" s="42"/>
      <c r="M2126" s="43">
        <f t="shared" si="2655"/>
        <v>-1</v>
      </c>
      <c r="N2126" s="42"/>
      <c r="O2126" s="53"/>
      <c r="P2126" s="53"/>
      <c r="Q2126" s="53"/>
      <c r="R2126" s="72"/>
      <c r="S2126" s="24">
        <f t="shared" si="2656"/>
        <v>0</v>
      </c>
      <c r="T2126" s="42"/>
      <c r="U2126" s="53"/>
      <c r="V2126" s="53"/>
      <c r="W2126" s="53"/>
      <c r="X2126" s="72"/>
      <c r="Y2126" s="24">
        <f t="shared" si="2657"/>
        <v>0</v>
      </c>
      <c r="Z2126" s="24">
        <f t="shared" si="2635"/>
        <v>-1</v>
      </c>
      <c r="AA2126" s="93">
        <v>45986</v>
      </c>
      <c r="AB2126" s="23" t="s">
        <v>126</v>
      </c>
      <c r="AC2126" s="41"/>
      <c r="AD2126" s="42"/>
      <c r="AE2126" s="42"/>
      <c r="AF2126" s="42"/>
      <c r="AG2126" s="42"/>
      <c r="AH2126" s="43">
        <f t="shared" si="2663"/>
        <v>0</v>
      </c>
      <c r="AI2126" s="41"/>
      <c r="AJ2126" s="42">
        <v>3</v>
      </c>
      <c r="AK2126" s="42"/>
      <c r="AL2126" s="42"/>
      <c r="AM2126" s="42"/>
      <c r="AN2126" s="43">
        <f t="shared" si="2664"/>
        <v>3</v>
      </c>
      <c r="AO2126" s="42"/>
      <c r="AP2126" s="53"/>
      <c r="AQ2126" s="53"/>
      <c r="AR2126" s="53"/>
      <c r="AS2126" s="72"/>
      <c r="AT2126" s="24">
        <f t="shared" si="2665"/>
        <v>0</v>
      </c>
      <c r="AU2126" s="42"/>
      <c r="AV2126" s="53"/>
      <c r="AW2126" s="53"/>
      <c r="AX2126" s="53"/>
      <c r="AY2126" s="72"/>
      <c r="AZ2126" s="24">
        <f t="shared" si="2666"/>
        <v>0</v>
      </c>
      <c r="BA2126" s="24">
        <f t="shared" si="2667"/>
        <v>3</v>
      </c>
      <c r="BB2126" s="83">
        <v>46078</v>
      </c>
    </row>
    <row r="2127" spans="1:55" ht="14.25" x14ac:dyDescent="0.15">
      <c r="A2127" s="23" t="s">
        <v>438</v>
      </c>
      <c r="B2127" s="41"/>
      <c r="C2127" s="42"/>
      <c r="D2127" s="42"/>
      <c r="E2127" s="42"/>
      <c r="F2127" s="42"/>
      <c r="G2127" s="43">
        <f t="shared" si="2654"/>
        <v>0</v>
      </c>
      <c r="H2127" s="41"/>
      <c r="I2127" s="42"/>
      <c r="J2127" s="42"/>
      <c r="K2127" s="42"/>
      <c r="L2127" s="42">
        <v>1</v>
      </c>
      <c r="M2127" s="43">
        <f t="shared" si="2655"/>
        <v>1</v>
      </c>
      <c r="N2127" s="42"/>
      <c r="O2127" s="53"/>
      <c r="P2127" s="53"/>
      <c r="Q2127" s="53"/>
      <c r="R2127" s="72"/>
      <c r="S2127" s="24">
        <f t="shared" si="2656"/>
        <v>0</v>
      </c>
      <c r="T2127" s="42"/>
      <c r="U2127" s="53"/>
      <c r="V2127" s="53"/>
      <c r="W2127" s="53"/>
      <c r="X2127" s="72"/>
      <c r="Y2127" s="24">
        <f t="shared" si="2657"/>
        <v>0</v>
      </c>
      <c r="Z2127" s="24">
        <f t="shared" si="2635"/>
        <v>1</v>
      </c>
      <c r="AA2127" s="83">
        <v>45992</v>
      </c>
      <c r="AB2127" s="23" t="s">
        <v>126</v>
      </c>
      <c r="AC2127" s="41"/>
      <c r="AD2127" s="42">
        <v>2</v>
      </c>
      <c r="AE2127" s="42"/>
      <c r="AF2127" s="42"/>
      <c r="AG2127" s="42"/>
      <c r="AH2127" s="43">
        <f t="shared" si="2663"/>
        <v>2</v>
      </c>
      <c r="AI2127" s="41"/>
      <c r="AJ2127" s="42"/>
      <c r="AK2127" s="42"/>
      <c r="AL2127" s="42"/>
      <c r="AM2127" s="42">
        <v>3</v>
      </c>
      <c r="AN2127" s="43">
        <f t="shared" si="2664"/>
        <v>3</v>
      </c>
      <c r="AO2127" s="42"/>
      <c r="AP2127" s="53"/>
      <c r="AQ2127" s="53">
        <v>2</v>
      </c>
      <c r="AR2127" s="53"/>
      <c r="AS2127" s="72"/>
      <c r="AT2127" s="24">
        <f t="shared" si="2665"/>
        <v>2</v>
      </c>
      <c r="AU2127" s="42"/>
      <c r="AV2127" s="53"/>
      <c r="AW2127" s="53"/>
      <c r="AX2127" s="53"/>
      <c r="AY2127" s="72"/>
      <c r="AZ2127" s="24">
        <f t="shared" si="2666"/>
        <v>0</v>
      </c>
      <c r="BA2127" s="24">
        <f t="shared" si="2667"/>
        <v>7</v>
      </c>
      <c r="BB2127" s="83">
        <v>46084</v>
      </c>
    </row>
    <row r="2128" spans="1:55" ht="14.25" x14ac:dyDescent="0.15">
      <c r="A2128" s="23" t="s">
        <v>438</v>
      </c>
      <c r="B2128" s="41"/>
      <c r="C2128" s="42"/>
      <c r="D2128" s="42"/>
      <c r="E2128" s="42"/>
      <c r="F2128" s="42"/>
      <c r="G2128" s="43">
        <f t="shared" si="2654"/>
        <v>0</v>
      </c>
      <c r="H2128" s="41"/>
      <c r="I2128" s="42"/>
      <c r="J2128" s="42"/>
      <c r="K2128" s="42"/>
      <c r="L2128" s="42"/>
      <c r="M2128" s="43">
        <f t="shared" si="2655"/>
        <v>0</v>
      </c>
      <c r="N2128" s="42"/>
      <c r="O2128" s="53"/>
      <c r="P2128" s="53"/>
      <c r="Q2128" s="53"/>
      <c r="R2128" s="72">
        <v>1</v>
      </c>
      <c r="S2128" s="24">
        <f t="shared" si="2656"/>
        <v>1</v>
      </c>
      <c r="T2128" s="42"/>
      <c r="U2128" s="53"/>
      <c r="V2128" s="53"/>
      <c r="W2128" s="53"/>
      <c r="X2128" s="72"/>
      <c r="Y2128" s="24">
        <f t="shared" si="2657"/>
        <v>0</v>
      </c>
      <c r="Z2128" s="24">
        <f t="shared" si="2635"/>
        <v>1</v>
      </c>
      <c r="AA2128" s="83">
        <v>45994</v>
      </c>
      <c r="AB2128" s="224" t="s">
        <v>126</v>
      </c>
      <c r="AC2128" s="12"/>
      <c r="AD2128" s="13"/>
      <c r="AE2128" s="13"/>
      <c r="AF2128" s="13"/>
      <c r="AG2128" s="13"/>
      <c r="AH2128" s="22">
        <f t="shared" si="2663"/>
        <v>0</v>
      </c>
      <c r="AI2128" s="12"/>
      <c r="AJ2128" s="13"/>
      <c r="AK2128" s="13"/>
      <c r="AL2128" s="13"/>
      <c r="AM2128" s="13"/>
      <c r="AN2128" s="22">
        <f t="shared" si="2664"/>
        <v>0</v>
      </c>
      <c r="AO2128" s="13"/>
      <c r="AP2128" s="54"/>
      <c r="AQ2128" s="54"/>
      <c r="AR2128" s="54">
        <v>3</v>
      </c>
      <c r="AS2128" s="68"/>
      <c r="AT2128" s="225">
        <f t="shared" si="2665"/>
        <v>3</v>
      </c>
      <c r="AU2128" s="13"/>
      <c r="AV2128" s="54"/>
      <c r="AW2128" s="54"/>
      <c r="AX2128" s="54"/>
      <c r="AY2128" s="68"/>
      <c r="AZ2128" s="225">
        <f t="shared" si="2666"/>
        <v>0</v>
      </c>
      <c r="BA2128" s="225">
        <f t="shared" si="2667"/>
        <v>3</v>
      </c>
      <c r="BB2128" s="93">
        <v>46085</v>
      </c>
    </row>
    <row r="2129" spans="1:54" ht="14.25" x14ac:dyDescent="0.15">
      <c r="A2129" s="23" t="s">
        <v>699</v>
      </c>
      <c r="B2129" s="41"/>
      <c r="C2129" s="42"/>
      <c r="D2129" s="42"/>
      <c r="E2129" s="42"/>
      <c r="F2129" s="42"/>
      <c r="G2129" s="43">
        <f t="shared" si="2654"/>
        <v>0</v>
      </c>
      <c r="H2129" s="41"/>
      <c r="I2129" s="42"/>
      <c r="J2129" s="42"/>
      <c r="K2129" s="42"/>
      <c r="L2129" s="42"/>
      <c r="M2129" s="43">
        <f t="shared" si="2655"/>
        <v>0</v>
      </c>
      <c r="N2129" s="42"/>
      <c r="O2129" s="53"/>
      <c r="P2129" s="53"/>
      <c r="Q2129" s="53">
        <v>1</v>
      </c>
      <c r="R2129" s="72"/>
      <c r="S2129" s="24">
        <f t="shared" si="2656"/>
        <v>1</v>
      </c>
      <c r="T2129" s="42"/>
      <c r="U2129" s="53"/>
      <c r="V2129" s="53"/>
      <c r="W2129" s="53"/>
      <c r="X2129" s="72"/>
      <c r="Y2129" s="24">
        <f t="shared" si="2657"/>
        <v>0</v>
      </c>
      <c r="Z2129" s="24">
        <f t="shared" si="2635"/>
        <v>1</v>
      </c>
      <c r="AA2129" s="93">
        <v>45992</v>
      </c>
      <c r="AB2129" s="23"/>
      <c r="AC2129" s="41"/>
      <c r="AD2129" s="42"/>
      <c r="AE2129" s="42"/>
      <c r="AF2129" s="42"/>
      <c r="AG2129" s="42"/>
      <c r="AH2129" s="43">
        <f t="shared" si="2663"/>
        <v>0</v>
      </c>
      <c r="AI2129" s="41"/>
      <c r="AJ2129" s="42"/>
      <c r="AK2129" s="42"/>
      <c r="AL2129" s="42"/>
      <c r="AM2129" s="42"/>
      <c r="AN2129" s="43">
        <f t="shared" si="2664"/>
        <v>0</v>
      </c>
      <c r="AO2129" s="42"/>
      <c r="AP2129" s="53"/>
      <c r="AQ2129" s="53"/>
      <c r="AR2129" s="53"/>
      <c r="AS2129" s="72"/>
      <c r="AT2129" s="24">
        <f t="shared" si="2665"/>
        <v>0</v>
      </c>
      <c r="AU2129" s="42"/>
      <c r="AV2129" s="53"/>
      <c r="AW2129" s="53"/>
      <c r="AX2129" s="53"/>
      <c r="AY2129" s="72"/>
      <c r="AZ2129" s="24">
        <f t="shared" si="2666"/>
        <v>0</v>
      </c>
      <c r="BA2129" s="24">
        <f t="shared" si="2667"/>
        <v>0</v>
      </c>
    </row>
    <row r="2130" spans="1:54" ht="14.25" x14ac:dyDescent="0.15">
      <c r="A2130" s="23" t="s">
        <v>77</v>
      </c>
      <c r="B2130" s="41"/>
      <c r="C2130" s="42"/>
      <c r="D2130" s="42"/>
      <c r="E2130" s="42"/>
      <c r="F2130" s="42"/>
      <c r="G2130" s="43">
        <f t="shared" si="2654"/>
        <v>0</v>
      </c>
      <c r="H2130" s="41"/>
      <c r="I2130" s="42"/>
      <c r="J2130" s="42"/>
      <c r="K2130" s="42">
        <v>-1</v>
      </c>
      <c r="L2130" s="42"/>
      <c r="M2130" s="43">
        <f t="shared" si="2655"/>
        <v>-1</v>
      </c>
      <c r="N2130" s="42"/>
      <c r="O2130" s="53"/>
      <c r="P2130" s="53"/>
      <c r="Q2130" s="53"/>
      <c r="R2130" s="72"/>
      <c r="S2130" s="24">
        <f t="shared" si="2656"/>
        <v>0</v>
      </c>
      <c r="T2130" s="42"/>
      <c r="U2130" s="53"/>
      <c r="V2130" s="53"/>
      <c r="W2130" s="53"/>
      <c r="X2130" s="72"/>
      <c r="Y2130" s="24">
        <f t="shared" si="2657"/>
        <v>0</v>
      </c>
      <c r="Z2130" s="24">
        <f t="shared" si="2635"/>
        <v>-1</v>
      </c>
      <c r="AA2130" s="83">
        <v>45999</v>
      </c>
      <c r="AB2130" s="23"/>
      <c r="AC2130" s="41"/>
      <c r="AD2130" s="42"/>
      <c r="AE2130" s="42"/>
      <c r="AF2130" s="42"/>
      <c r="AG2130" s="42"/>
      <c r="AH2130" s="43">
        <f t="shared" si="2663"/>
        <v>0</v>
      </c>
      <c r="AI2130" s="41"/>
      <c r="AJ2130" s="42"/>
      <c r="AK2130" s="42"/>
      <c r="AL2130" s="42"/>
      <c r="AM2130" s="42"/>
      <c r="AN2130" s="43">
        <f t="shared" si="2664"/>
        <v>0</v>
      </c>
      <c r="AO2130" s="42"/>
      <c r="AP2130" s="53"/>
      <c r="AQ2130" s="53"/>
      <c r="AR2130" s="53"/>
      <c r="AS2130" s="72"/>
      <c r="AT2130" s="24">
        <f t="shared" si="2665"/>
        <v>0</v>
      </c>
      <c r="AU2130" s="42"/>
      <c r="AV2130" s="53"/>
      <c r="AW2130" s="53"/>
      <c r="AX2130" s="53"/>
      <c r="AY2130" s="72"/>
      <c r="AZ2130" s="24">
        <f t="shared" si="2666"/>
        <v>0</v>
      </c>
      <c r="BA2130" s="24">
        <f t="shared" si="2667"/>
        <v>0</v>
      </c>
    </row>
    <row r="2131" spans="1:54" ht="14.25" x14ac:dyDescent="0.15">
      <c r="A2131" s="23" t="s">
        <v>699</v>
      </c>
      <c r="B2131" s="41"/>
      <c r="C2131" s="42"/>
      <c r="D2131" s="42"/>
      <c r="E2131" s="42"/>
      <c r="F2131" s="42">
        <v>1</v>
      </c>
      <c r="G2131" s="43">
        <f t="shared" ref="G2131:G2140" si="2668">SUM(B2131:F2131)</f>
        <v>1</v>
      </c>
      <c r="H2131" s="41"/>
      <c r="I2131" s="42"/>
      <c r="J2131" s="42"/>
      <c r="K2131" s="42"/>
      <c r="L2131" s="42"/>
      <c r="M2131" s="43">
        <f t="shared" ref="M2131:M2140" si="2669">SUM(H2131:L2131)</f>
        <v>0</v>
      </c>
      <c r="N2131" s="42"/>
      <c r="O2131" s="53"/>
      <c r="P2131" s="53"/>
      <c r="Q2131" s="53"/>
      <c r="R2131" s="72"/>
      <c r="S2131" s="24">
        <f t="shared" ref="S2131:S2140" si="2670">SUM(N2131:R2131)</f>
        <v>0</v>
      </c>
      <c r="T2131" s="42"/>
      <c r="U2131" s="53"/>
      <c r="V2131" s="53"/>
      <c r="W2131" s="53"/>
      <c r="X2131" s="72"/>
      <c r="Y2131" s="24">
        <f t="shared" ref="Y2131:Y2140" si="2671">SUM(T2131:X2131)</f>
        <v>0</v>
      </c>
      <c r="Z2131" s="24">
        <f t="shared" si="2635"/>
        <v>1</v>
      </c>
      <c r="AA2131" s="93">
        <v>46000</v>
      </c>
      <c r="AB2131" s="23"/>
      <c r="AC2131" s="41"/>
      <c r="AD2131" s="42"/>
      <c r="AE2131" s="42"/>
      <c r="AF2131" s="42"/>
      <c r="AG2131" s="42"/>
      <c r="AH2131" s="43">
        <f t="shared" si="2663"/>
        <v>0</v>
      </c>
      <c r="AI2131" s="41"/>
      <c r="AJ2131" s="42"/>
      <c r="AK2131" s="42"/>
      <c r="AL2131" s="42"/>
      <c r="AM2131" s="42"/>
      <c r="AN2131" s="43">
        <f t="shared" si="2664"/>
        <v>0</v>
      </c>
      <c r="AO2131" s="42"/>
      <c r="AP2131" s="53"/>
      <c r="AQ2131" s="53"/>
      <c r="AR2131" s="53"/>
      <c r="AS2131" s="72"/>
      <c r="AT2131" s="24">
        <f t="shared" si="2665"/>
        <v>0</v>
      </c>
      <c r="AU2131" s="42"/>
      <c r="AV2131" s="53"/>
      <c r="AW2131" s="53"/>
      <c r="AX2131" s="53"/>
      <c r="AY2131" s="72"/>
      <c r="AZ2131" s="24">
        <f t="shared" si="2666"/>
        <v>0</v>
      </c>
      <c r="BA2131" s="24">
        <f t="shared" si="2667"/>
        <v>0</v>
      </c>
    </row>
    <row r="2132" spans="1:54" ht="14.25" x14ac:dyDescent="0.15">
      <c r="A2132" s="23" t="s">
        <v>699</v>
      </c>
      <c r="B2132" s="41"/>
      <c r="C2132" s="42"/>
      <c r="D2132" s="42"/>
      <c r="E2132" s="42"/>
      <c r="F2132" s="42">
        <v>1</v>
      </c>
      <c r="G2132" s="43">
        <f t="shared" si="2668"/>
        <v>1</v>
      </c>
      <c r="H2132" s="41"/>
      <c r="I2132" s="42"/>
      <c r="J2132" s="42"/>
      <c r="K2132" s="42"/>
      <c r="L2132" s="42"/>
      <c r="M2132" s="43">
        <f t="shared" si="2669"/>
        <v>0</v>
      </c>
      <c r="N2132" s="42"/>
      <c r="O2132" s="53"/>
      <c r="P2132" s="53"/>
      <c r="Q2132" s="53"/>
      <c r="R2132" s="72"/>
      <c r="S2132" s="24">
        <f t="shared" si="2670"/>
        <v>0</v>
      </c>
      <c r="T2132" s="42"/>
      <c r="U2132" s="53"/>
      <c r="V2132" s="53"/>
      <c r="W2132" s="53"/>
      <c r="X2132" s="72"/>
      <c r="Y2132" s="24">
        <f t="shared" si="2671"/>
        <v>0</v>
      </c>
      <c r="Z2132" s="24">
        <f t="shared" si="2635"/>
        <v>1</v>
      </c>
      <c r="AA2132" s="83">
        <v>46001</v>
      </c>
      <c r="AB2132" s="23"/>
      <c r="AC2132" s="41"/>
      <c r="AD2132" s="42"/>
      <c r="AE2132" s="42"/>
      <c r="AF2132" s="42"/>
      <c r="AG2132" s="42"/>
      <c r="AH2132" s="43">
        <f t="shared" si="2663"/>
        <v>0</v>
      </c>
      <c r="AI2132" s="41"/>
      <c r="AJ2132" s="42"/>
      <c r="AK2132" s="42"/>
      <c r="AL2132" s="42"/>
      <c r="AM2132" s="42"/>
      <c r="AN2132" s="43">
        <f t="shared" si="2664"/>
        <v>0</v>
      </c>
      <c r="AO2132" s="42"/>
      <c r="AP2132" s="53"/>
      <c r="AQ2132" s="53"/>
      <c r="AR2132" s="53"/>
      <c r="AS2132" s="72"/>
      <c r="AT2132" s="24">
        <f t="shared" si="2665"/>
        <v>0</v>
      </c>
      <c r="AU2132" s="42"/>
      <c r="AV2132" s="53"/>
      <c r="AW2132" s="53"/>
      <c r="AX2132" s="53"/>
      <c r="AY2132" s="72"/>
      <c r="AZ2132" s="24">
        <f t="shared" si="2666"/>
        <v>0</v>
      </c>
      <c r="BA2132" s="24">
        <f t="shared" si="2667"/>
        <v>0</v>
      </c>
    </row>
    <row r="2133" spans="1:54" ht="14.25" x14ac:dyDescent="0.15">
      <c r="A2133" s="23" t="s">
        <v>699</v>
      </c>
      <c r="B2133" s="41"/>
      <c r="C2133" s="42"/>
      <c r="D2133" s="42"/>
      <c r="E2133" s="42"/>
      <c r="F2133" s="42"/>
      <c r="G2133" s="43">
        <f t="shared" si="2668"/>
        <v>0</v>
      </c>
      <c r="H2133" s="41"/>
      <c r="I2133" s="42">
        <v>1</v>
      </c>
      <c r="J2133" s="42"/>
      <c r="K2133" s="42"/>
      <c r="L2133" s="42"/>
      <c r="M2133" s="43">
        <f t="shared" si="2669"/>
        <v>1</v>
      </c>
      <c r="N2133" s="42"/>
      <c r="O2133" s="53"/>
      <c r="P2133" s="53"/>
      <c r="Q2133" s="53"/>
      <c r="R2133" s="72"/>
      <c r="S2133" s="24">
        <f t="shared" si="2670"/>
        <v>0</v>
      </c>
      <c r="T2133" s="42"/>
      <c r="U2133" s="53"/>
      <c r="V2133" s="53">
        <v>1</v>
      </c>
      <c r="W2133" s="53"/>
      <c r="X2133" s="72"/>
      <c r="Y2133" s="24">
        <f t="shared" si="2671"/>
        <v>1</v>
      </c>
      <c r="Z2133" s="24">
        <f t="shared" si="2635"/>
        <v>2</v>
      </c>
      <c r="AA2133" s="83">
        <v>46002</v>
      </c>
      <c r="AB2133" s="23"/>
      <c r="AC2133" s="41"/>
      <c r="AD2133" s="42"/>
      <c r="AE2133" s="42"/>
      <c r="AF2133" s="42"/>
      <c r="AG2133" s="42"/>
      <c r="AH2133" s="43">
        <f t="shared" si="2663"/>
        <v>0</v>
      </c>
      <c r="AI2133" s="41"/>
      <c r="AJ2133" s="42"/>
      <c r="AK2133" s="42"/>
      <c r="AL2133" s="42"/>
      <c r="AM2133" s="42"/>
      <c r="AN2133" s="43">
        <f t="shared" si="2664"/>
        <v>0</v>
      </c>
      <c r="AO2133" s="42"/>
      <c r="AP2133" s="53"/>
      <c r="AQ2133" s="53"/>
      <c r="AR2133" s="53"/>
      <c r="AS2133" s="72"/>
      <c r="AT2133" s="24">
        <f t="shared" si="2665"/>
        <v>0</v>
      </c>
      <c r="AU2133" s="42"/>
      <c r="AV2133" s="53"/>
      <c r="AW2133" s="53"/>
      <c r="AX2133" s="53"/>
      <c r="AY2133" s="72"/>
      <c r="AZ2133" s="24">
        <f t="shared" si="2666"/>
        <v>0</v>
      </c>
      <c r="BA2133" s="24">
        <f t="shared" si="2667"/>
        <v>0</v>
      </c>
    </row>
    <row r="2134" spans="1:54" ht="14.25" x14ac:dyDescent="0.15">
      <c r="A2134" s="23" t="s">
        <v>77</v>
      </c>
      <c r="B2134" s="41"/>
      <c r="C2134" s="42"/>
      <c r="D2134" s="42"/>
      <c r="E2134" s="42"/>
      <c r="F2134" s="42"/>
      <c r="G2134" s="43">
        <f t="shared" si="2668"/>
        <v>0</v>
      </c>
      <c r="H2134" s="41"/>
      <c r="I2134" s="42"/>
      <c r="J2134" s="42"/>
      <c r="K2134" s="42"/>
      <c r="L2134" s="42">
        <v>-1</v>
      </c>
      <c r="M2134" s="43">
        <f t="shared" si="2669"/>
        <v>-1</v>
      </c>
      <c r="N2134" s="42"/>
      <c r="O2134" s="53"/>
      <c r="P2134" s="53"/>
      <c r="Q2134" s="53"/>
      <c r="R2134" s="72"/>
      <c r="S2134" s="24">
        <f t="shared" si="2670"/>
        <v>0</v>
      </c>
      <c r="T2134" s="42"/>
      <c r="U2134" s="53"/>
      <c r="V2134" s="53"/>
      <c r="W2134" s="53"/>
      <c r="X2134" s="72"/>
      <c r="Y2134" s="24">
        <f t="shared" si="2671"/>
        <v>0</v>
      </c>
      <c r="Z2134" s="24">
        <f t="shared" si="2635"/>
        <v>-1</v>
      </c>
      <c r="AA2134" s="83">
        <v>46000</v>
      </c>
      <c r="AB2134" s="23"/>
      <c r="AC2134" s="41"/>
      <c r="AD2134" s="42"/>
      <c r="AE2134" s="42"/>
      <c r="AF2134" s="42"/>
      <c r="AG2134" s="42"/>
      <c r="AH2134" s="43">
        <f t="shared" si="2663"/>
        <v>0</v>
      </c>
      <c r="AI2134" s="41"/>
      <c r="AJ2134" s="42"/>
      <c r="AK2134" s="42"/>
      <c r="AL2134" s="42"/>
      <c r="AM2134" s="42"/>
      <c r="AN2134" s="43">
        <f t="shared" si="2664"/>
        <v>0</v>
      </c>
      <c r="AO2134" s="42"/>
      <c r="AP2134" s="53"/>
      <c r="AQ2134" s="53"/>
      <c r="AR2134" s="53"/>
      <c r="AS2134" s="72"/>
      <c r="AT2134" s="24">
        <f t="shared" si="2665"/>
        <v>0</v>
      </c>
      <c r="AU2134" s="42"/>
      <c r="AV2134" s="53"/>
      <c r="AW2134" s="53"/>
      <c r="AX2134" s="53"/>
      <c r="AY2134" s="72"/>
      <c r="AZ2134" s="24">
        <f t="shared" si="2666"/>
        <v>0</v>
      </c>
      <c r="BA2134" s="24">
        <f t="shared" si="2667"/>
        <v>0</v>
      </c>
    </row>
    <row r="2135" spans="1:54" ht="14.25" x14ac:dyDescent="0.15">
      <c r="A2135" s="23" t="s">
        <v>699</v>
      </c>
      <c r="B2135" s="41"/>
      <c r="C2135" s="42"/>
      <c r="D2135" s="42"/>
      <c r="E2135" s="42"/>
      <c r="F2135" s="42"/>
      <c r="G2135" s="43">
        <f t="shared" si="2668"/>
        <v>0</v>
      </c>
      <c r="H2135" s="41">
        <v>1</v>
      </c>
      <c r="I2135" s="42"/>
      <c r="J2135" s="42">
        <v>1</v>
      </c>
      <c r="K2135" s="42"/>
      <c r="L2135" s="42"/>
      <c r="M2135" s="43">
        <f t="shared" si="2669"/>
        <v>2</v>
      </c>
      <c r="N2135" s="42"/>
      <c r="O2135" s="53"/>
      <c r="P2135" s="53"/>
      <c r="Q2135" s="53"/>
      <c r="R2135" s="72"/>
      <c r="S2135" s="24">
        <f t="shared" si="2670"/>
        <v>0</v>
      </c>
      <c r="T2135" s="42"/>
      <c r="U2135" s="53"/>
      <c r="V2135" s="53"/>
      <c r="W2135" s="53"/>
      <c r="X2135" s="72"/>
      <c r="Y2135" s="24">
        <f t="shared" si="2671"/>
        <v>0</v>
      </c>
      <c r="Z2135" s="24">
        <f t="shared" si="2635"/>
        <v>2</v>
      </c>
      <c r="AA2135" s="93">
        <v>46006</v>
      </c>
      <c r="AB2135" s="23"/>
      <c r="AC2135" s="41"/>
      <c r="AD2135" s="42"/>
      <c r="AE2135" s="42"/>
      <c r="AF2135" s="42"/>
      <c r="AG2135" s="42"/>
      <c r="AH2135" s="43">
        <f t="shared" si="2663"/>
        <v>0</v>
      </c>
      <c r="AI2135" s="41"/>
      <c r="AJ2135" s="42"/>
      <c r="AK2135" s="42"/>
      <c r="AL2135" s="42"/>
      <c r="AM2135" s="42"/>
      <c r="AN2135" s="43">
        <f t="shared" si="2664"/>
        <v>0</v>
      </c>
      <c r="AO2135" s="42"/>
      <c r="AP2135" s="53"/>
      <c r="AQ2135" s="53"/>
      <c r="AR2135" s="53"/>
      <c r="AS2135" s="72"/>
      <c r="AT2135" s="24">
        <f t="shared" si="2665"/>
        <v>0</v>
      </c>
      <c r="AU2135" s="42"/>
      <c r="AV2135" s="53"/>
      <c r="AW2135" s="53"/>
      <c r="AX2135" s="53"/>
      <c r="AY2135" s="72"/>
      <c r="AZ2135" s="24">
        <f t="shared" si="2666"/>
        <v>0</v>
      </c>
      <c r="BA2135" s="24">
        <f t="shared" si="2667"/>
        <v>0</v>
      </c>
    </row>
    <row r="2136" spans="1:54" ht="14.25" x14ac:dyDescent="0.15">
      <c r="A2136" s="23" t="s">
        <v>699</v>
      </c>
      <c r="B2136" s="12"/>
      <c r="C2136" s="13"/>
      <c r="D2136" s="13"/>
      <c r="E2136" s="13"/>
      <c r="F2136" s="13">
        <v>1</v>
      </c>
      <c r="G2136" s="22">
        <f t="shared" si="2668"/>
        <v>1</v>
      </c>
      <c r="H2136" s="12"/>
      <c r="I2136" s="13"/>
      <c r="J2136" s="13"/>
      <c r="K2136" s="13"/>
      <c r="L2136" s="13"/>
      <c r="M2136" s="22">
        <f t="shared" si="2669"/>
        <v>0</v>
      </c>
      <c r="N2136" s="13"/>
      <c r="O2136" s="54"/>
      <c r="P2136" s="54"/>
      <c r="Q2136" s="54"/>
      <c r="R2136" s="68"/>
      <c r="S2136" s="225">
        <f t="shared" si="2670"/>
        <v>0</v>
      </c>
      <c r="T2136" s="13"/>
      <c r="U2136" s="54"/>
      <c r="V2136" s="54"/>
      <c r="W2136" s="54"/>
      <c r="X2136" s="68"/>
      <c r="Y2136" s="225">
        <f t="shared" si="2671"/>
        <v>0</v>
      </c>
      <c r="Z2136" s="225">
        <f t="shared" si="2635"/>
        <v>1</v>
      </c>
      <c r="AA2136" s="93">
        <v>46011</v>
      </c>
      <c r="AB2136" s="23"/>
      <c r="AC2136" s="41"/>
      <c r="AD2136" s="42"/>
      <c r="AE2136" s="42"/>
      <c r="AF2136" s="42"/>
      <c r="AG2136" s="42"/>
      <c r="AH2136" s="43">
        <f t="shared" si="2663"/>
        <v>0</v>
      </c>
      <c r="AI2136" s="41"/>
      <c r="AJ2136" s="42"/>
      <c r="AK2136" s="42"/>
      <c r="AL2136" s="42"/>
      <c r="AM2136" s="42"/>
      <c r="AN2136" s="43">
        <f t="shared" si="2664"/>
        <v>0</v>
      </c>
      <c r="AO2136" s="42"/>
      <c r="AP2136" s="53"/>
      <c r="AQ2136" s="53"/>
      <c r="AR2136" s="53"/>
      <c r="AS2136" s="72"/>
      <c r="AT2136" s="24">
        <f t="shared" si="2665"/>
        <v>0</v>
      </c>
      <c r="AU2136" s="42"/>
      <c r="AV2136" s="53"/>
      <c r="AW2136" s="53"/>
      <c r="AX2136" s="53"/>
      <c r="AY2136" s="72"/>
      <c r="AZ2136" s="24">
        <f t="shared" si="2666"/>
        <v>0</v>
      </c>
      <c r="BA2136" s="24">
        <f t="shared" si="2667"/>
        <v>0</v>
      </c>
    </row>
    <row r="2137" spans="1:54" ht="14.25" x14ac:dyDescent="0.15">
      <c r="A2137" s="23" t="s">
        <v>699</v>
      </c>
      <c r="B2137" s="41"/>
      <c r="C2137" s="42"/>
      <c r="D2137" s="42"/>
      <c r="E2137" s="42"/>
      <c r="F2137" s="42"/>
      <c r="G2137" s="43">
        <f t="shared" si="2668"/>
        <v>0</v>
      </c>
      <c r="H2137" s="41"/>
      <c r="I2137" s="42">
        <v>1</v>
      </c>
      <c r="J2137" s="42"/>
      <c r="K2137" s="42"/>
      <c r="L2137" s="42"/>
      <c r="M2137" s="43">
        <f t="shared" si="2669"/>
        <v>1</v>
      </c>
      <c r="N2137" s="42"/>
      <c r="O2137" s="53"/>
      <c r="P2137" s="53"/>
      <c r="Q2137" s="53"/>
      <c r="R2137" s="72"/>
      <c r="S2137" s="24">
        <f t="shared" si="2670"/>
        <v>0</v>
      </c>
      <c r="T2137" s="42"/>
      <c r="U2137" s="53"/>
      <c r="V2137" s="53"/>
      <c r="W2137" s="53"/>
      <c r="X2137" s="72"/>
      <c r="Y2137" s="24">
        <f t="shared" si="2671"/>
        <v>0</v>
      </c>
      <c r="Z2137" s="24">
        <f t="shared" si="2635"/>
        <v>1</v>
      </c>
      <c r="AA2137" s="93">
        <v>46013</v>
      </c>
      <c r="AB2137" s="23"/>
      <c r="AC2137" s="41"/>
      <c r="AD2137" s="42"/>
      <c r="AE2137" s="42"/>
      <c r="AF2137" s="42"/>
      <c r="AG2137" s="42"/>
      <c r="AH2137" s="43">
        <f t="shared" si="2663"/>
        <v>0</v>
      </c>
      <c r="AI2137" s="41"/>
      <c r="AJ2137" s="42"/>
      <c r="AK2137" s="42"/>
      <c r="AL2137" s="42"/>
      <c r="AM2137" s="42"/>
      <c r="AN2137" s="43">
        <f t="shared" si="2664"/>
        <v>0</v>
      </c>
      <c r="AO2137" s="42"/>
      <c r="AP2137" s="53"/>
      <c r="AQ2137" s="53"/>
      <c r="AR2137" s="53"/>
      <c r="AS2137" s="72"/>
      <c r="AT2137" s="24">
        <f t="shared" si="2665"/>
        <v>0</v>
      </c>
      <c r="AU2137" s="42"/>
      <c r="AV2137" s="53"/>
      <c r="AW2137" s="53"/>
      <c r="AX2137" s="53"/>
      <c r="AY2137" s="72"/>
      <c r="AZ2137" s="24">
        <f t="shared" si="2666"/>
        <v>0</v>
      </c>
      <c r="BA2137" s="24">
        <f t="shared" si="2667"/>
        <v>0</v>
      </c>
    </row>
    <row r="2138" spans="1:54" ht="14.25" x14ac:dyDescent="0.15">
      <c r="A2138" s="224" t="s">
        <v>181</v>
      </c>
      <c r="B2138" s="12"/>
      <c r="C2138" s="13"/>
      <c r="D2138" s="13"/>
      <c r="E2138" s="13"/>
      <c r="F2138" s="13"/>
      <c r="G2138" s="22">
        <f t="shared" si="2668"/>
        <v>0</v>
      </c>
      <c r="H2138" s="12"/>
      <c r="I2138" s="13">
        <v>-3</v>
      </c>
      <c r="J2138" s="13">
        <v>-3</v>
      </c>
      <c r="K2138" s="13"/>
      <c r="L2138" s="13"/>
      <c r="M2138" s="22">
        <f t="shared" si="2669"/>
        <v>-6</v>
      </c>
      <c r="N2138" s="13"/>
      <c r="O2138" s="54"/>
      <c r="P2138" s="54"/>
      <c r="Q2138" s="54"/>
      <c r="R2138" s="68"/>
      <c r="S2138" s="225">
        <f t="shared" si="2670"/>
        <v>0</v>
      </c>
      <c r="T2138" s="13"/>
      <c r="U2138" s="54"/>
      <c r="V2138" s="54"/>
      <c r="W2138" s="54"/>
      <c r="X2138" s="68"/>
      <c r="Y2138" s="225">
        <f t="shared" si="2671"/>
        <v>0</v>
      </c>
      <c r="Z2138" s="225">
        <f t="shared" si="2635"/>
        <v>-6</v>
      </c>
      <c r="AA2138" s="93">
        <v>46014</v>
      </c>
      <c r="AB2138" s="23"/>
      <c r="AC2138" s="41"/>
      <c r="AD2138" s="42"/>
      <c r="AE2138" s="42"/>
      <c r="AF2138" s="42"/>
      <c r="AG2138" s="42"/>
      <c r="AH2138" s="43">
        <f t="shared" si="2663"/>
        <v>0</v>
      </c>
      <c r="AI2138" s="41"/>
      <c r="AJ2138" s="42"/>
      <c r="AK2138" s="42"/>
      <c r="AL2138" s="42"/>
      <c r="AM2138" s="42"/>
      <c r="AN2138" s="43">
        <f t="shared" si="2664"/>
        <v>0</v>
      </c>
      <c r="AO2138" s="42"/>
      <c r="AP2138" s="53"/>
      <c r="AQ2138" s="53"/>
      <c r="AR2138" s="53"/>
      <c r="AS2138" s="72"/>
      <c r="AT2138" s="24">
        <f t="shared" si="2665"/>
        <v>0</v>
      </c>
      <c r="AU2138" s="42"/>
      <c r="AV2138" s="53"/>
      <c r="AW2138" s="53"/>
      <c r="AX2138" s="53"/>
      <c r="AY2138" s="72"/>
      <c r="AZ2138" s="24">
        <f t="shared" si="2666"/>
        <v>0</v>
      </c>
      <c r="BA2138" s="24">
        <f t="shared" si="2667"/>
        <v>0</v>
      </c>
    </row>
    <row r="2139" spans="1:54" ht="14.25" x14ac:dyDescent="0.15">
      <c r="A2139" s="23" t="s">
        <v>438</v>
      </c>
      <c r="B2139" s="41"/>
      <c r="C2139" s="42"/>
      <c r="D2139" s="42"/>
      <c r="E2139" s="42"/>
      <c r="F2139" s="42"/>
      <c r="G2139" s="43">
        <f t="shared" si="2668"/>
        <v>0</v>
      </c>
      <c r="H2139" s="41"/>
      <c r="I2139" s="42"/>
      <c r="J2139" s="42"/>
      <c r="K2139" s="42"/>
      <c r="L2139" s="42"/>
      <c r="M2139" s="43">
        <f t="shared" si="2669"/>
        <v>0</v>
      </c>
      <c r="N2139" s="42"/>
      <c r="O2139" s="53"/>
      <c r="P2139" s="53"/>
      <c r="Q2139" s="53">
        <v>1</v>
      </c>
      <c r="R2139" s="72"/>
      <c r="S2139" s="24">
        <f t="shared" si="2670"/>
        <v>1</v>
      </c>
      <c r="T2139" s="42"/>
      <c r="U2139" s="53"/>
      <c r="V2139" s="53"/>
      <c r="W2139" s="53"/>
      <c r="X2139" s="72"/>
      <c r="Y2139" s="24">
        <f t="shared" si="2671"/>
        <v>0</v>
      </c>
      <c r="Z2139" s="24">
        <f t="shared" si="2635"/>
        <v>1</v>
      </c>
      <c r="AA2139" s="83">
        <v>46016</v>
      </c>
      <c r="AB2139" s="23"/>
      <c r="AC2139" s="41"/>
      <c r="AD2139" s="219"/>
      <c r="AE2139" s="219"/>
      <c r="AF2139" s="42"/>
      <c r="AG2139" s="42"/>
      <c r="AH2139" s="43">
        <f t="shared" si="2663"/>
        <v>0</v>
      </c>
      <c r="AI2139" s="41"/>
      <c r="AJ2139" s="42"/>
      <c r="AK2139" s="42"/>
      <c r="AL2139" s="42"/>
      <c r="AM2139" s="42"/>
      <c r="AN2139" s="43">
        <f t="shared" si="2664"/>
        <v>0</v>
      </c>
      <c r="AO2139" s="42"/>
      <c r="AP2139" s="53"/>
      <c r="AQ2139" s="53"/>
      <c r="AR2139" s="53"/>
      <c r="AS2139" s="72"/>
      <c r="AT2139" s="24">
        <f t="shared" si="2665"/>
        <v>0</v>
      </c>
      <c r="AU2139" s="42"/>
      <c r="AV2139" s="53"/>
      <c r="AW2139" s="53"/>
      <c r="AX2139" s="53"/>
      <c r="AY2139" s="72"/>
      <c r="AZ2139" s="24">
        <f t="shared" si="2666"/>
        <v>0</v>
      </c>
      <c r="BA2139" s="24">
        <f t="shared" si="2667"/>
        <v>0</v>
      </c>
    </row>
    <row r="2140" spans="1:54" ht="14.25" x14ac:dyDescent="0.15">
      <c r="A2140" s="23" t="s">
        <v>699</v>
      </c>
      <c r="B2140" s="41"/>
      <c r="C2140" s="42"/>
      <c r="D2140" s="42">
        <v>1</v>
      </c>
      <c r="E2140" s="42"/>
      <c r="F2140" s="42"/>
      <c r="G2140" s="43">
        <f t="shared" si="2668"/>
        <v>1</v>
      </c>
      <c r="H2140" s="41"/>
      <c r="I2140" s="42"/>
      <c r="J2140" s="42"/>
      <c r="K2140" s="42"/>
      <c r="L2140" s="42"/>
      <c r="M2140" s="43">
        <f t="shared" si="2669"/>
        <v>0</v>
      </c>
      <c r="N2140" s="42"/>
      <c r="O2140" s="53"/>
      <c r="P2140" s="53"/>
      <c r="Q2140" s="53"/>
      <c r="R2140" s="72"/>
      <c r="S2140" s="24">
        <f t="shared" si="2670"/>
        <v>0</v>
      </c>
      <c r="T2140" s="42"/>
      <c r="U2140" s="53"/>
      <c r="V2140" s="53"/>
      <c r="W2140" s="53"/>
      <c r="X2140" s="72"/>
      <c r="Y2140" s="24">
        <f t="shared" si="2671"/>
        <v>0</v>
      </c>
      <c r="Z2140" s="24">
        <f t="shared" si="2635"/>
        <v>1</v>
      </c>
      <c r="AA2140" s="93">
        <v>46015</v>
      </c>
      <c r="AB2140" s="23"/>
      <c r="AC2140" s="41"/>
      <c r="AD2140" s="42"/>
      <c r="AE2140" s="42"/>
      <c r="AF2140" s="42"/>
      <c r="AG2140" s="42"/>
      <c r="AH2140" s="43">
        <f t="shared" si="2663"/>
        <v>0</v>
      </c>
      <c r="AI2140" s="41"/>
      <c r="AJ2140" s="42"/>
      <c r="AK2140" s="42"/>
      <c r="AL2140" s="42"/>
      <c r="AM2140" s="42"/>
      <c r="AN2140" s="43">
        <f t="shared" si="2664"/>
        <v>0</v>
      </c>
      <c r="AO2140" s="42"/>
      <c r="AP2140" s="53"/>
      <c r="AQ2140" s="53"/>
      <c r="AR2140" s="53"/>
      <c r="AS2140" s="72"/>
      <c r="AT2140" s="24">
        <f t="shared" si="2665"/>
        <v>0</v>
      </c>
      <c r="AU2140" s="42"/>
      <c r="AV2140" s="53"/>
      <c r="AW2140" s="53"/>
      <c r="AX2140" s="53"/>
      <c r="AY2140" s="72"/>
      <c r="AZ2140" s="24">
        <f t="shared" si="2666"/>
        <v>0</v>
      </c>
      <c r="BA2140" s="24">
        <f t="shared" si="2667"/>
        <v>0</v>
      </c>
      <c r="BB2140" s="128"/>
    </row>
    <row r="2141" spans="1:54" ht="15" thickBot="1" x14ac:dyDescent="0.2">
      <c r="A2141" s="23" t="s">
        <v>699</v>
      </c>
      <c r="B2141" s="41"/>
      <c r="C2141" s="42"/>
      <c r="D2141" s="42"/>
      <c r="E2141" s="42"/>
      <c r="F2141" s="42"/>
      <c r="G2141" s="43">
        <f t="shared" ref="G2141" si="2672">SUM(B2141:F2141)</f>
        <v>0</v>
      </c>
      <c r="H2141" s="41"/>
      <c r="I2141" s="42"/>
      <c r="J2141" s="42"/>
      <c r="K2141" s="42"/>
      <c r="L2141" s="42"/>
      <c r="M2141" s="43">
        <f t="shared" ref="M2141" si="2673">SUM(H2141:L2141)</f>
        <v>0</v>
      </c>
      <c r="N2141" s="42"/>
      <c r="O2141" s="53"/>
      <c r="P2141" s="53">
        <v>1</v>
      </c>
      <c r="Q2141" s="53"/>
      <c r="R2141" s="72"/>
      <c r="S2141" s="24">
        <f t="shared" ref="S2141" si="2674">SUM(N2141:R2141)</f>
        <v>1</v>
      </c>
      <c r="T2141" s="42"/>
      <c r="U2141" s="53"/>
      <c r="V2141" s="53"/>
      <c r="W2141" s="53"/>
      <c r="X2141" s="72"/>
      <c r="Y2141" s="24">
        <f t="shared" ref="Y2141" si="2675">SUM(T2141:X2141)</f>
        <v>0</v>
      </c>
      <c r="Z2141" s="24">
        <f t="shared" ref="Z2141" si="2676">G2141+M2141+S2141+Y2141</f>
        <v>1</v>
      </c>
      <c r="AA2141" s="93">
        <v>46027</v>
      </c>
      <c r="AB2141" s="23" t="s">
        <v>708</v>
      </c>
      <c r="AC2141" s="217"/>
      <c r="AD2141" s="218"/>
      <c r="AE2141" s="218"/>
      <c r="AF2141" s="218"/>
      <c r="AG2141" s="218"/>
      <c r="AH2141" s="233">
        <f t="shared" si="2663"/>
        <v>0</v>
      </c>
      <c r="AI2141" s="41"/>
      <c r="AJ2141" s="42"/>
      <c r="AK2141" s="42"/>
      <c r="AL2141" s="42"/>
      <c r="AM2141" s="42"/>
      <c r="AN2141" s="43">
        <f t="shared" si="2664"/>
        <v>0</v>
      </c>
      <c r="AO2141" s="42"/>
      <c r="AP2141" s="53"/>
      <c r="AQ2141" s="53"/>
      <c r="AR2141" s="53"/>
      <c r="AS2141" s="72"/>
      <c r="AT2141" s="24">
        <f t="shared" si="2665"/>
        <v>0</v>
      </c>
      <c r="AU2141" s="218"/>
      <c r="AV2141" s="234"/>
      <c r="AW2141" s="234"/>
      <c r="AX2141" s="234"/>
      <c r="AY2141" s="235"/>
      <c r="AZ2141" s="236">
        <f t="shared" si="2666"/>
        <v>0</v>
      </c>
      <c r="BA2141" s="24">
        <f t="shared" si="2667"/>
        <v>0</v>
      </c>
      <c r="BB2141" s="128" t="s">
        <v>709</v>
      </c>
    </row>
    <row r="2142" spans="1:54" ht="15" thickBot="1" x14ac:dyDescent="0.2">
      <c r="A2142" s="9" t="s">
        <v>13</v>
      </c>
      <c r="B2142" s="25">
        <f>SUM(B2116:B2141)</f>
        <v>0</v>
      </c>
      <c r="C2142" s="26">
        <f>SUM(C2116:C2141)</f>
        <v>0</v>
      </c>
      <c r="D2142" s="26">
        <f>SUM(D2116:D2141)</f>
        <v>1</v>
      </c>
      <c r="E2142" s="26">
        <f>SUM(E2116:E2141)</f>
        <v>0</v>
      </c>
      <c r="F2142" s="27">
        <f>SUM(F2116:F2141)</f>
        <v>3</v>
      </c>
      <c r="G2142" s="19">
        <f>SUM(B2142:F2142)</f>
        <v>4</v>
      </c>
      <c r="H2142" s="25">
        <f>SUM(H2116:H2141)</f>
        <v>1</v>
      </c>
      <c r="I2142" s="26">
        <f>SUM(I2116:I2141)</f>
        <v>0</v>
      </c>
      <c r="J2142" s="26">
        <f>SUM(J2116:J2141)</f>
        <v>0</v>
      </c>
      <c r="K2142" s="26">
        <f>SUM(K2116:K2141)</f>
        <v>-1</v>
      </c>
      <c r="L2142" s="27">
        <f>SUM(L2116:L2141)</f>
        <v>6</v>
      </c>
      <c r="M2142" s="25">
        <f>SUM(H2142:L2142)</f>
        <v>6</v>
      </c>
      <c r="N2142" s="65">
        <f>SUM(N2116:N2141)</f>
        <v>1</v>
      </c>
      <c r="O2142" s="18">
        <f>SUM(O2116:O2141)</f>
        <v>3</v>
      </c>
      <c r="P2142" s="18">
        <f>SUM(P2116:P2141)</f>
        <v>1</v>
      </c>
      <c r="Q2142" s="18">
        <f>SUM(Q2116:Q2141)</f>
        <v>5</v>
      </c>
      <c r="R2142" s="70">
        <f>SUM(R2116:R2141)</f>
        <v>3</v>
      </c>
      <c r="S2142" s="49">
        <f>SUM(N2142:R2142)</f>
        <v>13</v>
      </c>
      <c r="T2142" s="74">
        <f>SUM(T2116:T2141)</f>
        <v>0</v>
      </c>
      <c r="U2142" s="18">
        <f>SUM(U2116:U2141)</f>
        <v>1</v>
      </c>
      <c r="V2142" s="18">
        <f>SUM(V2116:V2141)</f>
        <v>1</v>
      </c>
      <c r="W2142" s="18">
        <f>SUM(W2116:W2141)</f>
        <v>0</v>
      </c>
      <c r="X2142" s="70">
        <f>SUM(X2116:X2141)</f>
        <v>0</v>
      </c>
      <c r="Y2142" s="49">
        <f>SUM(T2142:X2142)</f>
        <v>2</v>
      </c>
      <c r="Z2142" s="137">
        <f>G2142+M2142+S2142+Y2142</f>
        <v>25</v>
      </c>
      <c r="AB2142" s="9" t="s">
        <v>13</v>
      </c>
      <c r="AC2142" s="25">
        <f>SUM(AC2116:AC2141)</f>
        <v>6</v>
      </c>
      <c r="AD2142" s="26">
        <f t="shared" ref="AD2142:AG2142" si="2677">SUM(AD2116:AD2141)</f>
        <v>5</v>
      </c>
      <c r="AE2142" s="26">
        <f t="shared" si="2677"/>
        <v>5</v>
      </c>
      <c r="AF2142" s="220">
        <f t="shared" si="2677"/>
        <v>0</v>
      </c>
      <c r="AG2142" s="222">
        <f t="shared" si="2677"/>
        <v>0</v>
      </c>
      <c r="AH2142" s="19">
        <f>SUM(AC2142:AG2142)</f>
        <v>16</v>
      </c>
      <c r="AI2142" s="25">
        <f>SUM(AI2116:AI2141)</f>
        <v>2</v>
      </c>
      <c r="AJ2142" s="26">
        <f t="shared" ref="AJ2142:AM2142" si="2678">SUM(AJ2116:AJ2141)</f>
        <v>6</v>
      </c>
      <c r="AK2142" s="26">
        <f t="shared" si="2678"/>
        <v>5</v>
      </c>
      <c r="AL2142" s="226">
        <f t="shared" si="2678"/>
        <v>0</v>
      </c>
      <c r="AM2142" s="27">
        <f t="shared" si="2678"/>
        <v>16</v>
      </c>
      <c r="AN2142" s="19">
        <f>SUM(AI2142:AM2142)</f>
        <v>29</v>
      </c>
      <c r="AO2142" s="25">
        <f>SUM(AO2116:AO2141)</f>
        <v>0</v>
      </c>
      <c r="AP2142" s="26">
        <f t="shared" ref="AP2142:AS2142" si="2679">SUM(AP2116:AP2141)</f>
        <v>3</v>
      </c>
      <c r="AQ2142" s="26">
        <f t="shared" si="2679"/>
        <v>2</v>
      </c>
      <c r="AR2142" s="26">
        <f t="shared" si="2679"/>
        <v>8</v>
      </c>
      <c r="AS2142" s="27">
        <f t="shared" si="2679"/>
        <v>3</v>
      </c>
      <c r="AT2142" s="19">
        <f>SUM(AO2142:AS2142)</f>
        <v>16</v>
      </c>
      <c r="AU2142" s="25">
        <f>SUM(AU2116:AU2141)</f>
        <v>0</v>
      </c>
      <c r="AV2142" s="26">
        <f t="shared" ref="AV2142:AY2142" si="2680">SUM(AV2116:AV2141)</f>
        <v>0</v>
      </c>
      <c r="AW2142" s="220">
        <f t="shared" si="2680"/>
        <v>0</v>
      </c>
      <c r="AX2142" s="220">
        <f t="shared" si="2680"/>
        <v>0</v>
      </c>
      <c r="AY2142" s="27">
        <f t="shared" si="2680"/>
        <v>2</v>
      </c>
      <c r="AZ2142" s="19">
        <f>SUM(AU2142:AY2142)</f>
        <v>2</v>
      </c>
      <c r="BA2142" s="77">
        <f t="shared" si="2667"/>
        <v>63</v>
      </c>
    </row>
    <row r="2143" spans="1:54" ht="15" thickBot="1" x14ac:dyDescent="0.2">
      <c r="A2143" s="32" t="s">
        <v>14</v>
      </c>
      <c r="B2143" s="29">
        <f t="shared" ref="B2143:Y2143" si="2681">B2115-B2142</f>
        <v>5</v>
      </c>
      <c r="C2143" s="30">
        <f t="shared" si="2681"/>
        <v>5</v>
      </c>
      <c r="D2143" s="30">
        <f t="shared" si="2681"/>
        <v>2</v>
      </c>
      <c r="E2143" s="30">
        <f t="shared" si="2681"/>
        <v>0</v>
      </c>
      <c r="F2143" s="31">
        <f t="shared" si="2681"/>
        <v>0</v>
      </c>
      <c r="G2143" s="31">
        <f t="shared" si="2681"/>
        <v>12</v>
      </c>
      <c r="H2143" s="29">
        <f t="shared" si="2681"/>
        <v>3</v>
      </c>
      <c r="I2143" s="30">
        <f t="shared" si="2681"/>
        <v>5</v>
      </c>
      <c r="J2143" s="30">
        <f t="shared" si="2681"/>
        <v>4</v>
      </c>
      <c r="K2143" s="30">
        <f t="shared" si="2681"/>
        <v>8</v>
      </c>
      <c r="L2143" s="31">
        <f t="shared" si="2681"/>
        <v>3</v>
      </c>
      <c r="M2143" s="66">
        <f t="shared" si="2681"/>
        <v>23</v>
      </c>
      <c r="N2143" s="29">
        <f t="shared" si="2681"/>
        <v>6</v>
      </c>
      <c r="O2143" s="30">
        <f t="shared" si="2681"/>
        <v>5</v>
      </c>
      <c r="P2143" s="30">
        <f t="shared" si="2681"/>
        <v>3</v>
      </c>
      <c r="Q2143" s="30">
        <f t="shared" si="2681"/>
        <v>3</v>
      </c>
      <c r="R2143" s="66">
        <f t="shared" si="2681"/>
        <v>4</v>
      </c>
      <c r="S2143" s="33">
        <f t="shared" si="2681"/>
        <v>21</v>
      </c>
      <c r="T2143" s="75">
        <f t="shared" si="2681"/>
        <v>6</v>
      </c>
      <c r="U2143" s="30">
        <f t="shared" si="2681"/>
        <v>5</v>
      </c>
      <c r="V2143" s="30">
        <f t="shared" si="2681"/>
        <v>8</v>
      </c>
      <c r="W2143" s="30">
        <f t="shared" si="2681"/>
        <v>0</v>
      </c>
      <c r="X2143" s="66">
        <f t="shared" si="2681"/>
        <v>4</v>
      </c>
      <c r="Y2143" s="33">
        <f t="shared" si="2681"/>
        <v>23</v>
      </c>
      <c r="Z2143" s="77">
        <f>G2143+M2143+S2143+Y2143</f>
        <v>79</v>
      </c>
      <c r="AB2143" s="32" t="s">
        <v>14</v>
      </c>
      <c r="AC2143" s="29">
        <f>AC2115-AC2142</f>
        <v>64</v>
      </c>
      <c r="AD2143" s="30">
        <f t="shared" ref="AD2143:AG2143" si="2682">AD2115-AD2142</f>
        <v>13</v>
      </c>
      <c r="AE2143" s="30">
        <f t="shared" si="2682"/>
        <v>8</v>
      </c>
      <c r="AF2143" s="221">
        <f t="shared" si="2682"/>
        <v>0</v>
      </c>
      <c r="AG2143" s="223">
        <f t="shared" si="2682"/>
        <v>0</v>
      </c>
      <c r="AH2143" s="31">
        <f>AH2115-AH2142</f>
        <v>85</v>
      </c>
      <c r="AI2143" s="29">
        <f>AI2115-AI2142</f>
        <v>62</v>
      </c>
      <c r="AJ2143" s="30">
        <f t="shared" ref="AJ2143:AM2143" si="2683">AJ2115-AJ2142</f>
        <v>24</v>
      </c>
      <c r="AK2143" s="30">
        <f t="shared" si="2683"/>
        <v>24</v>
      </c>
      <c r="AL2143" s="227">
        <f t="shared" si="2683"/>
        <v>0</v>
      </c>
      <c r="AM2143" s="31">
        <f t="shared" si="2683"/>
        <v>16</v>
      </c>
      <c r="AN2143" s="31">
        <f>AN2115-AN2142</f>
        <v>126</v>
      </c>
      <c r="AO2143" s="29">
        <f>AO2115-AO2142</f>
        <v>131</v>
      </c>
      <c r="AP2143" s="30">
        <f t="shared" ref="AP2143:AS2143" si="2684">AP2115-AP2142</f>
        <v>68</v>
      </c>
      <c r="AQ2143" s="30">
        <f t="shared" si="2684"/>
        <v>73</v>
      </c>
      <c r="AR2143" s="30">
        <f t="shared" si="2684"/>
        <v>75</v>
      </c>
      <c r="AS2143" s="31">
        <f t="shared" si="2684"/>
        <v>105</v>
      </c>
      <c r="AT2143" s="31">
        <f>AT2115-AT2142</f>
        <v>452</v>
      </c>
      <c r="AU2143" s="29">
        <f>AU2115-AU2142</f>
        <v>99</v>
      </c>
      <c r="AV2143" s="30">
        <f t="shared" ref="AV2143:AY2143" si="2685">AV2115-AV2142</f>
        <v>36</v>
      </c>
      <c r="AW2143" s="221">
        <f t="shared" si="2685"/>
        <v>0</v>
      </c>
      <c r="AX2143" s="221">
        <f t="shared" si="2685"/>
        <v>0</v>
      </c>
      <c r="AY2143" s="31">
        <f t="shared" si="2685"/>
        <v>47</v>
      </c>
      <c r="AZ2143" s="31">
        <f>AZ2115-AZ2142</f>
        <v>182</v>
      </c>
      <c r="BA2143" s="77">
        <f t="shared" si="2667"/>
        <v>845</v>
      </c>
    </row>
    <row r="2144" spans="1:54" x14ac:dyDescent="0.15">
      <c r="B2144" s="216"/>
      <c r="C2144" s="216"/>
      <c r="D2144" s="216"/>
      <c r="E2144" s="216" t="s">
        <v>700</v>
      </c>
      <c r="F2144" s="216" t="s">
        <v>700</v>
      </c>
      <c r="G2144" s="216"/>
      <c r="H2144" s="216"/>
      <c r="I2144" s="216"/>
      <c r="J2144" s="216"/>
      <c r="K2144" s="216"/>
      <c r="L2144" s="216"/>
      <c r="M2144" s="216"/>
      <c r="N2144" s="216"/>
      <c r="O2144" s="216"/>
      <c r="P2144" s="216"/>
      <c r="Q2144" s="216"/>
      <c r="R2144" s="216"/>
      <c r="S2144" s="216"/>
      <c r="T2144" s="216"/>
      <c r="U2144" s="216"/>
      <c r="V2144" s="216" t="s">
        <v>700</v>
      </c>
      <c r="W2144" s="216" t="s">
        <v>700</v>
      </c>
      <c r="X2144" s="216"/>
      <c r="AC2144" s="216"/>
      <c r="AD2144" s="216"/>
      <c r="AE2144" s="216"/>
      <c r="AF2144" s="216" t="s">
        <v>700</v>
      </c>
      <c r="AG2144" s="216" t="s">
        <v>700</v>
      </c>
      <c r="AH2144" s="216"/>
      <c r="AI2144" s="216"/>
      <c r="AJ2144" s="216"/>
      <c r="AK2144" s="216"/>
      <c r="AL2144" s="216"/>
      <c r="AM2144" s="216"/>
      <c r="AN2144" s="216"/>
      <c r="AO2144" s="216"/>
      <c r="AP2144" s="216"/>
      <c r="AQ2144" s="216"/>
      <c r="AR2144" s="216"/>
      <c r="AS2144" s="216"/>
      <c r="AT2144" s="216"/>
      <c r="AU2144" s="216"/>
      <c r="AV2144" s="216"/>
      <c r="AW2144" s="216" t="s">
        <v>700</v>
      </c>
      <c r="AX2144" s="216" t="s">
        <v>700</v>
      </c>
      <c r="AY2144" s="216"/>
    </row>
    <row r="2146" spans="1:53" ht="19.5" thickBot="1" x14ac:dyDescent="0.25">
      <c r="A2146" s="1" t="s">
        <v>15</v>
      </c>
      <c r="AB2146" s="1" t="s">
        <v>16</v>
      </c>
    </row>
    <row r="2147" spans="1:53" ht="15" thickBot="1" x14ac:dyDescent="0.2">
      <c r="A2147" s="4"/>
      <c r="B2147" s="245" t="s">
        <v>17</v>
      </c>
      <c r="C2147" s="246"/>
      <c r="D2147" s="246"/>
      <c r="E2147" s="246"/>
      <c r="F2147" s="246"/>
      <c r="G2147" s="247"/>
      <c r="H2147" s="245" t="s">
        <v>18</v>
      </c>
      <c r="I2147" s="246"/>
      <c r="J2147" s="246"/>
      <c r="K2147" s="246"/>
      <c r="L2147" s="246"/>
      <c r="M2147" s="247"/>
      <c r="N2147" s="248" t="s">
        <v>27</v>
      </c>
      <c r="O2147" s="249"/>
      <c r="P2147" s="249"/>
      <c r="Q2147" s="249"/>
      <c r="R2147" s="249"/>
      <c r="S2147" s="250"/>
      <c r="T2147" s="248" t="s">
        <v>28</v>
      </c>
      <c r="U2147" s="249"/>
      <c r="V2147" s="249"/>
      <c r="W2147" s="249"/>
      <c r="X2147" s="249"/>
      <c r="Y2147" s="250"/>
      <c r="Z2147" s="251" t="s">
        <v>1</v>
      </c>
      <c r="AB2147" s="4"/>
      <c r="AC2147" s="253" t="s">
        <v>17</v>
      </c>
      <c r="AD2147" s="249"/>
      <c r="AE2147" s="249"/>
      <c r="AF2147" s="249"/>
      <c r="AG2147" s="249"/>
      <c r="AH2147" s="250"/>
      <c r="AI2147" s="248" t="s">
        <v>18</v>
      </c>
      <c r="AJ2147" s="249"/>
      <c r="AK2147" s="249"/>
      <c r="AL2147" s="249"/>
      <c r="AM2147" s="249"/>
      <c r="AN2147" s="250"/>
      <c r="AO2147" s="248" t="s">
        <v>27</v>
      </c>
      <c r="AP2147" s="249"/>
      <c r="AQ2147" s="249"/>
      <c r="AR2147" s="249"/>
      <c r="AS2147" s="249"/>
      <c r="AT2147" s="250"/>
      <c r="AU2147" s="248" t="s">
        <v>28</v>
      </c>
      <c r="AV2147" s="249"/>
      <c r="AW2147" s="249"/>
      <c r="AX2147" s="249"/>
      <c r="AY2147" s="249"/>
      <c r="AZ2147" s="250"/>
      <c r="BA2147" s="243" t="s">
        <v>1</v>
      </c>
    </row>
    <row r="2148" spans="1:53" ht="15" thickBot="1" x14ac:dyDescent="0.2">
      <c r="A2148" s="9" t="s">
        <v>2</v>
      </c>
      <c r="B2148" s="6" t="s">
        <v>3</v>
      </c>
      <c r="C2148" s="7" t="s">
        <v>4</v>
      </c>
      <c r="D2148" s="7" t="s">
        <v>5</v>
      </c>
      <c r="E2148" s="48" t="s">
        <v>20</v>
      </c>
      <c r="F2148" s="8" t="s">
        <v>21</v>
      </c>
      <c r="G2148" s="5" t="s">
        <v>6</v>
      </c>
      <c r="H2148" s="6" t="s">
        <v>3</v>
      </c>
      <c r="I2148" s="7" t="s">
        <v>4</v>
      </c>
      <c r="J2148" s="7" t="s">
        <v>5</v>
      </c>
      <c r="K2148" s="48" t="s">
        <v>20</v>
      </c>
      <c r="L2148" s="8" t="s">
        <v>21</v>
      </c>
      <c r="M2148" s="5" t="s">
        <v>6</v>
      </c>
      <c r="N2148" s="6" t="s">
        <v>3</v>
      </c>
      <c r="O2148" s="7" t="s">
        <v>4</v>
      </c>
      <c r="P2148" s="7" t="s">
        <v>5</v>
      </c>
      <c r="Q2148" s="48" t="s">
        <v>20</v>
      </c>
      <c r="R2148" s="8" t="s">
        <v>21</v>
      </c>
      <c r="S2148" s="5" t="s">
        <v>6</v>
      </c>
      <c r="T2148" s="7" t="s">
        <v>3</v>
      </c>
      <c r="U2148" s="7" t="s">
        <v>4</v>
      </c>
      <c r="V2148" s="7" t="s">
        <v>5</v>
      </c>
      <c r="W2148" s="48" t="s">
        <v>20</v>
      </c>
      <c r="X2148" s="109" t="s">
        <v>21</v>
      </c>
      <c r="Y2148" s="62" t="s">
        <v>6</v>
      </c>
      <c r="Z2148" s="252"/>
      <c r="AB2148" s="9" t="s">
        <v>2</v>
      </c>
      <c r="AC2148" s="6" t="s">
        <v>3</v>
      </c>
      <c r="AD2148" s="7" t="s">
        <v>4</v>
      </c>
      <c r="AE2148" s="7" t="s">
        <v>5</v>
      </c>
      <c r="AF2148" s="48" t="s">
        <v>20</v>
      </c>
      <c r="AG2148" s="8" t="s">
        <v>21</v>
      </c>
      <c r="AH2148" s="5" t="s">
        <v>6</v>
      </c>
      <c r="AI2148" s="6" t="s">
        <v>3</v>
      </c>
      <c r="AJ2148" s="7" t="s">
        <v>4</v>
      </c>
      <c r="AK2148" s="7" t="s">
        <v>5</v>
      </c>
      <c r="AL2148" s="48" t="s">
        <v>20</v>
      </c>
      <c r="AM2148" s="8" t="s">
        <v>21</v>
      </c>
      <c r="AN2148" s="5" t="s">
        <v>6</v>
      </c>
      <c r="AO2148" s="6" t="s">
        <v>3</v>
      </c>
      <c r="AP2148" s="7" t="s">
        <v>4</v>
      </c>
      <c r="AQ2148" s="7" t="s">
        <v>5</v>
      </c>
      <c r="AR2148" s="48" t="s">
        <v>20</v>
      </c>
      <c r="AS2148" s="8" t="s">
        <v>21</v>
      </c>
      <c r="AT2148" s="5" t="s">
        <v>6</v>
      </c>
      <c r="AU2148" s="7" t="s">
        <v>3</v>
      </c>
      <c r="AV2148" s="7" t="s">
        <v>4</v>
      </c>
      <c r="AW2148" s="7" t="s">
        <v>5</v>
      </c>
      <c r="AX2148" s="48" t="s">
        <v>20</v>
      </c>
      <c r="AY2148" s="109" t="s">
        <v>21</v>
      </c>
      <c r="AZ2148" s="62" t="s">
        <v>6</v>
      </c>
      <c r="BA2148" s="244"/>
    </row>
    <row r="2149" spans="1:53" ht="14.25" x14ac:dyDescent="0.15">
      <c r="A2149" s="103" t="s">
        <v>43</v>
      </c>
      <c r="B2149" s="104">
        <f>B2143</f>
        <v>5</v>
      </c>
      <c r="C2149" s="105">
        <f>C2143</f>
        <v>5</v>
      </c>
      <c r="D2149" s="105">
        <f>D2143</f>
        <v>2</v>
      </c>
      <c r="E2149" s="105">
        <f>E2143</f>
        <v>0</v>
      </c>
      <c r="F2149" s="105">
        <f>F2143</f>
        <v>0</v>
      </c>
      <c r="G2149" s="106">
        <f t="shared" ref="G2149" si="2686">SUM(B2149:F2149)</f>
        <v>12</v>
      </c>
      <c r="H2149" s="104">
        <f>H2143</f>
        <v>3</v>
      </c>
      <c r="I2149" s="105">
        <f>I2143</f>
        <v>5</v>
      </c>
      <c r="J2149" s="105">
        <f>J2143</f>
        <v>4</v>
      </c>
      <c r="K2149" s="105">
        <f>K2143</f>
        <v>8</v>
      </c>
      <c r="L2149" s="105">
        <f>L2143</f>
        <v>3</v>
      </c>
      <c r="M2149" s="107">
        <f t="shared" ref="M2149:M2153" si="2687">SUM(H2149:L2149)</f>
        <v>23</v>
      </c>
      <c r="N2149" s="104">
        <f>N2143</f>
        <v>6</v>
      </c>
      <c r="O2149" s="105">
        <f>O2143</f>
        <v>5</v>
      </c>
      <c r="P2149" s="105">
        <f>P2143</f>
        <v>3</v>
      </c>
      <c r="Q2149" s="105">
        <f>Q2143</f>
        <v>3</v>
      </c>
      <c r="R2149" s="105">
        <f>R2143</f>
        <v>4</v>
      </c>
      <c r="S2149" s="108">
        <f t="shared" ref="S2149:S2153" si="2688">SUM(N2149:R2149)</f>
        <v>21</v>
      </c>
      <c r="T2149" s="104">
        <f>T2143</f>
        <v>6</v>
      </c>
      <c r="U2149" s="105">
        <f>U2143</f>
        <v>5</v>
      </c>
      <c r="V2149" s="105">
        <f>V2143</f>
        <v>8</v>
      </c>
      <c r="W2149" s="105">
        <f>W2143</f>
        <v>0</v>
      </c>
      <c r="X2149" s="105">
        <f>X2143</f>
        <v>4</v>
      </c>
      <c r="Y2149" s="106">
        <f t="shared" ref="Y2149:Y2153" si="2689">SUM(T2149:X2149)</f>
        <v>23</v>
      </c>
      <c r="Z2149" s="106">
        <f t="shared" ref="Z2149:Z2180" si="2690">G2149+M2149+S2149+Y2149</f>
        <v>79</v>
      </c>
      <c r="AB2149" s="103" t="s">
        <v>43</v>
      </c>
      <c r="AC2149" s="104">
        <f>AC2143</f>
        <v>64</v>
      </c>
      <c r="AD2149" s="105">
        <f t="shared" ref="AD2149:AG2149" si="2691">AD2143</f>
        <v>13</v>
      </c>
      <c r="AE2149" s="105">
        <f t="shared" si="2691"/>
        <v>8</v>
      </c>
      <c r="AF2149" s="105">
        <f t="shared" si="2691"/>
        <v>0</v>
      </c>
      <c r="AG2149" s="105">
        <f t="shared" si="2691"/>
        <v>0</v>
      </c>
      <c r="AH2149" s="106">
        <f>SUM(AC2149:AG2149)</f>
        <v>85</v>
      </c>
      <c r="AI2149" s="104">
        <f>AI2143</f>
        <v>62</v>
      </c>
      <c r="AJ2149" s="105">
        <f t="shared" ref="AJ2149:AM2149" si="2692">AJ2143</f>
        <v>24</v>
      </c>
      <c r="AK2149" s="105">
        <f t="shared" si="2692"/>
        <v>24</v>
      </c>
      <c r="AL2149" s="105">
        <f t="shared" si="2692"/>
        <v>0</v>
      </c>
      <c r="AM2149" s="105">
        <f t="shared" si="2692"/>
        <v>16</v>
      </c>
      <c r="AN2149" s="106">
        <f>SUM(AI2149:AM2149)</f>
        <v>126</v>
      </c>
      <c r="AO2149" s="104">
        <f>AO2143</f>
        <v>131</v>
      </c>
      <c r="AP2149" s="105">
        <f t="shared" ref="AP2149:AS2149" si="2693">AP2143</f>
        <v>68</v>
      </c>
      <c r="AQ2149" s="105">
        <f t="shared" si="2693"/>
        <v>73</v>
      </c>
      <c r="AR2149" s="105">
        <f t="shared" si="2693"/>
        <v>75</v>
      </c>
      <c r="AS2149" s="105">
        <f t="shared" si="2693"/>
        <v>105</v>
      </c>
      <c r="AT2149" s="106">
        <f>SUM(AO2149:AS2149)</f>
        <v>452</v>
      </c>
      <c r="AU2149" s="104">
        <f>AU2143</f>
        <v>99</v>
      </c>
      <c r="AV2149" s="105">
        <f t="shared" ref="AV2149:AY2149" si="2694">AV2143</f>
        <v>36</v>
      </c>
      <c r="AW2149" s="105">
        <f t="shared" si="2694"/>
        <v>0</v>
      </c>
      <c r="AX2149" s="105">
        <f t="shared" si="2694"/>
        <v>0</v>
      </c>
      <c r="AY2149" s="105">
        <f t="shared" si="2694"/>
        <v>47</v>
      </c>
      <c r="AZ2149" s="106">
        <f>SUM(AU2149:AY2149)</f>
        <v>182</v>
      </c>
      <c r="BA2149" s="106">
        <f>AH2149+AN2149+AT2149+AZ2149</f>
        <v>845</v>
      </c>
    </row>
    <row r="2150" spans="1:53" ht="14.25" x14ac:dyDescent="0.15">
      <c r="A2150" s="10" t="s">
        <v>77</v>
      </c>
      <c r="B2150" s="41"/>
      <c r="C2150" s="42"/>
      <c r="D2150" s="42"/>
      <c r="E2150" s="42"/>
      <c r="F2150" s="42"/>
      <c r="G2150" s="43">
        <f t="shared" ref="G2150" si="2695">SUM(B2150:F2150)</f>
        <v>0</v>
      </c>
      <c r="H2150" s="41"/>
      <c r="I2150" s="42">
        <v>1</v>
      </c>
      <c r="J2150" s="42"/>
      <c r="K2150" s="42"/>
      <c r="L2150" s="42"/>
      <c r="M2150" s="43">
        <f t="shared" si="2687"/>
        <v>1</v>
      </c>
      <c r="N2150" s="42"/>
      <c r="O2150" s="53"/>
      <c r="P2150" s="53"/>
      <c r="Q2150" s="53"/>
      <c r="R2150" s="72"/>
      <c r="S2150" s="24">
        <f t="shared" si="2688"/>
        <v>0</v>
      </c>
      <c r="T2150" s="42"/>
      <c r="U2150" s="53"/>
      <c r="V2150" s="53"/>
      <c r="W2150" s="53"/>
      <c r="X2150" s="72"/>
      <c r="Y2150" s="24">
        <f t="shared" si="2689"/>
        <v>0</v>
      </c>
      <c r="Z2150" s="24">
        <f t="shared" si="2690"/>
        <v>1</v>
      </c>
      <c r="AA2150" s="83">
        <v>46028</v>
      </c>
      <c r="AB2150" s="10" t="s">
        <v>181</v>
      </c>
      <c r="AC2150" s="14"/>
      <c r="AD2150" s="15"/>
      <c r="AE2150" s="15"/>
      <c r="AF2150" s="15"/>
      <c r="AG2150" s="15"/>
      <c r="AH2150" s="43">
        <f t="shared" ref="AH2150:AH2153" si="2696">SUM(AC2150:AG2150)</f>
        <v>0</v>
      </c>
      <c r="AI2150" s="14"/>
      <c r="AJ2150" s="15"/>
      <c r="AK2150" s="15"/>
      <c r="AL2150" s="15"/>
      <c r="AM2150" s="15"/>
      <c r="AN2150" s="43">
        <f t="shared" ref="AN2150:AN2153" si="2697">SUM(AI2150:AM2150)</f>
        <v>0</v>
      </c>
      <c r="AO2150" s="14"/>
      <c r="AP2150" s="55"/>
      <c r="AQ2150" s="55"/>
      <c r="AR2150" s="55"/>
      <c r="AS2150" s="67"/>
      <c r="AT2150" s="24">
        <f t="shared" ref="AT2150:AT2153" si="2698">SUM(AO2150:AS2150)</f>
        <v>0</v>
      </c>
      <c r="AU2150" s="15"/>
      <c r="AV2150" s="55"/>
      <c r="AW2150" s="55"/>
      <c r="AX2150" s="55"/>
      <c r="AY2150" s="67"/>
      <c r="AZ2150" s="24">
        <f t="shared" ref="AZ2150:AZ2153" si="2699">SUM(AU2150:AY2150)</f>
        <v>0</v>
      </c>
      <c r="BA2150" s="24">
        <f t="shared" ref="BA2150:BA2153" si="2700">AH2150+AN2150+AT2150+AZ2150</f>
        <v>0</v>
      </c>
    </row>
    <row r="2151" spans="1:53" ht="14.25" x14ac:dyDescent="0.15">
      <c r="A2151" s="10" t="s">
        <v>181</v>
      </c>
      <c r="B2151" s="14"/>
      <c r="C2151" s="15"/>
      <c r="D2151" s="15">
        <v>2</v>
      </c>
      <c r="E2151" s="15"/>
      <c r="F2151" s="15"/>
      <c r="G2151" s="43">
        <f t="shared" ref="G2151:G2178" si="2701">SUM(B2151:F2151)</f>
        <v>2</v>
      </c>
      <c r="H2151" s="14"/>
      <c r="I2151" s="15"/>
      <c r="J2151" s="15"/>
      <c r="K2151" s="15"/>
      <c r="L2151" s="15"/>
      <c r="M2151" s="43">
        <f t="shared" si="2687"/>
        <v>0</v>
      </c>
      <c r="N2151" s="14"/>
      <c r="O2151" s="55"/>
      <c r="P2151" s="55"/>
      <c r="Q2151" s="55"/>
      <c r="R2151" s="67"/>
      <c r="S2151" s="24">
        <f t="shared" si="2688"/>
        <v>0</v>
      </c>
      <c r="T2151" s="15"/>
      <c r="U2151" s="55"/>
      <c r="V2151" s="55"/>
      <c r="W2151" s="55"/>
      <c r="X2151" s="67"/>
      <c r="Y2151" s="24">
        <f t="shared" si="2689"/>
        <v>0</v>
      </c>
      <c r="Z2151" s="24">
        <f t="shared" si="2690"/>
        <v>2</v>
      </c>
      <c r="AA2151" s="83">
        <v>46045</v>
      </c>
      <c r="AB2151" s="10" t="s">
        <v>181</v>
      </c>
      <c r="AC2151" s="14"/>
      <c r="AD2151" s="15"/>
      <c r="AE2151" s="15"/>
      <c r="AF2151" s="15"/>
      <c r="AG2151" s="15"/>
      <c r="AH2151" s="43">
        <f t="shared" si="2696"/>
        <v>0</v>
      </c>
      <c r="AI2151" s="14"/>
      <c r="AJ2151" s="15"/>
      <c r="AK2151" s="15"/>
      <c r="AL2151" s="15"/>
      <c r="AM2151" s="15"/>
      <c r="AN2151" s="43">
        <f t="shared" si="2697"/>
        <v>0</v>
      </c>
      <c r="AO2151" s="14"/>
      <c r="AP2151" s="55"/>
      <c r="AQ2151" s="55"/>
      <c r="AR2151" s="55"/>
      <c r="AS2151" s="67"/>
      <c r="AT2151" s="24">
        <f t="shared" si="2698"/>
        <v>0</v>
      </c>
      <c r="AU2151" s="15"/>
      <c r="AV2151" s="55"/>
      <c r="AW2151" s="55"/>
      <c r="AX2151" s="55"/>
      <c r="AY2151" s="67"/>
      <c r="AZ2151" s="24">
        <f t="shared" si="2699"/>
        <v>0</v>
      </c>
      <c r="BA2151" s="24">
        <f t="shared" si="2700"/>
        <v>0</v>
      </c>
    </row>
    <row r="2152" spans="1:53" ht="14.25" x14ac:dyDescent="0.15">
      <c r="A2152" s="10" t="s">
        <v>181</v>
      </c>
      <c r="B2152" s="14"/>
      <c r="C2152" s="15"/>
      <c r="D2152" s="15"/>
      <c r="E2152" s="15"/>
      <c r="F2152" s="15"/>
      <c r="G2152" s="43">
        <f t="shared" si="2701"/>
        <v>0</v>
      </c>
      <c r="H2152" s="14"/>
      <c r="I2152" s="15"/>
      <c r="J2152" s="15"/>
      <c r="K2152" s="15"/>
      <c r="L2152" s="15">
        <v>4</v>
      </c>
      <c r="M2152" s="43">
        <f t="shared" si="2687"/>
        <v>4</v>
      </c>
      <c r="N2152" s="14"/>
      <c r="O2152" s="55"/>
      <c r="P2152" s="55"/>
      <c r="Q2152" s="55"/>
      <c r="R2152" s="67"/>
      <c r="S2152" s="24">
        <f t="shared" si="2688"/>
        <v>0</v>
      </c>
      <c r="T2152" s="15"/>
      <c r="U2152" s="55"/>
      <c r="V2152" s="55"/>
      <c r="W2152" s="55"/>
      <c r="X2152" s="67"/>
      <c r="Y2152" s="24">
        <f t="shared" si="2689"/>
        <v>0</v>
      </c>
      <c r="Z2152" s="24">
        <f t="shared" si="2690"/>
        <v>4</v>
      </c>
      <c r="AA2152" s="83">
        <v>46052</v>
      </c>
      <c r="AB2152" s="10" t="s">
        <v>181</v>
      </c>
      <c r="AC2152" s="14"/>
      <c r="AD2152" s="15"/>
      <c r="AE2152" s="15"/>
      <c r="AF2152" s="15"/>
      <c r="AG2152" s="15"/>
      <c r="AH2152" s="43">
        <f t="shared" si="2696"/>
        <v>0</v>
      </c>
      <c r="AI2152" s="14"/>
      <c r="AJ2152" s="15"/>
      <c r="AK2152" s="15"/>
      <c r="AL2152" s="15"/>
      <c r="AM2152" s="15"/>
      <c r="AN2152" s="43">
        <f t="shared" si="2697"/>
        <v>0</v>
      </c>
      <c r="AO2152" s="14"/>
      <c r="AP2152" s="55"/>
      <c r="AQ2152" s="55"/>
      <c r="AR2152" s="55"/>
      <c r="AS2152" s="67"/>
      <c r="AT2152" s="24">
        <f t="shared" si="2698"/>
        <v>0</v>
      </c>
      <c r="AU2152" s="15"/>
      <c r="AV2152" s="55"/>
      <c r="AW2152" s="55"/>
      <c r="AX2152" s="55"/>
      <c r="AY2152" s="67"/>
      <c r="AZ2152" s="24">
        <f t="shared" si="2699"/>
        <v>0</v>
      </c>
      <c r="BA2152" s="24">
        <f t="shared" si="2700"/>
        <v>0</v>
      </c>
    </row>
    <row r="2153" spans="1:53" ht="15" thickBot="1" x14ac:dyDescent="0.2">
      <c r="A2153" s="10" t="s">
        <v>181</v>
      </c>
      <c r="B2153" s="14"/>
      <c r="C2153" s="15"/>
      <c r="D2153" s="15">
        <v>3</v>
      </c>
      <c r="E2153" s="15"/>
      <c r="F2153" s="15"/>
      <c r="G2153" s="43">
        <f t="shared" si="2701"/>
        <v>3</v>
      </c>
      <c r="H2153" s="14"/>
      <c r="I2153" s="15"/>
      <c r="J2153" s="15"/>
      <c r="K2153" s="15"/>
      <c r="L2153" s="15"/>
      <c r="M2153" s="43">
        <f t="shared" si="2687"/>
        <v>0</v>
      </c>
      <c r="N2153" s="14"/>
      <c r="O2153" s="55"/>
      <c r="P2153" s="55"/>
      <c r="Q2153" s="55"/>
      <c r="R2153" s="67"/>
      <c r="S2153" s="24">
        <f t="shared" si="2688"/>
        <v>0</v>
      </c>
      <c r="T2153" s="15"/>
      <c r="U2153" s="55"/>
      <c r="V2153" s="55"/>
      <c r="W2153" s="55"/>
      <c r="X2153" s="67"/>
      <c r="Y2153" s="24">
        <f t="shared" si="2689"/>
        <v>0</v>
      </c>
      <c r="Z2153" s="24">
        <f t="shared" si="2690"/>
        <v>3</v>
      </c>
      <c r="AA2153" s="83">
        <v>46059</v>
      </c>
      <c r="AB2153" s="10" t="s">
        <v>181</v>
      </c>
      <c r="AC2153" s="14"/>
      <c r="AD2153" s="15"/>
      <c r="AE2153" s="15"/>
      <c r="AF2153" s="15"/>
      <c r="AG2153" s="15"/>
      <c r="AH2153" s="43">
        <f t="shared" si="2696"/>
        <v>0</v>
      </c>
      <c r="AI2153" s="14"/>
      <c r="AJ2153" s="15"/>
      <c r="AK2153" s="15"/>
      <c r="AL2153" s="15"/>
      <c r="AM2153" s="15"/>
      <c r="AN2153" s="43">
        <f t="shared" si="2697"/>
        <v>0</v>
      </c>
      <c r="AO2153" s="14"/>
      <c r="AP2153" s="55"/>
      <c r="AQ2153" s="55"/>
      <c r="AR2153" s="55"/>
      <c r="AS2153" s="67"/>
      <c r="AT2153" s="24">
        <f t="shared" si="2698"/>
        <v>0</v>
      </c>
      <c r="AU2153" s="15"/>
      <c r="AV2153" s="55"/>
      <c r="AW2153" s="55"/>
      <c r="AX2153" s="55"/>
      <c r="AY2153" s="67"/>
      <c r="AZ2153" s="24">
        <f t="shared" si="2699"/>
        <v>0</v>
      </c>
      <c r="BA2153" s="24">
        <f t="shared" si="2700"/>
        <v>0</v>
      </c>
    </row>
    <row r="2154" spans="1:53" ht="15" thickBot="1" x14ac:dyDescent="0.2">
      <c r="A2154" s="4" t="s">
        <v>12</v>
      </c>
      <c r="B2154" s="17">
        <f>SUM(B2149:B2153)</f>
        <v>5</v>
      </c>
      <c r="C2154" s="18">
        <f>SUM(C2149:C2153)</f>
        <v>5</v>
      </c>
      <c r="D2154" s="18">
        <f>SUM(D2149:D2153)</f>
        <v>7</v>
      </c>
      <c r="E2154" s="18">
        <f>SUM(E2149:E2153)</f>
        <v>0</v>
      </c>
      <c r="F2154" s="18">
        <f>SUM(F2149:F2153)</f>
        <v>0</v>
      </c>
      <c r="G2154" s="148">
        <f t="shared" si="2701"/>
        <v>17</v>
      </c>
      <c r="H2154" s="17">
        <f>SUM(H2149:H2153)</f>
        <v>3</v>
      </c>
      <c r="I2154" s="18">
        <f>SUM(I2149:I2153)</f>
        <v>6</v>
      </c>
      <c r="J2154" s="18">
        <f>SUM(J2149:J2153)</f>
        <v>4</v>
      </c>
      <c r="K2154" s="18">
        <f>SUM(K2149:K2153)</f>
        <v>8</v>
      </c>
      <c r="L2154" s="18">
        <f>SUM(L2149:L2153)</f>
        <v>7</v>
      </c>
      <c r="M2154" s="17">
        <f t="shared" ref="M2154:M2178" si="2702">SUM(H2154:L2154)</f>
        <v>28</v>
      </c>
      <c r="N2154" s="65">
        <f>SUM(N2149:N2153)</f>
        <v>6</v>
      </c>
      <c r="O2154" s="18">
        <f>SUM(O2149:O2153)</f>
        <v>5</v>
      </c>
      <c r="P2154" s="18">
        <f>SUM(P2149:P2153)</f>
        <v>3</v>
      </c>
      <c r="Q2154" s="18">
        <f>SUM(Q2149:Q2153)</f>
        <v>3</v>
      </c>
      <c r="R2154" s="70">
        <f>SUM(R2149:R2153)</f>
        <v>4</v>
      </c>
      <c r="S2154" s="49">
        <f t="shared" ref="S2154:S2178" si="2703">SUM(N2154:R2154)</f>
        <v>21</v>
      </c>
      <c r="T2154" s="74">
        <f>SUM(T2149:T2153)</f>
        <v>6</v>
      </c>
      <c r="U2154" s="18">
        <f>SUM(U2149:U2153)</f>
        <v>5</v>
      </c>
      <c r="V2154" s="18">
        <f>SUM(V2149:V2153)</f>
        <v>8</v>
      </c>
      <c r="W2154" s="18">
        <f>SUM(W2149:W2153)</f>
        <v>0</v>
      </c>
      <c r="X2154" s="70">
        <f>SUM(X2149:X2153)</f>
        <v>4</v>
      </c>
      <c r="Y2154" s="49">
        <f t="shared" ref="Y2154:Y2178" si="2704">SUM(T2154:X2154)</f>
        <v>23</v>
      </c>
      <c r="Z2154" s="33">
        <f t="shared" si="2690"/>
        <v>89</v>
      </c>
      <c r="AB2154" s="4" t="s">
        <v>12</v>
      </c>
      <c r="AC2154" s="17">
        <f>SUM(AC2149:AC2153)</f>
        <v>64</v>
      </c>
      <c r="AD2154" s="18">
        <f t="shared" ref="AD2154:AG2154" si="2705">SUM(AD2149:AD2153)</f>
        <v>13</v>
      </c>
      <c r="AE2154" s="18">
        <f t="shared" si="2705"/>
        <v>8</v>
      </c>
      <c r="AF2154" s="18">
        <f t="shared" si="2705"/>
        <v>0</v>
      </c>
      <c r="AG2154" s="18">
        <f t="shared" si="2705"/>
        <v>0</v>
      </c>
      <c r="AH2154" s="148">
        <f>SUM(AC2154:AG2154)</f>
        <v>85</v>
      </c>
      <c r="AI2154" s="17">
        <f>SUM(AI2149:AI2153)</f>
        <v>62</v>
      </c>
      <c r="AJ2154" s="18">
        <f t="shared" ref="AJ2154:AM2154" si="2706">SUM(AJ2149:AJ2153)</f>
        <v>24</v>
      </c>
      <c r="AK2154" s="18">
        <f t="shared" si="2706"/>
        <v>24</v>
      </c>
      <c r="AL2154" s="18">
        <f t="shared" si="2706"/>
        <v>0</v>
      </c>
      <c r="AM2154" s="18">
        <f t="shared" si="2706"/>
        <v>16</v>
      </c>
      <c r="AN2154" s="148">
        <f>SUM(AI2154:AM2154)</f>
        <v>126</v>
      </c>
      <c r="AO2154" s="17">
        <f>SUM(AO2149:AO2153)</f>
        <v>131</v>
      </c>
      <c r="AP2154" s="18">
        <f t="shared" ref="AP2154:AS2154" si="2707">SUM(AP2149:AP2153)</f>
        <v>68</v>
      </c>
      <c r="AQ2154" s="18">
        <f t="shared" si="2707"/>
        <v>73</v>
      </c>
      <c r="AR2154" s="18">
        <f t="shared" si="2707"/>
        <v>75</v>
      </c>
      <c r="AS2154" s="18">
        <f t="shared" si="2707"/>
        <v>105</v>
      </c>
      <c r="AT2154" s="148">
        <f>SUM(AO2154:AS2154)</f>
        <v>452</v>
      </c>
      <c r="AU2154" s="17">
        <f>SUM(AU2149:AU2153)</f>
        <v>99</v>
      </c>
      <c r="AV2154" s="18">
        <f t="shared" ref="AV2154:AY2154" si="2708">SUM(AV2149:AV2153)</f>
        <v>36</v>
      </c>
      <c r="AW2154" s="18">
        <f t="shared" si="2708"/>
        <v>0</v>
      </c>
      <c r="AX2154" s="18">
        <f t="shared" si="2708"/>
        <v>0</v>
      </c>
      <c r="AY2154" s="18">
        <f t="shared" si="2708"/>
        <v>47</v>
      </c>
      <c r="AZ2154" s="148">
        <f>SUM(AU2154:AY2154)</f>
        <v>182</v>
      </c>
      <c r="BA2154" s="33">
        <f>AH2154+AN2154+AT2154+AZ2154</f>
        <v>845</v>
      </c>
    </row>
    <row r="2155" spans="1:53" ht="14.25" x14ac:dyDescent="0.15">
      <c r="A2155" s="23" t="s">
        <v>438</v>
      </c>
      <c r="B2155" s="41"/>
      <c r="C2155" s="42"/>
      <c r="D2155" s="42"/>
      <c r="E2155" s="42"/>
      <c r="F2155" s="42"/>
      <c r="G2155" s="43">
        <f t="shared" si="2701"/>
        <v>0</v>
      </c>
      <c r="H2155" s="41"/>
      <c r="I2155" s="42"/>
      <c r="J2155" s="42"/>
      <c r="K2155" s="42">
        <v>1</v>
      </c>
      <c r="L2155" s="42"/>
      <c r="M2155" s="43">
        <f t="shared" si="2702"/>
        <v>1</v>
      </c>
      <c r="N2155" s="42"/>
      <c r="O2155" s="53"/>
      <c r="P2155" s="53"/>
      <c r="Q2155" s="53"/>
      <c r="R2155" s="72"/>
      <c r="S2155" s="24">
        <f t="shared" si="2703"/>
        <v>0</v>
      </c>
      <c r="T2155" s="42"/>
      <c r="U2155" s="53"/>
      <c r="V2155" s="53"/>
      <c r="W2155" s="53"/>
      <c r="X2155" s="72"/>
      <c r="Y2155" s="24">
        <f t="shared" si="2704"/>
        <v>0</v>
      </c>
      <c r="Z2155" s="24">
        <f t="shared" ref="Z2155:Z2178" si="2709">G2155+M2155+S2155+Y2155</f>
        <v>1</v>
      </c>
      <c r="AA2155" s="83">
        <v>46030</v>
      </c>
      <c r="AB2155" s="23"/>
      <c r="AC2155" s="41"/>
      <c r="AD2155" s="42"/>
      <c r="AE2155" s="42"/>
      <c r="AF2155" s="42"/>
      <c r="AG2155" s="42"/>
      <c r="AH2155" s="43">
        <f t="shared" ref="AH2155:AH2158" si="2710">SUM(AC2155:AG2155)</f>
        <v>0</v>
      </c>
      <c r="AI2155" s="41"/>
      <c r="AJ2155" s="42"/>
      <c r="AK2155" s="42"/>
      <c r="AL2155" s="42"/>
      <c r="AM2155" s="42"/>
      <c r="AN2155" s="43">
        <f t="shared" ref="AN2155:AN2158" si="2711">SUM(AI2155:AM2155)</f>
        <v>0</v>
      </c>
      <c r="AO2155" s="42"/>
      <c r="AP2155" s="53"/>
      <c r="AQ2155" s="53"/>
      <c r="AR2155" s="53"/>
      <c r="AS2155" s="72"/>
      <c r="AT2155" s="24">
        <f t="shared" ref="AT2155:AT2158" si="2712">SUM(AO2155:AS2155)</f>
        <v>0</v>
      </c>
      <c r="AU2155" s="42"/>
      <c r="AV2155" s="53"/>
      <c r="AW2155" s="53"/>
      <c r="AX2155" s="53"/>
      <c r="AY2155" s="72"/>
      <c r="AZ2155" s="24">
        <f t="shared" ref="AZ2155:AZ2158" si="2713">SUM(AU2155:AY2155)</f>
        <v>0</v>
      </c>
      <c r="BA2155" s="24">
        <f t="shared" ref="BA2155:BA2158" si="2714">AH2155+AN2155+AT2155+AZ2155</f>
        <v>0</v>
      </c>
    </row>
    <row r="2156" spans="1:53" ht="14.25" x14ac:dyDescent="0.15">
      <c r="A2156" s="23" t="s">
        <v>699</v>
      </c>
      <c r="B2156" s="41"/>
      <c r="C2156" s="42"/>
      <c r="D2156" s="42"/>
      <c r="E2156" s="42"/>
      <c r="F2156" s="42"/>
      <c r="G2156" s="43">
        <f t="shared" si="2701"/>
        <v>0</v>
      </c>
      <c r="H2156" s="41">
        <v>1</v>
      </c>
      <c r="I2156" s="42"/>
      <c r="J2156" s="42"/>
      <c r="K2156" s="42">
        <v>1</v>
      </c>
      <c r="L2156" s="42"/>
      <c r="M2156" s="43">
        <f t="shared" si="2702"/>
        <v>2</v>
      </c>
      <c r="N2156" s="42"/>
      <c r="O2156" s="53"/>
      <c r="P2156" s="53"/>
      <c r="Q2156" s="53"/>
      <c r="R2156" s="72"/>
      <c r="S2156" s="24">
        <f t="shared" si="2703"/>
        <v>0</v>
      </c>
      <c r="T2156" s="42"/>
      <c r="U2156" s="53"/>
      <c r="V2156" s="53"/>
      <c r="W2156" s="53"/>
      <c r="X2156" s="72"/>
      <c r="Y2156" s="24">
        <f t="shared" si="2704"/>
        <v>0</v>
      </c>
      <c r="Z2156" s="24">
        <f t="shared" si="2709"/>
        <v>2</v>
      </c>
      <c r="AA2156" s="93">
        <v>46028</v>
      </c>
      <c r="AB2156" s="23"/>
      <c r="AC2156" s="41"/>
      <c r="AD2156" s="42"/>
      <c r="AE2156" s="42"/>
      <c r="AF2156" s="42"/>
      <c r="AG2156" s="42"/>
      <c r="AH2156" s="43">
        <f t="shared" si="2710"/>
        <v>0</v>
      </c>
      <c r="AI2156" s="41"/>
      <c r="AJ2156" s="42"/>
      <c r="AK2156" s="42"/>
      <c r="AL2156" s="42"/>
      <c r="AM2156" s="42"/>
      <c r="AN2156" s="43">
        <f t="shared" si="2711"/>
        <v>0</v>
      </c>
      <c r="AO2156" s="42"/>
      <c r="AP2156" s="53"/>
      <c r="AQ2156" s="53"/>
      <c r="AR2156" s="53"/>
      <c r="AS2156" s="72"/>
      <c r="AT2156" s="24">
        <f t="shared" si="2712"/>
        <v>0</v>
      </c>
      <c r="AU2156" s="42"/>
      <c r="AV2156" s="53"/>
      <c r="AW2156" s="53"/>
      <c r="AX2156" s="53"/>
      <c r="AY2156" s="72"/>
      <c r="AZ2156" s="24">
        <f t="shared" si="2713"/>
        <v>0</v>
      </c>
      <c r="BA2156" s="24">
        <f t="shared" si="2714"/>
        <v>0</v>
      </c>
    </row>
    <row r="2157" spans="1:53" ht="14.25" x14ac:dyDescent="0.15">
      <c r="A2157" s="23" t="s">
        <v>699</v>
      </c>
      <c r="B2157" s="41"/>
      <c r="C2157" s="42">
        <v>1</v>
      </c>
      <c r="D2157" s="42"/>
      <c r="E2157" s="42"/>
      <c r="F2157" s="42"/>
      <c r="G2157" s="43">
        <f t="shared" si="2701"/>
        <v>1</v>
      </c>
      <c r="H2157" s="41"/>
      <c r="I2157" s="42"/>
      <c r="J2157" s="42"/>
      <c r="K2157" s="42"/>
      <c r="L2157" s="42"/>
      <c r="M2157" s="43">
        <f t="shared" si="2702"/>
        <v>0</v>
      </c>
      <c r="N2157" s="42"/>
      <c r="O2157" s="53"/>
      <c r="P2157" s="53"/>
      <c r="Q2157" s="53"/>
      <c r="R2157" s="72">
        <v>1</v>
      </c>
      <c r="S2157" s="24">
        <f t="shared" si="2703"/>
        <v>1</v>
      </c>
      <c r="T2157" s="42">
        <v>1</v>
      </c>
      <c r="U2157" s="53"/>
      <c r="V2157" s="53"/>
      <c r="W2157" s="53"/>
      <c r="X2157" s="72"/>
      <c r="Y2157" s="24">
        <f t="shared" si="2704"/>
        <v>1</v>
      </c>
      <c r="Z2157" s="24">
        <f t="shared" si="2709"/>
        <v>3</v>
      </c>
      <c r="AA2157" s="93">
        <v>46036</v>
      </c>
      <c r="AB2157" s="23"/>
      <c r="AC2157" s="41"/>
      <c r="AD2157" s="42"/>
      <c r="AE2157" s="42"/>
      <c r="AF2157" s="42"/>
      <c r="AG2157" s="42"/>
      <c r="AH2157" s="43">
        <f t="shared" si="2710"/>
        <v>0</v>
      </c>
      <c r="AI2157" s="41"/>
      <c r="AJ2157" s="42"/>
      <c r="AK2157" s="42"/>
      <c r="AL2157" s="42"/>
      <c r="AM2157" s="42"/>
      <c r="AN2157" s="43">
        <f t="shared" si="2711"/>
        <v>0</v>
      </c>
      <c r="AO2157" s="42"/>
      <c r="AP2157" s="53"/>
      <c r="AQ2157" s="53"/>
      <c r="AR2157" s="53"/>
      <c r="AS2157" s="72"/>
      <c r="AT2157" s="24">
        <f t="shared" si="2712"/>
        <v>0</v>
      </c>
      <c r="AU2157" s="42"/>
      <c r="AV2157" s="53"/>
      <c r="AW2157" s="53"/>
      <c r="AX2157" s="53"/>
      <c r="AY2157" s="72"/>
      <c r="AZ2157" s="24">
        <f t="shared" si="2713"/>
        <v>0</v>
      </c>
      <c r="BA2157" s="24">
        <f t="shared" si="2714"/>
        <v>0</v>
      </c>
    </row>
    <row r="2158" spans="1:53" ht="14.25" x14ac:dyDescent="0.15">
      <c r="A2158" s="23" t="s">
        <v>699</v>
      </c>
      <c r="B2158" s="41">
        <v>1</v>
      </c>
      <c r="C2158" s="42"/>
      <c r="D2158" s="42">
        <v>1</v>
      </c>
      <c r="E2158" s="42"/>
      <c r="F2158" s="42"/>
      <c r="G2158" s="43">
        <f t="shared" si="2701"/>
        <v>2</v>
      </c>
      <c r="H2158" s="41"/>
      <c r="I2158" s="42"/>
      <c r="J2158" s="42"/>
      <c r="K2158" s="42"/>
      <c r="L2158" s="42"/>
      <c r="M2158" s="43">
        <f t="shared" si="2702"/>
        <v>0</v>
      </c>
      <c r="N2158" s="42"/>
      <c r="O2158" s="53"/>
      <c r="P2158" s="53"/>
      <c r="Q2158" s="53">
        <v>1</v>
      </c>
      <c r="R2158" s="72"/>
      <c r="S2158" s="24">
        <f t="shared" si="2703"/>
        <v>1</v>
      </c>
      <c r="T2158" s="42"/>
      <c r="U2158" s="53"/>
      <c r="V2158" s="53"/>
      <c r="W2158" s="53"/>
      <c r="X2158" s="72"/>
      <c r="Y2158" s="24">
        <f t="shared" si="2704"/>
        <v>0</v>
      </c>
      <c r="Z2158" s="24">
        <f t="shared" si="2709"/>
        <v>3</v>
      </c>
      <c r="AA2158" s="93">
        <v>46041</v>
      </c>
      <c r="AB2158" s="23"/>
      <c r="AC2158" s="41"/>
      <c r="AD2158" s="42"/>
      <c r="AE2158" s="42"/>
      <c r="AF2158" s="42"/>
      <c r="AG2158" s="42"/>
      <c r="AH2158" s="43">
        <f t="shared" si="2710"/>
        <v>0</v>
      </c>
      <c r="AI2158" s="41"/>
      <c r="AJ2158" s="42"/>
      <c r="AK2158" s="42"/>
      <c r="AL2158" s="42"/>
      <c r="AM2158" s="42"/>
      <c r="AN2158" s="43">
        <f t="shared" si="2711"/>
        <v>0</v>
      </c>
      <c r="AO2158" s="42"/>
      <c r="AP2158" s="53"/>
      <c r="AQ2158" s="53"/>
      <c r="AR2158" s="53"/>
      <c r="AS2158" s="72"/>
      <c r="AT2158" s="24">
        <f t="shared" si="2712"/>
        <v>0</v>
      </c>
      <c r="AU2158" s="42"/>
      <c r="AV2158" s="53"/>
      <c r="AW2158" s="53"/>
      <c r="AX2158" s="53"/>
      <c r="AY2158" s="72"/>
      <c r="AZ2158" s="24">
        <f t="shared" si="2713"/>
        <v>0</v>
      </c>
      <c r="BA2158" s="24">
        <f t="shared" si="2714"/>
        <v>0</v>
      </c>
    </row>
    <row r="2159" spans="1:53" ht="14.25" x14ac:dyDescent="0.15">
      <c r="A2159" s="23" t="s">
        <v>699</v>
      </c>
      <c r="B2159" s="41"/>
      <c r="C2159" s="42"/>
      <c r="D2159" s="42"/>
      <c r="E2159" s="42"/>
      <c r="F2159" s="42"/>
      <c r="G2159" s="43">
        <f t="shared" si="2701"/>
        <v>0</v>
      </c>
      <c r="H2159" s="41"/>
      <c r="I2159" s="42"/>
      <c r="J2159" s="42"/>
      <c r="K2159" s="42"/>
      <c r="L2159" s="42">
        <v>1</v>
      </c>
      <c r="M2159" s="43">
        <f t="shared" si="2702"/>
        <v>1</v>
      </c>
      <c r="N2159" s="42"/>
      <c r="O2159" s="53"/>
      <c r="P2159" s="53"/>
      <c r="Q2159" s="53"/>
      <c r="R2159" s="72"/>
      <c r="S2159" s="24">
        <f t="shared" si="2703"/>
        <v>0</v>
      </c>
      <c r="T2159" s="42"/>
      <c r="U2159" s="53"/>
      <c r="V2159" s="53"/>
      <c r="W2159" s="53"/>
      <c r="X2159" s="72"/>
      <c r="Y2159" s="24">
        <f t="shared" si="2704"/>
        <v>0</v>
      </c>
      <c r="Z2159" s="24">
        <f t="shared" si="2709"/>
        <v>1</v>
      </c>
      <c r="AA2159" s="93">
        <v>46044</v>
      </c>
      <c r="AB2159" s="23"/>
      <c r="AC2159" s="41"/>
      <c r="AD2159" s="42"/>
      <c r="AE2159" s="42"/>
      <c r="AF2159" s="42"/>
      <c r="AG2159" s="42"/>
      <c r="AH2159" s="43">
        <f t="shared" ref="AH2159:AH2160" si="2715">SUM(AC2159:AG2159)</f>
        <v>0</v>
      </c>
      <c r="AI2159" s="41"/>
      <c r="AJ2159" s="42"/>
      <c r="AK2159" s="42"/>
      <c r="AL2159" s="42"/>
      <c r="AM2159" s="42"/>
      <c r="AN2159" s="43">
        <f t="shared" ref="AN2159:AN2160" si="2716">SUM(AI2159:AM2159)</f>
        <v>0</v>
      </c>
      <c r="AO2159" s="42"/>
      <c r="AP2159" s="53"/>
      <c r="AQ2159" s="53"/>
      <c r="AR2159" s="53"/>
      <c r="AS2159" s="72"/>
      <c r="AT2159" s="24">
        <f t="shared" ref="AT2159:AT2160" si="2717">SUM(AO2159:AS2159)</f>
        <v>0</v>
      </c>
      <c r="AU2159" s="42"/>
      <c r="AV2159" s="53"/>
      <c r="AW2159" s="53"/>
      <c r="AX2159" s="53"/>
      <c r="AY2159" s="72"/>
      <c r="AZ2159" s="24">
        <f t="shared" ref="AZ2159:AZ2160" si="2718">SUM(AU2159:AY2159)</f>
        <v>0</v>
      </c>
      <c r="BA2159" s="24">
        <f t="shared" ref="BA2159:BA2182" si="2719">AH2159+AN2159+AT2159+AZ2159</f>
        <v>0</v>
      </c>
    </row>
    <row r="2160" spans="1:53" ht="14.25" x14ac:dyDescent="0.15">
      <c r="A2160" s="23" t="s">
        <v>699</v>
      </c>
      <c r="B2160" s="41"/>
      <c r="C2160" s="42"/>
      <c r="D2160" s="42"/>
      <c r="E2160" s="42"/>
      <c r="F2160" s="42"/>
      <c r="G2160" s="43">
        <f t="shared" si="2701"/>
        <v>0</v>
      </c>
      <c r="H2160" s="41"/>
      <c r="I2160" s="42"/>
      <c r="J2160" s="42"/>
      <c r="K2160" s="42"/>
      <c r="L2160" s="42">
        <v>1</v>
      </c>
      <c r="M2160" s="43">
        <f t="shared" si="2702"/>
        <v>1</v>
      </c>
      <c r="N2160" s="42"/>
      <c r="O2160" s="53"/>
      <c r="P2160" s="53"/>
      <c r="Q2160" s="53"/>
      <c r="R2160" s="72"/>
      <c r="S2160" s="24">
        <f t="shared" si="2703"/>
        <v>0</v>
      </c>
      <c r="T2160" s="42"/>
      <c r="U2160" s="53"/>
      <c r="V2160" s="53"/>
      <c r="W2160" s="53"/>
      <c r="X2160" s="72">
        <v>1</v>
      </c>
      <c r="Y2160" s="24">
        <f t="shared" si="2704"/>
        <v>1</v>
      </c>
      <c r="Z2160" s="24">
        <f t="shared" si="2709"/>
        <v>2</v>
      </c>
      <c r="AA2160" s="93">
        <v>46045</v>
      </c>
      <c r="AB2160" s="23"/>
      <c r="AC2160" s="41"/>
      <c r="AD2160" s="42"/>
      <c r="AE2160" s="42"/>
      <c r="AF2160" s="42"/>
      <c r="AG2160" s="42"/>
      <c r="AH2160" s="43">
        <f t="shared" si="2715"/>
        <v>0</v>
      </c>
      <c r="AI2160" s="41"/>
      <c r="AJ2160" s="42"/>
      <c r="AK2160" s="42"/>
      <c r="AL2160" s="42"/>
      <c r="AM2160" s="42"/>
      <c r="AN2160" s="43">
        <f t="shared" si="2716"/>
        <v>0</v>
      </c>
      <c r="AO2160" s="42"/>
      <c r="AP2160" s="53"/>
      <c r="AQ2160" s="53"/>
      <c r="AR2160" s="53"/>
      <c r="AS2160" s="72"/>
      <c r="AT2160" s="24">
        <f t="shared" si="2717"/>
        <v>0</v>
      </c>
      <c r="AU2160" s="42"/>
      <c r="AV2160" s="53"/>
      <c r="AW2160" s="53"/>
      <c r="AX2160" s="53"/>
      <c r="AY2160" s="72"/>
      <c r="AZ2160" s="24">
        <f t="shared" si="2718"/>
        <v>0</v>
      </c>
      <c r="BA2160" s="24">
        <f t="shared" si="2719"/>
        <v>0</v>
      </c>
    </row>
    <row r="2161" spans="1:53" ht="14.25" x14ac:dyDescent="0.15">
      <c r="A2161" s="23" t="s">
        <v>699</v>
      </c>
      <c r="B2161" s="41">
        <v>1</v>
      </c>
      <c r="C2161" s="42"/>
      <c r="D2161" s="42"/>
      <c r="E2161" s="42"/>
      <c r="F2161" s="42"/>
      <c r="G2161" s="43">
        <f t="shared" si="2701"/>
        <v>1</v>
      </c>
      <c r="H2161" s="41"/>
      <c r="I2161" s="42"/>
      <c r="J2161" s="42">
        <v>1</v>
      </c>
      <c r="K2161" s="42">
        <v>1</v>
      </c>
      <c r="L2161" s="42">
        <v>1</v>
      </c>
      <c r="M2161" s="43">
        <f t="shared" si="2702"/>
        <v>3</v>
      </c>
      <c r="N2161" s="42"/>
      <c r="O2161" s="53"/>
      <c r="P2161" s="53">
        <v>1</v>
      </c>
      <c r="Q2161" s="53"/>
      <c r="R2161" s="72"/>
      <c r="S2161" s="24">
        <f t="shared" si="2703"/>
        <v>1</v>
      </c>
      <c r="T2161" s="42"/>
      <c r="U2161" s="53"/>
      <c r="V2161" s="53"/>
      <c r="W2161" s="53"/>
      <c r="X2161" s="72"/>
      <c r="Y2161" s="24">
        <f t="shared" si="2704"/>
        <v>0</v>
      </c>
      <c r="Z2161" s="24">
        <f t="shared" si="2709"/>
        <v>5</v>
      </c>
      <c r="AA2161" s="93">
        <v>46048</v>
      </c>
      <c r="AB2161" s="23"/>
      <c r="AC2161" s="41"/>
      <c r="AD2161" s="42"/>
      <c r="AE2161" s="42"/>
      <c r="AF2161" s="42"/>
      <c r="AG2161" s="42"/>
      <c r="AH2161" s="43">
        <f t="shared" ref="AH2161:AH2179" si="2720">SUM(AC2161:AG2161)</f>
        <v>0</v>
      </c>
      <c r="AI2161" s="41"/>
      <c r="AJ2161" s="42"/>
      <c r="AK2161" s="42"/>
      <c r="AL2161" s="42"/>
      <c r="AM2161" s="42"/>
      <c r="AN2161" s="43">
        <f t="shared" ref="AN2161:AN2179" si="2721">SUM(AI2161:AM2161)</f>
        <v>0</v>
      </c>
      <c r="AO2161" s="42"/>
      <c r="AP2161" s="53"/>
      <c r="AQ2161" s="53"/>
      <c r="AR2161" s="53"/>
      <c r="AS2161" s="72"/>
      <c r="AT2161" s="24">
        <f t="shared" ref="AT2161:AT2179" si="2722">SUM(AO2161:AS2161)</f>
        <v>0</v>
      </c>
      <c r="AU2161" s="42"/>
      <c r="AV2161" s="53"/>
      <c r="AW2161" s="53"/>
      <c r="AX2161" s="53"/>
      <c r="AY2161" s="72"/>
      <c r="AZ2161" s="24">
        <f t="shared" ref="AZ2161:AZ2179" si="2723">SUM(AU2161:AY2161)</f>
        <v>0</v>
      </c>
      <c r="BA2161" s="24">
        <f t="shared" si="2719"/>
        <v>0</v>
      </c>
    </row>
    <row r="2162" spans="1:53" ht="14.25" x14ac:dyDescent="0.15">
      <c r="A2162" s="23" t="s">
        <v>699</v>
      </c>
      <c r="B2162" s="41"/>
      <c r="C2162" s="42"/>
      <c r="D2162" s="42"/>
      <c r="E2162" s="42"/>
      <c r="F2162" s="42"/>
      <c r="G2162" s="43">
        <f t="shared" si="2701"/>
        <v>0</v>
      </c>
      <c r="H2162" s="41"/>
      <c r="I2162" s="42"/>
      <c r="J2162" s="42"/>
      <c r="K2162" s="42"/>
      <c r="L2162" s="42"/>
      <c r="M2162" s="43">
        <f t="shared" si="2702"/>
        <v>0</v>
      </c>
      <c r="N2162" s="42">
        <v>1</v>
      </c>
      <c r="O2162" s="53"/>
      <c r="P2162" s="53"/>
      <c r="Q2162" s="53"/>
      <c r="R2162" s="72"/>
      <c r="S2162" s="24">
        <f t="shared" si="2703"/>
        <v>1</v>
      </c>
      <c r="T2162" s="42"/>
      <c r="U2162" s="53"/>
      <c r="V2162" s="53"/>
      <c r="W2162" s="53"/>
      <c r="X2162" s="72"/>
      <c r="Y2162" s="24">
        <f t="shared" si="2704"/>
        <v>0</v>
      </c>
      <c r="Z2162" s="24">
        <f t="shared" si="2709"/>
        <v>1</v>
      </c>
      <c r="AA2162" s="93">
        <v>46051</v>
      </c>
      <c r="AB2162" s="23"/>
      <c r="AC2162" s="41"/>
      <c r="AD2162" s="42"/>
      <c r="AE2162" s="42"/>
      <c r="AF2162" s="42"/>
      <c r="AG2162" s="42"/>
      <c r="AH2162" s="43">
        <f t="shared" si="2720"/>
        <v>0</v>
      </c>
      <c r="AI2162" s="41"/>
      <c r="AJ2162" s="42"/>
      <c r="AK2162" s="42"/>
      <c r="AL2162" s="42"/>
      <c r="AM2162" s="42"/>
      <c r="AN2162" s="43">
        <f t="shared" si="2721"/>
        <v>0</v>
      </c>
      <c r="AO2162" s="42"/>
      <c r="AP2162" s="53"/>
      <c r="AQ2162" s="53"/>
      <c r="AR2162" s="53"/>
      <c r="AS2162" s="72"/>
      <c r="AT2162" s="24">
        <f t="shared" si="2722"/>
        <v>0</v>
      </c>
      <c r="AU2162" s="42"/>
      <c r="AV2162" s="53"/>
      <c r="AW2162" s="53"/>
      <c r="AX2162" s="53"/>
      <c r="AY2162" s="72"/>
      <c r="AZ2162" s="24">
        <f t="shared" si="2723"/>
        <v>0</v>
      </c>
      <c r="BA2162" s="24">
        <f t="shared" si="2719"/>
        <v>0</v>
      </c>
    </row>
    <row r="2163" spans="1:53" ht="14.25" x14ac:dyDescent="0.15">
      <c r="A2163" s="23" t="s">
        <v>699</v>
      </c>
      <c r="B2163" s="41"/>
      <c r="C2163" s="42"/>
      <c r="D2163" s="42"/>
      <c r="E2163" s="42"/>
      <c r="F2163" s="42"/>
      <c r="G2163" s="43">
        <f t="shared" si="2701"/>
        <v>0</v>
      </c>
      <c r="H2163" s="41"/>
      <c r="I2163" s="42"/>
      <c r="J2163" s="42"/>
      <c r="K2163" s="42"/>
      <c r="L2163" s="42">
        <v>1</v>
      </c>
      <c r="M2163" s="43">
        <f t="shared" si="2702"/>
        <v>1</v>
      </c>
      <c r="N2163" s="42"/>
      <c r="O2163" s="53"/>
      <c r="P2163" s="53"/>
      <c r="Q2163" s="53"/>
      <c r="R2163" s="72"/>
      <c r="S2163" s="24">
        <f t="shared" si="2703"/>
        <v>0</v>
      </c>
      <c r="T2163" s="42"/>
      <c r="U2163" s="53"/>
      <c r="V2163" s="53"/>
      <c r="W2163" s="53"/>
      <c r="X2163" s="72"/>
      <c r="Y2163" s="24">
        <f t="shared" si="2704"/>
        <v>0</v>
      </c>
      <c r="Z2163" s="24">
        <f t="shared" si="2709"/>
        <v>1</v>
      </c>
      <c r="AA2163" s="93">
        <v>46052</v>
      </c>
      <c r="AB2163" s="23"/>
      <c r="AC2163" s="41"/>
      <c r="AD2163" s="42"/>
      <c r="AE2163" s="42"/>
      <c r="AF2163" s="42"/>
      <c r="AG2163" s="42"/>
      <c r="AH2163" s="43">
        <f t="shared" si="2720"/>
        <v>0</v>
      </c>
      <c r="AI2163" s="41"/>
      <c r="AJ2163" s="42"/>
      <c r="AK2163" s="42"/>
      <c r="AL2163" s="42"/>
      <c r="AM2163" s="42"/>
      <c r="AN2163" s="43">
        <f t="shared" si="2721"/>
        <v>0</v>
      </c>
      <c r="AO2163" s="42"/>
      <c r="AP2163" s="53"/>
      <c r="AQ2163" s="53"/>
      <c r="AR2163" s="53"/>
      <c r="AS2163" s="72"/>
      <c r="AT2163" s="24">
        <f t="shared" si="2722"/>
        <v>0</v>
      </c>
      <c r="AU2163" s="42"/>
      <c r="AV2163" s="53"/>
      <c r="AW2163" s="53"/>
      <c r="AX2163" s="53"/>
      <c r="AY2163" s="72"/>
      <c r="AZ2163" s="24">
        <f t="shared" si="2723"/>
        <v>0</v>
      </c>
      <c r="BA2163" s="24">
        <f t="shared" si="2719"/>
        <v>0</v>
      </c>
    </row>
    <row r="2164" spans="1:53" ht="14.25" x14ac:dyDescent="0.15">
      <c r="A2164" s="23" t="s">
        <v>699</v>
      </c>
      <c r="B2164" s="41"/>
      <c r="C2164" s="42"/>
      <c r="D2164" s="42"/>
      <c r="E2164" s="42"/>
      <c r="F2164" s="42"/>
      <c r="G2164" s="43">
        <f t="shared" si="2701"/>
        <v>0</v>
      </c>
      <c r="H2164" s="41"/>
      <c r="I2164" s="42">
        <v>1</v>
      </c>
      <c r="J2164" s="42"/>
      <c r="K2164" s="42"/>
      <c r="L2164" s="42"/>
      <c r="M2164" s="43">
        <f t="shared" si="2702"/>
        <v>1</v>
      </c>
      <c r="N2164" s="42"/>
      <c r="O2164" s="53"/>
      <c r="P2164" s="53"/>
      <c r="Q2164" s="53"/>
      <c r="R2164" s="72"/>
      <c r="S2164" s="24">
        <f t="shared" si="2703"/>
        <v>0</v>
      </c>
      <c r="T2164" s="42"/>
      <c r="U2164" s="53"/>
      <c r="V2164" s="53"/>
      <c r="W2164" s="53"/>
      <c r="X2164" s="72"/>
      <c r="Y2164" s="24">
        <f t="shared" si="2704"/>
        <v>0</v>
      </c>
      <c r="Z2164" s="24">
        <f t="shared" si="2709"/>
        <v>1</v>
      </c>
      <c r="AA2164" s="93">
        <v>46053</v>
      </c>
      <c r="AB2164" s="23"/>
      <c r="AC2164" s="41"/>
      <c r="AD2164" s="42"/>
      <c r="AE2164" s="42"/>
      <c r="AF2164" s="42"/>
      <c r="AG2164" s="42"/>
      <c r="AH2164" s="43">
        <f t="shared" si="2720"/>
        <v>0</v>
      </c>
      <c r="AI2164" s="41"/>
      <c r="AJ2164" s="42"/>
      <c r="AK2164" s="42"/>
      <c r="AL2164" s="42"/>
      <c r="AM2164" s="42"/>
      <c r="AN2164" s="43">
        <f t="shared" si="2721"/>
        <v>0</v>
      </c>
      <c r="AO2164" s="42"/>
      <c r="AP2164" s="53"/>
      <c r="AQ2164" s="53"/>
      <c r="AR2164" s="53"/>
      <c r="AS2164" s="72"/>
      <c r="AT2164" s="24">
        <f t="shared" si="2722"/>
        <v>0</v>
      </c>
      <c r="AU2164" s="42"/>
      <c r="AV2164" s="53"/>
      <c r="AW2164" s="53"/>
      <c r="AX2164" s="53"/>
      <c r="AY2164" s="72"/>
      <c r="AZ2164" s="24">
        <f t="shared" si="2723"/>
        <v>0</v>
      </c>
      <c r="BA2164" s="24">
        <f t="shared" si="2719"/>
        <v>0</v>
      </c>
    </row>
    <row r="2165" spans="1:53" ht="14.25" x14ac:dyDescent="0.15">
      <c r="A2165" s="23" t="s">
        <v>699</v>
      </c>
      <c r="B2165" s="41"/>
      <c r="C2165" s="42"/>
      <c r="D2165" s="42">
        <v>1</v>
      </c>
      <c r="E2165" s="42"/>
      <c r="F2165" s="42"/>
      <c r="G2165" s="43">
        <f t="shared" si="2701"/>
        <v>1</v>
      </c>
      <c r="H2165" s="41"/>
      <c r="I2165" s="42">
        <v>1</v>
      </c>
      <c r="J2165" s="42"/>
      <c r="K2165" s="42">
        <v>2</v>
      </c>
      <c r="L2165" s="42">
        <v>1</v>
      </c>
      <c r="M2165" s="43">
        <f t="shared" si="2702"/>
        <v>4</v>
      </c>
      <c r="N2165" s="42"/>
      <c r="O2165" s="53"/>
      <c r="P2165" s="53"/>
      <c r="Q2165" s="53"/>
      <c r="R2165" s="72"/>
      <c r="S2165" s="24">
        <f t="shared" si="2703"/>
        <v>0</v>
      </c>
      <c r="T2165" s="42">
        <v>1</v>
      </c>
      <c r="U2165" s="53"/>
      <c r="V2165" s="53"/>
      <c r="W2165" s="53"/>
      <c r="X2165" s="72"/>
      <c r="Y2165" s="24">
        <f t="shared" si="2704"/>
        <v>1</v>
      </c>
      <c r="Z2165" s="24">
        <f t="shared" si="2709"/>
        <v>6</v>
      </c>
      <c r="AA2165" s="93">
        <v>46055</v>
      </c>
      <c r="AB2165" s="23"/>
      <c r="AC2165" s="41"/>
      <c r="AD2165" s="42"/>
      <c r="AE2165" s="42"/>
      <c r="AF2165" s="42"/>
      <c r="AG2165" s="42"/>
      <c r="AH2165" s="43">
        <f t="shared" si="2720"/>
        <v>0</v>
      </c>
      <c r="AI2165" s="41"/>
      <c r="AJ2165" s="42"/>
      <c r="AK2165" s="42"/>
      <c r="AL2165" s="42"/>
      <c r="AM2165" s="42"/>
      <c r="AN2165" s="43">
        <f t="shared" si="2721"/>
        <v>0</v>
      </c>
      <c r="AO2165" s="42"/>
      <c r="AP2165" s="53"/>
      <c r="AQ2165" s="53"/>
      <c r="AR2165" s="53"/>
      <c r="AS2165" s="72"/>
      <c r="AT2165" s="24">
        <f t="shared" si="2722"/>
        <v>0</v>
      </c>
      <c r="AU2165" s="42"/>
      <c r="AV2165" s="53"/>
      <c r="AW2165" s="53"/>
      <c r="AX2165" s="53"/>
      <c r="AY2165" s="72"/>
      <c r="AZ2165" s="24">
        <f t="shared" si="2723"/>
        <v>0</v>
      </c>
      <c r="BA2165" s="24">
        <f t="shared" si="2719"/>
        <v>0</v>
      </c>
    </row>
    <row r="2166" spans="1:53" ht="14.25" x14ac:dyDescent="0.15">
      <c r="A2166" s="23" t="s">
        <v>699</v>
      </c>
      <c r="B2166" s="41"/>
      <c r="C2166" s="42">
        <v>1</v>
      </c>
      <c r="D2166" s="42">
        <v>1</v>
      </c>
      <c r="E2166" s="42"/>
      <c r="F2166" s="42"/>
      <c r="G2166" s="43">
        <f t="shared" si="2701"/>
        <v>2</v>
      </c>
      <c r="H2166" s="41"/>
      <c r="I2166" s="42"/>
      <c r="J2166" s="42">
        <v>1</v>
      </c>
      <c r="K2166" s="42"/>
      <c r="L2166" s="42"/>
      <c r="M2166" s="43">
        <f t="shared" si="2702"/>
        <v>1</v>
      </c>
      <c r="N2166" s="42"/>
      <c r="O2166" s="53"/>
      <c r="P2166" s="53"/>
      <c r="Q2166" s="53"/>
      <c r="R2166" s="72"/>
      <c r="S2166" s="24">
        <f t="shared" si="2703"/>
        <v>0</v>
      </c>
      <c r="T2166" s="42"/>
      <c r="U2166" s="53"/>
      <c r="V2166" s="53"/>
      <c r="W2166" s="53"/>
      <c r="X2166" s="72"/>
      <c r="Y2166" s="24">
        <f t="shared" si="2704"/>
        <v>0</v>
      </c>
      <c r="Z2166" s="24">
        <f t="shared" si="2709"/>
        <v>3</v>
      </c>
      <c r="AA2166" s="93">
        <v>46058</v>
      </c>
      <c r="AB2166" s="23"/>
      <c r="AC2166" s="41"/>
      <c r="AD2166" s="42"/>
      <c r="AE2166" s="42"/>
      <c r="AF2166" s="42"/>
      <c r="AG2166" s="42"/>
      <c r="AH2166" s="43">
        <f t="shared" si="2720"/>
        <v>0</v>
      </c>
      <c r="AI2166" s="41"/>
      <c r="AJ2166" s="42"/>
      <c r="AK2166" s="42"/>
      <c r="AL2166" s="42"/>
      <c r="AM2166" s="42"/>
      <c r="AN2166" s="43">
        <f t="shared" si="2721"/>
        <v>0</v>
      </c>
      <c r="AO2166" s="42"/>
      <c r="AP2166" s="53"/>
      <c r="AQ2166" s="53"/>
      <c r="AR2166" s="53"/>
      <c r="AS2166" s="72"/>
      <c r="AT2166" s="24">
        <f t="shared" si="2722"/>
        <v>0</v>
      </c>
      <c r="AU2166" s="42"/>
      <c r="AV2166" s="53"/>
      <c r="AW2166" s="53"/>
      <c r="AX2166" s="53"/>
      <c r="AY2166" s="72"/>
      <c r="AZ2166" s="24">
        <f t="shared" si="2723"/>
        <v>0</v>
      </c>
      <c r="BA2166" s="24">
        <f t="shared" si="2719"/>
        <v>0</v>
      </c>
    </row>
    <row r="2167" spans="1:53" ht="14.25" x14ac:dyDescent="0.15">
      <c r="A2167" s="23" t="s">
        <v>616</v>
      </c>
      <c r="B2167" s="41"/>
      <c r="C2167" s="42"/>
      <c r="D2167" s="42"/>
      <c r="E2167" s="42"/>
      <c r="F2167" s="42"/>
      <c r="G2167" s="43">
        <f t="shared" si="2701"/>
        <v>0</v>
      </c>
      <c r="H2167" s="41"/>
      <c r="I2167" s="42">
        <v>1</v>
      </c>
      <c r="J2167" s="42">
        <v>-1</v>
      </c>
      <c r="K2167" s="42">
        <v>1</v>
      </c>
      <c r="L2167" s="42"/>
      <c r="M2167" s="43">
        <f t="shared" si="2702"/>
        <v>1</v>
      </c>
      <c r="N2167" s="42"/>
      <c r="O2167" s="53"/>
      <c r="P2167" s="53"/>
      <c r="Q2167" s="53"/>
      <c r="R2167" s="72"/>
      <c r="S2167" s="24">
        <f t="shared" si="2703"/>
        <v>0</v>
      </c>
      <c r="T2167" s="42"/>
      <c r="U2167" s="53"/>
      <c r="V2167" s="53"/>
      <c r="W2167" s="53"/>
      <c r="X2167" s="72"/>
      <c r="Y2167" s="24">
        <f t="shared" si="2704"/>
        <v>0</v>
      </c>
      <c r="Z2167" s="24">
        <f t="shared" si="2709"/>
        <v>1</v>
      </c>
      <c r="AA2167" s="93">
        <v>46058</v>
      </c>
      <c r="AB2167" s="23"/>
      <c r="AC2167" s="41"/>
      <c r="AD2167" s="42"/>
      <c r="AE2167" s="42"/>
      <c r="AF2167" s="42"/>
      <c r="AG2167" s="42"/>
      <c r="AH2167" s="43">
        <f t="shared" si="2720"/>
        <v>0</v>
      </c>
      <c r="AI2167" s="41"/>
      <c r="AJ2167" s="42"/>
      <c r="AK2167" s="42"/>
      <c r="AL2167" s="42"/>
      <c r="AM2167" s="42"/>
      <c r="AN2167" s="43">
        <f t="shared" si="2721"/>
        <v>0</v>
      </c>
      <c r="AO2167" s="42"/>
      <c r="AP2167" s="53"/>
      <c r="AQ2167" s="53"/>
      <c r="AR2167" s="53"/>
      <c r="AS2167" s="72"/>
      <c r="AT2167" s="24">
        <f t="shared" si="2722"/>
        <v>0</v>
      </c>
      <c r="AU2167" s="42"/>
      <c r="AV2167" s="53"/>
      <c r="AW2167" s="53"/>
      <c r="AX2167" s="53"/>
      <c r="AY2167" s="72"/>
      <c r="AZ2167" s="24">
        <f t="shared" si="2723"/>
        <v>0</v>
      </c>
      <c r="BA2167" s="24">
        <f t="shared" si="2719"/>
        <v>0</v>
      </c>
    </row>
    <row r="2168" spans="1:53" ht="14.25" x14ac:dyDescent="0.15">
      <c r="A2168" s="23" t="s">
        <v>699</v>
      </c>
      <c r="B2168" s="41"/>
      <c r="C2168" s="42"/>
      <c r="D2168" s="42">
        <v>1</v>
      </c>
      <c r="E2168" s="42"/>
      <c r="F2168" s="42"/>
      <c r="G2168" s="43">
        <f t="shared" si="2701"/>
        <v>1</v>
      </c>
      <c r="H2168" s="41"/>
      <c r="I2168" s="42"/>
      <c r="J2168" s="42">
        <v>1</v>
      </c>
      <c r="K2168" s="42">
        <v>1</v>
      </c>
      <c r="L2168" s="42"/>
      <c r="M2168" s="43">
        <f t="shared" si="2702"/>
        <v>2</v>
      </c>
      <c r="N2168" s="42"/>
      <c r="O2168" s="53">
        <v>1</v>
      </c>
      <c r="P2168" s="53"/>
      <c r="Q2168" s="53"/>
      <c r="R2168" s="72"/>
      <c r="S2168" s="24">
        <f t="shared" si="2703"/>
        <v>1</v>
      </c>
      <c r="T2168" s="42"/>
      <c r="U2168" s="53"/>
      <c r="V2168" s="53"/>
      <c r="W2168" s="53"/>
      <c r="X2168" s="72"/>
      <c r="Y2168" s="24">
        <f t="shared" si="2704"/>
        <v>0</v>
      </c>
      <c r="Z2168" s="24">
        <f t="shared" si="2709"/>
        <v>4</v>
      </c>
      <c r="AA2168" s="93">
        <v>46059</v>
      </c>
      <c r="AB2168" s="23"/>
      <c r="AC2168" s="41"/>
      <c r="AD2168" s="42"/>
      <c r="AE2168" s="42"/>
      <c r="AF2168" s="42"/>
      <c r="AG2168" s="42"/>
      <c r="AH2168" s="43">
        <f t="shared" si="2720"/>
        <v>0</v>
      </c>
      <c r="AI2168" s="41"/>
      <c r="AJ2168" s="42"/>
      <c r="AK2168" s="42"/>
      <c r="AL2168" s="42"/>
      <c r="AM2168" s="42"/>
      <c r="AN2168" s="43">
        <f t="shared" si="2721"/>
        <v>0</v>
      </c>
      <c r="AO2168" s="42"/>
      <c r="AP2168" s="53"/>
      <c r="AQ2168" s="53"/>
      <c r="AR2168" s="53"/>
      <c r="AS2168" s="72"/>
      <c r="AT2168" s="24">
        <f t="shared" si="2722"/>
        <v>0</v>
      </c>
      <c r="AU2168" s="42"/>
      <c r="AV2168" s="53"/>
      <c r="AW2168" s="53"/>
      <c r="AX2168" s="53"/>
      <c r="AY2168" s="72"/>
      <c r="AZ2168" s="24">
        <f t="shared" si="2723"/>
        <v>0</v>
      </c>
      <c r="BA2168" s="24">
        <f t="shared" si="2719"/>
        <v>0</v>
      </c>
    </row>
    <row r="2169" spans="1:53" ht="14.25" x14ac:dyDescent="0.15">
      <c r="A2169" s="23" t="s">
        <v>699</v>
      </c>
      <c r="B2169" s="41"/>
      <c r="C2169" s="42"/>
      <c r="D2169" s="42"/>
      <c r="E2169" s="42"/>
      <c r="F2169" s="42"/>
      <c r="G2169" s="43">
        <f t="shared" si="2701"/>
        <v>0</v>
      </c>
      <c r="H2169" s="41">
        <v>1</v>
      </c>
      <c r="I2169" s="42"/>
      <c r="J2169" s="42"/>
      <c r="K2169" s="42"/>
      <c r="L2169" s="42"/>
      <c r="M2169" s="43">
        <f t="shared" si="2702"/>
        <v>1</v>
      </c>
      <c r="N2169" s="42"/>
      <c r="O2169" s="53"/>
      <c r="P2169" s="53"/>
      <c r="Q2169" s="53"/>
      <c r="R2169" s="72"/>
      <c r="S2169" s="24">
        <f t="shared" si="2703"/>
        <v>0</v>
      </c>
      <c r="T2169" s="42"/>
      <c r="U2169" s="53"/>
      <c r="V2169" s="53"/>
      <c r="W2169" s="53"/>
      <c r="X2169" s="72">
        <v>1</v>
      </c>
      <c r="Y2169" s="24">
        <f t="shared" si="2704"/>
        <v>1</v>
      </c>
      <c r="Z2169" s="24">
        <f t="shared" si="2709"/>
        <v>2</v>
      </c>
      <c r="AA2169" s="93">
        <v>46062</v>
      </c>
      <c r="AB2169" s="23"/>
      <c r="AC2169" s="41"/>
      <c r="AD2169" s="42"/>
      <c r="AE2169" s="42"/>
      <c r="AF2169" s="42"/>
      <c r="AG2169" s="42"/>
      <c r="AH2169" s="43">
        <f t="shared" si="2720"/>
        <v>0</v>
      </c>
      <c r="AI2169" s="41"/>
      <c r="AJ2169" s="42"/>
      <c r="AK2169" s="42"/>
      <c r="AL2169" s="42"/>
      <c r="AM2169" s="42"/>
      <c r="AN2169" s="43">
        <f t="shared" si="2721"/>
        <v>0</v>
      </c>
      <c r="AO2169" s="42"/>
      <c r="AP2169" s="53"/>
      <c r="AQ2169" s="53"/>
      <c r="AR2169" s="53"/>
      <c r="AS2169" s="72"/>
      <c r="AT2169" s="24">
        <f t="shared" si="2722"/>
        <v>0</v>
      </c>
      <c r="AU2169" s="42"/>
      <c r="AV2169" s="53"/>
      <c r="AW2169" s="53"/>
      <c r="AX2169" s="53"/>
      <c r="AY2169" s="72"/>
      <c r="AZ2169" s="24">
        <f t="shared" si="2723"/>
        <v>0</v>
      </c>
      <c r="BA2169" s="24">
        <f t="shared" si="2719"/>
        <v>0</v>
      </c>
    </row>
    <row r="2170" spans="1:53" ht="14.25" x14ac:dyDescent="0.15">
      <c r="A2170" s="23" t="s">
        <v>181</v>
      </c>
      <c r="B2170" s="41">
        <v>-3</v>
      </c>
      <c r="C2170" s="42"/>
      <c r="D2170" s="42"/>
      <c r="E2170" s="42"/>
      <c r="F2170" s="42"/>
      <c r="G2170" s="43">
        <f t="shared" si="2701"/>
        <v>-3</v>
      </c>
      <c r="H2170" s="41"/>
      <c r="I2170" s="42"/>
      <c r="J2170" s="42"/>
      <c r="K2170" s="42"/>
      <c r="L2170" s="42"/>
      <c r="M2170" s="43">
        <f t="shared" si="2702"/>
        <v>0</v>
      </c>
      <c r="N2170" s="42"/>
      <c r="O2170" s="53"/>
      <c r="P2170" s="53"/>
      <c r="Q2170" s="53"/>
      <c r="R2170" s="72"/>
      <c r="S2170" s="24">
        <f t="shared" si="2703"/>
        <v>0</v>
      </c>
      <c r="T2170" s="42"/>
      <c r="U2170" s="53"/>
      <c r="V2170" s="53"/>
      <c r="W2170" s="53"/>
      <c r="X2170" s="72"/>
      <c r="Y2170" s="24">
        <f t="shared" si="2704"/>
        <v>0</v>
      </c>
      <c r="Z2170" s="24">
        <f t="shared" si="2709"/>
        <v>-3</v>
      </c>
      <c r="AA2170" s="83">
        <v>46063</v>
      </c>
      <c r="AB2170" s="23"/>
      <c r="AC2170" s="41"/>
      <c r="AD2170" s="42"/>
      <c r="AE2170" s="42"/>
      <c r="AF2170" s="42"/>
      <c r="AG2170" s="42"/>
      <c r="AH2170" s="43">
        <f t="shared" si="2720"/>
        <v>0</v>
      </c>
      <c r="AI2170" s="41"/>
      <c r="AJ2170" s="42"/>
      <c r="AK2170" s="42"/>
      <c r="AL2170" s="42"/>
      <c r="AM2170" s="42"/>
      <c r="AN2170" s="43">
        <f t="shared" si="2721"/>
        <v>0</v>
      </c>
      <c r="AO2170" s="42"/>
      <c r="AP2170" s="53"/>
      <c r="AQ2170" s="53"/>
      <c r="AR2170" s="53"/>
      <c r="AS2170" s="72"/>
      <c r="AT2170" s="24">
        <f t="shared" si="2722"/>
        <v>0</v>
      </c>
      <c r="AU2170" s="42"/>
      <c r="AV2170" s="53"/>
      <c r="AW2170" s="53"/>
      <c r="AX2170" s="53"/>
      <c r="AY2170" s="72"/>
      <c r="AZ2170" s="24">
        <f t="shared" si="2723"/>
        <v>0</v>
      </c>
      <c r="BA2170" s="24">
        <f t="shared" si="2719"/>
        <v>0</v>
      </c>
    </row>
    <row r="2171" spans="1:53" ht="14.25" x14ac:dyDescent="0.15">
      <c r="A2171" s="23" t="s">
        <v>699</v>
      </c>
      <c r="B2171" s="41"/>
      <c r="C2171" s="42"/>
      <c r="D2171" s="42"/>
      <c r="E2171" s="42"/>
      <c r="F2171" s="42"/>
      <c r="G2171" s="43">
        <f t="shared" si="2701"/>
        <v>0</v>
      </c>
      <c r="H2171" s="41"/>
      <c r="I2171" s="42"/>
      <c r="J2171" s="42"/>
      <c r="K2171" s="42"/>
      <c r="L2171" s="42"/>
      <c r="M2171" s="43">
        <f t="shared" si="2702"/>
        <v>0</v>
      </c>
      <c r="N2171" s="42"/>
      <c r="O2171" s="53"/>
      <c r="P2171" s="53"/>
      <c r="Q2171" s="53"/>
      <c r="R2171" s="72"/>
      <c r="S2171" s="24">
        <f t="shared" si="2703"/>
        <v>0</v>
      </c>
      <c r="T2171" s="42"/>
      <c r="U2171" s="53"/>
      <c r="V2171" s="53"/>
      <c r="W2171" s="53"/>
      <c r="X2171" s="72">
        <v>1</v>
      </c>
      <c r="Y2171" s="24">
        <f t="shared" si="2704"/>
        <v>1</v>
      </c>
      <c r="Z2171" s="24">
        <f t="shared" si="2709"/>
        <v>1</v>
      </c>
      <c r="AA2171" s="93">
        <v>46066</v>
      </c>
      <c r="AB2171" s="23"/>
      <c r="AC2171" s="41"/>
      <c r="AD2171" s="42"/>
      <c r="AE2171" s="42"/>
      <c r="AF2171" s="42"/>
      <c r="AG2171" s="42"/>
      <c r="AH2171" s="43">
        <f t="shared" si="2720"/>
        <v>0</v>
      </c>
      <c r="AI2171" s="41"/>
      <c r="AJ2171" s="42"/>
      <c r="AK2171" s="42"/>
      <c r="AL2171" s="42"/>
      <c r="AM2171" s="42"/>
      <c r="AN2171" s="43">
        <f t="shared" si="2721"/>
        <v>0</v>
      </c>
      <c r="AO2171" s="42"/>
      <c r="AP2171" s="53"/>
      <c r="AQ2171" s="53"/>
      <c r="AR2171" s="53"/>
      <c r="AS2171" s="72"/>
      <c r="AT2171" s="24">
        <f t="shared" si="2722"/>
        <v>0</v>
      </c>
      <c r="AU2171" s="42"/>
      <c r="AV2171" s="53"/>
      <c r="AW2171" s="53"/>
      <c r="AX2171" s="53"/>
      <c r="AY2171" s="72"/>
      <c r="AZ2171" s="24">
        <f t="shared" si="2723"/>
        <v>0</v>
      </c>
      <c r="BA2171" s="24">
        <f t="shared" si="2719"/>
        <v>0</v>
      </c>
    </row>
    <row r="2172" spans="1:53" ht="14.25" x14ac:dyDescent="0.15">
      <c r="A2172" s="23" t="s">
        <v>699</v>
      </c>
      <c r="B2172" s="41"/>
      <c r="C2172" s="42"/>
      <c r="D2172" s="42"/>
      <c r="E2172" s="42"/>
      <c r="F2172" s="42"/>
      <c r="G2172" s="43">
        <f t="shared" si="2701"/>
        <v>0</v>
      </c>
      <c r="H2172" s="41"/>
      <c r="I2172" s="42"/>
      <c r="J2172" s="42"/>
      <c r="K2172" s="42"/>
      <c r="L2172" s="42"/>
      <c r="M2172" s="43">
        <f t="shared" si="2702"/>
        <v>0</v>
      </c>
      <c r="N2172" s="42"/>
      <c r="O2172" s="53"/>
      <c r="P2172" s="53"/>
      <c r="Q2172" s="53">
        <v>1</v>
      </c>
      <c r="R2172" s="72"/>
      <c r="S2172" s="24">
        <f t="shared" si="2703"/>
        <v>1</v>
      </c>
      <c r="T2172" s="42"/>
      <c r="U2172" s="53"/>
      <c r="V2172" s="53"/>
      <c r="W2172" s="53"/>
      <c r="X2172" s="72"/>
      <c r="Y2172" s="24">
        <f t="shared" si="2704"/>
        <v>0</v>
      </c>
      <c r="Z2172" s="24">
        <f t="shared" si="2709"/>
        <v>1</v>
      </c>
      <c r="AA2172" s="93">
        <v>46069</v>
      </c>
      <c r="AB2172" s="23"/>
      <c r="AC2172" s="41"/>
      <c r="AD2172" s="42"/>
      <c r="AE2172" s="42"/>
      <c r="AF2172" s="42"/>
      <c r="AG2172" s="42"/>
      <c r="AH2172" s="43">
        <f t="shared" si="2720"/>
        <v>0</v>
      </c>
      <c r="AI2172" s="41"/>
      <c r="AJ2172" s="42"/>
      <c r="AK2172" s="42"/>
      <c r="AL2172" s="42"/>
      <c r="AM2172" s="42"/>
      <c r="AN2172" s="43">
        <f t="shared" si="2721"/>
        <v>0</v>
      </c>
      <c r="AO2172" s="42"/>
      <c r="AP2172" s="53"/>
      <c r="AQ2172" s="53"/>
      <c r="AR2172" s="53"/>
      <c r="AS2172" s="72"/>
      <c r="AT2172" s="24">
        <f t="shared" si="2722"/>
        <v>0</v>
      </c>
      <c r="AU2172" s="42"/>
      <c r="AV2172" s="53"/>
      <c r="AW2172" s="53"/>
      <c r="AX2172" s="53"/>
      <c r="AY2172" s="72"/>
      <c r="AZ2172" s="24">
        <f t="shared" si="2723"/>
        <v>0</v>
      </c>
      <c r="BA2172" s="24">
        <f t="shared" si="2719"/>
        <v>0</v>
      </c>
    </row>
    <row r="2173" spans="1:53" ht="14.25" x14ac:dyDescent="0.15">
      <c r="A2173" s="23" t="s">
        <v>699</v>
      </c>
      <c r="B2173" s="41"/>
      <c r="C2173" s="42">
        <v>1</v>
      </c>
      <c r="D2173" s="42"/>
      <c r="E2173" s="42"/>
      <c r="F2173" s="42"/>
      <c r="G2173" s="43">
        <f t="shared" si="2701"/>
        <v>1</v>
      </c>
      <c r="H2173" s="41"/>
      <c r="I2173" s="42"/>
      <c r="J2173" s="42"/>
      <c r="K2173" s="42"/>
      <c r="L2173" s="42"/>
      <c r="M2173" s="43">
        <f t="shared" si="2702"/>
        <v>0</v>
      </c>
      <c r="N2173" s="42"/>
      <c r="O2173" s="53"/>
      <c r="P2173" s="53"/>
      <c r="Q2173" s="53"/>
      <c r="R2173" s="72"/>
      <c r="S2173" s="24">
        <f t="shared" si="2703"/>
        <v>0</v>
      </c>
      <c r="T2173" s="42"/>
      <c r="U2173" s="53"/>
      <c r="V2173" s="53"/>
      <c r="W2173" s="53"/>
      <c r="X2173" s="72"/>
      <c r="Y2173" s="24">
        <f t="shared" si="2704"/>
        <v>0</v>
      </c>
      <c r="Z2173" s="24">
        <f t="shared" si="2709"/>
        <v>1</v>
      </c>
      <c r="AA2173" s="93">
        <v>46071</v>
      </c>
      <c r="AB2173" s="23"/>
      <c r="AC2173" s="41"/>
      <c r="AD2173" s="42"/>
      <c r="AE2173" s="42"/>
      <c r="AF2173" s="42"/>
      <c r="AG2173" s="42"/>
      <c r="AH2173" s="43">
        <f t="shared" si="2720"/>
        <v>0</v>
      </c>
      <c r="AI2173" s="41"/>
      <c r="AJ2173" s="42"/>
      <c r="AK2173" s="42"/>
      <c r="AL2173" s="42"/>
      <c r="AM2173" s="42"/>
      <c r="AN2173" s="43">
        <f t="shared" si="2721"/>
        <v>0</v>
      </c>
      <c r="AO2173" s="42"/>
      <c r="AP2173" s="53"/>
      <c r="AQ2173" s="53"/>
      <c r="AR2173" s="53"/>
      <c r="AS2173" s="72"/>
      <c r="AT2173" s="24">
        <f t="shared" si="2722"/>
        <v>0</v>
      </c>
      <c r="AU2173" s="42"/>
      <c r="AV2173" s="53"/>
      <c r="AW2173" s="53"/>
      <c r="AX2173" s="53"/>
      <c r="AY2173" s="72"/>
      <c r="AZ2173" s="24">
        <f t="shared" si="2723"/>
        <v>0</v>
      </c>
      <c r="BA2173" s="24">
        <f t="shared" si="2719"/>
        <v>0</v>
      </c>
    </row>
    <row r="2174" spans="1:53" ht="14.25" x14ac:dyDescent="0.15">
      <c r="A2174" s="224" t="s">
        <v>181</v>
      </c>
      <c r="B2174" s="12"/>
      <c r="C2174" s="13"/>
      <c r="D2174" s="13"/>
      <c r="E2174" s="13"/>
      <c r="F2174" s="13"/>
      <c r="G2174" s="22">
        <f t="shared" si="2701"/>
        <v>0</v>
      </c>
      <c r="H2174" s="12">
        <v>-2</v>
      </c>
      <c r="I2174" s="13"/>
      <c r="J2174" s="13"/>
      <c r="K2174" s="13"/>
      <c r="L2174" s="13"/>
      <c r="M2174" s="22">
        <f t="shared" si="2702"/>
        <v>-2</v>
      </c>
      <c r="N2174" s="13"/>
      <c r="O2174" s="54"/>
      <c r="P2174" s="54"/>
      <c r="Q2174" s="54">
        <v>-2</v>
      </c>
      <c r="R2174" s="68"/>
      <c r="S2174" s="225">
        <f t="shared" si="2703"/>
        <v>-2</v>
      </c>
      <c r="T2174" s="13"/>
      <c r="U2174" s="54"/>
      <c r="V2174" s="54"/>
      <c r="W2174" s="54"/>
      <c r="X2174" s="68">
        <v>-2</v>
      </c>
      <c r="Y2174" s="225">
        <f t="shared" si="2704"/>
        <v>-2</v>
      </c>
      <c r="Z2174" s="225">
        <f t="shared" si="2709"/>
        <v>-6</v>
      </c>
      <c r="AA2174" s="93">
        <v>46072</v>
      </c>
      <c r="AB2174" s="23"/>
      <c r="AC2174" s="41"/>
      <c r="AD2174" s="42"/>
      <c r="AE2174" s="42"/>
      <c r="AF2174" s="42"/>
      <c r="AG2174" s="42"/>
      <c r="AH2174" s="43">
        <f t="shared" si="2720"/>
        <v>0</v>
      </c>
      <c r="AI2174" s="41"/>
      <c r="AJ2174" s="42"/>
      <c r="AK2174" s="42"/>
      <c r="AL2174" s="42"/>
      <c r="AM2174" s="42"/>
      <c r="AN2174" s="43">
        <f t="shared" si="2721"/>
        <v>0</v>
      </c>
      <c r="AO2174" s="42"/>
      <c r="AP2174" s="53"/>
      <c r="AQ2174" s="53"/>
      <c r="AR2174" s="53"/>
      <c r="AS2174" s="72"/>
      <c r="AT2174" s="24">
        <f t="shared" si="2722"/>
        <v>0</v>
      </c>
      <c r="AU2174" s="42"/>
      <c r="AV2174" s="53"/>
      <c r="AW2174" s="53"/>
      <c r="AX2174" s="53"/>
      <c r="AY2174" s="72"/>
      <c r="AZ2174" s="24">
        <f t="shared" si="2723"/>
        <v>0</v>
      </c>
      <c r="BA2174" s="24">
        <f t="shared" si="2719"/>
        <v>0</v>
      </c>
    </row>
    <row r="2175" spans="1:53" ht="14.25" x14ac:dyDescent="0.15">
      <c r="A2175" s="23" t="s">
        <v>699</v>
      </c>
      <c r="B2175" s="41"/>
      <c r="C2175" s="42"/>
      <c r="D2175" s="42"/>
      <c r="E2175" s="42"/>
      <c r="F2175" s="42"/>
      <c r="G2175" s="43">
        <f t="shared" si="2701"/>
        <v>0</v>
      </c>
      <c r="H2175" s="41"/>
      <c r="I2175" s="42"/>
      <c r="J2175" s="42">
        <v>1</v>
      </c>
      <c r="K2175" s="42"/>
      <c r="L2175" s="42">
        <v>1</v>
      </c>
      <c r="M2175" s="43">
        <f t="shared" si="2702"/>
        <v>2</v>
      </c>
      <c r="N2175" s="42"/>
      <c r="O2175" s="53"/>
      <c r="P2175" s="53"/>
      <c r="Q2175" s="53"/>
      <c r="R2175" s="72"/>
      <c r="S2175" s="24">
        <f t="shared" si="2703"/>
        <v>0</v>
      </c>
      <c r="T2175" s="42"/>
      <c r="U2175" s="53"/>
      <c r="V2175" s="53"/>
      <c r="W2175" s="53"/>
      <c r="X2175" s="72"/>
      <c r="Y2175" s="24">
        <f t="shared" si="2704"/>
        <v>0</v>
      </c>
      <c r="Z2175" s="24">
        <f t="shared" si="2709"/>
        <v>2</v>
      </c>
      <c r="AA2175" s="93">
        <v>46072</v>
      </c>
      <c r="AB2175" s="23"/>
      <c r="AC2175" s="41"/>
      <c r="AD2175" s="42"/>
      <c r="AE2175" s="42"/>
      <c r="AF2175" s="42"/>
      <c r="AG2175" s="42"/>
      <c r="AH2175" s="43">
        <f t="shared" si="2720"/>
        <v>0</v>
      </c>
      <c r="AI2175" s="41"/>
      <c r="AJ2175" s="42"/>
      <c r="AK2175" s="42"/>
      <c r="AL2175" s="42"/>
      <c r="AM2175" s="42"/>
      <c r="AN2175" s="43">
        <f t="shared" si="2721"/>
        <v>0</v>
      </c>
      <c r="AO2175" s="42"/>
      <c r="AP2175" s="53"/>
      <c r="AQ2175" s="53"/>
      <c r="AR2175" s="53"/>
      <c r="AS2175" s="72"/>
      <c r="AT2175" s="24">
        <f t="shared" si="2722"/>
        <v>0</v>
      </c>
      <c r="AU2175" s="42"/>
      <c r="AV2175" s="53"/>
      <c r="AW2175" s="53"/>
      <c r="AX2175" s="53"/>
      <c r="AY2175" s="72"/>
      <c r="AZ2175" s="24">
        <f t="shared" si="2723"/>
        <v>0</v>
      </c>
      <c r="BA2175" s="24">
        <f t="shared" si="2719"/>
        <v>0</v>
      </c>
    </row>
    <row r="2176" spans="1:53" ht="14.25" x14ac:dyDescent="0.15">
      <c r="A2176" s="23" t="s">
        <v>181</v>
      </c>
      <c r="B2176" s="41"/>
      <c r="C2176" s="42"/>
      <c r="D2176" s="42"/>
      <c r="E2176" s="42"/>
      <c r="F2176" s="42"/>
      <c r="G2176" s="43">
        <f t="shared" si="2701"/>
        <v>0</v>
      </c>
      <c r="H2176" s="41"/>
      <c r="I2176" s="42"/>
      <c r="J2176" s="42">
        <v>-2</v>
      </c>
      <c r="K2176" s="42"/>
      <c r="L2176" s="42">
        <v>-2</v>
      </c>
      <c r="M2176" s="43">
        <f t="shared" si="2702"/>
        <v>-4</v>
      </c>
      <c r="N2176" s="42"/>
      <c r="O2176" s="53"/>
      <c r="P2176" s="53"/>
      <c r="Q2176" s="53"/>
      <c r="R2176" s="72"/>
      <c r="S2176" s="24">
        <f t="shared" si="2703"/>
        <v>0</v>
      </c>
      <c r="T2176" s="42"/>
      <c r="U2176" s="53"/>
      <c r="V2176" s="53"/>
      <c r="W2176" s="53"/>
      <c r="X2176" s="72"/>
      <c r="Y2176" s="24">
        <f t="shared" si="2704"/>
        <v>0</v>
      </c>
      <c r="Z2176" s="24">
        <f t="shared" si="2709"/>
        <v>-4</v>
      </c>
      <c r="AA2176" s="83">
        <v>46073</v>
      </c>
      <c r="AB2176" s="23"/>
      <c r="AC2176" s="41"/>
      <c r="AD2176" s="42"/>
      <c r="AE2176" s="42"/>
      <c r="AF2176" s="42"/>
      <c r="AG2176" s="42"/>
      <c r="AH2176" s="43">
        <f t="shared" si="2720"/>
        <v>0</v>
      </c>
      <c r="AI2176" s="41"/>
      <c r="AJ2176" s="42"/>
      <c r="AK2176" s="42"/>
      <c r="AL2176" s="42"/>
      <c r="AM2176" s="42"/>
      <c r="AN2176" s="43">
        <f t="shared" si="2721"/>
        <v>0</v>
      </c>
      <c r="AO2176" s="42"/>
      <c r="AP2176" s="53"/>
      <c r="AQ2176" s="53"/>
      <c r="AR2176" s="53"/>
      <c r="AS2176" s="72"/>
      <c r="AT2176" s="24">
        <f t="shared" si="2722"/>
        <v>0</v>
      </c>
      <c r="AU2176" s="42"/>
      <c r="AV2176" s="53"/>
      <c r="AW2176" s="53"/>
      <c r="AX2176" s="53"/>
      <c r="AY2176" s="72"/>
      <c r="AZ2176" s="24">
        <f t="shared" si="2723"/>
        <v>0</v>
      </c>
      <c r="BA2176" s="24">
        <f t="shared" si="2719"/>
        <v>0</v>
      </c>
    </row>
    <row r="2177" spans="1:54" ht="14.25" x14ac:dyDescent="0.15">
      <c r="A2177" s="23" t="s">
        <v>699</v>
      </c>
      <c r="B2177" s="41"/>
      <c r="C2177" s="42">
        <v>1</v>
      </c>
      <c r="D2177" s="42"/>
      <c r="E2177" s="42"/>
      <c r="F2177" s="42"/>
      <c r="G2177" s="43">
        <f t="shared" si="2701"/>
        <v>1</v>
      </c>
      <c r="H2177" s="41"/>
      <c r="I2177" s="42">
        <v>1</v>
      </c>
      <c r="J2177" s="42"/>
      <c r="K2177" s="42">
        <v>1</v>
      </c>
      <c r="L2177" s="42"/>
      <c r="M2177" s="43">
        <f t="shared" si="2702"/>
        <v>2</v>
      </c>
      <c r="N2177" s="42"/>
      <c r="O2177" s="53"/>
      <c r="P2177" s="53"/>
      <c r="Q2177" s="53"/>
      <c r="R2177" s="72"/>
      <c r="S2177" s="24">
        <f t="shared" si="2703"/>
        <v>0</v>
      </c>
      <c r="T2177" s="42"/>
      <c r="U2177" s="53"/>
      <c r="V2177" s="53"/>
      <c r="W2177" s="53"/>
      <c r="X2177" s="72"/>
      <c r="Y2177" s="24">
        <f t="shared" si="2704"/>
        <v>0</v>
      </c>
      <c r="Z2177" s="24">
        <f t="shared" si="2709"/>
        <v>3</v>
      </c>
      <c r="AA2177" s="93">
        <v>46073</v>
      </c>
      <c r="AB2177" s="23"/>
      <c r="AC2177" s="41"/>
      <c r="AD2177" s="42"/>
      <c r="AE2177" s="42"/>
      <c r="AF2177" s="42"/>
      <c r="AG2177" s="42"/>
      <c r="AH2177" s="43">
        <f t="shared" si="2720"/>
        <v>0</v>
      </c>
      <c r="AI2177" s="41"/>
      <c r="AJ2177" s="42"/>
      <c r="AK2177" s="42"/>
      <c r="AL2177" s="42"/>
      <c r="AM2177" s="42"/>
      <c r="AN2177" s="43">
        <f t="shared" si="2721"/>
        <v>0</v>
      </c>
      <c r="AO2177" s="42"/>
      <c r="AP2177" s="53"/>
      <c r="AQ2177" s="53"/>
      <c r="AR2177" s="53"/>
      <c r="AS2177" s="72"/>
      <c r="AT2177" s="24">
        <f t="shared" si="2722"/>
        <v>0</v>
      </c>
      <c r="AU2177" s="42"/>
      <c r="AV2177" s="53"/>
      <c r="AW2177" s="53"/>
      <c r="AX2177" s="53"/>
      <c r="AY2177" s="72"/>
      <c r="AZ2177" s="24">
        <f t="shared" si="2723"/>
        <v>0</v>
      </c>
      <c r="BA2177" s="24">
        <f t="shared" si="2719"/>
        <v>0</v>
      </c>
    </row>
    <row r="2178" spans="1:54" ht="14.25" x14ac:dyDescent="0.15">
      <c r="A2178" s="23" t="s">
        <v>699</v>
      </c>
      <c r="B2178" s="41"/>
      <c r="C2178" s="42"/>
      <c r="D2178" s="42"/>
      <c r="E2178" s="42"/>
      <c r="F2178" s="42"/>
      <c r="G2178" s="43">
        <f t="shared" si="2701"/>
        <v>0</v>
      </c>
      <c r="H2178" s="41"/>
      <c r="I2178" s="42">
        <v>2</v>
      </c>
      <c r="J2178" s="42"/>
      <c r="K2178" s="42"/>
      <c r="L2178" s="42">
        <v>1</v>
      </c>
      <c r="M2178" s="43">
        <f t="shared" si="2702"/>
        <v>3</v>
      </c>
      <c r="N2178" s="42"/>
      <c r="O2178" s="53"/>
      <c r="P2178" s="53"/>
      <c r="Q2178" s="53">
        <v>1</v>
      </c>
      <c r="R2178" s="72"/>
      <c r="S2178" s="24">
        <f t="shared" si="2703"/>
        <v>1</v>
      </c>
      <c r="T2178" s="42"/>
      <c r="U2178" s="53"/>
      <c r="V2178" s="53"/>
      <c r="W2178" s="53"/>
      <c r="X2178" s="72"/>
      <c r="Y2178" s="24">
        <f t="shared" si="2704"/>
        <v>0</v>
      </c>
      <c r="Z2178" s="24">
        <f t="shared" si="2709"/>
        <v>4</v>
      </c>
      <c r="AA2178" s="93">
        <v>46077</v>
      </c>
      <c r="AB2178" s="23"/>
      <c r="AC2178" s="41"/>
      <c r="AD2178" s="219"/>
      <c r="AE2178" s="219"/>
      <c r="AF2178" s="42"/>
      <c r="AG2178" s="42"/>
      <c r="AH2178" s="43">
        <f t="shared" si="2720"/>
        <v>0</v>
      </c>
      <c r="AI2178" s="41"/>
      <c r="AJ2178" s="42"/>
      <c r="AK2178" s="42"/>
      <c r="AL2178" s="42"/>
      <c r="AM2178" s="42"/>
      <c r="AN2178" s="43">
        <f t="shared" si="2721"/>
        <v>0</v>
      </c>
      <c r="AO2178" s="42"/>
      <c r="AP2178" s="53"/>
      <c r="AQ2178" s="53"/>
      <c r="AR2178" s="53"/>
      <c r="AS2178" s="72"/>
      <c r="AT2178" s="24">
        <f t="shared" si="2722"/>
        <v>0</v>
      </c>
      <c r="AU2178" s="42"/>
      <c r="AV2178" s="53"/>
      <c r="AW2178" s="53"/>
      <c r="AX2178" s="53"/>
      <c r="AY2178" s="72"/>
      <c r="AZ2178" s="24">
        <f t="shared" si="2723"/>
        <v>0</v>
      </c>
      <c r="BA2178" s="24">
        <f t="shared" si="2719"/>
        <v>0</v>
      </c>
    </row>
    <row r="2179" spans="1:54" ht="14.25" x14ac:dyDescent="0.15">
      <c r="A2179" s="224" t="s">
        <v>181</v>
      </c>
      <c r="B2179" s="12"/>
      <c r="C2179" s="13"/>
      <c r="D2179" s="13"/>
      <c r="E2179" s="13"/>
      <c r="F2179" s="13"/>
      <c r="G2179" s="22">
        <f t="shared" ref="G2179:G2180" si="2724">SUM(B2179:F2179)</f>
        <v>0</v>
      </c>
      <c r="H2179" s="12"/>
      <c r="I2179" s="13">
        <v>-3</v>
      </c>
      <c r="J2179" s="13"/>
      <c r="K2179" s="13"/>
      <c r="L2179" s="13"/>
      <c r="M2179" s="22">
        <f t="shared" ref="M2179:M2180" si="2725">SUM(H2179:L2179)</f>
        <v>-3</v>
      </c>
      <c r="N2179" s="13"/>
      <c r="O2179" s="54"/>
      <c r="P2179" s="54"/>
      <c r="Q2179" s="54"/>
      <c r="R2179" s="68"/>
      <c r="S2179" s="225">
        <f t="shared" ref="S2179:S2180" si="2726">SUM(N2179:R2179)</f>
        <v>0</v>
      </c>
      <c r="T2179" s="13"/>
      <c r="U2179" s="54"/>
      <c r="V2179" s="54"/>
      <c r="W2179" s="54"/>
      <c r="X2179" s="68"/>
      <c r="Y2179" s="225">
        <f t="shared" ref="Y2179:Y2180" si="2727">SUM(T2179:X2179)</f>
        <v>0</v>
      </c>
      <c r="Z2179" s="225">
        <f t="shared" si="2690"/>
        <v>-3</v>
      </c>
      <c r="AA2179" s="93">
        <v>46078</v>
      </c>
      <c r="AB2179" s="23"/>
      <c r="AC2179" s="41"/>
      <c r="AD2179" s="42"/>
      <c r="AE2179" s="42"/>
      <c r="AF2179" s="42"/>
      <c r="AG2179" s="42"/>
      <c r="AH2179" s="43">
        <f t="shared" si="2720"/>
        <v>0</v>
      </c>
      <c r="AI2179" s="41"/>
      <c r="AJ2179" s="42"/>
      <c r="AK2179" s="42"/>
      <c r="AL2179" s="42"/>
      <c r="AM2179" s="42"/>
      <c r="AN2179" s="43">
        <f t="shared" si="2721"/>
        <v>0</v>
      </c>
      <c r="AO2179" s="42"/>
      <c r="AP2179" s="53"/>
      <c r="AQ2179" s="53"/>
      <c r="AR2179" s="53"/>
      <c r="AS2179" s="72"/>
      <c r="AT2179" s="24">
        <f t="shared" si="2722"/>
        <v>0</v>
      </c>
      <c r="AU2179" s="42"/>
      <c r="AV2179" s="53"/>
      <c r="AW2179" s="53"/>
      <c r="AX2179" s="53"/>
      <c r="AY2179" s="72"/>
      <c r="AZ2179" s="24">
        <f t="shared" si="2723"/>
        <v>0</v>
      </c>
      <c r="BA2179" s="24">
        <f t="shared" si="2719"/>
        <v>0</v>
      </c>
    </row>
    <row r="2180" spans="1:54" ht="15" thickBot="1" x14ac:dyDescent="0.2">
      <c r="A2180" s="23" t="s">
        <v>699</v>
      </c>
      <c r="B2180" s="41"/>
      <c r="C2180" s="42"/>
      <c r="D2180" s="42"/>
      <c r="E2180" s="42"/>
      <c r="F2180" s="42"/>
      <c r="G2180" s="43">
        <f t="shared" si="2724"/>
        <v>0</v>
      </c>
      <c r="H2180" s="41"/>
      <c r="I2180" s="42"/>
      <c r="J2180" s="42"/>
      <c r="K2180" s="42"/>
      <c r="L2180" s="42"/>
      <c r="M2180" s="43">
        <f t="shared" si="2725"/>
        <v>0</v>
      </c>
      <c r="N2180" s="42"/>
      <c r="O2180" s="53"/>
      <c r="P2180" s="53"/>
      <c r="Q2180" s="53">
        <v>1</v>
      </c>
      <c r="R2180" s="72"/>
      <c r="S2180" s="24">
        <f t="shared" si="2726"/>
        <v>1</v>
      </c>
      <c r="T2180" s="42"/>
      <c r="U2180" s="53"/>
      <c r="V2180" s="53"/>
      <c r="W2180" s="53"/>
      <c r="X2180" s="72"/>
      <c r="Y2180" s="24">
        <f t="shared" si="2727"/>
        <v>0</v>
      </c>
      <c r="Z2180" s="24">
        <f t="shared" si="2690"/>
        <v>1</v>
      </c>
      <c r="AA2180" s="93">
        <v>46078</v>
      </c>
      <c r="AB2180" s="23" t="s">
        <v>719</v>
      </c>
      <c r="AC2180" s="41"/>
      <c r="AD2180" s="219"/>
      <c r="AE2180" s="219"/>
      <c r="AF2180" s="237"/>
      <c r="AG2180" s="237"/>
      <c r="AH2180" s="43">
        <f t="shared" ref="AH2180" si="2728">SUM(AC2180:AG2180)</f>
        <v>0</v>
      </c>
      <c r="AI2180" s="41"/>
      <c r="AJ2180" s="42"/>
      <c r="AK2180" s="42"/>
      <c r="AL2180" s="237"/>
      <c r="AM2180" s="237"/>
      <c r="AN2180" s="43">
        <f t="shared" ref="AN2180" si="2729">SUM(AI2180:AM2180)</f>
        <v>0</v>
      </c>
      <c r="AO2180" s="42"/>
      <c r="AP2180" s="53"/>
      <c r="AQ2180" s="53"/>
      <c r="AR2180" s="238"/>
      <c r="AS2180" s="239"/>
      <c r="AT2180" s="24">
        <f t="shared" ref="AT2180" si="2730">SUM(AO2180:AS2180)</f>
        <v>0</v>
      </c>
      <c r="AU2180" s="237"/>
      <c r="AV2180" s="238"/>
      <c r="AW2180" s="238"/>
      <c r="AX2180" s="238"/>
      <c r="AY2180" s="239"/>
      <c r="AZ2180" s="24">
        <f t="shared" ref="AZ2180" si="2731">SUM(AU2180:AY2180)</f>
        <v>0</v>
      </c>
      <c r="BA2180" s="24">
        <f t="shared" ref="BA2180" si="2732">AH2180+AN2180+AT2180+AZ2180</f>
        <v>0</v>
      </c>
      <c r="BB2180" s="193" t="s">
        <v>720</v>
      </c>
    </row>
    <row r="2181" spans="1:54" ht="15" thickBot="1" x14ac:dyDescent="0.2">
      <c r="A2181" s="9" t="s">
        <v>13</v>
      </c>
      <c r="B2181" s="25">
        <f>SUM(B2155:B2180)</f>
        <v>-1</v>
      </c>
      <c r="C2181" s="26">
        <f>SUM(C2155:C2180)</f>
        <v>4</v>
      </c>
      <c r="D2181" s="26">
        <f>SUM(D2155:D2180)</f>
        <v>4</v>
      </c>
      <c r="E2181" s="26">
        <f>SUM(E2155:E2180)</f>
        <v>0</v>
      </c>
      <c r="F2181" s="27">
        <f>SUM(F2155:F2180)</f>
        <v>0</v>
      </c>
      <c r="G2181" s="19">
        <f>SUM(B2181:F2181)</f>
        <v>7</v>
      </c>
      <c r="H2181" s="25">
        <f>SUM(H2155:H2180)</f>
        <v>0</v>
      </c>
      <c r="I2181" s="26">
        <f>SUM(I2155:I2180)</f>
        <v>3</v>
      </c>
      <c r="J2181" s="26">
        <f>SUM(J2155:J2180)</f>
        <v>1</v>
      </c>
      <c r="K2181" s="26">
        <f>SUM(K2155:K2180)</f>
        <v>8</v>
      </c>
      <c r="L2181" s="27">
        <f>SUM(L2155:L2180)</f>
        <v>5</v>
      </c>
      <c r="M2181" s="25">
        <f>SUM(H2181:L2181)</f>
        <v>17</v>
      </c>
      <c r="N2181" s="65">
        <f>SUM(N2155:N2180)</f>
        <v>1</v>
      </c>
      <c r="O2181" s="18">
        <f>SUM(O2155:O2180)</f>
        <v>1</v>
      </c>
      <c r="P2181" s="18">
        <f>SUM(P2155:P2180)</f>
        <v>1</v>
      </c>
      <c r="Q2181" s="18">
        <f>SUM(Q2155:Q2180)</f>
        <v>2</v>
      </c>
      <c r="R2181" s="70">
        <f>SUM(R2155:R2180)</f>
        <v>1</v>
      </c>
      <c r="S2181" s="49">
        <f>SUM(N2181:R2181)</f>
        <v>6</v>
      </c>
      <c r="T2181" s="74">
        <f>SUM(T2155:T2180)</f>
        <v>2</v>
      </c>
      <c r="U2181" s="18">
        <f>SUM(U2155:U2180)</f>
        <v>0</v>
      </c>
      <c r="V2181" s="18">
        <f>SUM(V2155:V2180)</f>
        <v>0</v>
      </c>
      <c r="W2181" s="18">
        <f>SUM(W2155:W2180)</f>
        <v>0</v>
      </c>
      <c r="X2181" s="70">
        <f>SUM(X2155:X2180)</f>
        <v>1</v>
      </c>
      <c r="Y2181" s="49">
        <f>SUM(T2181:X2181)</f>
        <v>3</v>
      </c>
      <c r="Z2181" s="137">
        <f>G2181+M2181+S2181+Y2181</f>
        <v>33</v>
      </c>
      <c r="AB2181" s="9" t="s">
        <v>13</v>
      </c>
      <c r="AC2181" s="25">
        <f>SUM(AC2155:AC2180)</f>
        <v>0</v>
      </c>
      <c r="AD2181" s="26">
        <f t="shared" ref="AD2181:AG2181" si="2733">SUM(AD2155:AD2180)</f>
        <v>0</v>
      </c>
      <c r="AE2181" s="26">
        <f t="shared" si="2733"/>
        <v>0</v>
      </c>
      <c r="AF2181" s="220">
        <f t="shared" si="2733"/>
        <v>0</v>
      </c>
      <c r="AG2181" s="222">
        <f t="shared" si="2733"/>
        <v>0</v>
      </c>
      <c r="AH2181" s="19">
        <f>SUM(AC2181:AG2181)</f>
        <v>0</v>
      </c>
      <c r="AI2181" s="25">
        <f>SUM(AI2155:AI2180)</f>
        <v>0</v>
      </c>
      <c r="AJ2181" s="26">
        <f t="shared" ref="AJ2181:AM2181" si="2734">SUM(AJ2155:AJ2180)</f>
        <v>0</v>
      </c>
      <c r="AK2181" s="26">
        <f t="shared" si="2734"/>
        <v>0</v>
      </c>
      <c r="AL2181" s="226">
        <f t="shared" si="2734"/>
        <v>0</v>
      </c>
      <c r="AM2181" s="27">
        <f t="shared" si="2734"/>
        <v>0</v>
      </c>
      <c r="AN2181" s="19">
        <f>SUM(AI2181:AM2181)</f>
        <v>0</v>
      </c>
      <c r="AO2181" s="25">
        <f>SUM(AO2155:AO2180)</f>
        <v>0</v>
      </c>
      <c r="AP2181" s="26">
        <f t="shared" ref="AP2181:AS2181" si="2735">SUM(AP2155:AP2180)</f>
        <v>0</v>
      </c>
      <c r="AQ2181" s="26">
        <f t="shared" si="2735"/>
        <v>0</v>
      </c>
      <c r="AR2181" s="26">
        <f t="shared" si="2735"/>
        <v>0</v>
      </c>
      <c r="AS2181" s="27">
        <f t="shared" si="2735"/>
        <v>0</v>
      </c>
      <c r="AT2181" s="19">
        <f>SUM(AO2181:AS2181)</f>
        <v>0</v>
      </c>
      <c r="AU2181" s="25">
        <f>SUM(AU2155:AU2180)</f>
        <v>0</v>
      </c>
      <c r="AV2181" s="26">
        <f t="shared" ref="AV2181:AY2181" si="2736">SUM(AV2155:AV2180)</f>
        <v>0</v>
      </c>
      <c r="AW2181" s="220">
        <f t="shared" si="2736"/>
        <v>0</v>
      </c>
      <c r="AX2181" s="220">
        <f t="shared" si="2736"/>
        <v>0</v>
      </c>
      <c r="AY2181" s="27">
        <f t="shared" si="2736"/>
        <v>0</v>
      </c>
      <c r="AZ2181" s="19">
        <f>SUM(AU2181:AY2181)</f>
        <v>0</v>
      </c>
      <c r="BA2181" s="77">
        <f t="shared" si="2719"/>
        <v>0</v>
      </c>
    </row>
    <row r="2182" spans="1:54" ht="15" thickBot="1" x14ac:dyDescent="0.2">
      <c r="A2182" s="32" t="s">
        <v>14</v>
      </c>
      <c r="B2182" s="29">
        <f t="shared" ref="B2182:Y2182" si="2737">B2154-B2181</f>
        <v>6</v>
      </c>
      <c r="C2182" s="30">
        <f t="shared" si="2737"/>
        <v>1</v>
      </c>
      <c r="D2182" s="30">
        <f t="shared" si="2737"/>
        <v>3</v>
      </c>
      <c r="E2182" s="30">
        <f t="shared" si="2737"/>
        <v>0</v>
      </c>
      <c r="F2182" s="31">
        <f t="shared" si="2737"/>
        <v>0</v>
      </c>
      <c r="G2182" s="31">
        <f t="shared" si="2737"/>
        <v>10</v>
      </c>
      <c r="H2182" s="29">
        <f t="shared" si="2737"/>
        <v>3</v>
      </c>
      <c r="I2182" s="30">
        <f t="shared" si="2737"/>
        <v>3</v>
      </c>
      <c r="J2182" s="30">
        <f t="shared" si="2737"/>
        <v>3</v>
      </c>
      <c r="K2182" s="30">
        <f t="shared" si="2737"/>
        <v>0</v>
      </c>
      <c r="L2182" s="31">
        <f t="shared" si="2737"/>
        <v>2</v>
      </c>
      <c r="M2182" s="66">
        <f t="shared" si="2737"/>
        <v>11</v>
      </c>
      <c r="N2182" s="29">
        <f t="shared" si="2737"/>
        <v>5</v>
      </c>
      <c r="O2182" s="30">
        <f t="shared" si="2737"/>
        <v>4</v>
      </c>
      <c r="P2182" s="30">
        <f t="shared" si="2737"/>
        <v>2</v>
      </c>
      <c r="Q2182" s="30">
        <f t="shared" si="2737"/>
        <v>1</v>
      </c>
      <c r="R2182" s="66">
        <f t="shared" si="2737"/>
        <v>3</v>
      </c>
      <c r="S2182" s="33">
        <f t="shared" si="2737"/>
        <v>15</v>
      </c>
      <c r="T2182" s="75">
        <f t="shared" si="2737"/>
        <v>4</v>
      </c>
      <c r="U2182" s="30">
        <f t="shared" si="2737"/>
        <v>5</v>
      </c>
      <c r="V2182" s="30">
        <f t="shared" si="2737"/>
        <v>8</v>
      </c>
      <c r="W2182" s="30">
        <f t="shared" si="2737"/>
        <v>0</v>
      </c>
      <c r="X2182" s="66">
        <f t="shared" si="2737"/>
        <v>3</v>
      </c>
      <c r="Y2182" s="33">
        <f t="shared" si="2737"/>
        <v>20</v>
      </c>
      <c r="Z2182" s="77">
        <f>G2182+M2182+S2182+Y2182</f>
        <v>56</v>
      </c>
      <c r="AB2182" s="32" t="s">
        <v>14</v>
      </c>
      <c r="AC2182" s="29">
        <f>AC2154-AC2181</f>
        <v>64</v>
      </c>
      <c r="AD2182" s="30">
        <f t="shared" ref="AD2182:AG2182" si="2738">AD2154-AD2181</f>
        <v>13</v>
      </c>
      <c r="AE2182" s="30">
        <f t="shared" si="2738"/>
        <v>8</v>
      </c>
      <c r="AF2182" s="221">
        <f t="shared" si="2738"/>
        <v>0</v>
      </c>
      <c r="AG2182" s="223">
        <f t="shared" si="2738"/>
        <v>0</v>
      </c>
      <c r="AH2182" s="31">
        <f>AH2154-AH2181</f>
        <v>85</v>
      </c>
      <c r="AI2182" s="29">
        <f>AI2154-AI2181</f>
        <v>62</v>
      </c>
      <c r="AJ2182" s="30">
        <f t="shared" ref="AJ2182:AM2182" si="2739">AJ2154-AJ2181</f>
        <v>24</v>
      </c>
      <c r="AK2182" s="30">
        <f t="shared" si="2739"/>
        <v>24</v>
      </c>
      <c r="AL2182" s="227">
        <f t="shared" si="2739"/>
        <v>0</v>
      </c>
      <c r="AM2182" s="31">
        <f t="shared" si="2739"/>
        <v>16</v>
      </c>
      <c r="AN2182" s="31">
        <f>AN2154-AN2181</f>
        <v>126</v>
      </c>
      <c r="AO2182" s="29">
        <f>AO2154-AO2181</f>
        <v>131</v>
      </c>
      <c r="AP2182" s="30">
        <f t="shared" ref="AP2182:AS2182" si="2740">AP2154-AP2181</f>
        <v>68</v>
      </c>
      <c r="AQ2182" s="30">
        <f t="shared" si="2740"/>
        <v>73</v>
      </c>
      <c r="AR2182" s="30">
        <f t="shared" si="2740"/>
        <v>75</v>
      </c>
      <c r="AS2182" s="31">
        <f t="shared" si="2740"/>
        <v>105</v>
      </c>
      <c r="AT2182" s="31">
        <f>AT2154-AT2181</f>
        <v>452</v>
      </c>
      <c r="AU2182" s="29">
        <f>AU2154-AU2181</f>
        <v>99</v>
      </c>
      <c r="AV2182" s="30">
        <f t="shared" ref="AV2182:AY2182" si="2741">AV2154-AV2181</f>
        <v>36</v>
      </c>
      <c r="AW2182" s="221">
        <f t="shared" si="2741"/>
        <v>0</v>
      </c>
      <c r="AX2182" s="221">
        <f t="shared" si="2741"/>
        <v>0</v>
      </c>
      <c r="AY2182" s="31">
        <f t="shared" si="2741"/>
        <v>47</v>
      </c>
      <c r="AZ2182" s="31">
        <f>AZ2154-AZ2181</f>
        <v>182</v>
      </c>
      <c r="BA2182" s="77">
        <f t="shared" si="2719"/>
        <v>845</v>
      </c>
    </row>
    <row r="2183" spans="1:54" x14ac:dyDescent="0.15">
      <c r="E2183" s="216" t="s">
        <v>718</v>
      </c>
      <c r="F2183" s="216" t="s">
        <v>718</v>
      </c>
      <c r="G2183" s="216"/>
      <c r="H2183" s="216"/>
      <c r="I2183" s="216"/>
      <c r="J2183" s="216"/>
      <c r="K2183" s="216" t="s">
        <v>718</v>
      </c>
      <c r="L2183" s="216"/>
      <c r="M2183" s="216"/>
      <c r="N2183" s="216"/>
      <c r="O2183" s="216"/>
      <c r="P2183" s="216"/>
      <c r="Q2183" s="216"/>
      <c r="R2183" s="216"/>
      <c r="S2183" s="216"/>
      <c r="T2183" s="216"/>
      <c r="U2183" s="216"/>
      <c r="V2183" s="216" t="s">
        <v>718</v>
      </c>
      <c r="W2183" s="216" t="s">
        <v>718</v>
      </c>
      <c r="X2183" s="216"/>
      <c r="Y2183" s="216"/>
      <c r="AC2183" s="2">
        <f>AC2182+B2182</f>
        <v>70</v>
      </c>
      <c r="AD2183" s="2">
        <f t="shared" ref="AD2183:BA2183" si="2742">AD2182+C2182</f>
        <v>14</v>
      </c>
      <c r="AE2183" s="2">
        <f t="shared" si="2742"/>
        <v>11</v>
      </c>
      <c r="AF2183" s="2">
        <f t="shared" si="2742"/>
        <v>0</v>
      </c>
      <c r="AG2183" s="2">
        <f t="shared" si="2742"/>
        <v>0</v>
      </c>
      <c r="AH2183" s="2">
        <f t="shared" si="2742"/>
        <v>95</v>
      </c>
      <c r="AI2183" s="2">
        <f t="shared" si="2742"/>
        <v>65</v>
      </c>
      <c r="AJ2183" s="2">
        <f t="shared" si="2742"/>
        <v>27</v>
      </c>
      <c r="AK2183" s="2">
        <f t="shared" si="2742"/>
        <v>27</v>
      </c>
      <c r="AL2183" s="2">
        <f t="shared" si="2742"/>
        <v>0</v>
      </c>
      <c r="AM2183" s="2">
        <f t="shared" si="2742"/>
        <v>18</v>
      </c>
      <c r="AN2183" s="2">
        <f t="shared" si="2742"/>
        <v>137</v>
      </c>
      <c r="AO2183" s="2">
        <f t="shared" si="2742"/>
        <v>136</v>
      </c>
      <c r="AP2183" s="2">
        <f t="shared" si="2742"/>
        <v>72</v>
      </c>
      <c r="AQ2183" s="2">
        <f t="shared" si="2742"/>
        <v>75</v>
      </c>
      <c r="AR2183" s="2">
        <f t="shared" si="2742"/>
        <v>76</v>
      </c>
      <c r="AS2183" s="2">
        <f t="shared" si="2742"/>
        <v>108</v>
      </c>
      <c r="AT2183" s="2">
        <f t="shared" si="2742"/>
        <v>467</v>
      </c>
      <c r="AU2183" s="2">
        <f t="shared" si="2742"/>
        <v>103</v>
      </c>
      <c r="AV2183" s="2">
        <f t="shared" si="2742"/>
        <v>41</v>
      </c>
      <c r="AW2183" s="2">
        <f t="shared" si="2742"/>
        <v>8</v>
      </c>
      <c r="AX2183" s="2">
        <f t="shared" si="2742"/>
        <v>0</v>
      </c>
      <c r="AY2183" s="2">
        <f t="shared" si="2742"/>
        <v>50</v>
      </c>
      <c r="AZ2183" s="2">
        <f t="shared" si="2742"/>
        <v>202</v>
      </c>
      <c r="BA2183" s="2">
        <f t="shared" si="2742"/>
        <v>901</v>
      </c>
    </row>
    <row r="2185" spans="1:54" ht="19.5" thickBot="1" x14ac:dyDescent="0.25">
      <c r="A2185" s="1" t="s">
        <v>15</v>
      </c>
      <c r="AB2185" s="1" t="s">
        <v>16</v>
      </c>
    </row>
    <row r="2186" spans="1:54" ht="15" thickBot="1" x14ac:dyDescent="0.2">
      <c r="A2186" s="4"/>
      <c r="B2186" s="245" t="s">
        <v>17</v>
      </c>
      <c r="C2186" s="246"/>
      <c r="D2186" s="246"/>
      <c r="E2186" s="246"/>
      <c r="F2186" s="246"/>
      <c r="G2186" s="247"/>
      <c r="H2186" s="245" t="s">
        <v>18</v>
      </c>
      <c r="I2186" s="246"/>
      <c r="J2186" s="246"/>
      <c r="K2186" s="246"/>
      <c r="L2186" s="246"/>
      <c r="M2186" s="247"/>
      <c r="N2186" s="248" t="s">
        <v>27</v>
      </c>
      <c r="O2186" s="249"/>
      <c r="P2186" s="249"/>
      <c r="Q2186" s="249"/>
      <c r="R2186" s="249"/>
      <c r="S2186" s="250"/>
      <c r="T2186" s="248" t="s">
        <v>28</v>
      </c>
      <c r="U2186" s="249"/>
      <c r="V2186" s="249"/>
      <c r="W2186" s="249"/>
      <c r="X2186" s="249"/>
      <c r="Y2186" s="250"/>
      <c r="Z2186" s="251" t="s">
        <v>1</v>
      </c>
      <c r="AB2186" s="4"/>
      <c r="AC2186" s="253" t="s">
        <v>17</v>
      </c>
      <c r="AD2186" s="249"/>
      <c r="AE2186" s="249"/>
      <c r="AF2186" s="249"/>
      <c r="AG2186" s="249"/>
      <c r="AH2186" s="250"/>
      <c r="AI2186" s="248" t="s">
        <v>18</v>
      </c>
      <c r="AJ2186" s="249"/>
      <c r="AK2186" s="249"/>
      <c r="AL2186" s="249"/>
      <c r="AM2186" s="249"/>
      <c r="AN2186" s="250"/>
      <c r="AO2186" s="248" t="s">
        <v>27</v>
      </c>
      <c r="AP2186" s="249"/>
      <c r="AQ2186" s="249"/>
      <c r="AR2186" s="249"/>
      <c r="AS2186" s="249"/>
      <c r="AT2186" s="250"/>
      <c r="AU2186" s="248" t="s">
        <v>28</v>
      </c>
      <c r="AV2186" s="249"/>
      <c r="AW2186" s="249"/>
      <c r="AX2186" s="249"/>
      <c r="AY2186" s="249"/>
      <c r="AZ2186" s="250"/>
      <c r="BA2186" s="243" t="s">
        <v>1</v>
      </c>
    </row>
    <row r="2187" spans="1:54" ht="15" thickBot="1" x14ac:dyDescent="0.2">
      <c r="A2187" s="9" t="s">
        <v>2</v>
      </c>
      <c r="B2187" s="6" t="s">
        <v>3</v>
      </c>
      <c r="C2187" s="7" t="s">
        <v>4</v>
      </c>
      <c r="D2187" s="7" t="s">
        <v>5</v>
      </c>
      <c r="E2187" s="48" t="s">
        <v>20</v>
      </c>
      <c r="F2187" s="8" t="s">
        <v>21</v>
      </c>
      <c r="G2187" s="5" t="s">
        <v>6</v>
      </c>
      <c r="H2187" s="6" t="s">
        <v>3</v>
      </c>
      <c r="I2187" s="7" t="s">
        <v>4</v>
      </c>
      <c r="J2187" s="7" t="s">
        <v>5</v>
      </c>
      <c r="K2187" s="48" t="s">
        <v>20</v>
      </c>
      <c r="L2187" s="8" t="s">
        <v>21</v>
      </c>
      <c r="M2187" s="5" t="s">
        <v>6</v>
      </c>
      <c r="N2187" s="6" t="s">
        <v>3</v>
      </c>
      <c r="O2187" s="7" t="s">
        <v>4</v>
      </c>
      <c r="P2187" s="7" t="s">
        <v>5</v>
      </c>
      <c r="Q2187" s="48" t="s">
        <v>20</v>
      </c>
      <c r="R2187" s="8" t="s">
        <v>21</v>
      </c>
      <c r="S2187" s="5" t="s">
        <v>6</v>
      </c>
      <c r="T2187" s="7" t="s">
        <v>3</v>
      </c>
      <c r="U2187" s="7" t="s">
        <v>4</v>
      </c>
      <c r="V2187" s="7" t="s">
        <v>5</v>
      </c>
      <c r="W2187" s="48" t="s">
        <v>20</v>
      </c>
      <c r="X2187" s="109" t="s">
        <v>21</v>
      </c>
      <c r="Y2187" s="62" t="s">
        <v>6</v>
      </c>
      <c r="Z2187" s="252"/>
      <c r="AB2187" s="9" t="s">
        <v>2</v>
      </c>
      <c r="AC2187" s="6" t="s">
        <v>3</v>
      </c>
      <c r="AD2187" s="7" t="s">
        <v>4</v>
      </c>
      <c r="AE2187" s="7" t="s">
        <v>5</v>
      </c>
      <c r="AF2187" s="48" t="s">
        <v>20</v>
      </c>
      <c r="AG2187" s="8" t="s">
        <v>21</v>
      </c>
      <c r="AH2187" s="5" t="s">
        <v>6</v>
      </c>
      <c r="AI2187" s="6" t="s">
        <v>3</v>
      </c>
      <c r="AJ2187" s="7" t="s">
        <v>4</v>
      </c>
      <c r="AK2187" s="7" t="s">
        <v>5</v>
      </c>
      <c r="AL2187" s="48" t="s">
        <v>20</v>
      </c>
      <c r="AM2187" s="8" t="s">
        <v>21</v>
      </c>
      <c r="AN2187" s="5" t="s">
        <v>6</v>
      </c>
      <c r="AO2187" s="6" t="s">
        <v>3</v>
      </c>
      <c r="AP2187" s="7" t="s">
        <v>4</v>
      </c>
      <c r="AQ2187" s="7" t="s">
        <v>5</v>
      </c>
      <c r="AR2187" s="48" t="s">
        <v>20</v>
      </c>
      <c r="AS2187" s="8" t="s">
        <v>21</v>
      </c>
      <c r="AT2187" s="5" t="s">
        <v>6</v>
      </c>
      <c r="AU2187" s="7" t="s">
        <v>3</v>
      </c>
      <c r="AV2187" s="7" t="s">
        <v>4</v>
      </c>
      <c r="AW2187" s="7" t="s">
        <v>5</v>
      </c>
      <c r="AX2187" s="48" t="s">
        <v>20</v>
      </c>
      <c r="AY2187" s="109" t="s">
        <v>21</v>
      </c>
      <c r="AZ2187" s="62" t="s">
        <v>6</v>
      </c>
      <c r="BA2187" s="244"/>
    </row>
    <row r="2188" spans="1:54" ht="14.25" x14ac:dyDescent="0.15">
      <c r="A2188" s="103" t="s">
        <v>43</v>
      </c>
      <c r="B2188" s="104">
        <f>B2182</f>
        <v>6</v>
      </c>
      <c r="C2188" s="105">
        <f>C2182</f>
        <v>1</v>
      </c>
      <c r="D2188" s="105">
        <f>D2182</f>
        <v>3</v>
      </c>
      <c r="E2188" s="105">
        <f>E2182</f>
        <v>0</v>
      </c>
      <c r="F2188" s="105">
        <f>F2182</f>
        <v>0</v>
      </c>
      <c r="G2188" s="106">
        <f t="shared" ref="G2188" si="2743">SUM(B2188:F2188)</f>
        <v>10</v>
      </c>
      <c r="H2188" s="104">
        <f>H2182</f>
        <v>3</v>
      </c>
      <c r="I2188" s="105">
        <f>I2182</f>
        <v>3</v>
      </c>
      <c r="J2188" s="105">
        <f>J2182</f>
        <v>3</v>
      </c>
      <c r="K2188" s="105">
        <f>K2182</f>
        <v>0</v>
      </c>
      <c r="L2188" s="105">
        <f>L2182</f>
        <v>2</v>
      </c>
      <c r="M2188" s="107">
        <f t="shared" ref="M2188:M2192" si="2744">SUM(H2188:L2188)</f>
        <v>11</v>
      </c>
      <c r="N2188" s="104">
        <f>N2182</f>
        <v>5</v>
      </c>
      <c r="O2188" s="105">
        <f>O2182</f>
        <v>4</v>
      </c>
      <c r="P2188" s="105">
        <f>P2182</f>
        <v>2</v>
      </c>
      <c r="Q2188" s="105">
        <f>Q2182</f>
        <v>1</v>
      </c>
      <c r="R2188" s="105">
        <f>R2182</f>
        <v>3</v>
      </c>
      <c r="S2188" s="108">
        <f t="shared" ref="S2188:S2192" si="2745">SUM(N2188:R2188)</f>
        <v>15</v>
      </c>
      <c r="T2188" s="104">
        <f>T2182</f>
        <v>4</v>
      </c>
      <c r="U2188" s="105">
        <f>U2182</f>
        <v>5</v>
      </c>
      <c r="V2188" s="105">
        <f>V2182</f>
        <v>8</v>
      </c>
      <c r="W2188" s="105">
        <f>W2182</f>
        <v>0</v>
      </c>
      <c r="X2188" s="105">
        <f>X2182</f>
        <v>3</v>
      </c>
      <c r="Y2188" s="106">
        <f t="shared" ref="Y2188:Y2192" si="2746">SUM(T2188:X2188)</f>
        <v>20</v>
      </c>
      <c r="Z2188" s="106">
        <f t="shared" ref="Z2188:Z2219" si="2747">G2188+M2188+S2188+Y2188</f>
        <v>56</v>
      </c>
      <c r="AB2188" s="103" t="s">
        <v>43</v>
      </c>
      <c r="AC2188" s="104">
        <f>AC2182</f>
        <v>64</v>
      </c>
      <c r="AD2188" s="105">
        <f t="shared" ref="AD2188:AG2188" si="2748">AD2182</f>
        <v>13</v>
      </c>
      <c r="AE2188" s="105">
        <f t="shared" si="2748"/>
        <v>8</v>
      </c>
      <c r="AF2188" s="105">
        <f t="shared" si="2748"/>
        <v>0</v>
      </c>
      <c r="AG2188" s="105">
        <f t="shared" si="2748"/>
        <v>0</v>
      </c>
      <c r="AH2188" s="106">
        <f>SUM(AC2188:AG2188)</f>
        <v>85</v>
      </c>
      <c r="AI2188" s="104">
        <f>AI2182</f>
        <v>62</v>
      </c>
      <c r="AJ2188" s="105">
        <f t="shared" ref="AJ2188:AM2188" si="2749">AJ2182</f>
        <v>24</v>
      </c>
      <c r="AK2188" s="105">
        <f t="shared" si="2749"/>
        <v>24</v>
      </c>
      <c r="AL2188" s="105">
        <f t="shared" si="2749"/>
        <v>0</v>
      </c>
      <c r="AM2188" s="105">
        <f t="shared" si="2749"/>
        <v>16</v>
      </c>
      <c r="AN2188" s="106">
        <f>SUM(AI2188:AM2188)</f>
        <v>126</v>
      </c>
      <c r="AO2188" s="104">
        <f>AO2182</f>
        <v>131</v>
      </c>
      <c r="AP2188" s="105">
        <f t="shared" ref="AP2188:AS2188" si="2750">AP2182</f>
        <v>68</v>
      </c>
      <c r="AQ2188" s="105">
        <f t="shared" si="2750"/>
        <v>73</v>
      </c>
      <c r="AR2188" s="105">
        <f t="shared" si="2750"/>
        <v>75</v>
      </c>
      <c r="AS2188" s="105">
        <f t="shared" si="2750"/>
        <v>105</v>
      </c>
      <c r="AT2188" s="106">
        <f>SUM(AO2188:AS2188)</f>
        <v>452</v>
      </c>
      <c r="AU2188" s="104">
        <f>AU2182</f>
        <v>99</v>
      </c>
      <c r="AV2188" s="105">
        <f t="shared" ref="AV2188:AY2188" si="2751">AV2182</f>
        <v>36</v>
      </c>
      <c r="AW2188" s="105">
        <f t="shared" si="2751"/>
        <v>0</v>
      </c>
      <c r="AX2188" s="105">
        <f t="shared" si="2751"/>
        <v>0</v>
      </c>
      <c r="AY2188" s="105">
        <f t="shared" si="2751"/>
        <v>47</v>
      </c>
      <c r="AZ2188" s="106">
        <f>SUM(AU2188:AY2188)</f>
        <v>182</v>
      </c>
      <c r="BA2188" s="106">
        <f>AH2188+AN2188+AT2188+AZ2188</f>
        <v>845</v>
      </c>
    </row>
    <row r="2189" spans="1:54" ht="14.25" x14ac:dyDescent="0.15">
      <c r="A2189" s="10" t="s">
        <v>181</v>
      </c>
      <c r="B2189" s="14"/>
      <c r="C2189" s="15">
        <v>2</v>
      </c>
      <c r="D2189" s="15"/>
      <c r="E2189" s="15"/>
      <c r="F2189" s="15"/>
      <c r="G2189" s="43">
        <f t="shared" ref="G2189:G2191" si="2752">SUM(B2189:F2189)</f>
        <v>2</v>
      </c>
      <c r="H2189" s="14"/>
      <c r="I2189" s="15"/>
      <c r="J2189" s="15"/>
      <c r="K2189" s="15"/>
      <c r="L2189" s="15">
        <v>3</v>
      </c>
      <c r="M2189" s="43">
        <f t="shared" ref="M2189:M2191" si="2753">SUM(H2189:L2189)</f>
        <v>3</v>
      </c>
      <c r="N2189" s="14"/>
      <c r="O2189" s="55"/>
      <c r="P2189" s="55">
        <v>2</v>
      </c>
      <c r="Q2189" s="55"/>
      <c r="R2189" s="67"/>
      <c r="S2189" s="24">
        <f t="shared" ref="S2189:S2191" si="2754">SUM(N2189:R2189)</f>
        <v>2</v>
      </c>
      <c r="T2189" s="15"/>
      <c r="U2189" s="55"/>
      <c r="V2189" s="55"/>
      <c r="W2189" s="55"/>
      <c r="X2189" s="67"/>
      <c r="Y2189" s="24">
        <f t="shared" ref="Y2189:Y2191" si="2755">SUM(T2189:X2189)</f>
        <v>0</v>
      </c>
      <c r="Z2189" s="24">
        <f t="shared" ref="Z2189:Z2191" si="2756">G2189+M2189+S2189+Y2189</f>
        <v>7</v>
      </c>
      <c r="AA2189" s="83">
        <v>46084</v>
      </c>
      <c r="AB2189" s="10" t="s">
        <v>181</v>
      </c>
      <c r="AC2189" s="14"/>
      <c r="AD2189" s="15"/>
      <c r="AE2189" s="15"/>
      <c r="AF2189" s="15"/>
      <c r="AG2189" s="15"/>
      <c r="AH2189" s="43">
        <f t="shared" ref="AH2189:AH2192" si="2757">SUM(AC2189:AG2189)</f>
        <v>0</v>
      </c>
      <c r="AI2189" s="14"/>
      <c r="AJ2189" s="15"/>
      <c r="AK2189" s="15"/>
      <c r="AL2189" s="15"/>
      <c r="AM2189" s="15"/>
      <c r="AN2189" s="43">
        <f t="shared" ref="AN2189:AN2192" si="2758">SUM(AI2189:AM2189)</f>
        <v>0</v>
      </c>
      <c r="AO2189" s="14"/>
      <c r="AP2189" s="55"/>
      <c r="AQ2189" s="55"/>
      <c r="AR2189" s="55"/>
      <c r="AS2189" s="67"/>
      <c r="AT2189" s="24">
        <f t="shared" ref="AT2189:AT2192" si="2759">SUM(AO2189:AS2189)</f>
        <v>0</v>
      </c>
      <c r="AU2189" s="15"/>
      <c r="AV2189" s="55"/>
      <c r="AW2189" s="55"/>
      <c r="AX2189" s="55"/>
      <c r="AY2189" s="67"/>
      <c r="AZ2189" s="24">
        <f t="shared" ref="AZ2189:AZ2192" si="2760">SUM(AU2189:AY2189)</f>
        <v>0</v>
      </c>
      <c r="BA2189" s="24">
        <f t="shared" ref="BA2189:BA2192" si="2761">AH2189+AN2189+AT2189+AZ2189</f>
        <v>0</v>
      </c>
    </row>
    <row r="2190" spans="1:54" ht="14.25" x14ac:dyDescent="0.15">
      <c r="A2190" s="228" t="s">
        <v>181</v>
      </c>
      <c r="B2190" s="229"/>
      <c r="C2190" s="230"/>
      <c r="D2190" s="230"/>
      <c r="E2190" s="230"/>
      <c r="F2190" s="230"/>
      <c r="G2190" s="22">
        <f t="shared" si="2752"/>
        <v>0</v>
      </c>
      <c r="H2190" s="229"/>
      <c r="I2190" s="230"/>
      <c r="J2190" s="230"/>
      <c r="K2190" s="230"/>
      <c r="L2190" s="230"/>
      <c r="M2190" s="22">
        <f t="shared" si="2753"/>
        <v>0</v>
      </c>
      <c r="N2190" s="229"/>
      <c r="O2190" s="231"/>
      <c r="P2190" s="231"/>
      <c r="Q2190" s="231">
        <v>3</v>
      </c>
      <c r="R2190" s="232"/>
      <c r="S2190" s="225">
        <f t="shared" si="2754"/>
        <v>3</v>
      </c>
      <c r="T2190" s="230"/>
      <c r="U2190" s="231"/>
      <c r="V2190" s="231"/>
      <c r="W2190" s="231"/>
      <c r="X2190" s="232"/>
      <c r="Y2190" s="225">
        <f t="shared" si="2755"/>
        <v>0</v>
      </c>
      <c r="Z2190" s="225">
        <f t="shared" si="2756"/>
        <v>3</v>
      </c>
      <c r="AA2190" s="93">
        <v>46085</v>
      </c>
      <c r="AB2190" s="10" t="s">
        <v>181</v>
      </c>
      <c r="AC2190" s="14"/>
      <c r="AD2190" s="15"/>
      <c r="AE2190" s="15"/>
      <c r="AF2190" s="15"/>
      <c r="AG2190" s="15"/>
      <c r="AH2190" s="43">
        <f t="shared" si="2757"/>
        <v>0</v>
      </c>
      <c r="AI2190" s="14"/>
      <c r="AJ2190" s="15"/>
      <c r="AK2190" s="15"/>
      <c r="AL2190" s="15"/>
      <c r="AM2190" s="15"/>
      <c r="AN2190" s="43">
        <f t="shared" si="2758"/>
        <v>0</v>
      </c>
      <c r="AO2190" s="14"/>
      <c r="AP2190" s="55"/>
      <c r="AQ2190" s="55"/>
      <c r="AR2190" s="55"/>
      <c r="AS2190" s="67"/>
      <c r="AT2190" s="24">
        <f t="shared" si="2759"/>
        <v>0</v>
      </c>
      <c r="AU2190" s="15"/>
      <c r="AV2190" s="55"/>
      <c r="AW2190" s="55"/>
      <c r="AX2190" s="55"/>
      <c r="AY2190" s="67"/>
      <c r="AZ2190" s="24">
        <f t="shared" si="2760"/>
        <v>0</v>
      </c>
      <c r="BA2190" s="24">
        <f t="shared" si="2761"/>
        <v>0</v>
      </c>
    </row>
    <row r="2191" spans="1:54" ht="14.25" x14ac:dyDescent="0.15">
      <c r="A2191" s="10" t="s">
        <v>181</v>
      </c>
      <c r="B2191" s="14"/>
      <c r="C2191" s="15">
        <v>3</v>
      </c>
      <c r="D2191" s="15">
        <v>3</v>
      </c>
      <c r="E2191" s="15"/>
      <c r="F2191" s="15"/>
      <c r="G2191" s="43">
        <f t="shared" si="2752"/>
        <v>6</v>
      </c>
      <c r="H2191" s="14">
        <v>3</v>
      </c>
      <c r="I2191" s="15">
        <v>3</v>
      </c>
      <c r="J2191" s="15">
        <v>3</v>
      </c>
      <c r="K2191" s="15"/>
      <c r="L2191" s="15"/>
      <c r="M2191" s="43">
        <f t="shared" si="2753"/>
        <v>9</v>
      </c>
      <c r="N2191" s="14"/>
      <c r="O2191" s="55"/>
      <c r="P2191" s="55"/>
      <c r="Q2191" s="55"/>
      <c r="R2191" s="67"/>
      <c r="S2191" s="24">
        <f t="shared" si="2754"/>
        <v>0</v>
      </c>
      <c r="T2191" s="15"/>
      <c r="U2191" s="55"/>
      <c r="V2191" s="55"/>
      <c r="W2191" s="55"/>
      <c r="X2191" s="67"/>
      <c r="Y2191" s="24">
        <f t="shared" si="2755"/>
        <v>0</v>
      </c>
      <c r="Z2191" s="24">
        <f t="shared" si="2756"/>
        <v>15</v>
      </c>
      <c r="AA2191" s="93">
        <v>46088</v>
      </c>
      <c r="AB2191" s="10" t="s">
        <v>181</v>
      </c>
      <c r="AC2191" s="14"/>
      <c r="AD2191" s="15"/>
      <c r="AE2191" s="15"/>
      <c r="AF2191" s="15"/>
      <c r="AG2191" s="15"/>
      <c r="AH2191" s="43">
        <f t="shared" si="2757"/>
        <v>0</v>
      </c>
      <c r="AI2191" s="14"/>
      <c r="AJ2191" s="15"/>
      <c r="AK2191" s="15"/>
      <c r="AL2191" s="15"/>
      <c r="AM2191" s="15"/>
      <c r="AN2191" s="43">
        <f t="shared" si="2758"/>
        <v>0</v>
      </c>
      <c r="AO2191" s="14"/>
      <c r="AP2191" s="55"/>
      <c r="AQ2191" s="55"/>
      <c r="AR2191" s="55"/>
      <c r="AS2191" s="67"/>
      <c r="AT2191" s="24">
        <f t="shared" si="2759"/>
        <v>0</v>
      </c>
      <c r="AU2191" s="15"/>
      <c r="AV2191" s="55"/>
      <c r="AW2191" s="55"/>
      <c r="AX2191" s="55"/>
      <c r="AY2191" s="67"/>
      <c r="AZ2191" s="24">
        <f t="shared" si="2760"/>
        <v>0</v>
      </c>
      <c r="BA2191" s="24">
        <f t="shared" si="2761"/>
        <v>0</v>
      </c>
    </row>
    <row r="2192" spans="1:54" ht="15" thickBot="1" x14ac:dyDescent="0.2">
      <c r="A2192" s="228" t="s">
        <v>181</v>
      </c>
      <c r="B2192" s="229"/>
      <c r="C2192" s="230"/>
      <c r="D2192" s="230"/>
      <c r="E2192" s="230"/>
      <c r="F2192" s="230"/>
      <c r="G2192" s="22">
        <f t="shared" ref="G2192:G2219" si="2762">SUM(B2192:F2192)</f>
        <v>0</v>
      </c>
      <c r="H2192" s="229"/>
      <c r="I2192" s="230"/>
      <c r="J2192" s="230"/>
      <c r="K2192" s="230"/>
      <c r="L2192" s="230">
        <v>2</v>
      </c>
      <c r="M2192" s="22">
        <f t="shared" si="2744"/>
        <v>2</v>
      </c>
      <c r="N2192" s="229"/>
      <c r="O2192" s="231"/>
      <c r="P2192" s="231"/>
      <c r="Q2192" s="231"/>
      <c r="R2192" s="232"/>
      <c r="S2192" s="225">
        <f t="shared" si="2745"/>
        <v>0</v>
      </c>
      <c r="T2192" s="230"/>
      <c r="U2192" s="231"/>
      <c r="V2192" s="231"/>
      <c r="W2192" s="231"/>
      <c r="X2192" s="232"/>
      <c r="Y2192" s="225">
        <f t="shared" si="2746"/>
        <v>0</v>
      </c>
      <c r="Z2192" s="225">
        <f t="shared" si="2747"/>
        <v>2</v>
      </c>
      <c r="AA2192" s="93">
        <v>46100</v>
      </c>
      <c r="AB2192" s="10" t="s">
        <v>181</v>
      </c>
      <c r="AC2192" s="14"/>
      <c r="AD2192" s="15"/>
      <c r="AE2192" s="15"/>
      <c r="AF2192" s="15"/>
      <c r="AG2192" s="15"/>
      <c r="AH2192" s="43">
        <f t="shared" si="2757"/>
        <v>0</v>
      </c>
      <c r="AI2192" s="14"/>
      <c r="AJ2192" s="15"/>
      <c r="AK2192" s="15"/>
      <c r="AL2192" s="15"/>
      <c r="AM2192" s="15"/>
      <c r="AN2192" s="43">
        <f t="shared" si="2758"/>
        <v>0</v>
      </c>
      <c r="AO2192" s="14"/>
      <c r="AP2192" s="55"/>
      <c r="AQ2192" s="55"/>
      <c r="AR2192" s="55"/>
      <c r="AS2192" s="67"/>
      <c r="AT2192" s="24">
        <f t="shared" si="2759"/>
        <v>0</v>
      </c>
      <c r="AU2192" s="15"/>
      <c r="AV2192" s="55"/>
      <c r="AW2192" s="55"/>
      <c r="AX2192" s="55"/>
      <c r="AY2192" s="67"/>
      <c r="AZ2192" s="24">
        <f t="shared" si="2760"/>
        <v>0</v>
      </c>
      <c r="BA2192" s="24">
        <f t="shared" si="2761"/>
        <v>0</v>
      </c>
    </row>
    <row r="2193" spans="1:54" ht="15" thickBot="1" x14ac:dyDescent="0.2">
      <c r="A2193" s="4" t="s">
        <v>12</v>
      </c>
      <c r="B2193" s="17">
        <f>SUM(B2188:B2192)</f>
        <v>6</v>
      </c>
      <c r="C2193" s="18">
        <f>SUM(C2188:C2192)</f>
        <v>6</v>
      </c>
      <c r="D2193" s="18">
        <f>SUM(D2188:D2192)</f>
        <v>6</v>
      </c>
      <c r="E2193" s="18">
        <f>SUM(E2188:E2192)</f>
        <v>0</v>
      </c>
      <c r="F2193" s="18">
        <f>SUM(F2188:F2192)</f>
        <v>0</v>
      </c>
      <c r="G2193" s="148">
        <f t="shared" si="2762"/>
        <v>18</v>
      </c>
      <c r="H2193" s="17">
        <f>SUM(H2188:H2192)</f>
        <v>6</v>
      </c>
      <c r="I2193" s="18">
        <f>SUM(I2188:I2192)</f>
        <v>6</v>
      </c>
      <c r="J2193" s="18">
        <f>SUM(J2188:J2192)</f>
        <v>6</v>
      </c>
      <c r="K2193" s="18">
        <f>SUM(K2188:K2192)</f>
        <v>0</v>
      </c>
      <c r="L2193" s="18">
        <f>SUM(L2188:L2192)</f>
        <v>7</v>
      </c>
      <c r="M2193" s="17">
        <f t="shared" ref="M2193:M2219" si="2763">SUM(H2193:L2193)</f>
        <v>25</v>
      </c>
      <c r="N2193" s="65">
        <f>SUM(N2188:N2192)</f>
        <v>5</v>
      </c>
      <c r="O2193" s="18">
        <f>SUM(O2188:O2192)</f>
        <v>4</v>
      </c>
      <c r="P2193" s="18">
        <f>SUM(P2188:P2192)</f>
        <v>4</v>
      </c>
      <c r="Q2193" s="18">
        <f>SUM(Q2188:Q2192)</f>
        <v>4</v>
      </c>
      <c r="R2193" s="70">
        <f>SUM(R2188:R2192)</f>
        <v>3</v>
      </c>
      <c r="S2193" s="49">
        <f t="shared" ref="S2193:S2219" si="2764">SUM(N2193:R2193)</f>
        <v>20</v>
      </c>
      <c r="T2193" s="74">
        <f>SUM(T2188:T2192)</f>
        <v>4</v>
      </c>
      <c r="U2193" s="18">
        <f>SUM(U2188:U2192)</f>
        <v>5</v>
      </c>
      <c r="V2193" s="18">
        <f>SUM(V2188:V2192)</f>
        <v>8</v>
      </c>
      <c r="W2193" s="18">
        <f>SUM(W2188:W2192)</f>
        <v>0</v>
      </c>
      <c r="X2193" s="70">
        <f>SUM(X2188:X2192)</f>
        <v>3</v>
      </c>
      <c r="Y2193" s="49">
        <f t="shared" ref="Y2193:Y2219" si="2765">SUM(T2193:X2193)</f>
        <v>20</v>
      </c>
      <c r="Z2193" s="33">
        <f t="shared" si="2747"/>
        <v>83</v>
      </c>
      <c r="AB2193" s="4" t="s">
        <v>12</v>
      </c>
      <c r="AC2193" s="17">
        <f>SUM(AC2188:AC2192)</f>
        <v>64</v>
      </c>
      <c r="AD2193" s="18">
        <f t="shared" ref="AD2193:AG2193" si="2766">SUM(AD2188:AD2192)</f>
        <v>13</v>
      </c>
      <c r="AE2193" s="18">
        <f t="shared" si="2766"/>
        <v>8</v>
      </c>
      <c r="AF2193" s="18">
        <f t="shared" si="2766"/>
        <v>0</v>
      </c>
      <c r="AG2193" s="18">
        <f t="shared" si="2766"/>
        <v>0</v>
      </c>
      <c r="AH2193" s="148">
        <f>SUM(AC2193:AG2193)</f>
        <v>85</v>
      </c>
      <c r="AI2193" s="17">
        <f>SUM(AI2188:AI2192)</f>
        <v>62</v>
      </c>
      <c r="AJ2193" s="18">
        <f t="shared" ref="AJ2193:AM2193" si="2767">SUM(AJ2188:AJ2192)</f>
        <v>24</v>
      </c>
      <c r="AK2193" s="18">
        <f t="shared" si="2767"/>
        <v>24</v>
      </c>
      <c r="AL2193" s="18">
        <f t="shared" si="2767"/>
        <v>0</v>
      </c>
      <c r="AM2193" s="18">
        <f t="shared" si="2767"/>
        <v>16</v>
      </c>
      <c r="AN2193" s="148">
        <f>SUM(AI2193:AM2193)</f>
        <v>126</v>
      </c>
      <c r="AO2193" s="17">
        <f>SUM(AO2188:AO2192)</f>
        <v>131</v>
      </c>
      <c r="AP2193" s="18">
        <f t="shared" ref="AP2193:AS2193" si="2768">SUM(AP2188:AP2192)</f>
        <v>68</v>
      </c>
      <c r="AQ2193" s="18">
        <f t="shared" si="2768"/>
        <v>73</v>
      </c>
      <c r="AR2193" s="18">
        <f t="shared" si="2768"/>
        <v>75</v>
      </c>
      <c r="AS2193" s="18">
        <f t="shared" si="2768"/>
        <v>105</v>
      </c>
      <c r="AT2193" s="148">
        <f>SUM(AO2193:AS2193)</f>
        <v>452</v>
      </c>
      <c r="AU2193" s="17">
        <f>SUM(AU2188:AU2192)</f>
        <v>99</v>
      </c>
      <c r="AV2193" s="18">
        <f t="shared" ref="AV2193:AY2193" si="2769">SUM(AV2188:AV2192)</f>
        <v>36</v>
      </c>
      <c r="AW2193" s="18">
        <f t="shared" si="2769"/>
        <v>0</v>
      </c>
      <c r="AX2193" s="18">
        <f t="shared" si="2769"/>
        <v>0</v>
      </c>
      <c r="AY2193" s="18">
        <f t="shared" si="2769"/>
        <v>47</v>
      </c>
      <c r="AZ2193" s="148">
        <f>SUM(AU2193:AY2193)</f>
        <v>182</v>
      </c>
      <c r="BA2193" s="33">
        <f>AH2193+AN2193+AT2193+AZ2193</f>
        <v>845</v>
      </c>
    </row>
    <row r="2194" spans="1:54" ht="14.25" x14ac:dyDescent="0.15">
      <c r="A2194" s="23" t="s">
        <v>438</v>
      </c>
      <c r="B2194" s="41"/>
      <c r="C2194" s="42"/>
      <c r="D2194" s="42"/>
      <c r="E2194" s="42"/>
      <c r="F2194" s="42"/>
      <c r="G2194" s="43">
        <f t="shared" si="2762"/>
        <v>0</v>
      </c>
      <c r="H2194" s="41"/>
      <c r="I2194" s="42"/>
      <c r="J2194" s="42"/>
      <c r="K2194" s="42"/>
      <c r="L2194" s="42">
        <v>1</v>
      </c>
      <c r="M2194" s="43">
        <f t="shared" si="2763"/>
        <v>1</v>
      </c>
      <c r="N2194" s="42"/>
      <c r="O2194" s="53"/>
      <c r="P2194" s="53"/>
      <c r="Q2194" s="53"/>
      <c r="R2194" s="72"/>
      <c r="S2194" s="24">
        <f t="shared" si="2764"/>
        <v>0</v>
      </c>
      <c r="T2194" s="42"/>
      <c r="U2194" s="53"/>
      <c r="V2194" s="53"/>
      <c r="W2194" s="53"/>
      <c r="X2194" s="72"/>
      <c r="Y2194" s="24">
        <f t="shared" si="2765"/>
        <v>0</v>
      </c>
      <c r="Z2194" s="24">
        <f t="shared" si="2747"/>
        <v>1</v>
      </c>
      <c r="AA2194" s="83">
        <v>46085</v>
      </c>
      <c r="AB2194" s="224" t="s">
        <v>722</v>
      </c>
      <c r="AC2194" s="12"/>
      <c r="AD2194" s="13">
        <v>3</v>
      </c>
      <c r="AE2194" s="13">
        <v>3</v>
      </c>
      <c r="AF2194" s="13"/>
      <c r="AG2194" s="13"/>
      <c r="AH2194" s="22">
        <f t="shared" ref="AH2194:AH2217" si="2770">SUM(AC2194:AG2194)</f>
        <v>6</v>
      </c>
      <c r="AI2194" s="12">
        <v>3</v>
      </c>
      <c r="AJ2194" s="13">
        <v>3</v>
      </c>
      <c r="AK2194" s="13">
        <v>3</v>
      </c>
      <c r="AL2194" s="13"/>
      <c r="AM2194" s="13"/>
      <c r="AN2194" s="22">
        <f t="shared" ref="AN2194:AN2217" si="2771">SUM(AI2194:AM2194)</f>
        <v>9</v>
      </c>
      <c r="AO2194" s="13"/>
      <c r="AP2194" s="54"/>
      <c r="AQ2194" s="54"/>
      <c r="AR2194" s="54"/>
      <c r="AS2194" s="68"/>
      <c r="AT2194" s="225">
        <f t="shared" ref="AT2194:AT2217" si="2772">SUM(AO2194:AS2194)</f>
        <v>0</v>
      </c>
      <c r="AU2194" s="13"/>
      <c r="AV2194" s="54"/>
      <c r="AW2194" s="54"/>
      <c r="AX2194" s="54"/>
      <c r="AY2194" s="68"/>
      <c r="AZ2194" s="225">
        <f t="shared" ref="AZ2194:AZ2217" si="2773">SUM(AU2194:AY2194)</f>
        <v>0</v>
      </c>
      <c r="BA2194" s="225">
        <f t="shared" ref="BA2194:BA2221" si="2774">AH2194+AN2194+AT2194+AZ2194</f>
        <v>15</v>
      </c>
      <c r="BB2194" s="93">
        <v>46088</v>
      </c>
    </row>
    <row r="2195" spans="1:54" ht="14.25" x14ac:dyDescent="0.15">
      <c r="A2195" s="23" t="s">
        <v>721</v>
      </c>
      <c r="B2195" s="41"/>
      <c r="C2195" s="42"/>
      <c r="D2195" s="42"/>
      <c r="E2195" s="42"/>
      <c r="F2195" s="42"/>
      <c r="G2195" s="43">
        <f t="shared" si="2762"/>
        <v>0</v>
      </c>
      <c r="H2195" s="41"/>
      <c r="I2195" s="42"/>
      <c r="J2195" s="42"/>
      <c r="K2195" s="42"/>
      <c r="L2195" s="42"/>
      <c r="M2195" s="43">
        <f t="shared" si="2763"/>
        <v>0</v>
      </c>
      <c r="N2195" s="42"/>
      <c r="O2195" s="53"/>
      <c r="P2195" s="53"/>
      <c r="Q2195" s="53">
        <v>1</v>
      </c>
      <c r="R2195" s="72"/>
      <c r="S2195" s="24">
        <f t="shared" si="2764"/>
        <v>1</v>
      </c>
      <c r="T2195" s="42"/>
      <c r="U2195" s="53"/>
      <c r="V2195" s="53"/>
      <c r="W2195" s="53"/>
      <c r="X2195" s="72"/>
      <c r="Y2195" s="24">
        <f t="shared" si="2765"/>
        <v>0</v>
      </c>
      <c r="Z2195" s="24">
        <f t="shared" si="2747"/>
        <v>1</v>
      </c>
      <c r="AA2195" s="83">
        <v>46084</v>
      </c>
      <c r="AB2195" s="224" t="s">
        <v>723</v>
      </c>
      <c r="AC2195" s="12"/>
      <c r="AD2195" s="13"/>
      <c r="AE2195" s="13"/>
      <c r="AF2195" s="13"/>
      <c r="AG2195" s="13"/>
      <c r="AH2195" s="22">
        <f t="shared" si="2770"/>
        <v>0</v>
      </c>
      <c r="AI2195" s="12"/>
      <c r="AJ2195" s="13"/>
      <c r="AK2195" s="13"/>
      <c r="AL2195" s="13"/>
      <c r="AM2195" s="13">
        <v>2</v>
      </c>
      <c r="AN2195" s="22">
        <f t="shared" si="2771"/>
        <v>2</v>
      </c>
      <c r="AO2195" s="13"/>
      <c r="AP2195" s="54"/>
      <c r="AQ2195" s="54"/>
      <c r="AR2195" s="54"/>
      <c r="AS2195" s="68"/>
      <c r="AT2195" s="225">
        <f t="shared" si="2772"/>
        <v>0</v>
      </c>
      <c r="AU2195" s="13"/>
      <c r="AV2195" s="54"/>
      <c r="AW2195" s="54"/>
      <c r="AX2195" s="54"/>
      <c r="AY2195" s="68"/>
      <c r="AZ2195" s="225">
        <f t="shared" si="2773"/>
        <v>0</v>
      </c>
      <c r="BA2195" s="225">
        <f t="shared" si="2774"/>
        <v>2</v>
      </c>
      <c r="BB2195" s="93">
        <v>46100</v>
      </c>
    </row>
    <row r="2196" spans="1:54" ht="14.25" x14ac:dyDescent="0.15">
      <c r="A2196" s="23" t="s">
        <v>699</v>
      </c>
      <c r="B2196" s="41"/>
      <c r="C2196" s="42"/>
      <c r="D2196" s="42"/>
      <c r="E2196" s="42"/>
      <c r="F2196" s="42"/>
      <c r="G2196" s="43">
        <f t="shared" si="2762"/>
        <v>0</v>
      </c>
      <c r="H2196" s="41"/>
      <c r="I2196" s="42"/>
      <c r="J2196" s="42"/>
      <c r="K2196" s="42"/>
      <c r="L2196" s="42">
        <v>1</v>
      </c>
      <c r="M2196" s="43">
        <f t="shared" si="2763"/>
        <v>1</v>
      </c>
      <c r="N2196" s="42"/>
      <c r="O2196" s="53"/>
      <c r="P2196" s="53">
        <v>1</v>
      </c>
      <c r="Q2196" s="53"/>
      <c r="R2196" s="72"/>
      <c r="S2196" s="24">
        <f t="shared" si="2764"/>
        <v>1</v>
      </c>
      <c r="T2196" s="42"/>
      <c r="U2196" s="53"/>
      <c r="V2196" s="53"/>
      <c r="W2196" s="53"/>
      <c r="X2196" s="72"/>
      <c r="Y2196" s="24">
        <f t="shared" si="2765"/>
        <v>0</v>
      </c>
      <c r="Z2196" s="24">
        <f t="shared" si="2747"/>
        <v>2</v>
      </c>
      <c r="AA2196" s="93">
        <v>46083</v>
      </c>
      <c r="AB2196" s="23" t="s">
        <v>723</v>
      </c>
      <c r="AC2196" s="41"/>
      <c r="AD2196" s="42"/>
      <c r="AE2196" s="42"/>
      <c r="AF2196" s="42"/>
      <c r="AG2196" s="42"/>
      <c r="AH2196" s="43">
        <f t="shared" si="2770"/>
        <v>0</v>
      </c>
      <c r="AI2196" s="41"/>
      <c r="AJ2196" s="42"/>
      <c r="AK2196" s="42"/>
      <c r="AL2196" s="42"/>
      <c r="AM2196" s="42">
        <v>5</v>
      </c>
      <c r="AN2196" s="43">
        <f t="shared" si="2771"/>
        <v>5</v>
      </c>
      <c r="AO2196" s="42"/>
      <c r="AP2196" s="53"/>
      <c r="AQ2196" s="53"/>
      <c r="AR2196" s="53"/>
      <c r="AS2196" s="72"/>
      <c r="AT2196" s="24">
        <f t="shared" si="2772"/>
        <v>0</v>
      </c>
      <c r="AU2196" s="42"/>
      <c r="AV2196" s="53"/>
      <c r="AW2196" s="53"/>
      <c r="AX2196" s="53"/>
      <c r="AY2196" s="72"/>
      <c r="AZ2196" s="24">
        <f t="shared" si="2773"/>
        <v>0</v>
      </c>
      <c r="BA2196" s="24">
        <f t="shared" si="2774"/>
        <v>5</v>
      </c>
      <c r="BB2196" s="83">
        <v>46107</v>
      </c>
    </row>
    <row r="2197" spans="1:54" ht="14.25" x14ac:dyDescent="0.15">
      <c r="A2197" s="23" t="s">
        <v>699</v>
      </c>
      <c r="B2197" s="41"/>
      <c r="C2197" s="42"/>
      <c r="D2197" s="42"/>
      <c r="E2197" s="42"/>
      <c r="F2197" s="42"/>
      <c r="G2197" s="43">
        <f t="shared" si="2762"/>
        <v>0</v>
      </c>
      <c r="H2197" s="41">
        <v>1</v>
      </c>
      <c r="I2197" s="42"/>
      <c r="J2197" s="42"/>
      <c r="K2197" s="42"/>
      <c r="L2197" s="42">
        <v>1</v>
      </c>
      <c r="M2197" s="43">
        <f t="shared" si="2763"/>
        <v>2</v>
      </c>
      <c r="N2197" s="42"/>
      <c r="O2197" s="53"/>
      <c r="P2197" s="53"/>
      <c r="Q2197" s="53"/>
      <c r="R2197" s="72"/>
      <c r="S2197" s="24">
        <f t="shared" si="2764"/>
        <v>0</v>
      </c>
      <c r="T2197" s="42"/>
      <c r="U2197" s="53"/>
      <c r="V2197" s="53"/>
      <c r="W2197" s="53"/>
      <c r="X2197" s="72"/>
      <c r="Y2197" s="24">
        <f t="shared" si="2765"/>
        <v>0</v>
      </c>
      <c r="Z2197" s="24">
        <f t="shared" si="2747"/>
        <v>2</v>
      </c>
      <c r="AA2197" s="93">
        <v>46084</v>
      </c>
      <c r="AB2197" s="224" t="s">
        <v>723</v>
      </c>
      <c r="AC2197" s="12"/>
      <c r="AD2197" s="13"/>
      <c r="AE2197" s="13"/>
      <c r="AF2197" s="13"/>
      <c r="AG2197" s="13"/>
      <c r="AH2197" s="22">
        <f t="shared" si="2770"/>
        <v>0</v>
      </c>
      <c r="AI2197" s="12"/>
      <c r="AJ2197" s="13"/>
      <c r="AK2197" s="13"/>
      <c r="AL2197" s="13"/>
      <c r="AM2197" s="13"/>
      <c r="AN2197" s="22">
        <f t="shared" si="2771"/>
        <v>0</v>
      </c>
      <c r="AO2197" s="13"/>
      <c r="AP2197" s="54"/>
      <c r="AQ2197" s="54">
        <v>2</v>
      </c>
      <c r="AR2197" s="54"/>
      <c r="AS2197" s="68"/>
      <c r="AT2197" s="225">
        <f t="shared" si="2772"/>
        <v>2</v>
      </c>
      <c r="AU2197" s="13"/>
      <c r="AV2197" s="54"/>
      <c r="AW2197" s="54"/>
      <c r="AX2197" s="54"/>
      <c r="AY2197" s="68"/>
      <c r="AZ2197" s="225">
        <f t="shared" si="2773"/>
        <v>0</v>
      </c>
      <c r="BA2197" s="225">
        <f t="shared" si="2774"/>
        <v>2</v>
      </c>
      <c r="BB2197" s="93">
        <v>46113</v>
      </c>
    </row>
    <row r="2198" spans="1:54" ht="14.25" x14ac:dyDescent="0.15">
      <c r="A2198" s="23" t="s">
        <v>699</v>
      </c>
      <c r="B2198" s="41"/>
      <c r="C2198" s="42"/>
      <c r="D2198" s="42">
        <v>1</v>
      </c>
      <c r="E2198" s="42"/>
      <c r="F2198" s="42"/>
      <c r="G2198" s="43">
        <f t="shared" si="2762"/>
        <v>1</v>
      </c>
      <c r="H2198" s="41"/>
      <c r="I2198" s="42"/>
      <c r="J2198" s="42"/>
      <c r="K2198" s="42"/>
      <c r="L2198" s="42"/>
      <c r="M2198" s="43">
        <f t="shared" si="2763"/>
        <v>0</v>
      </c>
      <c r="N2198" s="42"/>
      <c r="O2198" s="53"/>
      <c r="P2198" s="53"/>
      <c r="Q2198" s="53"/>
      <c r="R2198" s="72"/>
      <c r="S2198" s="24">
        <f t="shared" si="2764"/>
        <v>0</v>
      </c>
      <c r="T2198" s="42"/>
      <c r="U2198" s="53"/>
      <c r="V2198" s="53"/>
      <c r="W2198" s="53"/>
      <c r="X2198" s="72"/>
      <c r="Y2198" s="24">
        <f t="shared" si="2765"/>
        <v>0</v>
      </c>
      <c r="Z2198" s="24">
        <f t="shared" si="2747"/>
        <v>1</v>
      </c>
      <c r="AA2198" s="93">
        <v>46086</v>
      </c>
      <c r="AB2198" s="224" t="s">
        <v>723</v>
      </c>
      <c r="AC2198" s="12"/>
      <c r="AD2198" s="13"/>
      <c r="AE2198" s="13"/>
      <c r="AF2198" s="13"/>
      <c r="AG2198" s="13"/>
      <c r="AH2198" s="22">
        <f t="shared" si="2770"/>
        <v>0</v>
      </c>
      <c r="AI2198" s="12"/>
      <c r="AJ2198" s="13">
        <v>2</v>
      </c>
      <c r="AK2198" s="13"/>
      <c r="AL2198" s="13"/>
      <c r="AM2198" s="13"/>
      <c r="AN2198" s="22">
        <f t="shared" si="2771"/>
        <v>2</v>
      </c>
      <c r="AO2198" s="13"/>
      <c r="AP2198" s="54"/>
      <c r="AQ2198" s="54"/>
      <c r="AR2198" s="54"/>
      <c r="AS2198" s="68"/>
      <c r="AT2198" s="225">
        <f t="shared" si="2772"/>
        <v>0</v>
      </c>
      <c r="AU2198" s="13"/>
      <c r="AV2198" s="54"/>
      <c r="AW2198" s="54"/>
      <c r="AX2198" s="54"/>
      <c r="AY2198" s="68"/>
      <c r="AZ2198" s="225">
        <f t="shared" si="2773"/>
        <v>0</v>
      </c>
      <c r="BA2198" s="225">
        <f t="shared" si="2774"/>
        <v>2</v>
      </c>
      <c r="BB2198" s="93">
        <v>46120</v>
      </c>
    </row>
    <row r="2199" spans="1:54" ht="14.25" x14ac:dyDescent="0.15">
      <c r="A2199" s="23" t="s">
        <v>699</v>
      </c>
      <c r="B2199" s="41">
        <v>1</v>
      </c>
      <c r="C2199" s="42"/>
      <c r="D2199" s="42">
        <v>1</v>
      </c>
      <c r="E2199" s="42"/>
      <c r="F2199" s="42"/>
      <c r="G2199" s="43">
        <f t="shared" si="2762"/>
        <v>2</v>
      </c>
      <c r="H2199" s="41"/>
      <c r="I2199" s="42"/>
      <c r="J2199" s="42"/>
      <c r="K2199" s="42"/>
      <c r="L2199" s="42"/>
      <c r="M2199" s="43">
        <f t="shared" si="2763"/>
        <v>0</v>
      </c>
      <c r="N2199" s="42"/>
      <c r="O2199" s="53"/>
      <c r="P2199" s="53"/>
      <c r="Q2199" s="53"/>
      <c r="R2199" s="72"/>
      <c r="S2199" s="24">
        <f t="shared" si="2764"/>
        <v>0</v>
      </c>
      <c r="T2199" s="42"/>
      <c r="U2199" s="53"/>
      <c r="V2199" s="53"/>
      <c r="W2199" s="53"/>
      <c r="X2199" s="72"/>
      <c r="Y2199" s="24">
        <f t="shared" si="2765"/>
        <v>0</v>
      </c>
      <c r="Z2199" s="24">
        <f t="shared" si="2747"/>
        <v>2</v>
      </c>
      <c r="AA2199" s="93">
        <v>46087</v>
      </c>
      <c r="AB2199" s="224" t="s">
        <v>723</v>
      </c>
      <c r="AC2199" s="12"/>
      <c r="AD2199" s="13"/>
      <c r="AE2199" s="13"/>
      <c r="AF2199" s="13"/>
      <c r="AG2199" s="13"/>
      <c r="AH2199" s="22">
        <f t="shared" si="2770"/>
        <v>0</v>
      </c>
      <c r="AI2199" s="12"/>
      <c r="AJ2199" s="13"/>
      <c r="AK2199" s="13"/>
      <c r="AL2199" s="13"/>
      <c r="AM2199" s="13"/>
      <c r="AN2199" s="22">
        <f t="shared" si="2771"/>
        <v>0</v>
      </c>
      <c r="AO2199" s="13"/>
      <c r="AP2199" s="54"/>
      <c r="AQ2199" s="54"/>
      <c r="AR2199" s="54"/>
      <c r="AS2199" s="68">
        <v>2</v>
      </c>
      <c r="AT2199" s="225">
        <f t="shared" si="2772"/>
        <v>2</v>
      </c>
      <c r="AU2199" s="13"/>
      <c r="AV2199" s="54"/>
      <c r="AW2199" s="54"/>
      <c r="AX2199" s="54"/>
      <c r="AY2199" s="68"/>
      <c r="AZ2199" s="225">
        <f t="shared" si="2773"/>
        <v>0</v>
      </c>
      <c r="BA2199" s="225">
        <f t="shared" si="2774"/>
        <v>2</v>
      </c>
      <c r="BB2199" s="93">
        <v>46127</v>
      </c>
    </row>
    <row r="2200" spans="1:54" ht="14.25" x14ac:dyDescent="0.15">
      <c r="A2200" s="23" t="s">
        <v>699</v>
      </c>
      <c r="B2200" s="41"/>
      <c r="C2200" s="42"/>
      <c r="D2200" s="42">
        <v>1</v>
      </c>
      <c r="E2200" s="42"/>
      <c r="F2200" s="42"/>
      <c r="G2200" s="43">
        <f t="shared" si="2762"/>
        <v>1</v>
      </c>
      <c r="H2200" s="41"/>
      <c r="I2200" s="42"/>
      <c r="J2200" s="42"/>
      <c r="K2200" s="42"/>
      <c r="L2200" s="42"/>
      <c r="M2200" s="43">
        <f t="shared" si="2763"/>
        <v>0</v>
      </c>
      <c r="N2200" s="42"/>
      <c r="O2200" s="53"/>
      <c r="P2200" s="53"/>
      <c r="Q2200" s="53"/>
      <c r="R2200" s="72"/>
      <c r="S2200" s="24">
        <f t="shared" si="2764"/>
        <v>0</v>
      </c>
      <c r="T2200" s="42"/>
      <c r="U2200" s="53"/>
      <c r="V2200" s="53"/>
      <c r="W2200" s="53"/>
      <c r="X2200" s="72">
        <v>1</v>
      </c>
      <c r="Y2200" s="24">
        <f t="shared" si="2765"/>
        <v>1</v>
      </c>
      <c r="Z2200" s="24">
        <f t="shared" si="2747"/>
        <v>2</v>
      </c>
      <c r="AA2200" s="93">
        <v>46090</v>
      </c>
      <c r="AB2200" s="23" t="s">
        <v>723</v>
      </c>
      <c r="AC2200" s="41"/>
      <c r="AD2200" s="42"/>
      <c r="AE2200" s="42"/>
      <c r="AF2200" s="42"/>
      <c r="AG2200" s="42"/>
      <c r="AH2200" s="43">
        <f t="shared" si="2770"/>
        <v>0</v>
      </c>
      <c r="AI2200" s="41"/>
      <c r="AJ2200" s="42"/>
      <c r="AK2200" s="42"/>
      <c r="AL2200" s="42"/>
      <c r="AM2200" s="42">
        <v>3</v>
      </c>
      <c r="AN2200" s="43">
        <f t="shared" si="2771"/>
        <v>3</v>
      </c>
      <c r="AO2200" s="42"/>
      <c r="AP2200" s="53"/>
      <c r="AQ2200" s="53"/>
      <c r="AR2200" s="53"/>
      <c r="AS2200" s="72"/>
      <c r="AT2200" s="24">
        <f t="shared" si="2772"/>
        <v>0</v>
      </c>
      <c r="AU2200" s="42"/>
      <c r="AV2200" s="53"/>
      <c r="AW2200" s="53"/>
      <c r="AX2200" s="53"/>
      <c r="AY2200" s="72"/>
      <c r="AZ2200" s="24">
        <f t="shared" si="2773"/>
        <v>0</v>
      </c>
      <c r="BA2200" s="24">
        <f t="shared" si="2774"/>
        <v>3</v>
      </c>
      <c r="BB2200" s="83">
        <v>46129</v>
      </c>
    </row>
    <row r="2201" spans="1:54" ht="14.25" x14ac:dyDescent="0.15">
      <c r="A2201" s="23" t="s">
        <v>699</v>
      </c>
      <c r="B2201" s="41"/>
      <c r="C2201" s="42"/>
      <c r="D2201" s="42"/>
      <c r="E2201" s="42"/>
      <c r="F2201" s="42"/>
      <c r="G2201" s="43">
        <f t="shared" si="2762"/>
        <v>0</v>
      </c>
      <c r="H2201" s="41"/>
      <c r="I2201" s="42"/>
      <c r="J2201" s="42"/>
      <c r="K2201" s="42"/>
      <c r="L2201" s="42"/>
      <c r="M2201" s="43">
        <f t="shared" si="2763"/>
        <v>0</v>
      </c>
      <c r="N2201" s="42"/>
      <c r="O2201" s="53"/>
      <c r="P2201" s="53"/>
      <c r="Q2201" s="53"/>
      <c r="R2201" s="72">
        <v>1</v>
      </c>
      <c r="S2201" s="24">
        <f t="shared" si="2764"/>
        <v>1</v>
      </c>
      <c r="T2201" s="42"/>
      <c r="U2201" s="53"/>
      <c r="V2201" s="53"/>
      <c r="W2201" s="53"/>
      <c r="X2201" s="72"/>
      <c r="Y2201" s="24">
        <f t="shared" si="2765"/>
        <v>0</v>
      </c>
      <c r="Z2201" s="24">
        <f t="shared" si="2747"/>
        <v>1</v>
      </c>
      <c r="AA2201" s="93">
        <v>46091</v>
      </c>
      <c r="AB2201" s="23" t="s">
        <v>723</v>
      </c>
      <c r="AC2201" s="41"/>
      <c r="AD2201" s="42"/>
      <c r="AE2201" s="42"/>
      <c r="AF2201" s="42"/>
      <c r="AG2201" s="42"/>
      <c r="AH2201" s="43">
        <f t="shared" si="2770"/>
        <v>0</v>
      </c>
      <c r="AI2201" s="41"/>
      <c r="AJ2201" s="42"/>
      <c r="AK2201" s="42"/>
      <c r="AL2201" s="42"/>
      <c r="AM2201" s="42">
        <v>3</v>
      </c>
      <c r="AN2201" s="43">
        <f t="shared" si="2771"/>
        <v>3</v>
      </c>
      <c r="AO2201" s="42"/>
      <c r="AP2201" s="53"/>
      <c r="AQ2201" s="53"/>
      <c r="AR2201" s="53">
        <v>3</v>
      </c>
      <c r="AS2201" s="72"/>
      <c r="AT2201" s="24">
        <f t="shared" si="2772"/>
        <v>3</v>
      </c>
      <c r="AU2201" s="42"/>
      <c r="AV2201" s="53"/>
      <c r="AW2201" s="53"/>
      <c r="AX2201" s="53"/>
      <c r="AY2201" s="72"/>
      <c r="AZ2201" s="24">
        <f t="shared" si="2773"/>
        <v>0</v>
      </c>
      <c r="BA2201" s="24">
        <f t="shared" si="2774"/>
        <v>6</v>
      </c>
      <c r="BB2201" s="83">
        <v>46142</v>
      </c>
    </row>
    <row r="2202" spans="1:54" ht="14.25" x14ac:dyDescent="0.15">
      <c r="A2202" s="23" t="s">
        <v>699</v>
      </c>
      <c r="B2202" s="41"/>
      <c r="C2202" s="42">
        <v>1</v>
      </c>
      <c r="D2202" s="42"/>
      <c r="E2202" s="42"/>
      <c r="F2202" s="42"/>
      <c r="G2202" s="43">
        <f t="shared" si="2762"/>
        <v>1</v>
      </c>
      <c r="H2202" s="41"/>
      <c r="I2202" s="42"/>
      <c r="J2202" s="42"/>
      <c r="K2202" s="42"/>
      <c r="L2202" s="42"/>
      <c r="M2202" s="43">
        <f t="shared" si="2763"/>
        <v>0</v>
      </c>
      <c r="N2202" s="42"/>
      <c r="O2202" s="53"/>
      <c r="P2202" s="53"/>
      <c r="Q2202" s="53"/>
      <c r="R2202" s="72"/>
      <c r="S2202" s="24">
        <f t="shared" si="2764"/>
        <v>0</v>
      </c>
      <c r="T2202" s="42"/>
      <c r="U2202" s="53"/>
      <c r="V2202" s="53"/>
      <c r="W2202" s="53"/>
      <c r="X2202" s="72"/>
      <c r="Y2202" s="24">
        <f t="shared" si="2765"/>
        <v>0</v>
      </c>
      <c r="Z2202" s="24">
        <f t="shared" si="2747"/>
        <v>1</v>
      </c>
      <c r="AA2202" s="93">
        <v>46092</v>
      </c>
      <c r="AB2202" s="23"/>
      <c r="AC2202" s="41"/>
      <c r="AD2202" s="42"/>
      <c r="AE2202" s="42"/>
      <c r="AF2202" s="42"/>
      <c r="AG2202" s="42"/>
      <c r="AH2202" s="43">
        <f t="shared" si="2770"/>
        <v>0</v>
      </c>
      <c r="AI2202" s="41"/>
      <c r="AJ2202" s="42"/>
      <c r="AK2202" s="42"/>
      <c r="AL2202" s="42"/>
      <c r="AM2202" s="42"/>
      <c r="AN2202" s="43">
        <f t="shared" si="2771"/>
        <v>0</v>
      </c>
      <c r="AO2202" s="42"/>
      <c r="AP2202" s="53"/>
      <c r="AQ2202" s="53"/>
      <c r="AR2202" s="53"/>
      <c r="AS2202" s="72"/>
      <c r="AT2202" s="24">
        <f t="shared" si="2772"/>
        <v>0</v>
      </c>
      <c r="AU2202" s="42"/>
      <c r="AV2202" s="53"/>
      <c r="AW2202" s="53"/>
      <c r="AX2202" s="53"/>
      <c r="AY2202" s="72"/>
      <c r="AZ2202" s="24">
        <f t="shared" si="2773"/>
        <v>0</v>
      </c>
      <c r="BA2202" s="24">
        <f t="shared" si="2774"/>
        <v>0</v>
      </c>
      <c r="BB2202" s="128"/>
    </row>
    <row r="2203" spans="1:54" ht="14.25" x14ac:dyDescent="0.15">
      <c r="A2203" s="23" t="s">
        <v>699</v>
      </c>
      <c r="B2203" s="41">
        <v>1</v>
      </c>
      <c r="C2203" s="42"/>
      <c r="D2203" s="42"/>
      <c r="E2203" s="42"/>
      <c r="F2203" s="42"/>
      <c r="G2203" s="43">
        <f t="shared" si="2762"/>
        <v>1</v>
      </c>
      <c r="H2203" s="41"/>
      <c r="I2203" s="42"/>
      <c r="J2203" s="42"/>
      <c r="K2203" s="42"/>
      <c r="L2203" s="42">
        <v>1</v>
      </c>
      <c r="M2203" s="43">
        <f t="shared" si="2763"/>
        <v>1</v>
      </c>
      <c r="N2203" s="42"/>
      <c r="O2203" s="53"/>
      <c r="P2203" s="53"/>
      <c r="Q2203" s="53"/>
      <c r="R2203" s="72"/>
      <c r="S2203" s="24">
        <f t="shared" si="2764"/>
        <v>0</v>
      </c>
      <c r="T2203" s="42"/>
      <c r="U2203" s="53"/>
      <c r="V2203" s="53"/>
      <c r="W2203" s="53"/>
      <c r="X2203" s="72"/>
      <c r="Y2203" s="24">
        <f t="shared" si="2765"/>
        <v>0</v>
      </c>
      <c r="Z2203" s="24">
        <f t="shared" si="2747"/>
        <v>2</v>
      </c>
      <c r="AA2203" s="93">
        <v>46097</v>
      </c>
      <c r="AB2203" s="23"/>
      <c r="AC2203" s="41"/>
      <c r="AD2203" s="42"/>
      <c r="AE2203" s="42"/>
      <c r="AF2203" s="42"/>
      <c r="AG2203" s="42"/>
      <c r="AH2203" s="43">
        <f t="shared" si="2770"/>
        <v>0</v>
      </c>
      <c r="AI2203" s="41"/>
      <c r="AJ2203" s="42"/>
      <c r="AK2203" s="42"/>
      <c r="AL2203" s="42"/>
      <c r="AM2203" s="42"/>
      <c r="AN2203" s="43">
        <f t="shared" si="2771"/>
        <v>0</v>
      </c>
      <c r="AO2203" s="42"/>
      <c r="AP2203" s="53"/>
      <c r="AQ2203" s="53"/>
      <c r="AR2203" s="53"/>
      <c r="AS2203" s="72"/>
      <c r="AT2203" s="24">
        <f t="shared" si="2772"/>
        <v>0</v>
      </c>
      <c r="AU2203" s="42"/>
      <c r="AV2203" s="53"/>
      <c r="AW2203" s="53"/>
      <c r="AX2203" s="53"/>
      <c r="AY2203" s="72"/>
      <c r="AZ2203" s="24">
        <f t="shared" si="2773"/>
        <v>0</v>
      </c>
      <c r="BA2203" s="24">
        <f t="shared" si="2774"/>
        <v>0</v>
      </c>
      <c r="BB2203" s="128"/>
    </row>
    <row r="2204" spans="1:54" ht="14.25" x14ac:dyDescent="0.15">
      <c r="A2204" s="23" t="s">
        <v>699</v>
      </c>
      <c r="B2204" s="41"/>
      <c r="C2204" s="42"/>
      <c r="D2204" s="42"/>
      <c r="E2204" s="42"/>
      <c r="F2204" s="42"/>
      <c r="G2204" s="43">
        <f t="shared" si="2762"/>
        <v>0</v>
      </c>
      <c r="H2204" s="41"/>
      <c r="I2204" s="42"/>
      <c r="J2204" s="42"/>
      <c r="K2204" s="42"/>
      <c r="L2204" s="42"/>
      <c r="M2204" s="43">
        <f t="shared" si="2763"/>
        <v>0</v>
      </c>
      <c r="N2204" s="42"/>
      <c r="O2204" s="53"/>
      <c r="P2204" s="53">
        <v>1</v>
      </c>
      <c r="Q2204" s="53"/>
      <c r="R2204" s="72"/>
      <c r="S2204" s="24">
        <f t="shared" si="2764"/>
        <v>1</v>
      </c>
      <c r="T2204" s="42"/>
      <c r="U2204" s="53"/>
      <c r="V2204" s="53"/>
      <c r="W2204" s="53"/>
      <c r="X2204" s="72"/>
      <c r="Y2204" s="24">
        <f t="shared" si="2765"/>
        <v>0</v>
      </c>
      <c r="Z2204" s="24">
        <f t="shared" si="2747"/>
        <v>1</v>
      </c>
      <c r="AA2204" s="93">
        <v>46100</v>
      </c>
      <c r="AB2204" s="23"/>
      <c r="AC2204" s="41"/>
      <c r="AD2204" s="42"/>
      <c r="AE2204" s="42"/>
      <c r="AF2204" s="42"/>
      <c r="AG2204" s="42"/>
      <c r="AH2204" s="43">
        <f t="shared" si="2770"/>
        <v>0</v>
      </c>
      <c r="AI2204" s="41"/>
      <c r="AJ2204" s="42"/>
      <c r="AK2204" s="42"/>
      <c r="AL2204" s="42"/>
      <c r="AM2204" s="42"/>
      <c r="AN2204" s="43">
        <f t="shared" si="2771"/>
        <v>0</v>
      </c>
      <c r="AO2204" s="42"/>
      <c r="AP2204" s="53"/>
      <c r="AQ2204" s="53"/>
      <c r="AR2204" s="53"/>
      <c r="AS2204" s="72"/>
      <c r="AT2204" s="24">
        <f t="shared" si="2772"/>
        <v>0</v>
      </c>
      <c r="AU2204" s="42"/>
      <c r="AV2204" s="53"/>
      <c r="AW2204" s="53"/>
      <c r="AX2204" s="53"/>
      <c r="AY2204" s="72"/>
      <c r="AZ2204" s="24">
        <f t="shared" si="2773"/>
        <v>0</v>
      </c>
      <c r="BA2204" s="24">
        <f t="shared" si="2774"/>
        <v>0</v>
      </c>
      <c r="BB2204" s="128"/>
    </row>
    <row r="2205" spans="1:54" ht="14.25" x14ac:dyDescent="0.15">
      <c r="A2205" s="23" t="s">
        <v>699</v>
      </c>
      <c r="B2205" s="41"/>
      <c r="C2205" s="42"/>
      <c r="D2205" s="42">
        <v>1</v>
      </c>
      <c r="E2205" s="42"/>
      <c r="F2205" s="42"/>
      <c r="G2205" s="43">
        <f t="shared" si="2762"/>
        <v>1</v>
      </c>
      <c r="H2205" s="41"/>
      <c r="I2205" s="42"/>
      <c r="J2205" s="42"/>
      <c r="K2205" s="42"/>
      <c r="L2205" s="42">
        <v>2</v>
      </c>
      <c r="M2205" s="43">
        <f t="shared" si="2763"/>
        <v>2</v>
      </c>
      <c r="N2205" s="42"/>
      <c r="O2205" s="53"/>
      <c r="P2205" s="53"/>
      <c r="Q2205" s="53"/>
      <c r="R2205" s="72"/>
      <c r="S2205" s="24">
        <f t="shared" si="2764"/>
        <v>0</v>
      </c>
      <c r="T2205" s="42"/>
      <c r="U2205" s="53"/>
      <c r="V2205" s="53"/>
      <c r="W2205" s="53"/>
      <c r="X2205" s="72"/>
      <c r="Y2205" s="24">
        <f t="shared" si="2765"/>
        <v>0</v>
      </c>
      <c r="Z2205" s="24">
        <f t="shared" si="2747"/>
        <v>3</v>
      </c>
      <c r="AA2205" s="93">
        <v>46104</v>
      </c>
      <c r="AB2205" s="23"/>
      <c r="AC2205" s="41"/>
      <c r="AD2205" s="42"/>
      <c r="AE2205" s="42"/>
      <c r="AF2205" s="42"/>
      <c r="AG2205" s="42"/>
      <c r="AH2205" s="43">
        <f t="shared" si="2770"/>
        <v>0</v>
      </c>
      <c r="AI2205" s="41"/>
      <c r="AJ2205" s="42"/>
      <c r="AK2205" s="42"/>
      <c r="AL2205" s="42"/>
      <c r="AM2205" s="42"/>
      <c r="AN2205" s="43">
        <f t="shared" si="2771"/>
        <v>0</v>
      </c>
      <c r="AO2205" s="42"/>
      <c r="AP2205" s="53"/>
      <c r="AQ2205" s="53"/>
      <c r="AR2205" s="53"/>
      <c r="AS2205" s="72"/>
      <c r="AT2205" s="24">
        <f t="shared" si="2772"/>
        <v>0</v>
      </c>
      <c r="AU2205" s="42"/>
      <c r="AV2205" s="53"/>
      <c r="AW2205" s="53"/>
      <c r="AX2205" s="53"/>
      <c r="AY2205" s="72"/>
      <c r="AZ2205" s="24">
        <f t="shared" si="2773"/>
        <v>0</v>
      </c>
      <c r="BA2205" s="24">
        <f t="shared" si="2774"/>
        <v>0</v>
      </c>
    </row>
    <row r="2206" spans="1:54" ht="14.25" x14ac:dyDescent="0.15">
      <c r="A2206" s="23" t="s">
        <v>699</v>
      </c>
      <c r="B2206" s="41"/>
      <c r="C2206" s="42"/>
      <c r="D2206" s="42"/>
      <c r="E2206" s="42"/>
      <c r="F2206" s="42"/>
      <c r="G2206" s="43">
        <f t="shared" si="2762"/>
        <v>0</v>
      </c>
      <c r="H2206" s="41"/>
      <c r="I2206" s="42"/>
      <c r="J2206" s="42"/>
      <c r="K2206" s="42"/>
      <c r="L2206" s="42">
        <v>1</v>
      </c>
      <c r="M2206" s="43">
        <f t="shared" si="2763"/>
        <v>1</v>
      </c>
      <c r="N2206" s="42"/>
      <c r="O2206" s="53"/>
      <c r="P2206" s="53"/>
      <c r="Q2206" s="53"/>
      <c r="R2206" s="72"/>
      <c r="S2206" s="24">
        <f t="shared" si="2764"/>
        <v>0</v>
      </c>
      <c r="T2206" s="42"/>
      <c r="U2206" s="53"/>
      <c r="V2206" s="53"/>
      <c r="W2206" s="53"/>
      <c r="X2206" s="72"/>
      <c r="Y2206" s="24">
        <f t="shared" si="2765"/>
        <v>0</v>
      </c>
      <c r="Z2206" s="24">
        <f t="shared" si="2747"/>
        <v>1</v>
      </c>
      <c r="AA2206" s="83">
        <v>46106</v>
      </c>
      <c r="AB2206" s="23"/>
      <c r="AC2206" s="41"/>
      <c r="AD2206" s="42"/>
      <c r="AE2206" s="42"/>
      <c r="AF2206" s="42"/>
      <c r="AG2206" s="42"/>
      <c r="AH2206" s="43">
        <f t="shared" si="2770"/>
        <v>0</v>
      </c>
      <c r="AI2206" s="41"/>
      <c r="AJ2206" s="42"/>
      <c r="AK2206" s="42"/>
      <c r="AL2206" s="42"/>
      <c r="AM2206" s="42"/>
      <c r="AN2206" s="43">
        <f t="shared" si="2771"/>
        <v>0</v>
      </c>
      <c r="AO2206" s="42"/>
      <c r="AP2206" s="53"/>
      <c r="AQ2206" s="53"/>
      <c r="AR2206" s="53"/>
      <c r="AS2206" s="72"/>
      <c r="AT2206" s="24">
        <f t="shared" si="2772"/>
        <v>0</v>
      </c>
      <c r="AU2206" s="42"/>
      <c r="AV2206" s="53"/>
      <c r="AW2206" s="53"/>
      <c r="AX2206" s="53"/>
      <c r="AY2206" s="72"/>
      <c r="AZ2206" s="24">
        <f t="shared" si="2773"/>
        <v>0</v>
      </c>
      <c r="BA2206" s="24">
        <f t="shared" si="2774"/>
        <v>0</v>
      </c>
    </row>
    <row r="2207" spans="1:54" ht="14.25" x14ac:dyDescent="0.15">
      <c r="A2207" s="23" t="s">
        <v>181</v>
      </c>
      <c r="B2207" s="41"/>
      <c r="C2207" s="42"/>
      <c r="D2207" s="42"/>
      <c r="E2207" s="42"/>
      <c r="F2207" s="42"/>
      <c r="G2207" s="43">
        <f t="shared" si="2762"/>
        <v>0</v>
      </c>
      <c r="H2207" s="41"/>
      <c r="I2207" s="42"/>
      <c r="J2207" s="42"/>
      <c r="K2207" s="42"/>
      <c r="L2207" s="42">
        <v>-5</v>
      </c>
      <c r="M2207" s="43">
        <f t="shared" si="2763"/>
        <v>-5</v>
      </c>
      <c r="N2207" s="42"/>
      <c r="O2207" s="53"/>
      <c r="P2207" s="53"/>
      <c r="Q2207" s="53"/>
      <c r="R2207" s="72"/>
      <c r="S2207" s="24">
        <f t="shared" si="2764"/>
        <v>0</v>
      </c>
      <c r="T2207" s="42"/>
      <c r="U2207" s="53"/>
      <c r="V2207" s="53"/>
      <c r="W2207" s="53"/>
      <c r="X2207" s="72"/>
      <c r="Y2207" s="24">
        <f t="shared" si="2765"/>
        <v>0</v>
      </c>
      <c r="Z2207" s="24">
        <f t="shared" si="2747"/>
        <v>-5</v>
      </c>
      <c r="AA2207" s="83">
        <v>46107</v>
      </c>
      <c r="AB2207" s="23"/>
      <c r="AC2207" s="41"/>
      <c r="AD2207" s="42"/>
      <c r="AE2207" s="42"/>
      <c r="AF2207" s="42"/>
      <c r="AG2207" s="42"/>
      <c r="AH2207" s="43">
        <f t="shared" si="2770"/>
        <v>0</v>
      </c>
      <c r="AI2207" s="41"/>
      <c r="AJ2207" s="42"/>
      <c r="AK2207" s="42"/>
      <c r="AL2207" s="42"/>
      <c r="AM2207" s="42"/>
      <c r="AN2207" s="43">
        <f t="shared" si="2771"/>
        <v>0</v>
      </c>
      <c r="AO2207" s="42"/>
      <c r="AP2207" s="53"/>
      <c r="AQ2207" s="53"/>
      <c r="AR2207" s="53"/>
      <c r="AS2207" s="72"/>
      <c r="AT2207" s="24">
        <f t="shared" si="2772"/>
        <v>0</v>
      </c>
      <c r="AU2207" s="42"/>
      <c r="AV2207" s="53"/>
      <c r="AW2207" s="53"/>
      <c r="AX2207" s="53"/>
      <c r="AY2207" s="72"/>
      <c r="AZ2207" s="24">
        <f t="shared" si="2773"/>
        <v>0</v>
      </c>
      <c r="BA2207" s="24">
        <f t="shared" si="2774"/>
        <v>0</v>
      </c>
    </row>
    <row r="2208" spans="1:54" ht="14.25" x14ac:dyDescent="0.15">
      <c r="A2208" s="23" t="s">
        <v>699</v>
      </c>
      <c r="B2208" s="41"/>
      <c r="C2208" s="42"/>
      <c r="D2208" s="42"/>
      <c r="E2208" s="42"/>
      <c r="F2208" s="42"/>
      <c r="G2208" s="43">
        <f t="shared" si="2762"/>
        <v>0</v>
      </c>
      <c r="H2208" s="41"/>
      <c r="I2208" s="42">
        <v>1</v>
      </c>
      <c r="J2208" s="42"/>
      <c r="K2208" s="42"/>
      <c r="L2208" s="42">
        <v>1</v>
      </c>
      <c r="M2208" s="43">
        <f t="shared" si="2763"/>
        <v>2</v>
      </c>
      <c r="N2208" s="42"/>
      <c r="O2208" s="53"/>
      <c r="P2208" s="53"/>
      <c r="Q2208" s="53"/>
      <c r="R2208" s="72"/>
      <c r="S2208" s="24">
        <f t="shared" si="2764"/>
        <v>0</v>
      </c>
      <c r="T2208" s="42"/>
      <c r="U2208" s="53"/>
      <c r="V2208" s="53"/>
      <c r="W2208" s="53"/>
      <c r="X2208" s="72"/>
      <c r="Y2208" s="24">
        <f t="shared" si="2765"/>
        <v>0</v>
      </c>
      <c r="Z2208" s="24">
        <f t="shared" si="2747"/>
        <v>2</v>
      </c>
      <c r="AA2208" s="93">
        <v>46107</v>
      </c>
      <c r="AB2208" s="23"/>
      <c r="AC2208" s="41"/>
      <c r="AD2208" s="42"/>
      <c r="AE2208" s="42"/>
      <c r="AF2208" s="42"/>
      <c r="AG2208" s="42"/>
      <c r="AH2208" s="43">
        <f t="shared" si="2770"/>
        <v>0</v>
      </c>
      <c r="AI2208" s="41"/>
      <c r="AJ2208" s="42"/>
      <c r="AK2208" s="42"/>
      <c r="AL2208" s="42"/>
      <c r="AM2208" s="42"/>
      <c r="AN2208" s="43">
        <f t="shared" si="2771"/>
        <v>0</v>
      </c>
      <c r="AO2208" s="42"/>
      <c r="AP2208" s="53"/>
      <c r="AQ2208" s="53"/>
      <c r="AR2208" s="53"/>
      <c r="AS2208" s="72"/>
      <c r="AT2208" s="24">
        <f t="shared" si="2772"/>
        <v>0</v>
      </c>
      <c r="AU2208" s="42"/>
      <c r="AV2208" s="53"/>
      <c r="AW2208" s="53"/>
      <c r="AX2208" s="53"/>
      <c r="AY2208" s="72"/>
      <c r="AZ2208" s="24">
        <f t="shared" si="2773"/>
        <v>0</v>
      </c>
      <c r="BA2208" s="24">
        <f t="shared" si="2774"/>
        <v>0</v>
      </c>
    </row>
    <row r="2209" spans="1:54" ht="14.25" x14ac:dyDescent="0.15">
      <c r="A2209" s="23" t="s">
        <v>699</v>
      </c>
      <c r="B2209" s="41"/>
      <c r="C2209" s="42"/>
      <c r="D2209" s="42"/>
      <c r="E2209" s="42"/>
      <c r="F2209" s="42"/>
      <c r="G2209" s="43">
        <f t="shared" si="2762"/>
        <v>0</v>
      </c>
      <c r="H2209" s="41"/>
      <c r="I2209" s="42">
        <v>1</v>
      </c>
      <c r="J2209" s="42"/>
      <c r="K2209" s="42"/>
      <c r="L2209" s="42"/>
      <c r="M2209" s="43">
        <f t="shared" si="2763"/>
        <v>1</v>
      </c>
      <c r="N2209" s="42"/>
      <c r="O2209" s="53"/>
      <c r="P2209" s="53"/>
      <c r="Q2209" s="53"/>
      <c r="R2209" s="72"/>
      <c r="S2209" s="24">
        <f t="shared" si="2764"/>
        <v>0</v>
      </c>
      <c r="T2209" s="42"/>
      <c r="U2209" s="53"/>
      <c r="V2209" s="53"/>
      <c r="W2209" s="53"/>
      <c r="X2209" s="72"/>
      <c r="Y2209" s="24">
        <f t="shared" si="2765"/>
        <v>0</v>
      </c>
      <c r="Z2209" s="24">
        <f t="shared" si="2747"/>
        <v>1</v>
      </c>
      <c r="AA2209" s="93">
        <v>46112</v>
      </c>
      <c r="AB2209" s="23"/>
      <c r="AC2209" s="41"/>
      <c r="AD2209" s="42"/>
      <c r="AE2209" s="42"/>
      <c r="AF2209" s="42"/>
      <c r="AG2209" s="42"/>
      <c r="AH2209" s="43">
        <f t="shared" si="2770"/>
        <v>0</v>
      </c>
      <c r="AI2209" s="41"/>
      <c r="AJ2209" s="42"/>
      <c r="AK2209" s="42"/>
      <c r="AL2209" s="42"/>
      <c r="AM2209" s="42"/>
      <c r="AN2209" s="43">
        <f t="shared" si="2771"/>
        <v>0</v>
      </c>
      <c r="AO2209" s="42"/>
      <c r="AP2209" s="53"/>
      <c r="AQ2209" s="53"/>
      <c r="AR2209" s="53"/>
      <c r="AS2209" s="72"/>
      <c r="AT2209" s="24">
        <f t="shared" si="2772"/>
        <v>0</v>
      </c>
      <c r="AU2209" s="42"/>
      <c r="AV2209" s="53"/>
      <c r="AW2209" s="53"/>
      <c r="AX2209" s="53"/>
      <c r="AY2209" s="72"/>
      <c r="AZ2209" s="24">
        <f t="shared" si="2773"/>
        <v>0</v>
      </c>
      <c r="BA2209" s="24">
        <f t="shared" si="2774"/>
        <v>0</v>
      </c>
    </row>
    <row r="2210" spans="1:54" ht="14.25" x14ac:dyDescent="0.15">
      <c r="A2210" s="23" t="s">
        <v>699</v>
      </c>
      <c r="B2210" s="41"/>
      <c r="C2210" s="42"/>
      <c r="D2210" s="42"/>
      <c r="E2210" s="42"/>
      <c r="F2210" s="42"/>
      <c r="G2210" s="43">
        <f t="shared" si="2762"/>
        <v>0</v>
      </c>
      <c r="H2210" s="41">
        <v>1</v>
      </c>
      <c r="I2210" s="42"/>
      <c r="J2210" s="42"/>
      <c r="K2210" s="42"/>
      <c r="L2210" s="42"/>
      <c r="M2210" s="43">
        <f t="shared" si="2763"/>
        <v>1</v>
      </c>
      <c r="N2210" s="42"/>
      <c r="O2210" s="53"/>
      <c r="P2210" s="53">
        <v>1</v>
      </c>
      <c r="Q2210" s="53"/>
      <c r="R2210" s="72"/>
      <c r="S2210" s="24">
        <f t="shared" si="2764"/>
        <v>1</v>
      </c>
      <c r="T2210" s="42"/>
      <c r="U2210" s="53"/>
      <c r="V2210" s="53"/>
      <c r="W2210" s="53"/>
      <c r="X2210" s="72"/>
      <c r="Y2210" s="24">
        <f t="shared" si="2765"/>
        <v>0</v>
      </c>
      <c r="Z2210" s="24">
        <f t="shared" si="2747"/>
        <v>2</v>
      </c>
      <c r="AA2210" s="93">
        <v>46112</v>
      </c>
      <c r="AB2210" s="23"/>
      <c r="AC2210" s="41"/>
      <c r="AD2210" s="42"/>
      <c r="AE2210" s="42"/>
      <c r="AF2210" s="42"/>
      <c r="AG2210" s="42"/>
      <c r="AH2210" s="43">
        <f t="shared" si="2770"/>
        <v>0</v>
      </c>
      <c r="AI2210" s="41"/>
      <c r="AJ2210" s="42"/>
      <c r="AK2210" s="42"/>
      <c r="AL2210" s="42"/>
      <c r="AM2210" s="42"/>
      <c r="AN2210" s="43">
        <f t="shared" si="2771"/>
        <v>0</v>
      </c>
      <c r="AO2210" s="42"/>
      <c r="AP2210" s="53"/>
      <c r="AQ2210" s="53"/>
      <c r="AR2210" s="53"/>
      <c r="AS2210" s="72"/>
      <c r="AT2210" s="24">
        <f t="shared" si="2772"/>
        <v>0</v>
      </c>
      <c r="AU2210" s="42"/>
      <c r="AV2210" s="53"/>
      <c r="AW2210" s="53"/>
      <c r="AX2210" s="53"/>
      <c r="AY2210" s="72"/>
      <c r="AZ2210" s="24">
        <f t="shared" si="2773"/>
        <v>0</v>
      </c>
      <c r="BA2210" s="24">
        <f t="shared" si="2774"/>
        <v>0</v>
      </c>
    </row>
    <row r="2211" spans="1:54" ht="14.25" x14ac:dyDescent="0.15">
      <c r="A2211" s="224" t="s">
        <v>181</v>
      </c>
      <c r="B2211" s="12"/>
      <c r="C2211" s="13"/>
      <c r="D2211" s="13"/>
      <c r="E2211" s="13"/>
      <c r="F2211" s="13"/>
      <c r="G2211" s="22">
        <f t="shared" si="2762"/>
        <v>0</v>
      </c>
      <c r="H2211" s="12"/>
      <c r="I2211" s="13"/>
      <c r="J2211" s="13"/>
      <c r="K2211" s="13"/>
      <c r="L2211" s="13"/>
      <c r="M2211" s="22">
        <f t="shared" si="2763"/>
        <v>0</v>
      </c>
      <c r="N2211" s="13"/>
      <c r="O2211" s="54"/>
      <c r="P2211" s="54">
        <v>-2</v>
      </c>
      <c r="Q2211" s="54"/>
      <c r="R2211" s="68"/>
      <c r="S2211" s="225">
        <f t="shared" si="2764"/>
        <v>-2</v>
      </c>
      <c r="T2211" s="13"/>
      <c r="U2211" s="54"/>
      <c r="V2211" s="54"/>
      <c r="W2211" s="54"/>
      <c r="X2211" s="68"/>
      <c r="Y2211" s="225">
        <f t="shared" si="2765"/>
        <v>0</v>
      </c>
      <c r="Z2211" s="225">
        <f t="shared" si="2747"/>
        <v>-2</v>
      </c>
      <c r="AA2211" s="93">
        <v>46113</v>
      </c>
      <c r="AB2211" s="23"/>
      <c r="AC2211" s="41"/>
      <c r="AD2211" s="42"/>
      <c r="AE2211" s="42"/>
      <c r="AF2211" s="42"/>
      <c r="AG2211" s="42"/>
      <c r="AH2211" s="43">
        <f t="shared" si="2770"/>
        <v>0</v>
      </c>
      <c r="AI2211" s="41"/>
      <c r="AJ2211" s="42"/>
      <c r="AK2211" s="42"/>
      <c r="AL2211" s="42"/>
      <c r="AM2211" s="42"/>
      <c r="AN2211" s="43">
        <f t="shared" si="2771"/>
        <v>0</v>
      </c>
      <c r="AO2211" s="42"/>
      <c r="AP2211" s="53"/>
      <c r="AQ2211" s="53"/>
      <c r="AR2211" s="53"/>
      <c r="AS2211" s="72"/>
      <c r="AT2211" s="24">
        <f t="shared" si="2772"/>
        <v>0</v>
      </c>
      <c r="AU2211" s="42"/>
      <c r="AV2211" s="53"/>
      <c r="AW2211" s="53"/>
      <c r="AX2211" s="53"/>
      <c r="AY2211" s="72"/>
      <c r="AZ2211" s="24">
        <f t="shared" si="2773"/>
        <v>0</v>
      </c>
      <c r="BA2211" s="24">
        <f t="shared" si="2774"/>
        <v>0</v>
      </c>
    </row>
    <row r="2212" spans="1:54" ht="14.25" x14ac:dyDescent="0.15">
      <c r="A2212" s="23" t="s">
        <v>699</v>
      </c>
      <c r="B2212" s="41"/>
      <c r="C2212" s="42">
        <v>1</v>
      </c>
      <c r="D2212" s="42"/>
      <c r="E2212" s="42"/>
      <c r="F2212" s="42"/>
      <c r="G2212" s="43">
        <f t="shared" si="2762"/>
        <v>1</v>
      </c>
      <c r="H2212" s="41"/>
      <c r="I2212" s="42">
        <v>1</v>
      </c>
      <c r="J2212" s="42"/>
      <c r="K2212" s="42"/>
      <c r="L2212" s="42"/>
      <c r="M2212" s="43">
        <f t="shared" si="2763"/>
        <v>1</v>
      </c>
      <c r="N2212" s="42"/>
      <c r="O2212" s="53"/>
      <c r="P2212" s="53"/>
      <c r="Q2212" s="53"/>
      <c r="R2212" s="72"/>
      <c r="S2212" s="24">
        <f t="shared" si="2764"/>
        <v>0</v>
      </c>
      <c r="T2212" s="42"/>
      <c r="U2212" s="53"/>
      <c r="V2212" s="53"/>
      <c r="W2212" s="53"/>
      <c r="X2212" s="72"/>
      <c r="Y2212" s="24">
        <f t="shared" si="2765"/>
        <v>0</v>
      </c>
      <c r="Z2212" s="24">
        <f t="shared" si="2747"/>
        <v>2</v>
      </c>
      <c r="AA2212" s="93">
        <v>46113</v>
      </c>
      <c r="AB2212" s="23"/>
      <c r="AC2212" s="41"/>
      <c r="AD2212" s="42"/>
      <c r="AE2212" s="42"/>
      <c r="AF2212" s="42"/>
      <c r="AG2212" s="42"/>
      <c r="AH2212" s="43">
        <f t="shared" si="2770"/>
        <v>0</v>
      </c>
      <c r="AI2212" s="41"/>
      <c r="AJ2212" s="42"/>
      <c r="AK2212" s="42"/>
      <c r="AL2212" s="42"/>
      <c r="AM2212" s="42"/>
      <c r="AN2212" s="43">
        <f t="shared" si="2771"/>
        <v>0</v>
      </c>
      <c r="AO2212" s="42"/>
      <c r="AP2212" s="53"/>
      <c r="AQ2212" s="53"/>
      <c r="AR2212" s="53"/>
      <c r="AS2212" s="72"/>
      <c r="AT2212" s="24">
        <f t="shared" si="2772"/>
        <v>0</v>
      </c>
      <c r="AU2212" s="42"/>
      <c r="AV2212" s="53"/>
      <c r="AW2212" s="53"/>
      <c r="AX2212" s="53"/>
      <c r="AY2212" s="72"/>
      <c r="AZ2212" s="24">
        <f t="shared" si="2773"/>
        <v>0</v>
      </c>
      <c r="BA2212" s="24">
        <f t="shared" si="2774"/>
        <v>0</v>
      </c>
    </row>
    <row r="2213" spans="1:54" ht="14.25" x14ac:dyDescent="0.15">
      <c r="A2213" s="23" t="s">
        <v>699</v>
      </c>
      <c r="B2213" s="12"/>
      <c r="C2213" s="13"/>
      <c r="D2213" s="13"/>
      <c r="E2213" s="13"/>
      <c r="F2213" s="13"/>
      <c r="G2213" s="22">
        <f t="shared" si="2762"/>
        <v>0</v>
      </c>
      <c r="H2213" s="12"/>
      <c r="I2213" s="13"/>
      <c r="J2213" s="13"/>
      <c r="K2213" s="13"/>
      <c r="L2213" s="13">
        <v>1</v>
      </c>
      <c r="M2213" s="22">
        <f t="shared" si="2763"/>
        <v>1</v>
      </c>
      <c r="N2213" s="13"/>
      <c r="O2213" s="54"/>
      <c r="P2213" s="54"/>
      <c r="Q2213" s="54"/>
      <c r="R2213" s="68"/>
      <c r="S2213" s="225">
        <f t="shared" si="2764"/>
        <v>0</v>
      </c>
      <c r="T2213" s="13"/>
      <c r="U2213" s="54"/>
      <c r="V2213" s="54"/>
      <c r="W2213" s="54"/>
      <c r="X2213" s="68"/>
      <c r="Y2213" s="225">
        <f t="shared" si="2765"/>
        <v>0</v>
      </c>
      <c r="Z2213" s="225">
        <f t="shared" si="2747"/>
        <v>1</v>
      </c>
      <c r="AA2213" s="93">
        <v>46114</v>
      </c>
      <c r="AB2213" s="23"/>
      <c r="AC2213" s="41"/>
      <c r="AD2213" s="42"/>
      <c r="AE2213" s="42"/>
      <c r="AF2213" s="42"/>
      <c r="AG2213" s="42"/>
      <c r="AH2213" s="43">
        <f t="shared" si="2770"/>
        <v>0</v>
      </c>
      <c r="AI2213" s="41"/>
      <c r="AJ2213" s="42"/>
      <c r="AK2213" s="42"/>
      <c r="AL2213" s="42"/>
      <c r="AM2213" s="42"/>
      <c r="AN2213" s="43">
        <f t="shared" si="2771"/>
        <v>0</v>
      </c>
      <c r="AO2213" s="42"/>
      <c r="AP2213" s="53"/>
      <c r="AQ2213" s="53"/>
      <c r="AR2213" s="53"/>
      <c r="AS2213" s="72"/>
      <c r="AT2213" s="24">
        <f t="shared" si="2772"/>
        <v>0</v>
      </c>
      <c r="AU2213" s="42"/>
      <c r="AV2213" s="53"/>
      <c r="AW2213" s="53"/>
      <c r="AX2213" s="53"/>
      <c r="AY2213" s="72"/>
      <c r="AZ2213" s="24">
        <f t="shared" si="2773"/>
        <v>0</v>
      </c>
      <c r="BA2213" s="24">
        <f t="shared" si="2774"/>
        <v>0</v>
      </c>
    </row>
    <row r="2214" spans="1:54" ht="14.25" x14ac:dyDescent="0.15">
      <c r="A2214" s="23" t="s">
        <v>699</v>
      </c>
      <c r="B2214" s="41">
        <v>1</v>
      </c>
      <c r="C2214" s="42"/>
      <c r="D2214" s="42"/>
      <c r="E2214" s="42"/>
      <c r="F2214" s="42"/>
      <c r="G2214" s="43">
        <f t="shared" si="2762"/>
        <v>1</v>
      </c>
      <c r="H2214" s="41"/>
      <c r="I2214" s="42"/>
      <c r="J2214" s="42"/>
      <c r="K2214" s="42"/>
      <c r="L2214" s="42"/>
      <c r="M2214" s="43">
        <f t="shared" si="2763"/>
        <v>0</v>
      </c>
      <c r="N2214" s="42"/>
      <c r="O2214" s="53"/>
      <c r="P2214" s="53"/>
      <c r="Q2214" s="53"/>
      <c r="R2214" s="72"/>
      <c r="S2214" s="24">
        <f t="shared" si="2764"/>
        <v>0</v>
      </c>
      <c r="T2214" s="42"/>
      <c r="U2214" s="53"/>
      <c r="V2214" s="53"/>
      <c r="W2214" s="53"/>
      <c r="X2214" s="72"/>
      <c r="Y2214" s="24">
        <f t="shared" si="2765"/>
        <v>0</v>
      </c>
      <c r="Z2214" s="24">
        <f t="shared" si="2747"/>
        <v>1</v>
      </c>
      <c r="AA2214" s="93">
        <v>46115</v>
      </c>
      <c r="AB2214" s="23"/>
      <c r="AC2214" s="41"/>
      <c r="AD2214" s="42"/>
      <c r="AE2214" s="42"/>
      <c r="AF2214" s="42"/>
      <c r="AG2214" s="42"/>
      <c r="AH2214" s="43">
        <f t="shared" si="2770"/>
        <v>0</v>
      </c>
      <c r="AI2214" s="41"/>
      <c r="AJ2214" s="42"/>
      <c r="AK2214" s="42"/>
      <c r="AL2214" s="42"/>
      <c r="AM2214" s="42"/>
      <c r="AN2214" s="43">
        <f t="shared" si="2771"/>
        <v>0</v>
      </c>
      <c r="AO2214" s="42"/>
      <c r="AP2214" s="53"/>
      <c r="AQ2214" s="53"/>
      <c r="AR2214" s="53"/>
      <c r="AS2214" s="72"/>
      <c r="AT2214" s="24">
        <f t="shared" si="2772"/>
        <v>0</v>
      </c>
      <c r="AU2214" s="42"/>
      <c r="AV2214" s="53"/>
      <c r="AW2214" s="53"/>
      <c r="AX2214" s="53"/>
      <c r="AY2214" s="72"/>
      <c r="AZ2214" s="24">
        <f t="shared" si="2773"/>
        <v>0</v>
      </c>
      <c r="BA2214" s="24">
        <f t="shared" si="2774"/>
        <v>0</v>
      </c>
    </row>
    <row r="2215" spans="1:54" ht="14.25" x14ac:dyDescent="0.15">
      <c r="A2215" s="23" t="s">
        <v>699</v>
      </c>
      <c r="B2215" s="41"/>
      <c r="C2215" s="42">
        <v>1</v>
      </c>
      <c r="D2215" s="42"/>
      <c r="E2215" s="42"/>
      <c r="F2215" s="42"/>
      <c r="G2215" s="43">
        <f t="shared" si="2762"/>
        <v>1</v>
      </c>
      <c r="H2215" s="41">
        <v>1</v>
      </c>
      <c r="I2215" s="42">
        <v>1</v>
      </c>
      <c r="J2215" s="42"/>
      <c r="K2215" s="42"/>
      <c r="L2215" s="42"/>
      <c r="M2215" s="43">
        <f t="shared" si="2763"/>
        <v>2</v>
      </c>
      <c r="N2215" s="42"/>
      <c r="O2215" s="53"/>
      <c r="P2215" s="53"/>
      <c r="Q2215" s="53">
        <v>1</v>
      </c>
      <c r="R2215" s="72"/>
      <c r="S2215" s="24">
        <f t="shared" si="2764"/>
        <v>1</v>
      </c>
      <c r="T2215" s="42"/>
      <c r="U2215" s="53"/>
      <c r="V2215" s="53"/>
      <c r="W2215" s="53"/>
      <c r="X2215" s="72"/>
      <c r="Y2215" s="24">
        <f t="shared" si="2765"/>
        <v>0</v>
      </c>
      <c r="Z2215" s="24">
        <f t="shared" si="2747"/>
        <v>4</v>
      </c>
      <c r="AA2215" s="93">
        <v>46118</v>
      </c>
      <c r="AB2215" s="23"/>
      <c r="AC2215" s="41"/>
      <c r="AD2215" s="42"/>
      <c r="AE2215" s="42"/>
      <c r="AF2215" s="42"/>
      <c r="AG2215" s="42"/>
      <c r="AH2215" s="43">
        <f t="shared" si="2770"/>
        <v>0</v>
      </c>
      <c r="AI2215" s="41"/>
      <c r="AJ2215" s="42"/>
      <c r="AK2215" s="42"/>
      <c r="AL2215" s="42"/>
      <c r="AM2215" s="42"/>
      <c r="AN2215" s="43">
        <f t="shared" si="2771"/>
        <v>0</v>
      </c>
      <c r="AO2215" s="42"/>
      <c r="AP2215" s="53"/>
      <c r="AQ2215" s="53"/>
      <c r="AR2215" s="53"/>
      <c r="AS2215" s="72"/>
      <c r="AT2215" s="24">
        <f t="shared" si="2772"/>
        <v>0</v>
      </c>
      <c r="AU2215" s="42"/>
      <c r="AV2215" s="53"/>
      <c r="AW2215" s="53"/>
      <c r="AX2215" s="53"/>
      <c r="AY2215" s="72"/>
      <c r="AZ2215" s="24">
        <f t="shared" si="2773"/>
        <v>0</v>
      </c>
      <c r="BA2215" s="24">
        <f t="shared" si="2774"/>
        <v>0</v>
      </c>
    </row>
    <row r="2216" spans="1:54" ht="14.25" x14ac:dyDescent="0.15">
      <c r="A2216" s="23" t="s">
        <v>699</v>
      </c>
      <c r="B2216" s="41"/>
      <c r="C2216" s="42"/>
      <c r="D2216" s="42"/>
      <c r="E2216" s="42"/>
      <c r="F2216" s="42"/>
      <c r="G2216" s="43">
        <f t="shared" si="2762"/>
        <v>0</v>
      </c>
      <c r="H2216" s="41"/>
      <c r="I2216" s="42">
        <v>1</v>
      </c>
      <c r="J2216" s="42"/>
      <c r="K2216" s="42"/>
      <c r="L2216" s="42"/>
      <c r="M2216" s="43">
        <f t="shared" si="2763"/>
        <v>1</v>
      </c>
      <c r="N2216" s="42"/>
      <c r="O2216" s="53"/>
      <c r="P2216" s="53"/>
      <c r="Q2216" s="53"/>
      <c r="R2216" s="72"/>
      <c r="S2216" s="24">
        <f t="shared" si="2764"/>
        <v>0</v>
      </c>
      <c r="T2216" s="42"/>
      <c r="U2216" s="53"/>
      <c r="V2216" s="53"/>
      <c r="W2216" s="53"/>
      <c r="X2216" s="72"/>
      <c r="Y2216" s="24">
        <f t="shared" si="2765"/>
        <v>0</v>
      </c>
      <c r="Z2216" s="24">
        <f t="shared" si="2747"/>
        <v>1</v>
      </c>
      <c r="AA2216" s="93">
        <v>46119</v>
      </c>
      <c r="AB2216" s="23"/>
      <c r="AC2216" s="41"/>
      <c r="AD2216" s="42"/>
      <c r="AE2216" s="42"/>
      <c r="AF2216" s="42"/>
      <c r="AG2216" s="42"/>
      <c r="AH2216" s="43">
        <f t="shared" si="2770"/>
        <v>0</v>
      </c>
      <c r="AI2216" s="41"/>
      <c r="AJ2216" s="42"/>
      <c r="AK2216" s="42"/>
      <c r="AL2216" s="42"/>
      <c r="AM2216" s="42"/>
      <c r="AN2216" s="43">
        <f t="shared" si="2771"/>
        <v>0</v>
      </c>
      <c r="AO2216" s="42"/>
      <c r="AP2216" s="53"/>
      <c r="AQ2216" s="53"/>
      <c r="AR2216" s="53"/>
      <c r="AS2216" s="72"/>
      <c r="AT2216" s="24">
        <f t="shared" si="2772"/>
        <v>0</v>
      </c>
      <c r="AU2216" s="42"/>
      <c r="AV2216" s="53"/>
      <c r="AW2216" s="53"/>
      <c r="AX2216" s="53"/>
      <c r="AY2216" s="72"/>
      <c r="AZ2216" s="24">
        <f t="shared" si="2773"/>
        <v>0</v>
      </c>
      <c r="BA2216" s="24">
        <f t="shared" si="2774"/>
        <v>0</v>
      </c>
    </row>
    <row r="2217" spans="1:54" ht="14.25" x14ac:dyDescent="0.15">
      <c r="A2217" s="224" t="s">
        <v>181</v>
      </c>
      <c r="B2217" s="12"/>
      <c r="C2217" s="13"/>
      <c r="D2217" s="13"/>
      <c r="E2217" s="13"/>
      <c r="F2217" s="13"/>
      <c r="G2217" s="22">
        <f t="shared" si="2762"/>
        <v>0</v>
      </c>
      <c r="H2217" s="12"/>
      <c r="I2217" s="13">
        <v>-2</v>
      </c>
      <c r="J2217" s="13"/>
      <c r="K2217" s="13"/>
      <c r="L2217" s="13"/>
      <c r="M2217" s="22">
        <f t="shared" si="2763"/>
        <v>-2</v>
      </c>
      <c r="N2217" s="13"/>
      <c r="O2217" s="54"/>
      <c r="P2217" s="54"/>
      <c r="Q2217" s="54"/>
      <c r="R2217" s="68"/>
      <c r="S2217" s="225">
        <f t="shared" si="2764"/>
        <v>0</v>
      </c>
      <c r="T2217" s="13"/>
      <c r="U2217" s="54"/>
      <c r="V2217" s="54"/>
      <c r="W2217" s="54"/>
      <c r="X2217" s="68"/>
      <c r="Y2217" s="225">
        <f t="shared" si="2765"/>
        <v>0</v>
      </c>
      <c r="Z2217" s="225">
        <f t="shared" si="2747"/>
        <v>-2</v>
      </c>
      <c r="AA2217" s="93">
        <v>46120</v>
      </c>
      <c r="AB2217" s="23"/>
      <c r="AC2217" s="41"/>
      <c r="AD2217" s="219"/>
      <c r="AE2217" s="219"/>
      <c r="AF2217" s="42"/>
      <c r="AG2217" s="42"/>
      <c r="AH2217" s="43">
        <f t="shared" si="2770"/>
        <v>0</v>
      </c>
      <c r="AI2217" s="41"/>
      <c r="AJ2217" s="42"/>
      <c r="AK2217" s="42"/>
      <c r="AL2217" s="42"/>
      <c r="AM2217" s="42"/>
      <c r="AN2217" s="43">
        <f t="shared" si="2771"/>
        <v>0</v>
      </c>
      <c r="AO2217" s="42"/>
      <c r="AP2217" s="53"/>
      <c r="AQ2217" s="53"/>
      <c r="AR2217" s="53"/>
      <c r="AS2217" s="72"/>
      <c r="AT2217" s="24">
        <f t="shared" si="2772"/>
        <v>0</v>
      </c>
      <c r="AU2217" s="42"/>
      <c r="AV2217" s="53"/>
      <c r="AW2217" s="53"/>
      <c r="AX2217" s="53"/>
      <c r="AY2217" s="72"/>
      <c r="AZ2217" s="24">
        <f t="shared" si="2773"/>
        <v>0</v>
      </c>
      <c r="BA2217" s="24">
        <f t="shared" si="2774"/>
        <v>0</v>
      </c>
    </row>
    <row r="2218" spans="1:54" ht="14.25" x14ac:dyDescent="0.15">
      <c r="A2218" s="224" t="s">
        <v>699</v>
      </c>
      <c r="B2218" s="12"/>
      <c r="C2218" s="13"/>
      <c r="D2218" s="13">
        <v>1</v>
      </c>
      <c r="E2218" s="13"/>
      <c r="F2218" s="13"/>
      <c r="G2218" s="22">
        <f t="shared" si="2762"/>
        <v>1</v>
      </c>
      <c r="H2218" s="12"/>
      <c r="I2218" s="13"/>
      <c r="J2218" s="13"/>
      <c r="K2218" s="13"/>
      <c r="L2218" s="13"/>
      <c r="M2218" s="22">
        <f t="shared" si="2763"/>
        <v>0</v>
      </c>
      <c r="N2218" s="13"/>
      <c r="O2218" s="54"/>
      <c r="P2218" s="54"/>
      <c r="Q2218" s="54"/>
      <c r="R2218" s="68">
        <v>1</v>
      </c>
      <c r="S2218" s="225">
        <f t="shared" si="2764"/>
        <v>1</v>
      </c>
      <c r="T2218" s="13"/>
      <c r="U2218" s="54"/>
      <c r="V2218" s="54"/>
      <c r="W2218" s="54"/>
      <c r="X2218" s="68"/>
      <c r="Y2218" s="225">
        <f t="shared" si="2765"/>
        <v>0</v>
      </c>
      <c r="Z2218" s="225">
        <f t="shared" si="2747"/>
        <v>2</v>
      </c>
      <c r="AA2218" s="93">
        <v>46121</v>
      </c>
      <c r="AB2218" s="23"/>
      <c r="AC2218" s="41"/>
      <c r="AD2218" s="219"/>
      <c r="AE2218" s="219"/>
      <c r="AF2218" s="42"/>
      <c r="AG2218" s="42"/>
      <c r="AH2218" s="43">
        <f t="shared" ref="AH2218:AH2219" si="2775">SUM(AC2218:AG2218)</f>
        <v>0</v>
      </c>
      <c r="AI2218" s="41"/>
      <c r="AJ2218" s="42"/>
      <c r="AK2218" s="42"/>
      <c r="AL2218" s="42"/>
      <c r="AM2218" s="42"/>
      <c r="AN2218" s="43">
        <f t="shared" ref="AN2218:AN2219" si="2776">SUM(AI2218:AM2218)</f>
        <v>0</v>
      </c>
      <c r="AO2218" s="42"/>
      <c r="AP2218" s="53"/>
      <c r="AQ2218" s="53"/>
      <c r="AR2218" s="53"/>
      <c r="AS2218" s="72"/>
      <c r="AT2218" s="24">
        <f t="shared" ref="AT2218:AT2219" si="2777">SUM(AO2218:AS2218)</f>
        <v>0</v>
      </c>
      <c r="AU2218" s="42"/>
      <c r="AV2218" s="53"/>
      <c r="AW2218" s="53"/>
      <c r="AX2218" s="53"/>
      <c r="AY2218" s="72"/>
      <c r="AZ2218" s="24">
        <f t="shared" ref="AZ2218:AZ2219" si="2778">SUM(AU2218:AY2218)</f>
        <v>0</v>
      </c>
      <c r="BA2218" s="24">
        <f t="shared" ref="BA2218:BA2219" si="2779">AH2218+AN2218+AT2218+AZ2218</f>
        <v>0</v>
      </c>
    </row>
    <row r="2219" spans="1:54" ht="15" thickBot="1" x14ac:dyDescent="0.2">
      <c r="A2219" s="224" t="s">
        <v>699</v>
      </c>
      <c r="B2219" s="41"/>
      <c r="C2219" s="42">
        <v>1</v>
      </c>
      <c r="D2219" s="42"/>
      <c r="E2219" s="42"/>
      <c r="F2219" s="42"/>
      <c r="G2219" s="43">
        <f t="shared" si="2762"/>
        <v>1</v>
      </c>
      <c r="H2219" s="41"/>
      <c r="I2219" s="42"/>
      <c r="J2219" s="42"/>
      <c r="K2219" s="42"/>
      <c r="L2219" s="42"/>
      <c r="M2219" s="43">
        <f t="shared" si="2763"/>
        <v>0</v>
      </c>
      <c r="N2219" s="42"/>
      <c r="O2219" s="53"/>
      <c r="P2219" s="53"/>
      <c r="Q2219" s="53"/>
      <c r="R2219" s="72"/>
      <c r="S2219" s="24">
        <f t="shared" si="2764"/>
        <v>0</v>
      </c>
      <c r="T2219" s="42"/>
      <c r="U2219" s="53"/>
      <c r="V2219" s="53"/>
      <c r="W2219" s="53"/>
      <c r="X2219" s="72"/>
      <c r="Y2219" s="24">
        <f t="shared" si="2765"/>
        <v>0</v>
      </c>
      <c r="Z2219" s="24">
        <f t="shared" si="2747"/>
        <v>1</v>
      </c>
      <c r="AA2219" s="93">
        <v>46125</v>
      </c>
      <c r="AB2219" s="177" t="s">
        <v>724</v>
      </c>
      <c r="AC2219" s="172"/>
      <c r="AD2219" s="173"/>
      <c r="AE2219" s="173"/>
      <c r="AF2219" s="241"/>
      <c r="AG2219" s="241"/>
      <c r="AH2219" s="174">
        <f t="shared" si="2775"/>
        <v>0</v>
      </c>
      <c r="AI2219" s="242"/>
      <c r="AJ2219" s="241"/>
      <c r="AK2219" s="241"/>
      <c r="AL2219" s="241"/>
      <c r="AM2219" s="241"/>
      <c r="AN2219" s="174">
        <f t="shared" si="2776"/>
        <v>0</v>
      </c>
      <c r="AO2219" s="173"/>
      <c r="AP2219" s="175"/>
      <c r="AQ2219" s="175"/>
      <c r="AR2219" s="241"/>
      <c r="AS2219" s="241"/>
      <c r="AT2219" s="76">
        <f t="shared" si="2777"/>
        <v>0</v>
      </c>
      <c r="AU2219" s="173"/>
      <c r="AV2219" s="175"/>
      <c r="AW2219" s="175"/>
      <c r="AX2219" s="241"/>
      <c r="AY2219" s="241"/>
      <c r="AZ2219" s="76">
        <f t="shared" si="2778"/>
        <v>0</v>
      </c>
      <c r="BA2219" s="76">
        <f t="shared" si="2779"/>
        <v>0</v>
      </c>
      <c r="BB2219" s="190" t="s">
        <v>655</v>
      </c>
    </row>
    <row r="2220" spans="1:54" ht="15" thickBot="1" x14ac:dyDescent="0.2">
      <c r="A2220" s="9" t="s">
        <v>13</v>
      </c>
      <c r="B2220" s="25">
        <f>SUM(B2194:B2219)</f>
        <v>3</v>
      </c>
      <c r="C2220" s="26">
        <f>SUM(C2194:C2219)</f>
        <v>4</v>
      </c>
      <c r="D2220" s="26">
        <f>SUM(D2194:D2219)</f>
        <v>5</v>
      </c>
      <c r="E2220" s="220">
        <f>SUM(E2194:E2219)</f>
        <v>0</v>
      </c>
      <c r="F2220" s="222">
        <f>SUM(F2194:F2219)</f>
        <v>0</v>
      </c>
      <c r="G2220" s="19">
        <f>SUM(B2220:F2220)</f>
        <v>12</v>
      </c>
      <c r="H2220" s="25">
        <f>SUM(H2194:H2219)</f>
        <v>3</v>
      </c>
      <c r="I2220" s="26">
        <f>SUM(I2194:I2219)</f>
        <v>3</v>
      </c>
      <c r="J2220" s="26">
        <f>SUM(J2194:J2219)</f>
        <v>0</v>
      </c>
      <c r="K2220" s="220">
        <f>SUM(K2194:K2219)</f>
        <v>0</v>
      </c>
      <c r="L2220" s="27">
        <f>SUM(L2194:L2219)</f>
        <v>4</v>
      </c>
      <c r="M2220" s="25">
        <f>SUM(H2220:L2220)</f>
        <v>10</v>
      </c>
      <c r="N2220" s="65">
        <f>SUM(N2194:N2219)</f>
        <v>0</v>
      </c>
      <c r="O2220" s="18">
        <f>SUM(O2194:O2219)</f>
        <v>0</v>
      </c>
      <c r="P2220" s="18">
        <f>SUM(P2194:P2219)</f>
        <v>1</v>
      </c>
      <c r="Q2220" s="18">
        <f>SUM(Q2194:Q2219)</f>
        <v>2</v>
      </c>
      <c r="R2220" s="70">
        <f>SUM(R2194:R2219)</f>
        <v>2</v>
      </c>
      <c r="S2220" s="49">
        <f>SUM(N2220:R2220)</f>
        <v>5</v>
      </c>
      <c r="T2220" s="74">
        <f>SUM(T2194:T2219)</f>
        <v>0</v>
      </c>
      <c r="U2220" s="18">
        <f>SUM(U2194:U2219)</f>
        <v>0</v>
      </c>
      <c r="V2220" s="18">
        <f>SUM(V2194:V2219)</f>
        <v>0</v>
      </c>
      <c r="W2220" s="240">
        <f>SUM(W2194:W2219)</f>
        <v>0</v>
      </c>
      <c r="X2220" s="70">
        <f>SUM(X2194:X2219)</f>
        <v>1</v>
      </c>
      <c r="Y2220" s="49">
        <f>SUM(T2220:X2220)</f>
        <v>1</v>
      </c>
      <c r="Z2220" s="137">
        <f>G2220+M2220+S2220+Y2220</f>
        <v>28</v>
      </c>
      <c r="AB2220" s="9" t="s">
        <v>13</v>
      </c>
      <c r="AC2220" s="25">
        <f>SUM(AC2194:AC2219)</f>
        <v>0</v>
      </c>
      <c r="AD2220" s="26">
        <f t="shared" ref="AD2220:AG2220" si="2780">SUM(AD2194:AD2219)</f>
        <v>3</v>
      </c>
      <c r="AE2220" s="26">
        <f t="shared" si="2780"/>
        <v>3</v>
      </c>
      <c r="AF2220" s="220">
        <f t="shared" si="2780"/>
        <v>0</v>
      </c>
      <c r="AG2220" s="222">
        <f t="shared" si="2780"/>
        <v>0</v>
      </c>
      <c r="AH2220" s="19">
        <f>SUM(AC2220:AG2220)</f>
        <v>6</v>
      </c>
      <c r="AI2220" s="25">
        <f>SUM(AI2194:AI2219)</f>
        <v>3</v>
      </c>
      <c r="AJ2220" s="26">
        <f t="shared" ref="AJ2220:AM2220" si="2781">SUM(AJ2194:AJ2219)</f>
        <v>5</v>
      </c>
      <c r="AK2220" s="26">
        <f t="shared" si="2781"/>
        <v>3</v>
      </c>
      <c r="AL2220" s="226">
        <f t="shared" si="2781"/>
        <v>0</v>
      </c>
      <c r="AM2220" s="27">
        <f t="shared" si="2781"/>
        <v>13</v>
      </c>
      <c r="AN2220" s="19">
        <f>SUM(AI2220:AM2220)</f>
        <v>24</v>
      </c>
      <c r="AO2220" s="25">
        <f>SUM(AO2194:AO2219)</f>
        <v>0</v>
      </c>
      <c r="AP2220" s="26">
        <f t="shared" ref="AP2220:AS2220" si="2782">SUM(AP2194:AP2219)</f>
        <v>0</v>
      </c>
      <c r="AQ2220" s="26">
        <f t="shared" si="2782"/>
        <v>2</v>
      </c>
      <c r="AR2220" s="26">
        <f t="shared" si="2782"/>
        <v>3</v>
      </c>
      <c r="AS2220" s="27">
        <f t="shared" si="2782"/>
        <v>2</v>
      </c>
      <c r="AT2220" s="19">
        <f>SUM(AO2220:AS2220)</f>
        <v>7</v>
      </c>
      <c r="AU2220" s="25">
        <f>SUM(AU2194:AU2219)</f>
        <v>0</v>
      </c>
      <c r="AV2220" s="26">
        <f t="shared" ref="AV2220:AY2220" si="2783">SUM(AV2194:AV2219)</f>
        <v>0</v>
      </c>
      <c r="AW2220" s="220">
        <f t="shared" si="2783"/>
        <v>0</v>
      </c>
      <c r="AX2220" s="220">
        <f t="shared" si="2783"/>
        <v>0</v>
      </c>
      <c r="AY2220" s="27">
        <f t="shared" si="2783"/>
        <v>0</v>
      </c>
      <c r="AZ2220" s="19">
        <f>SUM(AU2220:AY2220)</f>
        <v>0</v>
      </c>
      <c r="BA2220" s="77">
        <f t="shared" si="2774"/>
        <v>37</v>
      </c>
    </row>
    <row r="2221" spans="1:54" ht="15" thickBot="1" x14ac:dyDescent="0.2">
      <c r="A2221" s="32" t="s">
        <v>14</v>
      </c>
      <c r="B2221" s="29">
        <f t="shared" ref="B2221:Y2221" si="2784">B2193-B2220</f>
        <v>3</v>
      </c>
      <c r="C2221" s="30">
        <f t="shared" si="2784"/>
        <v>2</v>
      </c>
      <c r="D2221" s="30">
        <f t="shared" si="2784"/>
        <v>1</v>
      </c>
      <c r="E2221" s="221">
        <f t="shared" si="2784"/>
        <v>0</v>
      </c>
      <c r="F2221" s="223">
        <f t="shared" si="2784"/>
        <v>0</v>
      </c>
      <c r="G2221" s="31">
        <f t="shared" si="2784"/>
        <v>6</v>
      </c>
      <c r="H2221" s="29">
        <f t="shared" si="2784"/>
        <v>3</v>
      </c>
      <c r="I2221" s="30">
        <f t="shared" si="2784"/>
        <v>3</v>
      </c>
      <c r="J2221" s="30">
        <f t="shared" si="2784"/>
        <v>6</v>
      </c>
      <c r="K2221" s="221">
        <f t="shared" si="2784"/>
        <v>0</v>
      </c>
      <c r="L2221" s="31">
        <f t="shared" si="2784"/>
        <v>3</v>
      </c>
      <c r="M2221" s="66">
        <f t="shared" si="2784"/>
        <v>15</v>
      </c>
      <c r="N2221" s="29">
        <f t="shared" si="2784"/>
        <v>5</v>
      </c>
      <c r="O2221" s="30">
        <f t="shared" si="2784"/>
        <v>4</v>
      </c>
      <c r="P2221" s="30">
        <f t="shared" si="2784"/>
        <v>3</v>
      </c>
      <c r="Q2221" s="30">
        <f t="shared" si="2784"/>
        <v>2</v>
      </c>
      <c r="R2221" s="66">
        <f t="shared" si="2784"/>
        <v>1</v>
      </c>
      <c r="S2221" s="33">
        <f t="shared" si="2784"/>
        <v>15</v>
      </c>
      <c r="T2221" s="75">
        <f t="shared" si="2784"/>
        <v>4</v>
      </c>
      <c r="U2221" s="30">
        <f t="shared" si="2784"/>
        <v>5</v>
      </c>
      <c r="V2221" s="30">
        <f t="shared" si="2784"/>
        <v>8</v>
      </c>
      <c r="W2221" s="221">
        <f t="shared" si="2784"/>
        <v>0</v>
      </c>
      <c r="X2221" s="66">
        <f t="shared" si="2784"/>
        <v>2</v>
      </c>
      <c r="Y2221" s="33">
        <f t="shared" si="2784"/>
        <v>19</v>
      </c>
      <c r="Z2221" s="77">
        <f>G2221+M2221+S2221+Y2221</f>
        <v>55</v>
      </c>
      <c r="AB2221" s="32" t="s">
        <v>14</v>
      </c>
      <c r="AC2221" s="29">
        <f>AC2193-AC2220</f>
        <v>64</v>
      </c>
      <c r="AD2221" s="30">
        <f t="shared" ref="AD2221:AG2221" si="2785">AD2193-AD2220</f>
        <v>10</v>
      </c>
      <c r="AE2221" s="30">
        <f t="shared" si="2785"/>
        <v>5</v>
      </c>
      <c r="AF2221" s="221">
        <f t="shared" si="2785"/>
        <v>0</v>
      </c>
      <c r="AG2221" s="223">
        <f t="shared" si="2785"/>
        <v>0</v>
      </c>
      <c r="AH2221" s="31">
        <f>AH2193-AH2220</f>
        <v>79</v>
      </c>
      <c r="AI2221" s="29">
        <f>AI2193-AI2220</f>
        <v>59</v>
      </c>
      <c r="AJ2221" s="30">
        <f t="shared" ref="AJ2221:AM2221" si="2786">AJ2193-AJ2220</f>
        <v>19</v>
      </c>
      <c r="AK2221" s="30">
        <f t="shared" si="2786"/>
        <v>21</v>
      </c>
      <c r="AL2221" s="227">
        <f t="shared" si="2786"/>
        <v>0</v>
      </c>
      <c r="AM2221" s="31">
        <f t="shared" si="2786"/>
        <v>3</v>
      </c>
      <c r="AN2221" s="31">
        <f>AN2193-AN2220</f>
        <v>102</v>
      </c>
      <c r="AO2221" s="29">
        <f>AO2193-AO2220</f>
        <v>131</v>
      </c>
      <c r="AP2221" s="30">
        <f t="shared" ref="AP2221:AS2221" si="2787">AP2193-AP2220</f>
        <v>68</v>
      </c>
      <c r="AQ2221" s="30">
        <f t="shared" si="2787"/>
        <v>71</v>
      </c>
      <c r="AR2221" s="30">
        <f t="shared" si="2787"/>
        <v>72</v>
      </c>
      <c r="AS2221" s="31">
        <f t="shared" si="2787"/>
        <v>103</v>
      </c>
      <c r="AT2221" s="31">
        <f>AT2193-AT2220</f>
        <v>445</v>
      </c>
      <c r="AU2221" s="29">
        <f>AU2193-AU2220</f>
        <v>99</v>
      </c>
      <c r="AV2221" s="30">
        <f t="shared" ref="AV2221:AY2221" si="2788">AV2193-AV2220</f>
        <v>36</v>
      </c>
      <c r="AW2221" s="221">
        <f t="shared" si="2788"/>
        <v>0</v>
      </c>
      <c r="AX2221" s="221">
        <f t="shared" si="2788"/>
        <v>0</v>
      </c>
      <c r="AY2221" s="31">
        <f t="shared" si="2788"/>
        <v>47</v>
      </c>
      <c r="AZ2221" s="31">
        <f>AZ2193-AZ2220</f>
        <v>182</v>
      </c>
      <c r="BA2221" s="77">
        <f t="shared" si="2774"/>
        <v>808</v>
      </c>
    </row>
    <row r="2222" spans="1:54" x14ac:dyDescent="0.15">
      <c r="E2222" s="216" t="s">
        <v>700</v>
      </c>
      <c r="F2222" s="216" t="s">
        <v>700</v>
      </c>
      <c r="G2222" s="216"/>
      <c r="H2222" s="216"/>
      <c r="I2222" s="216"/>
      <c r="J2222" s="216"/>
      <c r="K2222" s="216" t="s">
        <v>700</v>
      </c>
      <c r="L2222" s="216"/>
      <c r="M2222" s="216"/>
      <c r="N2222" s="216"/>
      <c r="O2222" s="216"/>
      <c r="P2222" s="216"/>
      <c r="Q2222" s="216"/>
      <c r="R2222" s="216"/>
      <c r="S2222" s="216"/>
      <c r="T2222" s="216"/>
      <c r="U2222" s="216"/>
      <c r="V2222" s="216" t="s">
        <v>700</v>
      </c>
      <c r="W2222" s="216" t="s">
        <v>700</v>
      </c>
      <c r="X2222" s="216"/>
      <c r="Y2222" s="216"/>
    </row>
    <row r="2224" spans="1:54" ht="19.5" thickBot="1" x14ac:dyDescent="0.25">
      <c r="A2224" s="1" t="s">
        <v>15</v>
      </c>
      <c r="AB2224" s="1" t="s">
        <v>16</v>
      </c>
    </row>
    <row r="2225" spans="1:54" ht="15" thickBot="1" x14ac:dyDescent="0.2">
      <c r="A2225" s="4"/>
      <c r="B2225" s="245" t="s">
        <v>17</v>
      </c>
      <c r="C2225" s="246"/>
      <c r="D2225" s="246"/>
      <c r="E2225" s="246"/>
      <c r="F2225" s="246"/>
      <c r="G2225" s="247"/>
      <c r="H2225" s="245" t="s">
        <v>18</v>
      </c>
      <c r="I2225" s="246"/>
      <c r="J2225" s="246"/>
      <c r="K2225" s="246"/>
      <c r="L2225" s="246"/>
      <c r="M2225" s="247"/>
      <c r="N2225" s="248" t="s">
        <v>27</v>
      </c>
      <c r="O2225" s="249"/>
      <c r="P2225" s="249"/>
      <c r="Q2225" s="249"/>
      <c r="R2225" s="249"/>
      <c r="S2225" s="250"/>
      <c r="T2225" s="248" t="s">
        <v>28</v>
      </c>
      <c r="U2225" s="249"/>
      <c r="V2225" s="249"/>
      <c r="W2225" s="249"/>
      <c r="X2225" s="249"/>
      <c r="Y2225" s="250"/>
      <c r="Z2225" s="251" t="s">
        <v>1</v>
      </c>
      <c r="AB2225" s="4"/>
      <c r="AC2225" s="253" t="s">
        <v>17</v>
      </c>
      <c r="AD2225" s="249"/>
      <c r="AE2225" s="249"/>
      <c r="AF2225" s="249"/>
      <c r="AG2225" s="249"/>
      <c r="AH2225" s="250"/>
      <c r="AI2225" s="248" t="s">
        <v>18</v>
      </c>
      <c r="AJ2225" s="249"/>
      <c r="AK2225" s="249"/>
      <c r="AL2225" s="249"/>
      <c r="AM2225" s="249"/>
      <c r="AN2225" s="250"/>
      <c r="AO2225" s="248" t="s">
        <v>27</v>
      </c>
      <c r="AP2225" s="249"/>
      <c r="AQ2225" s="249"/>
      <c r="AR2225" s="249"/>
      <c r="AS2225" s="249"/>
      <c r="AT2225" s="250"/>
      <c r="AU2225" s="248" t="s">
        <v>28</v>
      </c>
      <c r="AV2225" s="249"/>
      <c r="AW2225" s="249"/>
      <c r="AX2225" s="249"/>
      <c r="AY2225" s="249"/>
      <c r="AZ2225" s="250"/>
      <c r="BA2225" s="243" t="s">
        <v>1</v>
      </c>
    </row>
    <row r="2226" spans="1:54" ht="15" thickBot="1" x14ac:dyDescent="0.2">
      <c r="A2226" s="9" t="s">
        <v>2</v>
      </c>
      <c r="B2226" s="6" t="s">
        <v>3</v>
      </c>
      <c r="C2226" s="7" t="s">
        <v>4</v>
      </c>
      <c r="D2226" s="7" t="s">
        <v>5</v>
      </c>
      <c r="E2226" s="48" t="s">
        <v>20</v>
      </c>
      <c r="F2226" s="8" t="s">
        <v>21</v>
      </c>
      <c r="G2226" s="5" t="s">
        <v>6</v>
      </c>
      <c r="H2226" s="6" t="s">
        <v>3</v>
      </c>
      <c r="I2226" s="7" t="s">
        <v>4</v>
      </c>
      <c r="J2226" s="7" t="s">
        <v>5</v>
      </c>
      <c r="K2226" s="48" t="s">
        <v>20</v>
      </c>
      <c r="L2226" s="8" t="s">
        <v>21</v>
      </c>
      <c r="M2226" s="5" t="s">
        <v>6</v>
      </c>
      <c r="N2226" s="6" t="s">
        <v>3</v>
      </c>
      <c r="O2226" s="7" t="s">
        <v>4</v>
      </c>
      <c r="P2226" s="7" t="s">
        <v>5</v>
      </c>
      <c r="Q2226" s="48" t="s">
        <v>20</v>
      </c>
      <c r="R2226" s="8" t="s">
        <v>21</v>
      </c>
      <c r="S2226" s="5" t="s">
        <v>6</v>
      </c>
      <c r="T2226" s="7" t="s">
        <v>3</v>
      </c>
      <c r="U2226" s="7" t="s">
        <v>4</v>
      </c>
      <c r="V2226" s="7" t="s">
        <v>5</v>
      </c>
      <c r="W2226" s="48" t="s">
        <v>20</v>
      </c>
      <c r="X2226" s="109" t="s">
        <v>21</v>
      </c>
      <c r="Y2226" s="62" t="s">
        <v>6</v>
      </c>
      <c r="Z2226" s="252"/>
      <c r="AB2226" s="9" t="s">
        <v>2</v>
      </c>
      <c r="AC2226" s="6" t="s">
        <v>3</v>
      </c>
      <c r="AD2226" s="7" t="s">
        <v>4</v>
      </c>
      <c r="AE2226" s="7" t="s">
        <v>5</v>
      </c>
      <c r="AF2226" s="48" t="s">
        <v>20</v>
      </c>
      <c r="AG2226" s="8" t="s">
        <v>21</v>
      </c>
      <c r="AH2226" s="5" t="s">
        <v>6</v>
      </c>
      <c r="AI2226" s="6" t="s">
        <v>3</v>
      </c>
      <c r="AJ2226" s="7" t="s">
        <v>4</v>
      </c>
      <c r="AK2226" s="7" t="s">
        <v>5</v>
      </c>
      <c r="AL2226" s="48" t="s">
        <v>20</v>
      </c>
      <c r="AM2226" s="8" t="s">
        <v>21</v>
      </c>
      <c r="AN2226" s="5" t="s">
        <v>6</v>
      </c>
      <c r="AO2226" s="6" t="s">
        <v>3</v>
      </c>
      <c r="AP2226" s="7" t="s">
        <v>4</v>
      </c>
      <c r="AQ2226" s="7" t="s">
        <v>5</v>
      </c>
      <c r="AR2226" s="48" t="s">
        <v>20</v>
      </c>
      <c r="AS2226" s="8" t="s">
        <v>21</v>
      </c>
      <c r="AT2226" s="5" t="s">
        <v>6</v>
      </c>
      <c r="AU2226" s="7" t="s">
        <v>3</v>
      </c>
      <c r="AV2226" s="7" t="s">
        <v>4</v>
      </c>
      <c r="AW2226" s="7" t="s">
        <v>5</v>
      </c>
      <c r="AX2226" s="48" t="s">
        <v>20</v>
      </c>
      <c r="AY2226" s="109" t="s">
        <v>21</v>
      </c>
      <c r="AZ2226" s="62" t="s">
        <v>6</v>
      </c>
      <c r="BA2226" s="244"/>
    </row>
    <row r="2227" spans="1:54" ht="14.25" x14ac:dyDescent="0.15">
      <c r="A2227" s="103" t="s">
        <v>43</v>
      </c>
      <c r="B2227" s="104">
        <f>B2221</f>
        <v>3</v>
      </c>
      <c r="C2227" s="105">
        <f>C2221</f>
        <v>2</v>
      </c>
      <c r="D2227" s="105">
        <f>D2221</f>
        <v>1</v>
      </c>
      <c r="E2227" s="105">
        <f>E2221</f>
        <v>0</v>
      </c>
      <c r="F2227" s="105">
        <f>F2221</f>
        <v>0</v>
      </c>
      <c r="G2227" s="106">
        <f t="shared" ref="G2227:G2258" si="2789">SUM(B2227:F2227)</f>
        <v>6</v>
      </c>
      <c r="H2227" s="104">
        <f>H2221</f>
        <v>3</v>
      </c>
      <c r="I2227" s="105">
        <f>I2221</f>
        <v>3</v>
      </c>
      <c r="J2227" s="105">
        <f>J2221</f>
        <v>6</v>
      </c>
      <c r="K2227" s="105">
        <f>K2221</f>
        <v>0</v>
      </c>
      <c r="L2227" s="105">
        <f>L2221</f>
        <v>3</v>
      </c>
      <c r="M2227" s="107">
        <f t="shared" ref="M2227:M2258" si="2790">SUM(H2227:L2227)</f>
        <v>15</v>
      </c>
      <c r="N2227" s="104">
        <f>N2221</f>
        <v>5</v>
      </c>
      <c r="O2227" s="105">
        <f>O2221</f>
        <v>4</v>
      </c>
      <c r="P2227" s="105">
        <f>P2221</f>
        <v>3</v>
      </c>
      <c r="Q2227" s="105">
        <f>Q2221</f>
        <v>2</v>
      </c>
      <c r="R2227" s="105">
        <f>R2221</f>
        <v>1</v>
      </c>
      <c r="S2227" s="108">
        <f t="shared" ref="S2227:S2258" si="2791">SUM(N2227:R2227)</f>
        <v>15</v>
      </c>
      <c r="T2227" s="104">
        <f>T2221</f>
        <v>4</v>
      </c>
      <c r="U2227" s="105">
        <f>U2221</f>
        <v>5</v>
      </c>
      <c r="V2227" s="105">
        <f>V2221</f>
        <v>8</v>
      </c>
      <c r="W2227" s="105">
        <f>W2221</f>
        <v>0</v>
      </c>
      <c r="X2227" s="105">
        <f>X2221</f>
        <v>2</v>
      </c>
      <c r="Y2227" s="106">
        <f t="shared" ref="Y2227:Y2258" si="2792">SUM(T2227:X2227)</f>
        <v>19</v>
      </c>
      <c r="Z2227" s="106">
        <f t="shared" ref="Z2227:Z2258" si="2793">G2227+M2227+S2227+Y2227</f>
        <v>55</v>
      </c>
      <c r="AB2227" s="103" t="s">
        <v>43</v>
      </c>
      <c r="AC2227" s="104">
        <f>AC2221</f>
        <v>64</v>
      </c>
      <c r="AD2227" s="105">
        <f t="shared" ref="AD2227:AG2227" si="2794">AD2221</f>
        <v>10</v>
      </c>
      <c r="AE2227" s="105">
        <f t="shared" si="2794"/>
        <v>5</v>
      </c>
      <c r="AF2227" s="105">
        <f t="shared" si="2794"/>
        <v>0</v>
      </c>
      <c r="AG2227" s="105">
        <f t="shared" si="2794"/>
        <v>0</v>
      </c>
      <c r="AH2227" s="106">
        <f>SUM(AC2227:AG2227)</f>
        <v>79</v>
      </c>
      <c r="AI2227" s="104">
        <f>AI2221</f>
        <v>59</v>
      </c>
      <c r="AJ2227" s="105">
        <f t="shared" ref="AJ2227:AM2227" si="2795">AJ2221</f>
        <v>19</v>
      </c>
      <c r="AK2227" s="105">
        <f t="shared" si="2795"/>
        <v>21</v>
      </c>
      <c r="AL2227" s="105">
        <f t="shared" si="2795"/>
        <v>0</v>
      </c>
      <c r="AM2227" s="105">
        <f t="shared" si="2795"/>
        <v>3</v>
      </c>
      <c r="AN2227" s="106">
        <f>SUM(AI2227:AM2227)</f>
        <v>102</v>
      </c>
      <c r="AO2227" s="104">
        <f>AO2221</f>
        <v>131</v>
      </c>
      <c r="AP2227" s="105">
        <f t="shared" ref="AP2227:AS2227" si="2796">AP2221</f>
        <v>68</v>
      </c>
      <c r="AQ2227" s="105">
        <f t="shared" si="2796"/>
        <v>71</v>
      </c>
      <c r="AR2227" s="105">
        <f t="shared" si="2796"/>
        <v>72</v>
      </c>
      <c r="AS2227" s="105">
        <f t="shared" si="2796"/>
        <v>103</v>
      </c>
      <c r="AT2227" s="106">
        <f>SUM(AO2227:AS2227)</f>
        <v>445</v>
      </c>
      <c r="AU2227" s="104">
        <f>AU2221</f>
        <v>99</v>
      </c>
      <c r="AV2227" s="105">
        <f t="shared" ref="AV2227:AY2227" si="2797">AV2221</f>
        <v>36</v>
      </c>
      <c r="AW2227" s="105">
        <f t="shared" si="2797"/>
        <v>0</v>
      </c>
      <c r="AX2227" s="105">
        <f t="shared" si="2797"/>
        <v>0</v>
      </c>
      <c r="AY2227" s="105">
        <f t="shared" si="2797"/>
        <v>47</v>
      </c>
      <c r="AZ2227" s="106">
        <f>SUM(AU2227:AY2227)</f>
        <v>182</v>
      </c>
      <c r="BA2227" s="106">
        <f>AH2227+AN2227+AT2227+AZ2227</f>
        <v>808</v>
      </c>
    </row>
    <row r="2228" spans="1:54" ht="14.25" x14ac:dyDescent="0.15">
      <c r="A2228" s="228" t="s">
        <v>181</v>
      </c>
      <c r="B2228" s="229"/>
      <c r="C2228" s="230"/>
      <c r="D2228" s="230"/>
      <c r="E2228" s="230"/>
      <c r="F2228" s="230"/>
      <c r="G2228" s="22">
        <f t="shared" si="2789"/>
        <v>0</v>
      </c>
      <c r="H2228" s="229"/>
      <c r="I2228" s="230"/>
      <c r="J2228" s="230"/>
      <c r="K2228" s="230"/>
      <c r="L2228" s="230"/>
      <c r="M2228" s="22">
        <f t="shared" si="2790"/>
        <v>0</v>
      </c>
      <c r="N2228" s="229"/>
      <c r="O2228" s="231"/>
      <c r="P2228" s="231"/>
      <c r="Q2228" s="231"/>
      <c r="R2228" s="232">
        <v>2</v>
      </c>
      <c r="S2228" s="225">
        <f t="shared" si="2791"/>
        <v>2</v>
      </c>
      <c r="T2228" s="230"/>
      <c r="U2228" s="231"/>
      <c r="V2228" s="231"/>
      <c r="W2228" s="231"/>
      <c r="X2228" s="232"/>
      <c r="Y2228" s="225">
        <f t="shared" si="2792"/>
        <v>0</v>
      </c>
      <c r="Z2228" s="225">
        <f t="shared" si="2793"/>
        <v>2</v>
      </c>
      <c r="AA2228" s="93">
        <v>46127</v>
      </c>
      <c r="AB2228" s="10" t="s">
        <v>181</v>
      </c>
      <c r="AC2228" s="14"/>
      <c r="AD2228" s="15"/>
      <c r="AE2228" s="15"/>
      <c r="AF2228" s="15"/>
      <c r="AG2228" s="15"/>
      <c r="AH2228" s="43">
        <f t="shared" ref="AH2228:AH2231" si="2798">SUM(AC2228:AG2228)</f>
        <v>0</v>
      </c>
      <c r="AI2228" s="14"/>
      <c r="AJ2228" s="15"/>
      <c r="AK2228" s="15"/>
      <c r="AL2228" s="15"/>
      <c r="AM2228" s="15"/>
      <c r="AN2228" s="43">
        <f t="shared" ref="AN2228:AN2231" si="2799">SUM(AI2228:AM2228)</f>
        <v>0</v>
      </c>
      <c r="AO2228" s="14"/>
      <c r="AP2228" s="55"/>
      <c r="AQ2228" s="55"/>
      <c r="AR2228" s="55"/>
      <c r="AS2228" s="67"/>
      <c r="AT2228" s="24">
        <f t="shared" ref="AT2228:AT2231" si="2800">SUM(AO2228:AS2228)</f>
        <v>0</v>
      </c>
      <c r="AU2228" s="15"/>
      <c r="AV2228" s="55"/>
      <c r="AW2228" s="55"/>
      <c r="AX2228" s="55"/>
      <c r="AY2228" s="67"/>
      <c r="AZ2228" s="24">
        <f t="shared" ref="AZ2228:AZ2231" si="2801">SUM(AU2228:AY2228)</f>
        <v>0</v>
      </c>
      <c r="BA2228" s="24">
        <f t="shared" ref="BA2228:BA2231" si="2802">AH2228+AN2228+AT2228+AZ2228</f>
        <v>0</v>
      </c>
    </row>
    <row r="2229" spans="1:54" ht="14.25" x14ac:dyDescent="0.15">
      <c r="A2229" s="10" t="s">
        <v>181</v>
      </c>
      <c r="B2229" s="14"/>
      <c r="C2229" s="15"/>
      <c r="D2229" s="15"/>
      <c r="E2229" s="15"/>
      <c r="F2229" s="15"/>
      <c r="G2229" s="43">
        <f t="shared" si="2789"/>
        <v>0</v>
      </c>
      <c r="H2229" s="14"/>
      <c r="I2229" s="15"/>
      <c r="J2229" s="15"/>
      <c r="K2229" s="15"/>
      <c r="L2229" s="15">
        <v>3</v>
      </c>
      <c r="M2229" s="43">
        <f t="shared" si="2790"/>
        <v>3</v>
      </c>
      <c r="N2229" s="14"/>
      <c r="O2229" s="55"/>
      <c r="P2229" s="55"/>
      <c r="Q2229" s="55"/>
      <c r="R2229" s="67"/>
      <c r="S2229" s="24">
        <f t="shared" si="2791"/>
        <v>0</v>
      </c>
      <c r="T2229" s="15"/>
      <c r="U2229" s="55"/>
      <c r="V2229" s="55"/>
      <c r="W2229" s="55"/>
      <c r="X2229" s="67"/>
      <c r="Y2229" s="24">
        <f t="shared" si="2792"/>
        <v>0</v>
      </c>
      <c r="Z2229" s="24">
        <f t="shared" si="2793"/>
        <v>3</v>
      </c>
      <c r="AA2229" s="83">
        <v>46129</v>
      </c>
      <c r="AB2229" s="10" t="s">
        <v>181</v>
      </c>
      <c r="AC2229" s="14"/>
      <c r="AD2229" s="15"/>
      <c r="AE2229" s="15"/>
      <c r="AF2229" s="15"/>
      <c r="AG2229" s="15"/>
      <c r="AH2229" s="43">
        <f t="shared" si="2798"/>
        <v>0</v>
      </c>
      <c r="AI2229" s="14"/>
      <c r="AJ2229" s="15"/>
      <c r="AK2229" s="15"/>
      <c r="AL2229" s="15"/>
      <c r="AM2229" s="15"/>
      <c r="AN2229" s="43">
        <f t="shared" si="2799"/>
        <v>0</v>
      </c>
      <c r="AO2229" s="14"/>
      <c r="AP2229" s="55"/>
      <c r="AQ2229" s="55"/>
      <c r="AR2229" s="55"/>
      <c r="AS2229" s="67"/>
      <c r="AT2229" s="24">
        <f t="shared" si="2800"/>
        <v>0</v>
      </c>
      <c r="AU2229" s="15"/>
      <c r="AV2229" s="55"/>
      <c r="AW2229" s="55"/>
      <c r="AX2229" s="55"/>
      <c r="AY2229" s="67"/>
      <c r="AZ2229" s="24">
        <f t="shared" si="2801"/>
        <v>0</v>
      </c>
      <c r="BA2229" s="24">
        <f t="shared" si="2802"/>
        <v>0</v>
      </c>
    </row>
    <row r="2230" spans="1:54" ht="14.25" x14ac:dyDescent="0.15">
      <c r="A2230" s="10" t="s">
        <v>181</v>
      </c>
      <c r="B2230" s="14"/>
      <c r="C2230" s="15"/>
      <c r="D2230" s="15"/>
      <c r="E2230" s="15"/>
      <c r="F2230" s="15"/>
      <c r="G2230" s="43">
        <f t="shared" si="2789"/>
        <v>0</v>
      </c>
      <c r="H2230" s="14"/>
      <c r="I2230" s="15"/>
      <c r="J2230" s="15"/>
      <c r="K2230" s="15"/>
      <c r="L2230" s="15">
        <v>3</v>
      </c>
      <c r="M2230" s="43">
        <f t="shared" si="2790"/>
        <v>3</v>
      </c>
      <c r="N2230" s="14"/>
      <c r="O2230" s="55"/>
      <c r="P2230" s="55"/>
      <c r="Q2230" s="55">
        <v>3</v>
      </c>
      <c r="R2230" s="67"/>
      <c r="S2230" s="24">
        <f t="shared" si="2791"/>
        <v>3</v>
      </c>
      <c r="T2230" s="15"/>
      <c r="U2230" s="55"/>
      <c r="V2230" s="55"/>
      <c r="W2230" s="55"/>
      <c r="X2230" s="67"/>
      <c r="Y2230" s="24">
        <f t="shared" si="2792"/>
        <v>0</v>
      </c>
      <c r="Z2230" s="24">
        <f t="shared" si="2793"/>
        <v>6</v>
      </c>
      <c r="AA2230" s="83">
        <v>46142</v>
      </c>
      <c r="AB2230" s="10" t="s">
        <v>181</v>
      </c>
      <c r="AC2230" s="14"/>
      <c r="AD2230" s="15"/>
      <c r="AE2230" s="15"/>
      <c r="AF2230" s="15"/>
      <c r="AG2230" s="15"/>
      <c r="AH2230" s="43">
        <f t="shared" si="2798"/>
        <v>0</v>
      </c>
      <c r="AI2230" s="14"/>
      <c r="AJ2230" s="15"/>
      <c r="AK2230" s="15"/>
      <c r="AL2230" s="15"/>
      <c r="AM2230" s="15"/>
      <c r="AN2230" s="43">
        <f t="shared" si="2799"/>
        <v>0</v>
      </c>
      <c r="AO2230" s="14"/>
      <c r="AP2230" s="55"/>
      <c r="AQ2230" s="55"/>
      <c r="AR2230" s="55"/>
      <c r="AS2230" s="67"/>
      <c r="AT2230" s="24">
        <f t="shared" si="2800"/>
        <v>0</v>
      </c>
      <c r="AU2230" s="15"/>
      <c r="AV2230" s="55"/>
      <c r="AW2230" s="55"/>
      <c r="AX2230" s="55"/>
      <c r="AY2230" s="67"/>
      <c r="AZ2230" s="24">
        <f t="shared" si="2801"/>
        <v>0</v>
      </c>
      <c r="BA2230" s="24">
        <f t="shared" si="2802"/>
        <v>0</v>
      </c>
    </row>
    <row r="2231" spans="1:54" ht="15" thickBot="1" x14ac:dyDescent="0.2">
      <c r="A2231" s="228" t="s">
        <v>181</v>
      </c>
      <c r="B2231" s="229"/>
      <c r="C2231" s="230">
        <v>2</v>
      </c>
      <c r="D2231" s="230"/>
      <c r="E2231" s="230"/>
      <c r="F2231" s="230"/>
      <c r="G2231" s="22">
        <f t="shared" si="2789"/>
        <v>2</v>
      </c>
      <c r="H2231" s="229"/>
      <c r="I2231" s="230">
        <v>2</v>
      </c>
      <c r="J2231" s="230">
        <v>2</v>
      </c>
      <c r="K2231" s="230"/>
      <c r="L2231" s="230"/>
      <c r="M2231" s="22">
        <f t="shared" si="2790"/>
        <v>4</v>
      </c>
      <c r="N2231" s="229"/>
      <c r="O2231" s="231"/>
      <c r="P2231" s="231">
        <v>2</v>
      </c>
      <c r="Q2231" s="231"/>
      <c r="R2231" s="232">
        <v>2</v>
      </c>
      <c r="S2231" s="225">
        <f t="shared" si="2791"/>
        <v>4</v>
      </c>
      <c r="T2231" s="230"/>
      <c r="U2231" s="231"/>
      <c r="V2231" s="231"/>
      <c r="W2231" s="231"/>
      <c r="X2231" s="232">
        <v>3</v>
      </c>
      <c r="Y2231" s="225">
        <f t="shared" si="2792"/>
        <v>3</v>
      </c>
      <c r="Z2231" s="225">
        <f t="shared" si="2793"/>
        <v>13</v>
      </c>
      <c r="AA2231" s="93">
        <v>46156</v>
      </c>
      <c r="AB2231" s="10" t="s">
        <v>181</v>
      </c>
      <c r="AC2231" s="14"/>
      <c r="AD2231" s="15"/>
      <c r="AE2231" s="15"/>
      <c r="AF2231" s="15"/>
      <c r="AG2231" s="15"/>
      <c r="AH2231" s="43">
        <f t="shared" si="2798"/>
        <v>0</v>
      </c>
      <c r="AI2231" s="14"/>
      <c r="AJ2231" s="15"/>
      <c r="AK2231" s="15"/>
      <c r="AL2231" s="15"/>
      <c r="AM2231" s="15"/>
      <c r="AN2231" s="43">
        <f t="shared" si="2799"/>
        <v>0</v>
      </c>
      <c r="AO2231" s="14"/>
      <c r="AP2231" s="55"/>
      <c r="AQ2231" s="55"/>
      <c r="AR2231" s="55"/>
      <c r="AS2231" s="67"/>
      <c r="AT2231" s="24">
        <f t="shared" si="2800"/>
        <v>0</v>
      </c>
      <c r="AU2231" s="15"/>
      <c r="AV2231" s="55"/>
      <c r="AW2231" s="55"/>
      <c r="AX2231" s="55"/>
      <c r="AY2231" s="67"/>
      <c r="AZ2231" s="24">
        <f t="shared" si="2801"/>
        <v>0</v>
      </c>
      <c r="BA2231" s="24">
        <f t="shared" si="2802"/>
        <v>0</v>
      </c>
    </row>
    <row r="2232" spans="1:54" ht="15" thickBot="1" x14ac:dyDescent="0.2">
      <c r="A2232" s="4" t="s">
        <v>12</v>
      </c>
      <c r="B2232" s="17">
        <f>SUM(B2227:B2231)</f>
        <v>3</v>
      </c>
      <c r="C2232" s="18">
        <f>SUM(C2227:C2231)</f>
        <v>4</v>
      </c>
      <c r="D2232" s="18">
        <f>SUM(D2227:D2231)</f>
        <v>1</v>
      </c>
      <c r="E2232" s="18">
        <f>SUM(E2227:E2231)</f>
        <v>0</v>
      </c>
      <c r="F2232" s="18">
        <f>SUM(F2227:F2231)</f>
        <v>0</v>
      </c>
      <c r="G2232" s="148">
        <f t="shared" si="2789"/>
        <v>8</v>
      </c>
      <c r="H2232" s="17">
        <f>SUM(H2227:H2231)</f>
        <v>3</v>
      </c>
      <c r="I2232" s="18">
        <f>SUM(I2227:I2231)</f>
        <v>5</v>
      </c>
      <c r="J2232" s="18">
        <f>SUM(J2227:J2231)</f>
        <v>8</v>
      </c>
      <c r="K2232" s="18">
        <f>SUM(K2227:K2231)</f>
        <v>0</v>
      </c>
      <c r="L2232" s="18">
        <f>SUM(L2227:L2231)</f>
        <v>9</v>
      </c>
      <c r="M2232" s="17">
        <f t="shared" si="2790"/>
        <v>25</v>
      </c>
      <c r="N2232" s="65">
        <f>SUM(N2227:N2231)</f>
        <v>5</v>
      </c>
      <c r="O2232" s="18">
        <f>SUM(O2227:O2231)</f>
        <v>4</v>
      </c>
      <c r="P2232" s="18">
        <f>SUM(P2227:P2231)</f>
        <v>5</v>
      </c>
      <c r="Q2232" s="18">
        <f>SUM(Q2227:Q2231)</f>
        <v>5</v>
      </c>
      <c r="R2232" s="70">
        <f>SUM(R2227:R2231)</f>
        <v>5</v>
      </c>
      <c r="S2232" s="49">
        <f t="shared" si="2791"/>
        <v>24</v>
      </c>
      <c r="T2232" s="74">
        <f>SUM(T2227:T2231)</f>
        <v>4</v>
      </c>
      <c r="U2232" s="18">
        <f>SUM(U2227:U2231)</f>
        <v>5</v>
      </c>
      <c r="V2232" s="18">
        <f>SUM(V2227:V2231)</f>
        <v>8</v>
      </c>
      <c r="W2232" s="18">
        <f>SUM(W2227:W2231)</f>
        <v>0</v>
      </c>
      <c r="X2232" s="70">
        <f>SUM(X2227:X2231)</f>
        <v>5</v>
      </c>
      <c r="Y2232" s="49">
        <f t="shared" si="2792"/>
        <v>22</v>
      </c>
      <c r="Z2232" s="33">
        <f t="shared" si="2793"/>
        <v>79</v>
      </c>
      <c r="AB2232" s="4" t="s">
        <v>12</v>
      </c>
      <c r="AC2232" s="17">
        <f>SUM(AC2227:AC2231)</f>
        <v>64</v>
      </c>
      <c r="AD2232" s="18">
        <f t="shared" ref="AD2232:AG2232" si="2803">SUM(AD2227:AD2231)</f>
        <v>10</v>
      </c>
      <c r="AE2232" s="18">
        <f t="shared" si="2803"/>
        <v>5</v>
      </c>
      <c r="AF2232" s="18">
        <f t="shared" si="2803"/>
        <v>0</v>
      </c>
      <c r="AG2232" s="18">
        <f t="shared" si="2803"/>
        <v>0</v>
      </c>
      <c r="AH2232" s="148">
        <f>SUM(AC2232:AG2232)</f>
        <v>79</v>
      </c>
      <c r="AI2232" s="17">
        <f>SUM(AI2227:AI2231)</f>
        <v>59</v>
      </c>
      <c r="AJ2232" s="18">
        <f t="shared" ref="AJ2232:AM2232" si="2804">SUM(AJ2227:AJ2231)</f>
        <v>19</v>
      </c>
      <c r="AK2232" s="18">
        <f t="shared" si="2804"/>
        <v>21</v>
      </c>
      <c r="AL2232" s="18">
        <f t="shared" si="2804"/>
        <v>0</v>
      </c>
      <c r="AM2232" s="18">
        <f t="shared" si="2804"/>
        <v>3</v>
      </c>
      <c r="AN2232" s="148">
        <f>SUM(AI2232:AM2232)</f>
        <v>102</v>
      </c>
      <c r="AO2232" s="17">
        <f>SUM(AO2227:AO2231)</f>
        <v>131</v>
      </c>
      <c r="AP2232" s="18">
        <f t="shared" ref="AP2232:AS2232" si="2805">SUM(AP2227:AP2231)</f>
        <v>68</v>
      </c>
      <c r="AQ2232" s="18">
        <f t="shared" si="2805"/>
        <v>71</v>
      </c>
      <c r="AR2232" s="18">
        <f t="shared" si="2805"/>
        <v>72</v>
      </c>
      <c r="AS2232" s="18">
        <f t="shared" si="2805"/>
        <v>103</v>
      </c>
      <c r="AT2232" s="148">
        <f>SUM(AO2232:AS2232)</f>
        <v>445</v>
      </c>
      <c r="AU2232" s="17">
        <f>SUM(AU2227:AU2231)</f>
        <v>99</v>
      </c>
      <c r="AV2232" s="18">
        <f t="shared" ref="AV2232:AY2232" si="2806">SUM(AV2227:AV2231)</f>
        <v>36</v>
      </c>
      <c r="AW2232" s="18">
        <f t="shared" si="2806"/>
        <v>0</v>
      </c>
      <c r="AX2232" s="18">
        <f t="shared" si="2806"/>
        <v>0</v>
      </c>
      <c r="AY2232" s="18">
        <f t="shared" si="2806"/>
        <v>47</v>
      </c>
      <c r="AZ2232" s="148">
        <f>SUM(AU2232:AY2232)</f>
        <v>182</v>
      </c>
      <c r="BA2232" s="33">
        <f>AH2232+AN2232+AT2232+AZ2232</f>
        <v>808</v>
      </c>
    </row>
    <row r="2233" spans="1:54" ht="14.25" x14ac:dyDescent="0.15">
      <c r="A2233" s="23" t="s">
        <v>699</v>
      </c>
      <c r="B2233" s="41"/>
      <c r="C2233" s="42"/>
      <c r="D2233" s="42"/>
      <c r="E2233" s="42"/>
      <c r="F2233" s="42"/>
      <c r="G2233" s="43">
        <f t="shared" si="2789"/>
        <v>0</v>
      </c>
      <c r="H2233" s="41"/>
      <c r="I2233" s="42"/>
      <c r="J2233" s="42"/>
      <c r="K2233" s="42"/>
      <c r="L2233" s="42">
        <v>1</v>
      </c>
      <c r="M2233" s="43">
        <f t="shared" si="2790"/>
        <v>1</v>
      </c>
      <c r="N2233" s="42"/>
      <c r="O2233" s="53"/>
      <c r="P2233" s="53"/>
      <c r="Q2233" s="53"/>
      <c r="R2233" s="72"/>
      <c r="S2233" s="24">
        <f t="shared" si="2791"/>
        <v>0</v>
      </c>
      <c r="T2233" s="42"/>
      <c r="U2233" s="53"/>
      <c r="V2233" s="53"/>
      <c r="W2233" s="53"/>
      <c r="X2233" s="72"/>
      <c r="Y2233" s="24">
        <f t="shared" si="2792"/>
        <v>0</v>
      </c>
      <c r="Z2233" s="24">
        <f t="shared" si="2793"/>
        <v>1</v>
      </c>
      <c r="AA2233" s="93">
        <v>46126</v>
      </c>
      <c r="AB2233" s="23" t="s">
        <v>438</v>
      </c>
      <c r="AC2233" s="41">
        <v>1</v>
      </c>
      <c r="AD2233" s="42">
        <v>1</v>
      </c>
      <c r="AE2233" s="42"/>
      <c r="AF2233" s="42"/>
      <c r="AG2233" s="42"/>
      <c r="AH2233" s="43">
        <f t="shared" ref="AH2233:AH2257" si="2807">SUM(AC2233:AG2233)</f>
        <v>2</v>
      </c>
      <c r="AI2233" s="41"/>
      <c r="AJ2233" s="42"/>
      <c r="AK2233" s="42">
        <v>6</v>
      </c>
      <c r="AL2233" s="42"/>
      <c r="AM2233" s="42"/>
      <c r="AN2233" s="43">
        <f t="shared" ref="AN2233:AN2257" si="2808">SUM(AI2233:AM2233)</f>
        <v>6</v>
      </c>
      <c r="AO2233" s="42"/>
      <c r="AP2233" s="53"/>
      <c r="AQ2233" s="53">
        <v>6</v>
      </c>
      <c r="AR2233" s="53"/>
      <c r="AS2233" s="72"/>
      <c r="AT2233" s="24">
        <f t="shared" ref="AT2233:AT2257" si="2809">SUM(AO2233:AS2233)</f>
        <v>6</v>
      </c>
      <c r="AU2233" s="42"/>
      <c r="AV2233" s="53"/>
      <c r="AW2233" s="53"/>
      <c r="AX2233" s="53"/>
      <c r="AY2233" s="72"/>
      <c r="AZ2233" s="24">
        <f t="shared" ref="AZ2233:AZ2257" si="2810">SUM(AU2233:AY2233)</f>
        <v>0</v>
      </c>
      <c r="BA2233" s="24">
        <f t="shared" ref="BA2233:BA2260" si="2811">AH2233+AN2233+AT2233+AZ2233</f>
        <v>14</v>
      </c>
      <c r="BB2233" s="83">
        <v>46157</v>
      </c>
    </row>
    <row r="2234" spans="1:54" ht="14.25" x14ac:dyDescent="0.15">
      <c r="A2234" s="23" t="s">
        <v>699</v>
      </c>
      <c r="B2234" s="41"/>
      <c r="C2234" s="42"/>
      <c r="D2234" s="42">
        <v>1</v>
      </c>
      <c r="E2234" s="42"/>
      <c r="F2234" s="42"/>
      <c r="G2234" s="43">
        <f t="shared" si="2789"/>
        <v>1</v>
      </c>
      <c r="H2234" s="41"/>
      <c r="I2234" s="42"/>
      <c r="J2234" s="42"/>
      <c r="K2234" s="42"/>
      <c r="L2234" s="42">
        <v>1</v>
      </c>
      <c r="M2234" s="43">
        <f t="shared" si="2790"/>
        <v>1</v>
      </c>
      <c r="N2234" s="42"/>
      <c r="O2234" s="53"/>
      <c r="P2234" s="53"/>
      <c r="Q2234" s="53"/>
      <c r="R2234" s="72"/>
      <c r="S2234" s="24">
        <f t="shared" si="2791"/>
        <v>0</v>
      </c>
      <c r="T2234" s="42"/>
      <c r="U2234" s="53"/>
      <c r="V2234" s="53"/>
      <c r="W2234" s="53"/>
      <c r="X2234" s="72"/>
      <c r="Y2234" s="24">
        <f t="shared" si="2792"/>
        <v>0</v>
      </c>
      <c r="Z2234" s="24">
        <f t="shared" si="2793"/>
        <v>2</v>
      </c>
      <c r="AA2234" s="93">
        <v>46128</v>
      </c>
      <c r="AB2234" s="224" t="s">
        <v>723</v>
      </c>
      <c r="AC2234" s="12"/>
      <c r="AD2234" s="13">
        <v>2</v>
      </c>
      <c r="AE2234" s="13"/>
      <c r="AF2234" s="13"/>
      <c r="AG2234" s="13"/>
      <c r="AH2234" s="22">
        <f t="shared" si="2807"/>
        <v>2</v>
      </c>
      <c r="AI2234" s="12"/>
      <c r="AJ2234" s="13">
        <v>2</v>
      </c>
      <c r="AK2234" s="13">
        <v>2</v>
      </c>
      <c r="AL2234" s="13"/>
      <c r="AM2234" s="13"/>
      <c r="AN2234" s="22">
        <f t="shared" si="2808"/>
        <v>4</v>
      </c>
      <c r="AO2234" s="13"/>
      <c r="AP2234" s="54"/>
      <c r="AQ2234" s="54">
        <v>2</v>
      </c>
      <c r="AR2234" s="54"/>
      <c r="AS2234" s="68">
        <v>2</v>
      </c>
      <c r="AT2234" s="225">
        <f t="shared" si="2809"/>
        <v>4</v>
      </c>
      <c r="AU2234" s="13"/>
      <c r="AV2234" s="54"/>
      <c r="AW2234" s="54"/>
      <c r="AX2234" s="54"/>
      <c r="AY2234" s="68">
        <v>3</v>
      </c>
      <c r="AZ2234" s="225">
        <f t="shared" si="2810"/>
        <v>3</v>
      </c>
      <c r="BA2234" s="225">
        <f t="shared" si="2811"/>
        <v>13</v>
      </c>
      <c r="BB2234" s="93">
        <v>46156</v>
      </c>
    </row>
    <row r="2235" spans="1:54" ht="14.25" x14ac:dyDescent="0.15">
      <c r="A2235" s="23" t="s">
        <v>699</v>
      </c>
      <c r="B2235" s="41"/>
      <c r="C2235" s="42"/>
      <c r="D2235" s="42"/>
      <c r="E2235" s="42"/>
      <c r="F2235" s="42"/>
      <c r="G2235" s="43">
        <f t="shared" si="2789"/>
        <v>0</v>
      </c>
      <c r="H2235" s="41"/>
      <c r="I2235" s="42"/>
      <c r="J2235" s="42"/>
      <c r="K2235" s="42"/>
      <c r="L2235" s="42">
        <v>1</v>
      </c>
      <c r="M2235" s="43">
        <f t="shared" si="2790"/>
        <v>1</v>
      </c>
      <c r="N2235" s="42"/>
      <c r="O2235" s="53"/>
      <c r="P2235" s="53"/>
      <c r="Q2235" s="53"/>
      <c r="R2235" s="72"/>
      <c r="S2235" s="24">
        <f t="shared" si="2791"/>
        <v>0</v>
      </c>
      <c r="T2235" s="42"/>
      <c r="U2235" s="53"/>
      <c r="V2235" s="53"/>
      <c r="W2235" s="53"/>
      <c r="X2235" s="72"/>
      <c r="Y2235" s="24">
        <f t="shared" si="2792"/>
        <v>0</v>
      </c>
      <c r="Z2235" s="24">
        <f t="shared" si="2793"/>
        <v>1</v>
      </c>
      <c r="AA2235" s="93">
        <v>46129</v>
      </c>
      <c r="AB2235" s="23" t="s">
        <v>723</v>
      </c>
      <c r="AC2235" s="41"/>
      <c r="AD2235" s="42">
        <v>2</v>
      </c>
      <c r="AE2235" s="42"/>
      <c r="AF2235" s="42"/>
      <c r="AG2235" s="42"/>
      <c r="AH2235" s="43">
        <f t="shared" si="2807"/>
        <v>2</v>
      </c>
      <c r="AI2235" s="41">
        <v>5</v>
      </c>
      <c r="AJ2235" s="42">
        <v>5</v>
      </c>
      <c r="AK2235" s="42">
        <v>5</v>
      </c>
      <c r="AL2235" s="42"/>
      <c r="AM2235" s="42"/>
      <c r="AN2235" s="43">
        <f t="shared" si="2808"/>
        <v>15</v>
      </c>
      <c r="AO2235" s="42"/>
      <c r="AP2235" s="53">
        <v>5</v>
      </c>
      <c r="AQ2235" s="53">
        <v>5</v>
      </c>
      <c r="AR2235" s="53"/>
      <c r="AS2235" s="72"/>
      <c r="AT2235" s="24">
        <f t="shared" si="2809"/>
        <v>10</v>
      </c>
      <c r="AU2235" s="42">
        <v>5</v>
      </c>
      <c r="AV2235" s="53">
        <v>5</v>
      </c>
      <c r="AW2235" s="53"/>
      <c r="AX2235" s="53"/>
      <c r="AY2235" s="72"/>
      <c r="AZ2235" s="24">
        <f t="shared" si="2810"/>
        <v>10</v>
      </c>
      <c r="BA2235" s="24">
        <f t="shared" si="2811"/>
        <v>37</v>
      </c>
      <c r="BB2235" s="83">
        <v>46158</v>
      </c>
    </row>
    <row r="2236" spans="1:54" ht="14.25" x14ac:dyDescent="0.15">
      <c r="A2236" s="23" t="s">
        <v>699</v>
      </c>
      <c r="B2236" s="41"/>
      <c r="C2236" s="42"/>
      <c r="D2236" s="42"/>
      <c r="E2236" s="42"/>
      <c r="F2236" s="42"/>
      <c r="G2236" s="43">
        <f t="shared" si="2789"/>
        <v>0</v>
      </c>
      <c r="H2236" s="41"/>
      <c r="I2236" s="42"/>
      <c r="J2236" s="42"/>
      <c r="K2236" s="42"/>
      <c r="L2236" s="42">
        <v>1</v>
      </c>
      <c r="M2236" s="43">
        <f t="shared" si="2790"/>
        <v>1</v>
      </c>
      <c r="N2236" s="42"/>
      <c r="O2236" s="53"/>
      <c r="P2236" s="53"/>
      <c r="Q2236" s="53">
        <v>1</v>
      </c>
      <c r="R2236" s="72"/>
      <c r="S2236" s="24">
        <f t="shared" si="2791"/>
        <v>1</v>
      </c>
      <c r="T2236" s="42"/>
      <c r="U2236" s="53"/>
      <c r="V2236" s="53"/>
      <c r="W2236" s="53"/>
      <c r="X2236" s="72"/>
      <c r="Y2236" s="24">
        <f t="shared" si="2792"/>
        <v>0</v>
      </c>
      <c r="Z2236" s="24">
        <f t="shared" si="2793"/>
        <v>2</v>
      </c>
      <c r="AA2236" s="93">
        <v>46132</v>
      </c>
      <c r="AB2236" s="224" t="s">
        <v>723</v>
      </c>
      <c r="AC2236" s="12"/>
      <c r="AD2236" s="13"/>
      <c r="AE2236" s="13"/>
      <c r="AF2236" s="13"/>
      <c r="AG2236" s="13"/>
      <c r="AH2236" s="22">
        <f t="shared" si="2807"/>
        <v>0</v>
      </c>
      <c r="AI2236" s="12"/>
      <c r="AJ2236" s="13"/>
      <c r="AK2236" s="13"/>
      <c r="AL2236" s="13"/>
      <c r="AM2236" s="13">
        <v>3</v>
      </c>
      <c r="AN2236" s="22">
        <f t="shared" si="2808"/>
        <v>3</v>
      </c>
      <c r="AO2236" s="13"/>
      <c r="AP2236" s="54"/>
      <c r="AQ2236" s="54"/>
      <c r="AR2236" s="54"/>
      <c r="AS2236" s="68"/>
      <c r="AT2236" s="225">
        <f t="shared" si="2809"/>
        <v>0</v>
      </c>
      <c r="AU2236" s="13"/>
      <c r="AV2236" s="54"/>
      <c r="AW2236" s="54"/>
      <c r="AX2236" s="54"/>
      <c r="AY2236" s="68"/>
      <c r="AZ2236" s="225">
        <f t="shared" si="2810"/>
        <v>0</v>
      </c>
      <c r="BA2236" s="225">
        <f t="shared" si="2811"/>
        <v>3</v>
      </c>
      <c r="BB2236" s="93">
        <v>46161</v>
      </c>
    </row>
    <row r="2237" spans="1:54" ht="14.25" x14ac:dyDescent="0.15">
      <c r="A2237" s="23" t="s">
        <v>699</v>
      </c>
      <c r="B2237" s="41"/>
      <c r="C2237" s="42"/>
      <c r="D2237" s="42"/>
      <c r="E2237" s="42"/>
      <c r="F2237" s="42"/>
      <c r="G2237" s="43">
        <f t="shared" si="2789"/>
        <v>0</v>
      </c>
      <c r="H2237" s="41"/>
      <c r="I2237" s="42">
        <v>1</v>
      </c>
      <c r="J2237" s="42">
        <v>1</v>
      </c>
      <c r="K2237" s="42"/>
      <c r="L2237" s="42">
        <v>1</v>
      </c>
      <c r="M2237" s="43">
        <f t="shared" si="2790"/>
        <v>3</v>
      </c>
      <c r="N2237" s="42">
        <v>1</v>
      </c>
      <c r="O2237" s="53"/>
      <c r="P2237" s="53"/>
      <c r="Q2237" s="53">
        <v>1</v>
      </c>
      <c r="R2237" s="72"/>
      <c r="S2237" s="24">
        <f t="shared" si="2791"/>
        <v>2</v>
      </c>
      <c r="T2237" s="42">
        <v>1</v>
      </c>
      <c r="U2237" s="53"/>
      <c r="V2237" s="53"/>
      <c r="W2237" s="53"/>
      <c r="X2237" s="72"/>
      <c r="Y2237" s="24">
        <f t="shared" si="2792"/>
        <v>1</v>
      </c>
      <c r="Z2237" s="24">
        <f t="shared" si="2793"/>
        <v>6</v>
      </c>
      <c r="AA2237" s="93">
        <v>46139</v>
      </c>
      <c r="AB2237" s="224"/>
      <c r="AC2237" s="12"/>
      <c r="AD2237" s="13"/>
      <c r="AE2237" s="13"/>
      <c r="AF2237" s="13"/>
      <c r="AG2237" s="13"/>
      <c r="AH2237" s="22">
        <f t="shared" si="2807"/>
        <v>0</v>
      </c>
      <c r="AI2237" s="12"/>
      <c r="AJ2237" s="13"/>
      <c r="AK2237" s="13"/>
      <c r="AL2237" s="13"/>
      <c r="AM2237" s="13"/>
      <c r="AN2237" s="22">
        <f t="shared" si="2808"/>
        <v>0</v>
      </c>
      <c r="AO2237" s="13"/>
      <c r="AP2237" s="54"/>
      <c r="AQ2237" s="54"/>
      <c r="AR2237" s="54"/>
      <c r="AS2237" s="68"/>
      <c r="AT2237" s="225">
        <f t="shared" si="2809"/>
        <v>0</v>
      </c>
      <c r="AU2237" s="13"/>
      <c r="AV2237" s="54"/>
      <c r="AW2237" s="54"/>
      <c r="AX2237" s="54"/>
      <c r="AY2237" s="68"/>
      <c r="AZ2237" s="225">
        <f t="shared" si="2810"/>
        <v>0</v>
      </c>
      <c r="BA2237" s="225">
        <f t="shared" si="2811"/>
        <v>0</v>
      </c>
    </row>
    <row r="2238" spans="1:54" ht="14.25" x14ac:dyDescent="0.15">
      <c r="A2238" s="23" t="s">
        <v>699</v>
      </c>
      <c r="B2238" s="41"/>
      <c r="C2238" s="42"/>
      <c r="D2238" s="42"/>
      <c r="E2238" s="42"/>
      <c r="F2238" s="42"/>
      <c r="G2238" s="43">
        <f t="shared" si="2789"/>
        <v>0</v>
      </c>
      <c r="H2238" s="41"/>
      <c r="I2238" s="42"/>
      <c r="J2238" s="42">
        <v>1</v>
      </c>
      <c r="K2238" s="42"/>
      <c r="L2238" s="42"/>
      <c r="M2238" s="43">
        <f t="shared" si="2790"/>
        <v>1</v>
      </c>
      <c r="N2238" s="42"/>
      <c r="O2238" s="53"/>
      <c r="P2238" s="53"/>
      <c r="Q2238" s="53"/>
      <c r="R2238" s="72">
        <v>1</v>
      </c>
      <c r="S2238" s="24">
        <f t="shared" si="2791"/>
        <v>1</v>
      </c>
      <c r="T2238" s="42"/>
      <c r="U2238" s="53"/>
      <c r="V2238" s="53"/>
      <c r="W2238" s="53"/>
      <c r="X2238" s="72"/>
      <c r="Y2238" s="24">
        <f t="shared" si="2792"/>
        <v>0</v>
      </c>
      <c r="Z2238" s="24">
        <f t="shared" si="2793"/>
        <v>2</v>
      </c>
      <c r="AA2238" s="93">
        <v>46140</v>
      </c>
      <c r="AB2238" s="23"/>
      <c r="AC2238" s="41"/>
      <c r="AD2238" s="42"/>
      <c r="AE2238" s="42"/>
      <c r="AF2238" s="42"/>
      <c r="AG2238" s="42"/>
      <c r="AH2238" s="43">
        <f t="shared" si="2807"/>
        <v>0</v>
      </c>
      <c r="AI2238" s="41"/>
      <c r="AJ2238" s="42"/>
      <c r="AK2238" s="42"/>
      <c r="AL2238" s="42"/>
      <c r="AM2238" s="42"/>
      <c r="AN2238" s="43">
        <f t="shared" si="2808"/>
        <v>0</v>
      </c>
      <c r="AO2238" s="42"/>
      <c r="AP2238" s="53"/>
      <c r="AQ2238" s="53"/>
      <c r="AR2238" s="53"/>
      <c r="AS2238" s="72"/>
      <c r="AT2238" s="24">
        <f t="shared" si="2809"/>
        <v>0</v>
      </c>
      <c r="AU2238" s="42"/>
      <c r="AV2238" s="53"/>
      <c r="AW2238" s="53"/>
      <c r="AX2238" s="53"/>
      <c r="AY2238" s="72"/>
      <c r="AZ2238" s="24">
        <f t="shared" si="2810"/>
        <v>0</v>
      </c>
      <c r="BA2238" s="24">
        <f t="shared" si="2811"/>
        <v>0</v>
      </c>
    </row>
    <row r="2239" spans="1:54" ht="14.25" x14ac:dyDescent="0.15">
      <c r="A2239" s="23" t="s">
        <v>699</v>
      </c>
      <c r="B2239" s="41"/>
      <c r="C2239" s="42"/>
      <c r="D2239" s="42"/>
      <c r="E2239" s="42"/>
      <c r="F2239" s="42"/>
      <c r="G2239" s="43">
        <f t="shared" si="2789"/>
        <v>0</v>
      </c>
      <c r="H2239" s="41"/>
      <c r="I2239" s="42"/>
      <c r="J2239" s="42">
        <v>1</v>
      </c>
      <c r="K2239" s="42"/>
      <c r="L2239" s="42"/>
      <c r="M2239" s="43">
        <f t="shared" si="2790"/>
        <v>1</v>
      </c>
      <c r="N2239" s="42"/>
      <c r="O2239" s="53"/>
      <c r="P2239" s="53"/>
      <c r="Q2239" s="53"/>
      <c r="R2239" s="72"/>
      <c r="S2239" s="24">
        <f t="shared" si="2791"/>
        <v>0</v>
      </c>
      <c r="T2239" s="42"/>
      <c r="U2239" s="53"/>
      <c r="V2239" s="53"/>
      <c r="W2239" s="53"/>
      <c r="X2239" s="72">
        <v>1</v>
      </c>
      <c r="Y2239" s="24">
        <f t="shared" si="2792"/>
        <v>1</v>
      </c>
      <c r="Z2239" s="24">
        <f t="shared" si="2793"/>
        <v>2</v>
      </c>
      <c r="AA2239" s="93">
        <v>46142</v>
      </c>
      <c r="AB2239" s="23"/>
      <c r="AC2239" s="41"/>
      <c r="AD2239" s="42"/>
      <c r="AE2239" s="42"/>
      <c r="AF2239" s="42"/>
      <c r="AG2239" s="42"/>
      <c r="AH2239" s="43">
        <f t="shared" si="2807"/>
        <v>0</v>
      </c>
      <c r="AI2239" s="41"/>
      <c r="AJ2239" s="42"/>
      <c r="AK2239" s="42"/>
      <c r="AL2239" s="42"/>
      <c r="AM2239" s="42"/>
      <c r="AN2239" s="43">
        <f t="shared" si="2808"/>
        <v>0</v>
      </c>
      <c r="AO2239" s="42"/>
      <c r="AP2239" s="53"/>
      <c r="AQ2239" s="53"/>
      <c r="AR2239" s="53"/>
      <c r="AS2239" s="72"/>
      <c r="AT2239" s="24">
        <f t="shared" si="2809"/>
        <v>0</v>
      </c>
      <c r="AU2239" s="42"/>
      <c r="AV2239" s="53"/>
      <c r="AW2239" s="53"/>
      <c r="AX2239" s="53"/>
      <c r="AY2239" s="72"/>
      <c r="AZ2239" s="24">
        <f t="shared" si="2810"/>
        <v>0</v>
      </c>
      <c r="BA2239" s="24">
        <f t="shared" si="2811"/>
        <v>0</v>
      </c>
    </row>
    <row r="2240" spans="1:54" ht="14.25" x14ac:dyDescent="0.15">
      <c r="A2240" s="23" t="s">
        <v>699</v>
      </c>
      <c r="B2240" s="41"/>
      <c r="C2240" s="42"/>
      <c r="D2240" s="42"/>
      <c r="E2240" s="42"/>
      <c r="F2240" s="42"/>
      <c r="G2240" s="43">
        <f t="shared" si="2789"/>
        <v>0</v>
      </c>
      <c r="H2240" s="41"/>
      <c r="I2240" s="42">
        <v>1</v>
      </c>
      <c r="J2240" s="42">
        <v>2</v>
      </c>
      <c r="K2240" s="42"/>
      <c r="L2240" s="42">
        <v>2</v>
      </c>
      <c r="M2240" s="43">
        <f t="shared" si="2790"/>
        <v>5</v>
      </c>
      <c r="N2240" s="42"/>
      <c r="O2240" s="53"/>
      <c r="P2240" s="53">
        <v>1</v>
      </c>
      <c r="Q2240" s="53"/>
      <c r="R2240" s="72"/>
      <c r="S2240" s="24">
        <f t="shared" si="2791"/>
        <v>1</v>
      </c>
      <c r="T2240" s="42"/>
      <c r="U2240" s="53"/>
      <c r="V2240" s="53"/>
      <c r="W2240" s="53"/>
      <c r="X2240" s="72"/>
      <c r="Y2240" s="24">
        <f t="shared" si="2792"/>
        <v>0</v>
      </c>
      <c r="Z2240" s="24">
        <f t="shared" si="2793"/>
        <v>6</v>
      </c>
      <c r="AA2240" s="93">
        <v>46149</v>
      </c>
      <c r="AB2240" s="23"/>
      <c r="AC2240" s="41"/>
      <c r="AD2240" s="42"/>
      <c r="AE2240" s="42"/>
      <c r="AF2240" s="42"/>
      <c r="AG2240" s="42"/>
      <c r="AH2240" s="43">
        <f t="shared" si="2807"/>
        <v>0</v>
      </c>
      <c r="AI2240" s="41"/>
      <c r="AJ2240" s="42"/>
      <c r="AK2240" s="42"/>
      <c r="AL2240" s="42"/>
      <c r="AM2240" s="42"/>
      <c r="AN2240" s="43">
        <f t="shared" si="2808"/>
        <v>0</v>
      </c>
      <c r="AO2240" s="42"/>
      <c r="AP2240" s="53"/>
      <c r="AQ2240" s="53"/>
      <c r="AR2240" s="53"/>
      <c r="AS2240" s="72"/>
      <c r="AT2240" s="24">
        <f t="shared" si="2809"/>
        <v>0</v>
      </c>
      <c r="AU2240" s="42"/>
      <c r="AV2240" s="53"/>
      <c r="AW2240" s="53"/>
      <c r="AX2240" s="53"/>
      <c r="AY2240" s="72"/>
      <c r="AZ2240" s="24">
        <f t="shared" si="2810"/>
        <v>0</v>
      </c>
      <c r="BA2240" s="24">
        <f t="shared" si="2811"/>
        <v>0</v>
      </c>
    </row>
    <row r="2241" spans="1:53" ht="14.25" x14ac:dyDescent="0.15">
      <c r="A2241" s="23" t="s">
        <v>699</v>
      </c>
      <c r="B2241" s="41"/>
      <c r="C2241" s="42"/>
      <c r="D2241" s="42"/>
      <c r="E2241" s="42"/>
      <c r="F2241" s="42"/>
      <c r="G2241" s="43">
        <f t="shared" si="2789"/>
        <v>0</v>
      </c>
      <c r="H2241" s="41"/>
      <c r="I2241" s="42"/>
      <c r="J2241" s="42"/>
      <c r="K2241" s="42"/>
      <c r="L2241" s="42">
        <v>1</v>
      </c>
      <c r="M2241" s="43">
        <f t="shared" si="2790"/>
        <v>1</v>
      </c>
      <c r="N2241" s="42"/>
      <c r="O2241" s="53"/>
      <c r="P2241" s="53">
        <v>1</v>
      </c>
      <c r="Q2241" s="53"/>
      <c r="R2241" s="72">
        <v>1</v>
      </c>
      <c r="S2241" s="24">
        <f t="shared" si="2791"/>
        <v>2</v>
      </c>
      <c r="T2241" s="42"/>
      <c r="U2241" s="53"/>
      <c r="V2241" s="53"/>
      <c r="W2241" s="53"/>
      <c r="X2241" s="72"/>
      <c r="Y2241" s="24">
        <f t="shared" si="2792"/>
        <v>0</v>
      </c>
      <c r="Z2241" s="24">
        <f t="shared" si="2793"/>
        <v>3</v>
      </c>
      <c r="AA2241" s="93">
        <v>46153</v>
      </c>
      <c r="AB2241" s="23"/>
      <c r="AC2241" s="41"/>
      <c r="AD2241" s="42"/>
      <c r="AE2241" s="42"/>
      <c r="AF2241" s="42"/>
      <c r="AG2241" s="42"/>
      <c r="AH2241" s="43">
        <f t="shared" si="2807"/>
        <v>0</v>
      </c>
      <c r="AI2241" s="41"/>
      <c r="AJ2241" s="42"/>
      <c r="AK2241" s="42"/>
      <c r="AL2241" s="42"/>
      <c r="AM2241" s="42"/>
      <c r="AN2241" s="43">
        <f t="shared" si="2808"/>
        <v>0</v>
      </c>
      <c r="AO2241" s="42"/>
      <c r="AP2241" s="53"/>
      <c r="AQ2241" s="53"/>
      <c r="AR2241" s="53"/>
      <c r="AS2241" s="72"/>
      <c r="AT2241" s="24">
        <f t="shared" si="2809"/>
        <v>0</v>
      </c>
      <c r="AU2241" s="42"/>
      <c r="AV2241" s="53"/>
      <c r="AW2241" s="53"/>
      <c r="AX2241" s="53"/>
      <c r="AY2241" s="72"/>
      <c r="AZ2241" s="24">
        <f t="shared" si="2810"/>
        <v>0</v>
      </c>
      <c r="BA2241" s="24">
        <f t="shared" si="2811"/>
        <v>0</v>
      </c>
    </row>
    <row r="2242" spans="1:53" ht="14.25" x14ac:dyDescent="0.15">
      <c r="A2242" s="23" t="s">
        <v>725</v>
      </c>
      <c r="B2242" s="41"/>
      <c r="C2242" s="42">
        <v>1</v>
      </c>
      <c r="D2242" s="42"/>
      <c r="E2242" s="42"/>
      <c r="F2242" s="42"/>
      <c r="G2242" s="43">
        <f t="shared" si="2789"/>
        <v>1</v>
      </c>
      <c r="H2242" s="41"/>
      <c r="I2242" s="42"/>
      <c r="J2242" s="42"/>
      <c r="K2242" s="42"/>
      <c r="L2242" s="42"/>
      <c r="M2242" s="43">
        <f t="shared" si="2790"/>
        <v>0</v>
      </c>
      <c r="N2242" s="42"/>
      <c r="O2242" s="53"/>
      <c r="P2242" s="53"/>
      <c r="Q2242" s="53"/>
      <c r="R2242" s="72"/>
      <c r="S2242" s="24">
        <f t="shared" si="2791"/>
        <v>0</v>
      </c>
      <c r="T2242" s="42"/>
      <c r="U2242" s="53"/>
      <c r="V2242" s="53"/>
      <c r="W2242" s="53"/>
      <c r="X2242" s="72"/>
      <c r="Y2242" s="24">
        <f t="shared" si="2792"/>
        <v>0</v>
      </c>
      <c r="Z2242" s="24">
        <f t="shared" si="2793"/>
        <v>1</v>
      </c>
      <c r="AA2242" s="83">
        <v>46156</v>
      </c>
      <c r="AB2242" s="23"/>
      <c r="AC2242" s="41"/>
      <c r="AD2242" s="42"/>
      <c r="AE2242" s="42"/>
      <c r="AF2242" s="42"/>
      <c r="AG2242" s="42"/>
      <c r="AH2242" s="43">
        <f t="shared" si="2807"/>
        <v>0</v>
      </c>
      <c r="AI2242" s="41"/>
      <c r="AJ2242" s="42"/>
      <c r="AK2242" s="42"/>
      <c r="AL2242" s="42"/>
      <c r="AM2242" s="42"/>
      <c r="AN2242" s="43">
        <f t="shared" si="2808"/>
        <v>0</v>
      </c>
      <c r="AO2242" s="42"/>
      <c r="AP2242" s="53"/>
      <c r="AQ2242" s="53"/>
      <c r="AR2242" s="53"/>
      <c r="AS2242" s="72"/>
      <c r="AT2242" s="24">
        <f t="shared" si="2809"/>
        <v>0</v>
      </c>
      <c r="AU2242" s="42"/>
      <c r="AV2242" s="53"/>
      <c r="AW2242" s="53"/>
      <c r="AX2242" s="53"/>
      <c r="AY2242" s="72"/>
      <c r="AZ2242" s="24">
        <f t="shared" si="2810"/>
        <v>0</v>
      </c>
      <c r="BA2242" s="24">
        <f t="shared" si="2811"/>
        <v>0</v>
      </c>
    </row>
    <row r="2243" spans="1:53" ht="14.25" x14ac:dyDescent="0.15">
      <c r="A2243" s="23" t="s">
        <v>699</v>
      </c>
      <c r="B2243" s="41"/>
      <c r="C2243" s="42"/>
      <c r="D2243" s="42"/>
      <c r="E2243" s="42"/>
      <c r="F2243" s="42"/>
      <c r="G2243" s="43">
        <f t="shared" si="2789"/>
        <v>0</v>
      </c>
      <c r="H2243" s="41"/>
      <c r="I2243" s="42"/>
      <c r="J2243" s="42"/>
      <c r="K2243" s="42"/>
      <c r="L2243" s="42"/>
      <c r="M2243" s="43">
        <f t="shared" si="2790"/>
        <v>0</v>
      </c>
      <c r="N2243" s="42"/>
      <c r="O2243" s="53"/>
      <c r="P2243" s="53"/>
      <c r="Q2243" s="53"/>
      <c r="R2243" s="72"/>
      <c r="S2243" s="24">
        <f t="shared" si="2791"/>
        <v>0</v>
      </c>
      <c r="T2243" s="42"/>
      <c r="U2243" s="53"/>
      <c r="V2243" s="53"/>
      <c r="W2243" s="53"/>
      <c r="X2243" s="72">
        <v>1</v>
      </c>
      <c r="Y2243" s="24">
        <f t="shared" si="2792"/>
        <v>1</v>
      </c>
      <c r="Z2243" s="24">
        <f t="shared" si="2793"/>
        <v>1</v>
      </c>
      <c r="AA2243" s="83">
        <v>46155</v>
      </c>
      <c r="AB2243" s="23"/>
      <c r="AC2243" s="41"/>
      <c r="AD2243" s="42"/>
      <c r="AE2243" s="42"/>
      <c r="AF2243" s="42"/>
      <c r="AG2243" s="42"/>
      <c r="AH2243" s="43">
        <f t="shared" si="2807"/>
        <v>0</v>
      </c>
      <c r="AI2243" s="41"/>
      <c r="AJ2243" s="42"/>
      <c r="AK2243" s="42"/>
      <c r="AL2243" s="42"/>
      <c r="AM2243" s="42"/>
      <c r="AN2243" s="43">
        <f t="shared" si="2808"/>
        <v>0</v>
      </c>
      <c r="AO2243" s="42"/>
      <c r="AP2243" s="53"/>
      <c r="AQ2243" s="53"/>
      <c r="AR2243" s="53"/>
      <c r="AS2243" s="72"/>
      <c r="AT2243" s="24">
        <f t="shared" si="2809"/>
        <v>0</v>
      </c>
      <c r="AU2243" s="42"/>
      <c r="AV2243" s="53"/>
      <c r="AW2243" s="53"/>
      <c r="AX2243" s="53"/>
      <c r="AY2243" s="72"/>
      <c r="AZ2243" s="24">
        <f t="shared" si="2810"/>
        <v>0</v>
      </c>
      <c r="BA2243" s="24">
        <f t="shared" si="2811"/>
        <v>0</v>
      </c>
    </row>
    <row r="2244" spans="1:53" ht="14.25" x14ac:dyDescent="0.15">
      <c r="A2244" s="23" t="s">
        <v>438</v>
      </c>
      <c r="B2244" s="41"/>
      <c r="C2244" s="42"/>
      <c r="D2244" s="42"/>
      <c r="E2244" s="42"/>
      <c r="F2244" s="42"/>
      <c r="G2244" s="43">
        <f t="shared" si="2789"/>
        <v>0</v>
      </c>
      <c r="H2244" s="41"/>
      <c r="I2244" s="42"/>
      <c r="J2244" s="42">
        <v>1</v>
      </c>
      <c r="K2244" s="42"/>
      <c r="L2244" s="42"/>
      <c r="M2244" s="43">
        <f t="shared" si="2790"/>
        <v>1</v>
      </c>
      <c r="N2244" s="42"/>
      <c r="O2244" s="53">
        <v>3</v>
      </c>
      <c r="P2244" s="53"/>
      <c r="Q2244" s="53"/>
      <c r="R2244" s="72"/>
      <c r="S2244" s="24">
        <f t="shared" si="2791"/>
        <v>3</v>
      </c>
      <c r="T2244" s="42"/>
      <c r="U2244" s="53">
        <v>3</v>
      </c>
      <c r="V2244" s="53"/>
      <c r="W2244" s="53"/>
      <c r="X2244" s="72"/>
      <c r="Y2244" s="24">
        <f t="shared" si="2792"/>
        <v>3</v>
      </c>
      <c r="Z2244" s="24">
        <f t="shared" si="2793"/>
        <v>7</v>
      </c>
      <c r="AA2244" s="83">
        <v>46158</v>
      </c>
      <c r="AB2244" s="23"/>
      <c r="AC2244" s="41"/>
      <c r="AD2244" s="42"/>
      <c r="AE2244" s="42"/>
      <c r="AF2244" s="42"/>
      <c r="AG2244" s="42"/>
      <c r="AH2244" s="43">
        <f t="shared" si="2807"/>
        <v>0</v>
      </c>
      <c r="AI2244" s="41"/>
      <c r="AJ2244" s="42"/>
      <c r="AK2244" s="42"/>
      <c r="AL2244" s="42"/>
      <c r="AM2244" s="42"/>
      <c r="AN2244" s="43">
        <f t="shared" si="2808"/>
        <v>0</v>
      </c>
      <c r="AO2244" s="42"/>
      <c r="AP2244" s="53"/>
      <c r="AQ2244" s="53"/>
      <c r="AR2244" s="53"/>
      <c r="AS2244" s="72"/>
      <c r="AT2244" s="24">
        <f t="shared" si="2809"/>
        <v>0</v>
      </c>
      <c r="AU2244" s="42"/>
      <c r="AV2244" s="53"/>
      <c r="AW2244" s="53"/>
      <c r="AX2244" s="53"/>
      <c r="AY2244" s="72"/>
      <c r="AZ2244" s="24">
        <f t="shared" si="2810"/>
        <v>0</v>
      </c>
      <c r="BA2244" s="24">
        <f t="shared" si="2811"/>
        <v>0</v>
      </c>
    </row>
    <row r="2245" spans="1:53" ht="14.25" x14ac:dyDescent="0.15">
      <c r="A2245" s="23" t="s">
        <v>438</v>
      </c>
      <c r="B2245" s="41"/>
      <c r="C2245" s="42"/>
      <c r="D2245" s="42"/>
      <c r="E2245" s="42"/>
      <c r="F2245" s="42"/>
      <c r="G2245" s="43">
        <f t="shared" si="2789"/>
        <v>0</v>
      </c>
      <c r="H2245" s="41"/>
      <c r="I2245" s="42"/>
      <c r="J2245" s="42">
        <v>1</v>
      </c>
      <c r="K2245" s="42"/>
      <c r="L2245" s="42"/>
      <c r="M2245" s="43">
        <f t="shared" si="2790"/>
        <v>1</v>
      </c>
      <c r="N2245" s="42"/>
      <c r="O2245" s="53"/>
      <c r="P2245" s="53">
        <v>1</v>
      </c>
      <c r="Q2245" s="53"/>
      <c r="R2245" s="72"/>
      <c r="S2245" s="24">
        <f t="shared" si="2791"/>
        <v>1</v>
      </c>
      <c r="T2245" s="42"/>
      <c r="U2245" s="53"/>
      <c r="V2245" s="53">
        <v>3</v>
      </c>
      <c r="W2245" s="53"/>
      <c r="X2245" s="72"/>
      <c r="Y2245" s="24">
        <f t="shared" si="2792"/>
        <v>3</v>
      </c>
      <c r="Z2245" s="24">
        <f t="shared" si="2793"/>
        <v>5</v>
      </c>
      <c r="AA2245" s="83">
        <v>46160</v>
      </c>
      <c r="AB2245" s="23"/>
      <c r="AC2245" s="41"/>
      <c r="AD2245" s="42"/>
      <c r="AE2245" s="42"/>
      <c r="AF2245" s="42"/>
      <c r="AG2245" s="42"/>
      <c r="AH2245" s="43">
        <f t="shared" si="2807"/>
        <v>0</v>
      </c>
      <c r="AI2245" s="41"/>
      <c r="AJ2245" s="42"/>
      <c r="AK2245" s="42"/>
      <c r="AL2245" s="42"/>
      <c r="AM2245" s="42"/>
      <c r="AN2245" s="43">
        <f t="shared" si="2808"/>
        <v>0</v>
      </c>
      <c r="AO2245" s="42"/>
      <c r="AP2245" s="53"/>
      <c r="AQ2245" s="53"/>
      <c r="AR2245" s="53"/>
      <c r="AS2245" s="72"/>
      <c r="AT2245" s="24">
        <f t="shared" si="2809"/>
        <v>0</v>
      </c>
      <c r="AU2245" s="42"/>
      <c r="AV2245" s="53"/>
      <c r="AW2245" s="53"/>
      <c r="AX2245" s="53"/>
      <c r="AY2245" s="72"/>
      <c r="AZ2245" s="24">
        <f t="shared" si="2810"/>
        <v>0</v>
      </c>
      <c r="BA2245" s="24">
        <f t="shared" si="2811"/>
        <v>0</v>
      </c>
    </row>
    <row r="2246" spans="1:53" ht="14.25" x14ac:dyDescent="0.15">
      <c r="A2246" s="23" t="s">
        <v>726</v>
      </c>
      <c r="B2246" s="41"/>
      <c r="C2246" s="42">
        <v>-2</v>
      </c>
      <c r="D2246" s="42"/>
      <c r="E2246" s="42"/>
      <c r="F2246" s="42"/>
      <c r="G2246" s="43">
        <f t="shared" si="2789"/>
        <v>-2</v>
      </c>
      <c r="H2246" s="41">
        <v>-5</v>
      </c>
      <c r="I2246" s="42">
        <v>-5</v>
      </c>
      <c r="J2246" s="42">
        <v>-5</v>
      </c>
      <c r="K2246" s="42"/>
      <c r="L2246" s="42"/>
      <c r="M2246" s="43">
        <f t="shared" si="2790"/>
        <v>-15</v>
      </c>
      <c r="N2246" s="42"/>
      <c r="O2246" s="53">
        <v>-5</v>
      </c>
      <c r="P2246" s="53">
        <v>-5</v>
      </c>
      <c r="Q2246" s="53"/>
      <c r="R2246" s="72"/>
      <c r="S2246" s="24">
        <f t="shared" si="2791"/>
        <v>-10</v>
      </c>
      <c r="T2246" s="42">
        <v>-5</v>
      </c>
      <c r="U2246" s="53">
        <v>-5</v>
      </c>
      <c r="V2246" s="53"/>
      <c r="W2246" s="53"/>
      <c r="X2246" s="72"/>
      <c r="Y2246" s="24">
        <f t="shared" si="2792"/>
        <v>-10</v>
      </c>
      <c r="Z2246" s="24">
        <f t="shared" si="2793"/>
        <v>-37</v>
      </c>
      <c r="AA2246" s="83">
        <v>46158</v>
      </c>
      <c r="AB2246" s="23"/>
      <c r="AC2246" s="41"/>
      <c r="AD2246" s="42"/>
      <c r="AE2246" s="42"/>
      <c r="AF2246" s="42"/>
      <c r="AG2246" s="42"/>
      <c r="AH2246" s="43">
        <f t="shared" si="2807"/>
        <v>0</v>
      </c>
      <c r="AI2246" s="41"/>
      <c r="AJ2246" s="42"/>
      <c r="AK2246" s="42"/>
      <c r="AL2246" s="42"/>
      <c r="AM2246" s="42"/>
      <c r="AN2246" s="43">
        <f t="shared" si="2808"/>
        <v>0</v>
      </c>
      <c r="AO2246" s="42"/>
      <c r="AP2246" s="53"/>
      <c r="AQ2246" s="53"/>
      <c r="AR2246" s="53"/>
      <c r="AS2246" s="72"/>
      <c r="AT2246" s="24">
        <f t="shared" si="2809"/>
        <v>0</v>
      </c>
      <c r="AU2246" s="42"/>
      <c r="AV2246" s="53"/>
      <c r="AW2246" s="53"/>
      <c r="AX2246" s="53"/>
      <c r="AY2246" s="72"/>
      <c r="AZ2246" s="24">
        <f t="shared" si="2810"/>
        <v>0</v>
      </c>
      <c r="BA2246" s="24">
        <f t="shared" si="2811"/>
        <v>0</v>
      </c>
    </row>
    <row r="2247" spans="1:53" ht="14.25" x14ac:dyDescent="0.15">
      <c r="A2247" s="23" t="s">
        <v>438</v>
      </c>
      <c r="B2247" s="41"/>
      <c r="C2247" s="42">
        <v>1</v>
      </c>
      <c r="D2247" s="42"/>
      <c r="E2247" s="42"/>
      <c r="F2247" s="42"/>
      <c r="G2247" s="43">
        <f t="shared" si="2789"/>
        <v>1</v>
      </c>
      <c r="H2247" s="41"/>
      <c r="I2247" s="42">
        <v>1</v>
      </c>
      <c r="J2247" s="42"/>
      <c r="K2247" s="42"/>
      <c r="L2247" s="42"/>
      <c r="M2247" s="43">
        <f t="shared" si="2790"/>
        <v>1</v>
      </c>
      <c r="N2247" s="42"/>
      <c r="O2247" s="53"/>
      <c r="P2247" s="53"/>
      <c r="Q2247" s="53"/>
      <c r="R2247" s="72"/>
      <c r="S2247" s="24">
        <f t="shared" si="2791"/>
        <v>0</v>
      </c>
      <c r="T2247" s="42"/>
      <c r="U2247" s="53">
        <v>1</v>
      </c>
      <c r="V2247" s="53"/>
      <c r="W2247" s="53"/>
      <c r="X2247" s="72"/>
      <c r="Y2247" s="24">
        <f t="shared" si="2792"/>
        <v>1</v>
      </c>
      <c r="Z2247" s="24">
        <f t="shared" si="2793"/>
        <v>3</v>
      </c>
      <c r="AA2247" s="83">
        <v>46162</v>
      </c>
      <c r="AB2247" s="23"/>
      <c r="AC2247" s="41"/>
      <c r="AD2247" s="42"/>
      <c r="AE2247" s="42"/>
      <c r="AF2247" s="42"/>
      <c r="AG2247" s="42"/>
      <c r="AH2247" s="43">
        <f t="shared" si="2807"/>
        <v>0</v>
      </c>
      <c r="AI2247" s="41"/>
      <c r="AJ2247" s="42"/>
      <c r="AK2247" s="42"/>
      <c r="AL2247" s="42"/>
      <c r="AM2247" s="42"/>
      <c r="AN2247" s="43">
        <f t="shared" si="2808"/>
        <v>0</v>
      </c>
      <c r="AO2247" s="42"/>
      <c r="AP2247" s="53"/>
      <c r="AQ2247" s="53"/>
      <c r="AR2247" s="53"/>
      <c r="AS2247" s="72"/>
      <c r="AT2247" s="24">
        <f t="shared" si="2809"/>
        <v>0</v>
      </c>
      <c r="AU2247" s="42"/>
      <c r="AV2247" s="53"/>
      <c r="AW2247" s="53"/>
      <c r="AX2247" s="53"/>
      <c r="AY2247" s="72"/>
      <c r="AZ2247" s="24">
        <f t="shared" si="2810"/>
        <v>0</v>
      </c>
      <c r="BA2247" s="24">
        <f t="shared" si="2811"/>
        <v>0</v>
      </c>
    </row>
    <row r="2248" spans="1:53" ht="14.25" x14ac:dyDescent="0.15">
      <c r="A2248" s="23" t="s">
        <v>699</v>
      </c>
      <c r="B2248" s="41"/>
      <c r="C2248" s="42"/>
      <c r="D2248" s="42"/>
      <c r="E2248" s="42"/>
      <c r="F2248" s="42"/>
      <c r="G2248" s="43">
        <f t="shared" si="2789"/>
        <v>0</v>
      </c>
      <c r="H2248" s="41"/>
      <c r="I2248" s="42"/>
      <c r="J2248" s="42">
        <v>1</v>
      </c>
      <c r="K2248" s="42"/>
      <c r="L2248" s="42">
        <v>1</v>
      </c>
      <c r="M2248" s="43">
        <f t="shared" si="2790"/>
        <v>2</v>
      </c>
      <c r="N2248" s="42"/>
      <c r="O2248" s="53"/>
      <c r="P2248" s="53">
        <v>1</v>
      </c>
      <c r="Q2248" s="53"/>
      <c r="R2248" s="72"/>
      <c r="S2248" s="24">
        <f t="shared" si="2791"/>
        <v>1</v>
      </c>
      <c r="T2248" s="42"/>
      <c r="U2248" s="53"/>
      <c r="V2248" s="53"/>
      <c r="W2248" s="53"/>
      <c r="X2248" s="72"/>
      <c r="Y2248" s="24">
        <f t="shared" si="2792"/>
        <v>0</v>
      </c>
      <c r="Z2248" s="24">
        <f t="shared" si="2793"/>
        <v>3</v>
      </c>
      <c r="AA2248" s="83">
        <v>46160</v>
      </c>
      <c r="AB2248" s="23"/>
      <c r="AC2248" s="41"/>
      <c r="AD2248" s="42"/>
      <c r="AE2248" s="42"/>
      <c r="AF2248" s="42"/>
      <c r="AG2248" s="42"/>
      <c r="AH2248" s="43">
        <f t="shared" si="2807"/>
        <v>0</v>
      </c>
      <c r="AI2248" s="41"/>
      <c r="AJ2248" s="42"/>
      <c r="AK2248" s="42"/>
      <c r="AL2248" s="42"/>
      <c r="AM2248" s="42"/>
      <c r="AN2248" s="43">
        <f t="shared" si="2808"/>
        <v>0</v>
      </c>
      <c r="AO2248" s="42"/>
      <c r="AP2248" s="53"/>
      <c r="AQ2248" s="53"/>
      <c r="AR2248" s="53"/>
      <c r="AS2248" s="72"/>
      <c r="AT2248" s="24">
        <f t="shared" si="2809"/>
        <v>0</v>
      </c>
      <c r="AU2248" s="42"/>
      <c r="AV2248" s="53"/>
      <c r="AW2248" s="53"/>
      <c r="AX2248" s="53"/>
      <c r="AY2248" s="72"/>
      <c r="AZ2248" s="24">
        <f t="shared" si="2810"/>
        <v>0</v>
      </c>
      <c r="BA2248" s="24">
        <f t="shared" si="2811"/>
        <v>0</v>
      </c>
    </row>
    <row r="2249" spans="1:53" ht="14.25" x14ac:dyDescent="0.15">
      <c r="A2249" s="224" t="s">
        <v>181</v>
      </c>
      <c r="B2249" s="12"/>
      <c r="C2249" s="13"/>
      <c r="D2249" s="13"/>
      <c r="E2249" s="13"/>
      <c r="F2249" s="13"/>
      <c r="G2249" s="22">
        <f t="shared" si="2789"/>
        <v>0</v>
      </c>
      <c r="H2249" s="12"/>
      <c r="I2249" s="13"/>
      <c r="J2249" s="13"/>
      <c r="K2249" s="13"/>
      <c r="L2249" s="13">
        <v>-3</v>
      </c>
      <c r="M2249" s="22">
        <f t="shared" si="2790"/>
        <v>-3</v>
      </c>
      <c r="N2249" s="13"/>
      <c r="O2249" s="54"/>
      <c r="P2249" s="54"/>
      <c r="Q2249" s="54"/>
      <c r="R2249" s="68"/>
      <c r="S2249" s="225">
        <f t="shared" si="2791"/>
        <v>0</v>
      </c>
      <c r="T2249" s="13"/>
      <c r="U2249" s="54"/>
      <c r="V2249" s="54"/>
      <c r="W2249" s="54"/>
      <c r="X2249" s="68"/>
      <c r="Y2249" s="225">
        <f t="shared" si="2792"/>
        <v>0</v>
      </c>
      <c r="Z2249" s="225">
        <f t="shared" si="2793"/>
        <v>-3</v>
      </c>
      <c r="AA2249" s="93">
        <v>46161</v>
      </c>
      <c r="AB2249" s="23"/>
      <c r="AC2249" s="41"/>
      <c r="AD2249" s="42"/>
      <c r="AE2249" s="42"/>
      <c r="AF2249" s="42"/>
      <c r="AG2249" s="42"/>
      <c r="AH2249" s="43">
        <f t="shared" si="2807"/>
        <v>0</v>
      </c>
      <c r="AI2249" s="41"/>
      <c r="AJ2249" s="42"/>
      <c r="AK2249" s="42"/>
      <c r="AL2249" s="42"/>
      <c r="AM2249" s="42"/>
      <c r="AN2249" s="43">
        <f t="shared" si="2808"/>
        <v>0</v>
      </c>
      <c r="AO2249" s="42"/>
      <c r="AP2249" s="53"/>
      <c r="AQ2249" s="53"/>
      <c r="AR2249" s="53"/>
      <c r="AS2249" s="72"/>
      <c r="AT2249" s="24">
        <f t="shared" si="2809"/>
        <v>0</v>
      </c>
      <c r="AU2249" s="42"/>
      <c r="AV2249" s="53"/>
      <c r="AW2249" s="53"/>
      <c r="AX2249" s="53"/>
      <c r="AY2249" s="72"/>
      <c r="AZ2249" s="24">
        <f t="shared" si="2810"/>
        <v>0</v>
      </c>
      <c r="BA2249" s="24">
        <f t="shared" si="2811"/>
        <v>0</v>
      </c>
    </row>
    <row r="2250" spans="1:53" ht="14.25" x14ac:dyDescent="0.15">
      <c r="A2250" s="23" t="s">
        <v>438</v>
      </c>
      <c r="B2250" s="41">
        <v>1</v>
      </c>
      <c r="C2250" s="42">
        <v>1</v>
      </c>
      <c r="D2250" s="42"/>
      <c r="E2250" s="42"/>
      <c r="F2250" s="42"/>
      <c r="G2250" s="43">
        <f t="shared" si="2789"/>
        <v>2</v>
      </c>
      <c r="H2250" s="41">
        <v>1</v>
      </c>
      <c r="I2250" s="42"/>
      <c r="J2250" s="42"/>
      <c r="K2250" s="42"/>
      <c r="L2250" s="42"/>
      <c r="M2250" s="43">
        <f t="shared" si="2790"/>
        <v>1</v>
      </c>
      <c r="N2250" s="42"/>
      <c r="O2250" s="53"/>
      <c r="P2250" s="53"/>
      <c r="Q2250" s="53"/>
      <c r="R2250" s="72"/>
      <c r="S2250" s="24">
        <f t="shared" si="2791"/>
        <v>0</v>
      </c>
      <c r="T2250" s="42">
        <v>1</v>
      </c>
      <c r="U2250" s="53"/>
      <c r="V2250" s="53"/>
      <c r="W2250" s="53"/>
      <c r="X2250" s="72"/>
      <c r="Y2250" s="24">
        <f t="shared" si="2792"/>
        <v>1</v>
      </c>
      <c r="Z2250" s="24">
        <f t="shared" si="2793"/>
        <v>4</v>
      </c>
      <c r="AA2250" s="83">
        <v>46163</v>
      </c>
      <c r="AB2250" s="23"/>
      <c r="AC2250" s="41"/>
      <c r="AD2250" s="42"/>
      <c r="AE2250" s="42"/>
      <c r="AF2250" s="42"/>
      <c r="AG2250" s="42"/>
      <c r="AH2250" s="43">
        <f t="shared" si="2807"/>
        <v>0</v>
      </c>
      <c r="AI2250" s="41"/>
      <c r="AJ2250" s="42"/>
      <c r="AK2250" s="42"/>
      <c r="AL2250" s="42"/>
      <c r="AM2250" s="42"/>
      <c r="AN2250" s="43">
        <f t="shared" si="2808"/>
        <v>0</v>
      </c>
      <c r="AO2250" s="42"/>
      <c r="AP2250" s="53"/>
      <c r="AQ2250" s="53"/>
      <c r="AR2250" s="53"/>
      <c r="AS2250" s="72"/>
      <c r="AT2250" s="24">
        <f t="shared" si="2809"/>
        <v>0</v>
      </c>
      <c r="AU2250" s="42"/>
      <c r="AV2250" s="53"/>
      <c r="AW2250" s="53"/>
      <c r="AX2250" s="53"/>
      <c r="AY2250" s="72"/>
      <c r="AZ2250" s="24">
        <f t="shared" si="2810"/>
        <v>0</v>
      </c>
      <c r="BA2250" s="24">
        <f t="shared" si="2811"/>
        <v>0</v>
      </c>
    </row>
    <row r="2251" spans="1:53" ht="14.25" x14ac:dyDescent="0.15">
      <c r="A2251" s="23" t="s">
        <v>699</v>
      </c>
      <c r="B2251" s="41"/>
      <c r="C2251" s="42"/>
      <c r="D2251" s="42"/>
      <c r="E2251" s="42"/>
      <c r="F2251" s="42"/>
      <c r="G2251" s="43">
        <f t="shared" si="2789"/>
        <v>0</v>
      </c>
      <c r="H2251" s="41"/>
      <c r="I2251" s="42"/>
      <c r="J2251" s="42"/>
      <c r="K2251" s="42"/>
      <c r="L2251" s="42">
        <v>1</v>
      </c>
      <c r="M2251" s="43">
        <f t="shared" si="2790"/>
        <v>1</v>
      </c>
      <c r="N2251" s="42"/>
      <c r="O2251" s="53"/>
      <c r="P2251" s="53"/>
      <c r="Q2251" s="53"/>
      <c r="R2251" s="72"/>
      <c r="S2251" s="24">
        <f t="shared" si="2791"/>
        <v>0</v>
      </c>
      <c r="T2251" s="42"/>
      <c r="U2251" s="53"/>
      <c r="V2251" s="53"/>
      <c r="W2251" s="53"/>
      <c r="X2251" s="72"/>
      <c r="Y2251" s="24">
        <f t="shared" si="2792"/>
        <v>0</v>
      </c>
      <c r="Z2251" s="24">
        <f t="shared" si="2793"/>
        <v>1</v>
      </c>
      <c r="AA2251" s="83">
        <v>46161</v>
      </c>
      <c r="AB2251" s="23"/>
      <c r="AC2251" s="41"/>
      <c r="AD2251" s="42"/>
      <c r="AE2251" s="42"/>
      <c r="AF2251" s="42"/>
      <c r="AG2251" s="42"/>
      <c r="AH2251" s="43">
        <f t="shared" si="2807"/>
        <v>0</v>
      </c>
      <c r="AI2251" s="41"/>
      <c r="AJ2251" s="42"/>
      <c r="AK2251" s="42"/>
      <c r="AL2251" s="42"/>
      <c r="AM2251" s="42"/>
      <c r="AN2251" s="43">
        <f t="shared" si="2808"/>
        <v>0</v>
      </c>
      <c r="AO2251" s="42"/>
      <c r="AP2251" s="53"/>
      <c r="AQ2251" s="53"/>
      <c r="AR2251" s="53"/>
      <c r="AS2251" s="72"/>
      <c r="AT2251" s="24">
        <f t="shared" si="2809"/>
        <v>0</v>
      </c>
      <c r="AU2251" s="42"/>
      <c r="AV2251" s="53"/>
      <c r="AW2251" s="53"/>
      <c r="AX2251" s="53"/>
      <c r="AY2251" s="72"/>
      <c r="AZ2251" s="24">
        <f t="shared" si="2810"/>
        <v>0</v>
      </c>
      <c r="BA2251" s="24">
        <f t="shared" si="2811"/>
        <v>0</v>
      </c>
    </row>
    <row r="2252" spans="1:53" ht="14.25" x14ac:dyDescent="0.15">
      <c r="A2252" s="23" t="s">
        <v>438</v>
      </c>
      <c r="B2252" s="41"/>
      <c r="C2252" s="42"/>
      <c r="D2252" s="42"/>
      <c r="E2252" s="42"/>
      <c r="F2252" s="42"/>
      <c r="G2252" s="43">
        <f t="shared" si="2789"/>
        <v>0</v>
      </c>
      <c r="H2252" s="41"/>
      <c r="I2252" s="42"/>
      <c r="J2252" s="42"/>
      <c r="K2252" s="42"/>
      <c r="L2252" s="42"/>
      <c r="M2252" s="43">
        <f t="shared" si="2790"/>
        <v>0</v>
      </c>
      <c r="N2252" s="42"/>
      <c r="O2252" s="53"/>
      <c r="P2252" s="53"/>
      <c r="Q2252" s="53"/>
      <c r="R2252" s="72"/>
      <c r="S2252" s="24">
        <f t="shared" si="2791"/>
        <v>0</v>
      </c>
      <c r="T2252" s="42"/>
      <c r="U2252" s="53">
        <v>1</v>
      </c>
      <c r="V2252" s="53"/>
      <c r="W2252" s="53"/>
      <c r="X2252" s="72"/>
      <c r="Y2252" s="24">
        <f t="shared" si="2792"/>
        <v>1</v>
      </c>
      <c r="Z2252" s="24">
        <f t="shared" si="2793"/>
        <v>1</v>
      </c>
      <c r="AA2252" s="83">
        <v>46164</v>
      </c>
      <c r="AB2252" s="23"/>
      <c r="AC2252" s="41"/>
      <c r="AD2252" s="42"/>
      <c r="AE2252" s="42"/>
      <c r="AF2252" s="42"/>
      <c r="AG2252" s="42"/>
      <c r="AH2252" s="43">
        <f t="shared" si="2807"/>
        <v>0</v>
      </c>
      <c r="AI2252" s="41"/>
      <c r="AJ2252" s="42"/>
      <c r="AK2252" s="42"/>
      <c r="AL2252" s="42"/>
      <c r="AM2252" s="42"/>
      <c r="AN2252" s="43">
        <f t="shared" si="2808"/>
        <v>0</v>
      </c>
      <c r="AO2252" s="42"/>
      <c r="AP2252" s="53"/>
      <c r="AQ2252" s="53"/>
      <c r="AR2252" s="53"/>
      <c r="AS2252" s="72"/>
      <c r="AT2252" s="24">
        <f t="shared" si="2809"/>
        <v>0</v>
      </c>
      <c r="AU2252" s="42"/>
      <c r="AV2252" s="53"/>
      <c r="AW2252" s="53"/>
      <c r="AX2252" s="53"/>
      <c r="AY2252" s="72"/>
      <c r="AZ2252" s="24">
        <f t="shared" si="2810"/>
        <v>0</v>
      </c>
      <c r="BA2252" s="24">
        <f t="shared" si="2811"/>
        <v>0</v>
      </c>
    </row>
    <row r="2253" spans="1:53" ht="14.25" x14ac:dyDescent="0.15">
      <c r="A2253" s="23" t="s">
        <v>699</v>
      </c>
      <c r="B2253" s="41"/>
      <c r="C2253" s="42"/>
      <c r="D2253" s="42"/>
      <c r="E2253" s="42"/>
      <c r="F2253" s="42"/>
      <c r="G2253" s="43">
        <f t="shared" si="2789"/>
        <v>0</v>
      </c>
      <c r="H2253" s="41"/>
      <c r="I2253" s="42">
        <v>1</v>
      </c>
      <c r="J2253" s="42"/>
      <c r="K2253" s="42"/>
      <c r="L2253" s="42"/>
      <c r="M2253" s="43">
        <f t="shared" si="2790"/>
        <v>1</v>
      </c>
      <c r="N2253" s="42"/>
      <c r="O2253" s="53"/>
      <c r="P2253" s="53"/>
      <c r="Q2253" s="53"/>
      <c r="R2253" s="72"/>
      <c r="S2253" s="24">
        <f t="shared" si="2791"/>
        <v>0</v>
      </c>
      <c r="T2253" s="42"/>
      <c r="U2253" s="53"/>
      <c r="V2253" s="53"/>
      <c r="W2253" s="53"/>
      <c r="X2253" s="72"/>
      <c r="Y2253" s="24">
        <f t="shared" si="2792"/>
        <v>0</v>
      </c>
      <c r="Z2253" s="24">
        <f t="shared" si="2793"/>
        <v>1</v>
      </c>
      <c r="AA2253" s="93">
        <v>46162</v>
      </c>
      <c r="AB2253" s="23"/>
      <c r="AC2253" s="41"/>
      <c r="AD2253" s="42"/>
      <c r="AE2253" s="42"/>
      <c r="AF2253" s="42"/>
      <c r="AG2253" s="42"/>
      <c r="AH2253" s="43">
        <f t="shared" si="2807"/>
        <v>0</v>
      </c>
      <c r="AI2253" s="41"/>
      <c r="AJ2253" s="42"/>
      <c r="AK2253" s="42"/>
      <c r="AL2253" s="42"/>
      <c r="AM2253" s="42"/>
      <c r="AN2253" s="43">
        <f t="shared" si="2808"/>
        <v>0</v>
      </c>
      <c r="AO2253" s="42"/>
      <c r="AP2253" s="53"/>
      <c r="AQ2253" s="53"/>
      <c r="AR2253" s="53"/>
      <c r="AS2253" s="72"/>
      <c r="AT2253" s="24">
        <f t="shared" si="2809"/>
        <v>0</v>
      </c>
      <c r="AU2253" s="42"/>
      <c r="AV2253" s="53"/>
      <c r="AW2253" s="53"/>
      <c r="AX2253" s="53"/>
      <c r="AY2253" s="72"/>
      <c r="AZ2253" s="24">
        <f t="shared" si="2810"/>
        <v>0</v>
      </c>
      <c r="BA2253" s="24">
        <f t="shared" si="2811"/>
        <v>0</v>
      </c>
    </row>
    <row r="2254" spans="1:53" ht="14.25" x14ac:dyDescent="0.15">
      <c r="A2254" s="23" t="s">
        <v>727</v>
      </c>
      <c r="B2254" s="41"/>
      <c r="C2254" s="42"/>
      <c r="D2254" s="42"/>
      <c r="E2254" s="42"/>
      <c r="F2254" s="42"/>
      <c r="G2254" s="43">
        <f t="shared" si="2789"/>
        <v>0</v>
      </c>
      <c r="H2254" s="41"/>
      <c r="I2254" s="42"/>
      <c r="J2254" s="42"/>
      <c r="K2254" s="42"/>
      <c r="L2254" s="42"/>
      <c r="M2254" s="43">
        <f t="shared" si="2790"/>
        <v>0</v>
      </c>
      <c r="N2254" s="42"/>
      <c r="O2254" s="53"/>
      <c r="P2254" s="53"/>
      <c r="Q2254" s="53">
        <v>1</v>
      </c>
      <c r="R2254" s="72"/>
      <c r="S2254" s="24">
        <f t="shared" si="2791"/>
        <v>1</v>
      </c>
      <c r="T2254" s="42"/>
      <c r="U2254" s="53"/>
      <c r="V2254" s="53"/>
      <c r="W2254" s="53"/>
      <c r="X2254" s="72">
        <v>-1</v>
      </c>
      <c r="Y2254" s="24">
        <f t="shared" si="2792"/>
        <v>-1</v>
      </c>
      <c r="Z2254" s="24">
        <f t="shared" si="2793"/>
        <v>0</v>
      </c>
      <c r="AA2254" s="93">
        <v>46162</v>
      </c>
      <c r="AB2254" s="23"/>
      <c r="AC2254" s="41"/>
      <c r="AD2254" s="42"/>
      <c r="AE2254" s="42"/>
      <c r="AF2254" s="42"/>
      <c r="AG2254" s="42"/>
      <c r="AH2254" s="43">
        <f t="shared" si="2807"/>
        <v>0</v>
      </c>
      <c r="AI2254" s="41"/>
      <c r="AJ2254" s="42"/>
      <c r="AK2254" s="42"/>
      <c r="AL2254" s="42"/>
      <c r="AM2254" s="42"/>
      <c r="AN2254" s="43">
        <f t="shared" si="2808"/>
        <v>0</v>
      </c>
      <c r="AO2254" s="42"/>
      <c r="AP2254" s="53"/>
      <c r="AQ2254" s="53"/>
      <c r="AR2254" s="53"/>
      <c r="AS2254" s="72"/>
      <c r="AT2254" s="24">
        <f t="shared" si="2809"/>
        <v>0</v>
      </c>
      <c r="AU2254" s="42"/>
      <c r="AV2254" s="53"/>
      <c r="AW2254" s="53"/>
      <c r="AX2254" s="53"/>
      <c r="AY2254" s="72"/>
      <c r="AZ2254" s="24">
        <f t="shared" si="2810"/>
        <v>0</v>
      </c>
      <c r="BA2254" s="24">
        <f t="shared" si="2811"/>
        <v>0</v>
      </c>
    </row>
    <row r="2255" spans="1:53" ht="14.25" x14ac:dyDescent="0.15">
      <c r="A2255" s="23" t="s">
        <v>728</v>
      </c>
      <c r="B2255" s="41"/>
      <c r="C2255" s="42">
        <v>1</v>
      </c>
      <c r="D2255" s="42"/>
      <c r="E2255" s="42"/>
      <c r="F2255" s="42"/>
      <c r="G2255" s="43">
        <f t="shared" si="2789"/>
        <v>1</v>
      </c>
      <c r="H2255" s="41"/>
      <c r="I2255" s="42"/>
      <c r="J2255" s="42"/>
      <c r="K2255" s="42"/>
      <c r="L2255" s="42">
        <v>1</v>
      </c>
      <c r="M2255" s="43">
        <f t="shared" si="2790"/>
        <v>1</v>
      </c>
      <c r="N2255" s="42"/>
      <c r="O2255" s="53"/>
      <c r="P2255" s="53"/>
      <c r="Q2255" s="53"/>
      <c r="R2255" s="72"/>
      <c r="S2255" s="24">
        <f t="shared" si="2791"/>
        <v>0</v>
      </c>
      <c r="T2255" s="42"/>
      <c r="U2255" s="53"/>
      <c r="V2255" s="53"/>
      <c r="W2255" s="53"/>
      <c r="X2255" s="72"/>
      <c r="Y2255" s="24">
        <f t="shared" si="2792"/>
        <v>0</v>
      </c>
      <c r="Z2255" s="24">
        <f t="shared" si="2793"/>
        <v>2</v>
      </c>
      <c r="AA2255" s="93">
        <v>46163</v>
      </c>
      <c r="AB2255" s="23"/>
      <c r="AC2255" s="41"/>
      <c r="AD2255" s="42"/>
      <c r="AE2255" s="42"/>
      <c r="AF2255" s="42"/>
      <c r="AG2255" s="42"/>
      <c r="AH2255" s="43">
        <f t="shared" si="2807"/>
        <v>0</v>
      </c>
      <c r="AI2255" s="41"/>
      <c r="AJ2255" s="42"/>
      <c r="AK2255" s="42"/>
      <c r="AL2255" s="42"/>
      <c r="AM2255" s="42"/>
      <c r="AN2255" s="43">
        <f t="shared" si="2808"/>
        <v>0</v>
      </c>
      <c r="AO2255" s="42"/>
      <c r="AP2255" s="53"/>
      <c r="AQ2255" s="53"/>
      <c r="AR2255" s="53"/>
      <c r="AS2255" s="72"/>
      <c r="AT2255" s="24">
        <f t="shared" si="2809"/>
        <v>0</v>
      </c>
      <c r="AU2255" s="42"/>
      <c r="AV2255" s="53"/>
      <c r="AW2255" s="53"/>
      <c r="AX2255" s="53"/>
      <c r="AY2255" s="72"/>
      <c r="AZ2255" s="24">
        <f t="shared" si="2810"/>
        <v>0</v>
      </c>
      <c r="BA2255" s="24">
        <f t="shared" si="2811"/>
        <v>0</v>
      </c>
    </row>
    <row r="2256" spans="1:53" ht="14.25" x14ac:dyDescent="0.15">
      <c r="A2256" s="23" t="s">
        <v>699</v>
      </c>
      <c r="B2256" s="12"/>
      <c r="C2256" s="13"/>
      <c r="D2256" s="13"/>
      <c r="E2256" s="13"/>
      <c r="F2256" s="13"/>
      <c r="G2256" s="22">
        <f t="shared" si="2789"/>
        <v>0</v>
      </c>
      <c r="H2256" s="12"/>
      <c r="I2256" s="13"/>
      <c r="J2256" s="13"/>
      <c r="K2256" s="13"/>
      <c r="L2256" s="13"/>
      <c r="M2256" s="22">
        <f t="shared" si="2790"/>
        <v>0</v>
      </c>
      <c r="N2256" s="13"/>
      <c r="O2256" s="54"/>
      <c r="P2256" s="54"/>
      <c r="Q2256" s="54"/>
      <c r="R2256" s="68"/>
      <c r="S2256" s="225">
        <f t="shared" si="2791"/>
        <v>0</v>
      </c>
      <c r="T2256" s="13"/>
      <c r="U2256" s="54">
        <v>1</v>
      </c>
      <c r="V2256" s="54"/>
      <c r="W2256" s="54"/>
      <c r="X2256" s="68"/>
      <c r="Y2256" s="225">
        <f t="shared" si="2792"/>
        <v>1</v>
      </c>
      <c r="Z2256" s="225">
        <f t="shared" si="2793"/>
        <v>1</v>
      </c>
      <c r="AA2256" s="93">
        <v>46164</v>
      </c>
      <c r="AB2256" s="23"/>
      <c r="AC2256" s="41"/>
      <c r="AD2256" s="219"/>
      <c r="AE2256" s="219"/>
      <c r="AF2256" s="42"/>
      <c r="AG2256" s="42"/>
      <c r="AH2256" s="43">
        <f t="shared" si="2807"/>
        <v>0</v>
      </c>
      <c r="AI2256" s="41"/>
      <c r="AJ2256" s="42"/>
      <c r="AK2256" s="42"/>
      <c r="AL2256" s="42"/>
      <c r="AM2256" s="42"/>
      <c r="AN2256" s="43">
        <f t="shared" si="2808"/>
        <v>0</v>
      </c>
      <c r="AO2256" s="42"/>
      <c r="AP2256" s="53"/>
      <c r="AQ2256" s="53"/>
      <c r="AR2256" s="53"/>
      <c r="AS2256" s="72"/>
      <c r="AT2256" s="24">
        <f t="shared" si="2809"/>
        <v>0</v>
      </c>
      <c r="AU2256" s="42"/>
      <c r="AV2256" s="53"/>
      <c r="AW2256" s="53"/>
      <c r="AX2256" s="53"/>
      <c r="AY2256" s="72"/>
      <c r="AZ2256" s="24">
        <f t="shared" si="2810"/>
        <v>0</v>
      </c>
      <c r="BA2256" s="24">
        <f t="shared" si="2811"/>
        <v>0</v>
      </c>
    </row>
    <row r="2257" spans="1:54" ht="14.25" x14ac:dyDescent="0.15">
      <c r="A2257" s="23" t="s">
        <v>699</v>
      </c>
      <c r="B2257" s="12"/>
      <c r="C2257" s="13">
        <v>1</v>
      </c>
      <c r="D2257" s="13"/>
      <c r="E2257" s="13"/>
      <c r="F2257" s="13"/>
      <c r="G2257" s="22">
        <f t="shared" si="2789"/>
        <v>1</v>
      </c>
      <c r="H2257" s="12"/>
      <c r="I2257" s="13"/>
      <c r="J2257" s="13">
        <v>1</v>
      </c>
      <c r="K2257" s="13"/>
      <c r="L2257" s="13"/>
      <c r="M2257" s="22">
        <f t="shared" si="2790"/>
        <v>1</v>
      </c>
      <c r="N2257" s="13"/>
      <c r="O2257" s="54"/>
      <c r="P2257" s="54"/>
      <c r="Q2257" s="54"/>
      <c r="R2257" s="68"/>
      <c r="S2257" s="225">
        <f t="shared" si="2791"/>
        <v>0</v>
      </c>
      <c r="T2257" s="13"/>
      <c r="U2257" s="54"/>
      <c r="V2257" s="54"/>
      <c r="W2257" s="54"/>
      <c r="X2257" s="68">
        <v>2</v>
      </c>
      <c r="Y2257" s="225">
        <f t="shared" si="2792"/>
        <v>2</v>
      </c>
      <c r="Z2257" s="225">
        <f t="shared" si="2793"/>
        <v>4</v>
      </c>
      <c r="AA2257" s="93">
        <v>46167</v>
      </c>
      <c r="AB2257" s="23"/>
      <c r="AC2257" s="41"/>
      <c r="AD2257" s="219"/>
      <c r="AE2257" s="219"/>
      <c r="AF2257" s="42"/>
      <c r="AG2257" s="42"/>
      <c r="AH2257" s="43">
        <f t="shared" si="2807"/>
        <v>0</v>
      </c>
      <c r="AI2257" s="41"/>
      <c r="AJ2257" s="42"/>
      <c r="AK2257" s="42"/>
      <c r="AL2257" s="42"/>
      <c r="AM2257" s="42"/>
      <c r="AN2257" s="43">
        <f t="shared" si="2808"/>
        <v>0</v>
      </c>
      <c r="AO2257" s="42"/>
      <c r="AP2257" s="53"/>
      <c r="AQ2257" s="53"/>
      <c r="AR2257" s="53"/>
      <c r="AS2257" s="72"/>
      <c r="AT2257" s="24">
        <f t="shared" si="2809"/>
        <v>0</v>
      </c>
      <c r="AU2257" s="42"/>
      <c r="AV2257" s="53"/>
      <c r="AW2257" s="53"/>
      <c r="AX2257" s="53"/>
      <c r="AY2257" s="72"/>
      <c r="AZ2257" s="24">
        <f t="shared" si="2810"/>
        <v>0</v>
      </c>
      <c r="BA2257" s="24">
        <f t="shared" si="2811"/>
        <v>0</v>
      </c>
    </row>
    <row r="2258" spans="1:54" ht="15" thickBot="1" x14ac:dyDescent="0.2">
      <c r="A2258" s="23" t="s">
        <v>438</v>
      </c>
      <c r="B2258" s="41"/>
      <c r="C2258" s="42"/>
      <c r="D2258" s="42"/>
      <c r="E2258" s="42"/>
      <c r="F2258" s="42"/>
      <c r="G2258" s="43">
        <f t="shared" si="2789"/>
        <v>0</v>
      </c>
      <c r="H2258" s="41"/>
      <c r="I2258" s="42"/>
      <c r="J2258" s="42"/>
      <c r="K2258" s="42"/>
      <c r="L2258" s="42"/>
      <c r="M2258" s="43">
        <f t="shared" si="2790"/>
        <v>0</v>
      </c>
      <c r="N2258" s="42"/>
      <c r="O2258" s="53">
        <v>1</v>
      </c>
      <c r="P2258" s="53"/>
      <c r="Q2258" s="53"/>
      <c r="R2258" s="72"/>
      <c r="S2258" s="24">
        <f t="shared" si="2791"/>
        <v>1</v>
      </c>
      <c r="T2258" s="42"/>
      <c r="U2258" s="53">
        <v>1</v>
      </c>
      <c r="V2258" s="53"/>
      <c r="W2258" s="53"/>
      <c r="X2258" s="72"/>
      <c r="Y2258" s="24">
        <f t="shared" si="2792"/>
        <v>1</v>
      </c>
      <c r="Z2258" s="24">
        <f t="shared" si="2793"/>
        <v>2</v>
      </c>
      <c r="AA2258" s="83">
        <v>46170</v>
      </c>
      <c r="AB2258" s="177"/>
      <c r="AC2258" s="41"/>
      <c r="AD2258" s="219"/>
      <c r="AE2258" s="219"/>
      <c r="AF2258" s="42"/>
      <c r="AG2258" s="42"/>
      <c r="AH2258" s="43">
        <f t="shared" ref="AH2258" si="2812">SUM(AC2258:AG2258)</f>
        <v>0</v>
      </c>
      <c r="AI2258" s="41"/>
      <c r="AJ2258" s="42"/>
      <c r="AK2258" s="42"/>
      <c r="AL2258" s="42"/>
      <c r="AM2258" s="42"/>
      <c r="AN2258" s="43">
        <f t="shared" ref="AN2258" si="2813">SUM(AI2258:AM2258)</f>
        <v>0</v>
      </c>
      <c r="AO2258" s="42"/>
      <c r="AP2258" s="53"/>
      <c r="AQ2258" s="53"/>
      <c r="AR2258" s="53"/>
      <c r="AS2258" s="72"/>
      <c r="AT2258" s="24">
        <f t="shared" ref="AT2258" si="2814">SUM(AO2258:AS2258)</f>
        <v>0</v>
      </c>
      <c r="AU2258" s="42"/>
      <c r="AV2258" s="53"/>
      <c r="AW2258" s="53"/>
      <c r="AX2258" s="53"/>
      <c r="AY2258" s="72"/>
      <c r="AZ2258" s="24">
        <f t="shared" ref="AZ2258" si="2815">SUM(AU2258:AY2258)</f>
        <v>0</v>
      </c>
      <c r="BA2258" s="24">
        <f t="shared" ref="BA2258" si="2816">AH2258+AN2258+AT2258+AZ2258</f>
        <v>0</v>
      </c>
    </row>
    <row r="2259" spans="1:54" ht="15" thickBot="1" x14ac:dyDescent="0.2">
      <c r="A2259" s="9" t="s">
        <v>13</v>
      </c>
      <c r="B2259" s="25">
        <f>SUM(B2233:B2258)</f>
        <v>1</v>
      </c>
      <c r="C2259" s="26">
        <f>SUM(C2233:C2258)</f>
        <v>3</v>
      </c>
      <c r="D2259" s="26">
        <f>SUM(D2233:D2258)</f>
        <v>1</v>
      </c>
      <c r="E2259" s="220">
        <f>SUM(E2233:E2258)</f>
        <v>0</v>
      </c>
      <c r="F2259" s="222">
        <f>SUM(F2233:F2258)</f>
        <v>0</v>
      </c>
      <c r="G2259" s="19">
        <f>SUM(B2259:F2259)</f>
        <v>5</v>
      </c>
      <c r="H2259" s="25">
        <f>SUM(H2233:H2258)</f>
        <v>-4</v>
      </c>
      <c r="I2259" s="26">
        <f>SUM(I2233:I2258)</f>
        <v>-1</v>
      </c>
      <c r="J2259" s="26">
        <f>SUM(J2233:J2258)</f>
        <v>4</v>
      </c>
      <c r="K2259" s="220">
        <f>SUM(K2233:K2258)</f>
        <v>0</v>
      </c>
      <c r="L2259" s="27">
        <f>SUM(L2233:L2258)</f>
        <v>8</v>
      </c>
      <c r="M2259" s="25">
        <f>SUM(H2259:L2259)</f>
        <v>7</v>
      </c>
      <c r="N2259" s="65">
        <f>SUM(N2233:N2258)</f>
        <v>1</v>
      </c>
      <c r="O2259" s="18">
        <f>SUM(O2233:O2258)</f>
        <v>-1</v>
      </c>
      <c r="P2259" s="18">
        <f>SUM(P2233:P2258)</f>
        <v>-1</v>
      </c>
      <c r="Q2259" s="18">
        <f>SUM(Q2233:Q2258)</f>
        <v>3</v>
      </c>
      <c r="R2259" s="70">
        <f>SUM(R2233:R2258)</f>
        <v>2</v>
      </c>
      <c r="S2259" s="49">
        <f>SUM(N2259:R2259)</f>
        <v>4</v>
      </c>
      <c r="T2259" s="74">
        <f>SUM(T2233:T2258)</f>
        <v>-3</v>
      </c>
      <c r="U2259" s="18">
        <f>SUM(U2233:U2258)</f>
        <v>2</v>
      </c>
      <c r="V2259" s="18">
        <f>SUM(V2233:V2258)</f>
        <v>3</v>
      </c>
      <c r="W2259" s="240">
        <f>SUM(W2233:W2258)</f>
        <v>0</v>
      </c>
      <c r="X2259" s="70">
        <f>SUM(X2233:X2258)</f>
        <v>3</v>
      </c>
      <c r="Y2259" s="49">
        <f>SUM(T2259:X2259)</f>
        <v>5</v>
      </c>
      <c r="Z2259" s="137">
        <f>G2259+M2259+S2259+Y2259</f>
        <v>21</v>
      </c>
      <c r="AB2259" s="9" t="s">
        <v>13</v>
      </c>
      <c r="AC2259" s="25">
        <f>SUM(AC2233:AC2258)</f>
        <v>1</v>
      </c>
      <c r="AD2259" s="26">
        <f t="shared" ref="AD2259:AG2259" si="2817">SUM(AD2233:AD2258)</f>
        <v>5</v>
      </c>
      <c r="AE2259" s="26">
        <f t="shared" si="2817"/>
        <v>0</v>
      </c>
      <c r="AF2259" s="220">
        <f t="shared" si="2817"/>
        <v>0</v>
      </c>
      <c r="AG2259" s="222">
        <f t="shared" si="2817"/>
        <v>0</v>
      </c>
      <c r="AH2259" s="19">
        <f>SUM(AC2259:AG2259)</f>
        <v>6</v>
      </c>
      <c r="AI2259" s="25">
        <f>SUM(AI2233:AI2258)</f>
        <v>5</v>
      </c>
      <c r="AJ2259" s="26">
        <f t="shared" ref="AJ2259:AM2259" si="2818">SUM(AJ2233:AJ2258)</f>
        <v>7</v>
      </c>
      <c r="AK2259" s="26">
        <f t="shared" si="2818"/>
        <v>13</v>
      </c>
      <c r="AL2259" s="226">
        <f t="shared" si="2818"/>
        <v>0</v>
      </c>
      <c r="AM2259" s="27">
        <f t="shared" si="2818"/>
        <v>3</v>
      </c>
      <c r="AN2259" s="19">
        <f>SUM(AI2259:AM2259)</f>
        <v>28</v>
      </c>
      <c r="AO2259" s="25">
        <f>SUM(AO2233:AO2258)</f>
        <v>0</v>
      </c>
      <c r="AP2259" s="26">
        <f t="shared" ref="AP2259:AS2259" si="2819">SUM(AP2233:AP2258)</f>
        <v>5</v>
      </c>
      <c r="AQ2259" s="26">
        <f t="shared" si="2819"/>
        <v>13</v>
      </c>
      <c r="AR2259" s="26">
        <f t="shared" si="2819"/>
        <v>0</v>
      </c>
      <c r="AS2259" s="27">
        <f t="shared" si="2819"/>
        <v>2</v>
      </c>
      <c r="AT2259" s="19">
        <f>SUM(AO2259:AS2259)</f>
        <v>20</v>
      </c>
      <c r="AU2259" s="25">
        <f>SUM(AU2233:AU2258)</f>
        <v>5</v>
      </c>
      <c r="AV2259" s="26">
        <f t="shared" ref="AV2259:AY2259" si="2820">SUM(AV2233:AV2258)</f>
        <v>5</v>
      </c>
      <c r="AW2259" s="220">
        <f t="shared" si="2820"/>
        <v>0</v>
      </c>
      <c r="AX2259" s="220">
        <f t="shared" si="2820"/>
        <v>0</v>
      </c>
      <c r="AY2259" s="27">
        <f t="shared" si="2820"/>
        <v>3</v>
      </c>
      <c r="AZ2259" s="19">
        <f>SUM(AU2259:AY2259)</f>
        <v>13</v>
      </c>
      <c r="BA2259" s="77">
        <f t="shared" si="2811"/>
        <v>67</v>
      </c>
    </row>
    <row r="2260" spans="1:54" ht="15" thickBot="1" x14ac:dyDescent="0.2">
      <c r="A2260" s="32" t="s">
        <v>14</v>
      </c>
      <c r="B2260" s="29">
        <f t="shared" ref="B2260:Y2260" si="2821">B2232-B2259</f>
        <v>2</v>
      </c>
      <c r="C2260" s="30">
        <f t="shared" si="2821"/>
        <v>1</v>
      </c>
      <c r="D2260" s="30">
        <f t="shared" si="2821"/>
        <v>0</v>
      </c>
      <c r="E2260" s="221">
        <f t="shared" si="2821"/>
        <v>0</v>
      </c>
      <c r="F2260" s="223">
        <f t="shared" si="2821"/>
        <v>0</v>
      </c>
      <c r="G2260" s="31">
        <f t="shared" si="2821"/>
        <v>3</v>
      </c>
      <c r="H2260" s="29">
        <f t="shared" si="2821"/>
        <v>7</v>
      </c>
      <c r="I2260" s="30">
        <f t="shared" si="2821"/>
        <v>6</v>
      </c>
      <c r="J2260" s="30">
        <f t="shared" si="2821"/>
        <v>4</v>
      </c>
      <c r="K2260" s="221">
        <f t="shared" si="2821"/>
        <v>0</v>
      </c>
      <c r="L2260" s="31">
        <f t="shared" si="2821"/>
        <v>1</v>
      </c>
      <c r="M2260" s="66">
        <f t="shared" si="2821"/>
        <v>18</v>
      </c>
      <c r="N2260" s="29">
        <f t="shared" si="2821"/>
        <v>4</v>
      </c>
      <c r="O2260" s="30">
        <f t="shared" si="2821"/>
        <v>5</v>
      </c>
      <c r="P2260" s="30">
        <f t="shared" si="2821"/>
        <v>6</v>
      </c>
      <c r="Q2260" s="30">
        <f t="shared" si="2821"/>
        <v>2</v>
      </c>
      <c r="R2260" s="66">
        <f t="shared" si="2821"/>
        <v>3</v>
      </c>
      <c r="S2260" s="33">
        <f t="shared" si="2821"/>
        <v>20</v>
      </c>
      <c r="T2260" s="75">
        <f t="shared" si="2821"/>
        <v>7</v>
      </c>
      <c r="U2260" s="30">
        <f t="shared" si="2821"/>
        <v>3</v>
      </c>
      <c r="V2260" s="30">
        <f t="shared" si="2821"/>
        <v>5</v>
      </c>
      <c r="W2260" s="221">
        <f t="shared" si="2821"/>
        <v>0</v>
      </c>
      <c r="X2260" s="66">
        <f t="shared" si="2821"/>
        <v>2</v>
      </c>
      <c r="Y2260" s="33">
        <f t="shared" si="2821"/>
        <v>17</v>
      </c>
      <c r="Z2260" s="77">
        <f>G2260+M2260+S2260+Y2260</f>
        <v>58</v>
      </c>
      <c r="AB2260" s="32" t="s">
        <v>14</v>
      </c>
      <c r="AC2260" s="29">
        <f>AC2232-AC2259</f>
        <v>63</v>
      </c>
      <c r="AD2260" s="30">
        <f t="shared" ref="AD2260:AG2260" si="2822">AD2232-AD2259</f>
        <v>5</v>
      </c>
      <c r="AE2260" s="30">
        <f t="shared" si="2822"/>
        <v>5</v>
      </c>
      <c r="AF2260" s="221">
        <f t="shared" si="2822"/>
        <v>0</v>
      </c>
      <c r="AG2260" s="223">
        <f t="shared" si="2822"/>
        <v>0</v>
      </c>
      <c r="AH2260" s="31">
        <f>AH2232-AH2259</f>
        <v>73</v>
      </c>
      <c r="AI2260" s="29">
        <f>AI2232-AI2259</f>
        <v>54</v>
      </c>
      <c r="AJ2260" s="30">
        <f t="shared" ref="AJ2260:AM2260" si="2823">AJ2232-AJ2259</f>
        <v>12</v>
      </c>
      <c r="AK2260" s="30">
        <f t="shared" si="2823"/>
        <v>8</v>
      </c>
      <c r="AL2260" s="227">
        <f t="shared" si="2823"/>
        <v>0</v>
      </c>
      <c r="AM2260" s="31">
        <f t="shared" si="2823"/>
        <v>0</v>
      </c>
      <c r="AN2260" s="31">
        <f>AN2232-AN2259</f>
        <v>74</v>
      </c>
      <c r="AO2260" s="29">
        <f>AO2232-AO2259</f>
        <v>131</v>
      </c>
      <c r="AP2260" s="30">
        <f t="shared" ref="AP2260:AS2260" si="2824">AP2232-AP2259</f>
        <v>63</v>
      </c>
      <c r="AQ2260" s="30">
        <f t="shared" si="2824"/>
        <v>58</v>
      </c>
      <c r="AR2260" s="30">
        <f t="shared" si="2824"/>
        <v>72</v>
      </c>
      <c r="AS2260" s="31">
        <f t="shared" si="2824"/>
        <v>101</v>
      </c>
      <c r="AT2260" s="31">
        <f>AT2232-AT2259</f>
        <v>425</v>
      </c>
      <c r="AU2260" s="29">
        <f>AU2232-AU2259</f>
        <v>94</v>
      </c>
      <c r="AV2260" s="30">
        <f t="shared" ref="AV2260:AY2260" si="2825">AV2232-AV2259</f>
        <v>31</v>
      </c>
      <c r="AW2260" s="221">
        <f t="shared" si="2825"/>
        <v>0</v>
      </c>
      <c r="AX2260" s="221">
        <f t="shared" si="2825"/>
        <v>0</v>
      </c>
      <c r="AY2260" s="31">
        <f t="shared" si="2825"/>
        <v>44</v>
      </c>
      <c r="AZ2260" s="31">
        <f>AZ2232-AZ2259</f>
        <v>169</v>
      </c>
      <c r="BA2260" s="77">
        <f t="shared" si="2811"/>
        <v>741</v>
      </c>
    </row>
    <row r="2261" spans="1:54" x14ac:dyDescent="0.15">
      <c r="E2261" s="216" t="s">
        <v>700</v>
      </c>
      <c r="F2261" s="216" t="s">
        <v>700</v>
      </c>
      <c r="G2261" s="216"/>
      <c r="H2261" s="216"/>
      <c r="I2261" s="216"/>
      <c r="J2261" s="216"/>
      <c r="K2261" s="216" t="s">
        <v>700</v>
      </c>
      <c r="L2261" s="216"/>
      <c r="M2261" s="216"/>
      <c r="N2261" s="216"/>
      <c r="O2261" s="216"/>
      <c r="P2261" s="216"/>
      <c r="Q2261" s="216"/>
      <c r="R2261" s="216"/>
      <c r="S2261" s="216"/>
      <c r="T2261" s="216"/>
      <c r="U2261" s="216"/>
      <c r="V2261" s="216" t="s">
        <v>700</v>
      </c>
      <c r="W2261" s="216" t="s">
        <v>700</v>
      </c>
      <c r="X2261" s="216"/>
      <c r="Y2261" s="216"/>
    </row>
    <row r="2263" spans="1:54" ht="19.5" thickBot="1" x14ac:dyDescent="0.25">
      <c r="A2263" s="1" t="s">
        <v>15</v>
      </c>
      <c r="AB2263" s="1" t="s">
        <v>16</v>
      </c>
    </row>
    <row r="2264" spans="1:54" ht="15" thickBot="1" x14ac:dyDescent="0.2">
      <c r="A2264" s="4"/>
      <c r="B2264" s="245" t="s">
        <v>17</v>
      </c>
      <c r="C2264" s="246"/>
      <c r="D2264" s="246"/>
      <c r="E2264" s="246"/>
      <c r="F2264" s="246"/>
      <c r="G2264" s="247"/>
      <c r="H2264" s="245" t="s">
        <v>18</v>
      </c>
      <c r="I2264" s="246"/>
      <c r="J2264" s="246"/>
      <c r="K2264" s="246"/>
      <c r="L2264" s="246"/>
      <c r="M2264" s="247"/>
      <c r="N2264" s="248" t="s">
        <v>27</v>
      </c>
      <c r="O2264" s="249"/>
      <c r="P2264" s="249"/>
      <c r="Q2264" s="249"/>
      <c r="R2264" s="249"/>
      <c r="S2264" s="250"/>
      <c r="T2264" s="248" t="s">
        <v>28</v>
      </c>
      <c r="U2264" s="249"/>
      <c r="V2264" s="249"/>
      <c r="W2264" s="249"/>
      <c r="X2264" s="249"/>
      <c r="Y2264" s="250"/>
      <c r="Z2264" s="251" t="s">
        <v>1</v>
      </c>
      <c r="AB2264" s="4"/>
      <c r="AC2264" s="253" t="s">
        <v>17</v>
      </c>
      <c r="AD2264" s="249"/>
      <c r="AE2264" s="249"/>
      <c r="AF2264" s="249"/>
      <c r="AG2264" s="249"/>
      <c r="AH2264" s="250"/>
      <c r="AI2264" s="248" t="s">
        <v>18</v>
      </c>
      <c r="AJ2264" s="249"/>
      <c r="AK2264" s="249"/>
      <c r="AL2264" s="249"/>
      <c r="AM2264" s="249"/>
      <c r="AN2264" s="250"/>
      <c r="AO2264" s="248" t="s">
        <v>27</v>
      </c>
      <c r="AP2264" s="249"/>
      <c r="AQ2264" s="249"/>
      <c r="AR2264" s="249"/>
      <c r="AS2264" s="249"/>
      <c r="AT2264" s="250"/>
      <c r="AU2264" s="248" t="s">
        <v>28</v>
      </c>
      <c r="AV2264" s="249"/>
      <c r="AW2264" s="249"/>
      <c r="AX2264" s="249"/>
      <c r="AY2264" s="249"/>
      <c r="AZ2264" s="250"/>
      <c r="BA2264" s="243" t="s">
        <v>1</v>
      </c>
    </row>
    <row r="2265" spans="1:54" ht="15" thickBot="1" x14ac:dyDescent="0.2">
      <c r="A2265" s="9" t="s">
        <v>2</v>
      </c>
      <c r="B2265" s="6" t="s">
        <v>3</v>
      </c>
      <c r="C2265" s="7" t="s">
        <v>4</v>
      </c>
      <c r="D2265" s="7" t="s">
        <v>5</v>
      </c>
      <c r="E2265" s="48" t="s">
        <v>20</v>
      </c>
      <c r="F2265" s="8" t="s">
        <v>21</v>
      </c>
      <c r="G2265" s="5" t="s">
        <v>6</v>
      </c>
      <c r="H2265" s="6" t="s">
        <v>3</v>
      </c>
      <c r="I2265" s="7" t="s">
        <v>4</v>
      </c>
      <c r="J2265" s="7" t="s">
        <v>5</v>
      </c>
      <c r="K2265" s="48" t="s">
        <v>20</v>
      </c>
      <c r="L2265" s="8" t="s">
        <v>21</v>
      </c>
      <c r="M2265" s="5" t="s">
        <v>6</v>
      </c>
      <c r="N2265" s="6" t="s">
        <v>3</v>
      </c>
      <c r="O2265" s="7" t="s">
        <v>4</v>
      </c>
      <c r="P2265" s="7" t="s">
        <v>5</v>
      </c>
      <c r="Q2265" s="48" t="s">
        <v>20</v>
      </c>
      <c r="R2265" s="8" t="s">
        <v>21</v>
      </c>
      <c r="S2265" s="5" t="s">
        <v>6</v>
      </c>
      <c r="T2265" s="7" t="s">
        <v>3</v>
      </c>
      <c r="U2265" s="7" t="s">
        <v>4</v>
      </c>
      <c r="V2265" s="7" t="s">
        <v>5</v>
      </c>
      <c r="W2265" s="48" t="s">
        <v>20</v>
      </c>
      <c r="X2265" s="109" t="s">
        <v>21</v>
      </c>
      <c r="Y2265" s="62" t="s">
        <v>6</v>
      </c>
      <c r="Z2265" s="252"/>
      <c r="AB2265" s="9" t="s">
        <v>2</v>
      </c>
      <c r="AC2265" s="6" t="s">
        <v>3</v>
      </c>
      <c r="AD2265" s="7" t="s">
        <v>4</v>
      </c>
      <c r="AE2265" s="7" t="s">
        <v>5</v>
      </c>
      <c r="AF2265" s="48" t="s">
        <v>20</v>
      </c>
      <c r="AG2265" s="8" t="s">
        <v>21</v>
      </c>
      <c r="AH2265" s="5" t="s">
        <v>6</v>
      </c>
      <c r="AI2265" s="6" t="s">
        <v>3</v>
      </c>
      <c r="AJ2265" s="7" t="s">
        <v>4</v>
      </c>
      <c r="AK2265" s="7" t="s">
        <v>5</v>
      </c>
      <c r="AL2265" s="48" t="s">
        <v>20</v>
      </c>
      <c r="AM2265" s="8" t="s">
        <v>21</v>
      </c>
      <c r="AN2265" s="5" t="s">
        <v>6</v>
      </c>
      <c r="AO2265" s="6" t="s">
        <v>3</v>
      </c>
      <c r="AP2265" s="7" t="s">
        <v>4</v>
      </c>
      <c r="AQ2265" s="7" t="s">
        <v>5</v>
      </c>
      <c r="AR2265" s="48" t="s">
        <v>20</v>
      </c>
      <c r="AS2265" s="8" t="s">
        <v>21</v>
      </c>
      <c r="AT2265" s="5" t="s">
        <v>6</v>
      </c>
      <c r="AU2265" s="7" t="s">
        <v>3</v>
      </c>
      <c r="AV2265" s="7" t="s">
        <v>4</v>
      </c>
      <c r="AW2265" s="7" t="s">
        <v>5</v>
      </c>
      <c r="AX2265" s="48" t="s">
        <v>20</v>
      </c>
      <c r="AY2265" s="109" t="s">
        <v>21</v>
      </c>
      <c r="AZ2265" s="62" t="s">
        <v>6</v>
      </c>
      <c r="BA2265" s="244"/>
    </row>
    <row r="2266" spans="1:54" ht="14.25" x14ac:dyDescent="0.15">
      <c r="A2266" s="103" t="s">
        <v>43</v>
      </c>
      <c r="B2266" s="104">
        <f>B2260</f>
        <v>2</v>
      </c>
      <c r="C2266" s="105">
        <f>C2260</f>
        <v>1</v>
      </c>
      <c r="D2266" s="105">
        <f>D2260</f>
        <v>0</v>
      </c>
      <c r="E2266" s="105">
        <f>E2260</f>
        <v>0</v>
      </c>
      <c r="F2266" s="105">
        <f>F2260</f>
        <v>0</v>
      </c>
      <c r="G2266" s="106">
        <f t="shared" ref="G2266:G2297" si="2826">SUM(B2266:F2266)</f>
        <v>3</v>
      </c>
      <c r="H2266" s="104">
        <f>H2260</f>
        <v>7</v>
      </c>
      <c r="I2266" s="105">
        <f>I2260</f>
        <v>6</v>
      </c>
      <c r="J2266" s="105">
        <f>J2260</f>
        <v>4</v>
      </c>
      <c r="K2266" s="105">
        <f>K2260</f>
        <v>0</v>
      </c>
      <c r="L2266" s="105">
        <f>L2260</f>
        <v>1</v>
      </c>
      <c r="M2266" s="107">
        <f t="shared" ref="M2266:M2297" si="2827">SUM(H2266:L2266)</f>
        <v>18</v>
      </c>
      <c r="N2266" s="104">
        <f>N2260</f>
        <v>4</v>
      </c>
      <c r="O2266" s="105">
        <f>O2260</f>
        <v>5</v>
      </c>
      <c r="P2266" s="105">
        <f>P2260</f>
        <v>6</v>
      </c>
      <c r="Q2266" s="105">
        <f>Q2260</f>
        <v>2</v>
      </c>
      <c r="R2266" s="105">
        <f>R2260</f>
        <v>3</v>
      </c>
      <c r="S2266" s="108">
        <f t="shared" ref="S2266:S2297" si="2828">SUM(N2266:R2266)</f>
        <v>20</v>
      </c>
      <c r="T2266" s="104">
        <f>T2260</f>
        <v>7</v>
      </c>
      <c r="U2266" s="105">
        <f>U2260</f>
        <v>3</v>
      </c>
      <c r="V2266" s="105">
        <f>V2260</f>
        <v>5</v>
      </c>
      <c r="W2266" s="105">
        <f>W2260</f>
        <v>0</v>
      </c>
      <c r="X2266" s="105">
        <f>X2260</f>
        <v>2</v>
      </c>
      <c r="Y2266" s="106">
        <f t="shared" ref="Y2266:Y2297" si="2829">SUM(T2266:X2266)</f>
        <v>17</v>
      </c>
      <c r="Z2266" s="106">
        <f t="shared" ref="Z2266:Z2297" si="2830">G2266+M2266+S2266+Y2266</f>
        <v>58</v>
      </c>
      <c r="AB2266" s="103" t="s">
        <v>43</v>
      </c>
      <c r="AC2266" s="104">
        <f>AC2260</f>
        <v>63</v>
      </c>
      <c r="AD2266" s="105">
        <f t="shared" ref="AD2266:AG2266" si="2831">AD2260</f>
        <v>5</v>
      </c>
      <c r="AE2266" s="105">
        <f t="shared" si="2831"/>
        <v>5</v>
      </c>
      <c r="AF2266" s="105">
        <f t="shared" si="2831"/>
        <v>0</v>
      </c>
      <c r="AG2266" s="105">
        <f t="shared" si="2831"/>
        <v>0</v>
      </c>
      <c r="AH2266" s="106">
        <f>SUM(AC2266:AG2266)</f>
        <v>73</v>
      </c>
      <c r="AI2266" s="104">
        <f>AI2260</f>
        <v>54</v>
      </c>
      <c r="AJ2266" s="105">
        <f t="shared" ref="AJ2266:AM2266" si="2832">AJ2260</f>
        <v>12</v>
      </c>
      <c r="AK2266" s="105">
        <f t="shared" si="2832"/>
        <v>8</v>
      </c>
      <c r="AL2266" s="105">
        <f t="shared" si="2832"/>
        <v>0</v>
      </c>
      <c r="AM2266" s="105">
        <f t="shared" si="2832"/>
        <v>0</v>
      </c>
      <c r="AN2266" s="106">
        <f>SUM(AI2266:AM2266)</f>
        <v>74</v>
      </c>
      <c r="AO2266" s="104">
        <f>AO2260</f>
        <v>131</v>
      </c>
      <c r="AP2266" s="105">
        <f t="shared" ref="AP2266:AS2266" si="2833">AP2260</f>
        <v>63</v>
      </c>
      <c r="AQ2266" s="105">
        <f t="shared" si="2833"/>
        <v>58</v>
      </c>
      <c r="AR2266" s="105">
        <f t="shared" si="2833"/>
        <v>72</v>
      </c>
      <c r="AS2266" s="105">
        <f t="shared" si="2833"/>
        <v>101</v>
      </c>
      <c r="AT2266" s="106">
        <f>SUM(AO2266:AS2266)</f>
        <v>425</v>
      </c>
      <c r="AU2266" s="104">
        <f>AU2260</f>
        <v>94</v>
      </c>
      <c r="AV2266" s="105">
        <f t="shared" ref="AV2266:AY2266" si="2834">AV2260</f>
        <v>31</v>
      </c>
      <c r="AW2266" s="105">
        <f t="shared" si="2834"/>
        <v>0</v>
      </c>
      <c r="AX2266" s="105">
        <f t="shared" si="2834"/>
        <v>0</v>
      </c>
      <c r="AY2266" s="105">
        <f t="shared" si="2834"/>
        <v>44</v>
      </c>
      <c r="AZ2266" s="106">
        <f>SUM(AU2266:AY2266)</f>
        <v>169</v>
      </c>
      <c r="BA2266" s="106">
        <f>AH2266+AN2266+AT2266+AZ2266</f>
        <v>741</v>
      </c>
    </row>
    <row r="2267" spans="1:54" ht="14.25" x14ac:dyDescent="0.15">
      <c r="A2267" s="228" t="s">
        <v>181</v>
      </c>
      <c r="B2267" s="229"/>
      <c r="C2267" s="230"/>
      <c r="D2267" s="230"/>
      <c r="E2267" s="230"/>
      <c r="F2267" s="230"/>
      <c r="G2267" s="22">
        <f t="shared" si="2826"/>
        <v>0</v>
      </c>
      <c r="H2267" s="229"/>
      <c r="I2267" s="230"/>
      <c r="J2267" s="230"/>
      <c r="K2267" s="230"/>
      <c r="L2267" s="230"/>
      <c r="M2267" s="22">
        <f t="shared" si="2827"/>
        <v>0</v>
      </c>
      <c r="N2267" s="229">
        <v>3</v>
      </c>
      <c r="O2267" s="231"/>
      <c r="P2267" s="231"/>
      <c r="Q2267" s="231">
        <v>5</v>
      </c>
      <c r="R2267" s="232"/>
      <c r="S2267" s="225">
        <f t="shared" si="2828"/>
        <v>8</v>
      </c>
      <c r="T2267" s="230"/>
      <c r="U2267" s="231">
        <v>5</v>
      </c>
      <c r="V2267" s="231"/>
      <c r="W2267" s="231"/>
      <c r="X2267" s="232">
        <v>5</v>
      </c>
      <c r="Y2267" s="225">
        <f t="shared" si="2829"/>
        <v>10</v>
      </c>
      <c r="Z2267" s="225">
        <f t="shared" si="2830"/>
        <v>18</v>
      </c>
      <c r="AA2267" s="93">
        <v>46171</v>
      </c>
      <c r="AB2267" s="10" t="s">
        <v>181</v>
      </c>
      <c r="AC2267" s="14"/>
      <c r="AD2267" s="15"/>
      <c r="AE2267" s="15"/>
      <c r="AF2267" s="15"/>
      <c r="AG2267" s="15"/>
      <c r="AH2267" s="43">
        <f t="shared" ref="AH2267:AH2270" si="2835">SUM(AC2267:AG2267)</f>
        <v>0</v>
      </c>
      <c r="AI2267" s="14"/>
      <c r="AJ2267" s="15"/>
      <c r="AK2267" s="15"/>
      <c r="AL2267" s="15"/>
      <c r="AM2267" s="15"/>
      <c r="AN2267" s="43">
        <f t="shared" ref="AN2267:AN2270" si="2836">SUM(AI2267:AM2267)</f>
        <v>0</v>
      </c>
      <c r="AO2267" s="14"/>
      <c r="AP2267" s="55"/>
      <c r="AQ2267" s="55"/>
      <c r="AR2267" s="55"/>
      <c r="AS2267" s="67"/>
      <c r="AT2267" s="24">
        <f t="shared" ref="AT2267:AT2270" si="2837">SUM(AO2267:AS2267)</f>
        <v>0</v>
      </c>
      <c r="AU2267" s="15"/>
      <c r="AV2267" s="55"/>
      <c r="AW2267" s="55"/>
      <c r="AX2267" s="55"/>
      <c r="AY2267" s="67"/>
      <c r="AZ2267" s="24">
        <f t="shared" ref="AZ2267:AZ2270" si="2838">SUM(AU2267:AY2267)</f>
        <v>0</v>
      </c>
      <c r="BA2267" s="24">
        <f t="shared" ref="BA2267:BA2270" si="2839">AH2267+AN2267+AT2267+AZ2267</f>
        <v>0</v>
      </c>
    </row>
    <row r="2268" spans="1:54" ht="14.25" x14ac:dyDescent="0.15">
      <c r="A2268" s="10" t="s">
        <v>181</v>
      </c>
      <c r="B2268" s="14">
        <v>3</v>
      </c>
      <c r="C2268" s="15"/>
      <c r="D2268" s="15"/>
      <c r="E2268" s="15"/>
      <c r="F2268" s="15"/>
      <c r="G2268" s="43">
        <f t="shared" si="2826"/>
        <v>3</v>
      </c>
      <c r="H2268" s="14"/>
      <c r="I2268" s="15">
        <v>3</v>
      </c>
      <c r="J2268" s="15"/>
      <c r="K2268" s="15"/>
      <c r="L2268" s="15"/>
      <c r="M2268" s="43">
        <f t="shared" si="2827"/>
        <v>3</v>
      </c>
      <c r="N2268" s="14"/>
      <c r="O2268" s="55">
        <v>3</v>
      </c>
      <c r="P2268" s="55"/>
      <c r="Q2268" s="55"/>
      <c r="R2268" s="67"/>
      <c r="S2268" s="24">
        <f t="shared" si="2828"/>
        <v>3</v>
      </c>
      <c r="T2268" s="15"/>
      <c r="U2268" s="55"/>
      <c r="V2268" s="55"/>
      <c r="W2268" s="55"/>
      <c r="X2268" s="67"/>
      <c r="Y2268" s="24">
        <f t="shared" si="2829"/>
        <v>0</v>
      </c>
      <c r="Z2268" s="24">
        <f t="shared" si="2830"/>
        <v>9</v>
      </c>
      <c r="AA2268" s="83">
        <v>46172</v>
      </c>
      <c r="AB2268" s="10" t="s">
        <v>181</v>
      </c>
      <c r="AC2268" s="14"/>
      <c r="AD2268" s="15"/>
      <c r="AE2268" s="15"/>
      <c r="AF2268" s="15"/>
      <c r="AG2268" s="15"/>
      <c r="AH2268" s="43">
        <f t="shared" si="2835"/>
        <v>0</v>
      </c>
      <c r="AI2268" s="14"/>
      <c r="AJ2268" s="15"/>
      <c r="AK2268" s="15"/>
      <c r="AL2268" s="15"/>
      <c r="AM2268" s="15"/>
      <c r="AN2268" s="43">
        <f t="shared" si="2836"/>
        <v>0</v>
      </c>
      <c r="AO2268" s="14"/>
      <c r="AP2268" s="55"/>
      <c r="AQ2268" s="55"/>
      <c r="AR2268" s="55"/>
      <c r="AS2268" s="67"/>
      <c r="AT2268" s="24">
        <f t="shared" si="2837"/>
        <v>0</v>
      </c>
      <c r="AU2268" s="15"/>
      <c r="AV2268" s="55"/>
      <c r="AW2268" s="55"/>
      <c r="AX2268" s="55"/>
      <c r="AY2268" s="67"/>
      <c r="AZ2268" s="24">
        <f t="shared" si="2838"/>
        <v>0</v>
      </c>
      <c r="BA2268" s="24">
        <f t="shared" si="2839"/>
        <v>0</v>
      </c>
    </row>
    <row r="2269" spans="1:54" ht="14.25" x14ac:dyDescent="0.15">
      <c r="A2269" s="228" t="s">
        <v>181</v>
      </c>
      <c r="B2269" s="229"/>
      <c r="C2269" s="230"/>
      <c r="D2269" s="230"/>
      <c r="E2269" s="230"/>
      <c r="F2269" s="230"/>
      <c r="G2269" s="22">
        <f t="shared" si="2826"/>
        <v>0</v>
      </c>
      <c r="H2269" s="229"/>
      <c r="I2269" s="230"/>
      <c r="J2269" s="230">
        <v>5</v>
      </c>
      <c r="K2269" s="230"/>
      <c r="L2269" s="230"/>
      <c r="M2269" s="22">
        <f t="shared" si="2827"/>
        <v>5</v>
      </c>
      <c r="N2269" s="229"/>
      <c r="O2269" s="231"/>
      <c r="P2269" s="231"/>
      <c r="Q2269" s="231"/>
      <c r="R2269" s="232"/>
      <c r="S2269" s="225">
        <f t="shared" si="2828"/>
        <v>0</v>
      </c>
      <c r="T2269" s="230"/>
      <c r="U2269" s="231"/>
      <c r="V2269" s="231"/>
      <c r="W2269" s="231"/>
      <c r="X2269" s="232"/>
      <c r="Y2269" s="225">
        <f t="shared" si="2829"/>
        <v>0</v>
      </c>
      <c r="Z2269" s="225">
        <f t="shared" si="2830"/>
        <v>5</v>
      </c>
      <c r="AA2269" s="93">
        <v>46175</v>
      </c>
      <c r="AB2269" s="10" t="s">
        <v>181</v>
      </c>
      <c r="AC2269" s="14"/>
      <c r="AD2269" s="15"/>
      <c r="AE2269" s="15"/>
      <c r="AF2269" s="15"/>
      <c r="AG2269" s="15"/>
      <c r="AH2269" s="43">
        <f t="shared" si="2835"/>
        <v>0</v>
      </c>
      <c r="AI2269" s="14"/>
      <c r="AJ2269" s="15"/>
      <c r="AK2269" s="15"/>
      <c r="AL2269" s="15"/>
      <c r="AM2269" s="15"/>
      <c r="AN2269" s="43">
        <f t="shared" si="2836"/>
        <v>0</v>
      </c>
      <c r="AO2269" s="14"/>
      <c r="AP2269" s="55"/>
      <c r="AQ2269" s="55"/>
      <c r="AR2269" s="55"/>
      <c r="AS2269" s="67"/>
      <c r="AT2269" s="24">
        <f t="shared" si="2837"/>
        <v>0</v>
      </c>
      <c r="AU2269" s="15"/>
      <c r="AV2269" s="55"/>
      <c r="AW2269" s="55"/>
      <c r="AX2269" s="55"/>
      <c r="AY2269" s="67"/>
      <c r="AZ2269" s="24">
        <f t="shared" si="2838"/>
        <v>0</v>
      </c>
      <c r="BA2269" s="24">
        <f t="shared" si="2839"/>
        <v>0</v>
      </c>
    </row>
    <row r="2270" spans="1:54" ht="15" thickBot="1" x14ac:dyDescent="0.2">
      <c r="A2270" s="10" t="s">
        <v>181</v>
      </c>
      <c r="B2270" s="14">
        <v>5</v>
      </c>
      <c r="C2270" s="15"/>
      <c r="D2270" s="15"/>
      <c r="E2270" s="15"/>
      <c r="F2270" s="15"/>
      <c r="G2270" s="43">
        <f t="shared" si="2826"/>
        <v>5</v>
      </c>
      <c r="H2270" s="14">
        <v>3</v>
      </c>
      <c r="I2270" s="15">
        <v>3</v>
      </c>
      <c r="J2270" s="15">
        <v>3</v>
      </c>
      <c r="K2270" s="15"/>
      <c r="L2270" s="15"/>
      <c r="M2270" s="43">
        <f t="shared" si="2827"/>
        <v>9</v>
      </c>
      <c r="N2270" s="14">
        <v>3</v>
      </c>
      <c r="O2270" s="55"/>
      <c r="P2270" s="55">
        <v>5</v>
      </c>
      <c r="Q2270" s="55"/>
      <c r="R2270" s="67">
        <v>3</v>
      </c>
      <c r="S2270" s="24">
        <f t="shared" si="2828"/>
        <v>11</v>
      </c>
      <c r="T2270" s="15"/>
      <c r="U2270" s="55">
        <v>3</v>
      </c>
      <c r="V2270" s="55"/>
      <c r="W2270" s="55"/>
      <c r="X2270" s="67"/>
      <c r="Y2270" s="24">
        <f t="shared" si="2829"/>
        <v>3</v>
      </c>
      <c r="Z2270" s="24">
        <f t="shared" si="2830"/>
        <v>28</v>
      </c>
      <c r="AA2270" s="83">
        <v>46176</v>
      </c>
      <c r="AB2270" s="10" t="s">
        <v>181</v>
      </c>
      <c r="AC2270" s="14"/>
      <c r="AD2270" s="15"/>
      <c r="AE2270" s="15"/>
      <c r="AF2270" s="15"/>
      <c r="AG2270" s="15"/>
      <c r="AH2270" s="43">
        <f t="shared" si="2835"/>
        <v>0</v>
      </c>
      <c r="AI2270" s="14"/>
      <c r="AJ2270" s="15"/>
      <c r="AK2270" s="15"/>
      <c r="AL2270" s="15"/>
      <c r="AM2270" s="15"/>
      <c r="AN2270" s="43">
        <f t="shared" si="2836"/>
        <v>0</v>
      </c>
      <c r="AO2270" s="14"/>
      <c r="AP2270" s="55"/>
      <c r="AQ2270" s="55"/>
      <c r="AR2270" s="55"/>
      <c r="AS2270" s="67"/>
      <c r="AT2270" s="24">
        <f t="shared" si="2837"/>
        <v>0</v>
      </c>
      <c r="AU2270" s="15"/>
      <c r="AV2270" s="55"/>
      <c r="AW2270" s="55"/>
      <c r="AX2270" s="55"/>
      <c r="AY2270" s="67"/>
      <c r="AZ2270" s="24">
        <f t="shared" si="2838"/>
        <v>0</v>
      </c>
      <c r="BA2270" s="24">
        <f t="shared" si="2839"/>
        <v>0</v>
      </c>
    </row>
    <row r="2271" spans="1:54" ht="15" thickBot="1" x14ac:dyDescent="0.2">
      <c r="A2271" s="4" t="s">
        <v>12</v>
      </c>
      <c r="B2271" s="17">
        <f>SUM(B2266:B2270)</f>
        <v>10</v>
      </c>
      <c r="C2271" s="18">
        <f>SUM(C2266:C2270)</f>
        <v>1</v>
      </c>
      <c r="D2271" s="18">
        <f>SUM(D2266:D2270)</f>
        <v>0</v>
      </c>
      <c r="E2271" s="18">
        <f>SUM(E2266:E2270)</f>
        <v>0</v>
      </c>
      <c r="F2271" s="18">
        <f>SUM(F2266:F2270)</f>
        <v>0</v>
      </c>
      <c r="G2271" s="148">
        <f t="shared" si="2826"/>
        <v>11</v>
      </c>
      <c r="H2271" s="17">
        <f>SUM(H2266:H2270)</f>
        <v>10</v>
      </c>
      <c r="I2271" s="18">
        <f>SUM(I2266:I2270)</f>
        <v>12</v>
      </c>
      <c r="J2271" s="18">
        <f>SUM(J2266:J2270)</f>
        <v>12</v>
      </c>
      <c r="K2271" s="18">
        <f>SUM(K2266:K2270)</f>
        <v>0</v>
      </c>
      <c r="L2271" s="18">
        <f>SUM(L2266:L2270)</f>
        <v>1</v>
      </c>
      <c r="M2271" s="17">
        <f t="shared" si="2827"/>
        <v>35</v>
      </c>
      <c r="N2271" s="65">
        <f>SUM(N2266:N2270)</f>
        <v>10</v>
      </c>
      <c r="O2271" s="18">
        <f>SUM(O2266:O2270)</f>
        <v>8</v>
      </c>
      <c r="P2271" s="18">
        <f>SUM(P2266:P2270)</f>
        <v>11</v>
      </c>
      <c r="Q2271" s="18">
        <f>SUM(Q2266:Q2270)</f>
        <v>7</v>
      </c>
      <c r="R2271" s="70">
        <f>SUM(R2266:R2270)</f>
        <v>6</v>
      </c>
      <c r="S2271" s="49">
        <f t="shared" si="2828"/>
        <v>42</v>
      </c>
      <c r="T2271" s="74">
        <f>SUM(T2266:T2270)</f>
        <v>7</v>
      </c>
      <c r="U2271" s="18">
        <f>SUM(U2266:U2270)</f>
        <v>11</v>
      </c>
      <c r="V2271" s="18">
        <f>SUM(V2266:V2270)</f>
        <v>5</v>
      </c>
      <c r="W2271" s="18">
        <f>SUM(W2266:W2270)</f>
        <v>0</v>
      </c>
      <c r="X2271" s="70">
        <f>SUM(X2266:X2270)</f>
        <v>7</v>
      </c>
      <c r="Y2271" s="49">
        <f t="shared" si="2829"/>
        <v>30</v>
      </c>
      <c r="Z2271" s="33">
        <f t="shared" si="2830"/>
        <v>118</v>
      </c>
      <c r="AB2271" s="4" t="s">
        <v>12</v>
      </c>
      <c r="AC2271" s="17">
        <f>SUM(AC2266:AC2270)</f>
        <v>63</v>
      </c>
      <c r="AD2271" s="18">
        <f t="shared" ref="AD2271:AG2271" si="2840">SUM(AD2266:AD2270)</f>
        <v>5</v>
      </c>
      <c r="AE2271" s="18">
        <f t="shared" si="2840"/>
        <v>5</v>
      </c>
      <c r="AF2271" s="18">
        <f t="shared" si="2840"/>
        <v>0</v>
      </c>
      <c r="AG2271" s="18">
        <f t="shared" si="2840"/>
        <v>0</v>
      </c>
      <c r="AH2271" s="148">
        <f>SUM(AC2271:AG2271)</f>
        <v>73</v>
      </c>
      <c r="AI2271" s="17">
        <f>SUM(AI2266:AI2270)</f>
        <v>54</v>
      </c>
      <c r="AJ2271" s="18">
        <f t="shared" ref="AJ2271:AM2271" si="2841">SUM(AJ2266:AJ2270)</f>
        <v>12</v>
      </c>
      <c r="AK2271" s="18">
        <f t="shared" si="2841"/>
        <v>8</v>
      </c>
      <c r="AL2271" s="18">
        <f t="shared" si="2841"/>
        <v>0</v>
      </c>
      <c r="AM2271" s="18">
        <f t="shared" si="2841"/>
        <v>0</v>
      </c>
      <c r="AN2271" s="148">
        <f>SUM(AI2271:AM2271)</f>
        <v>74</v>
      </c>
      <c r="AO2271" s="17">
        <f>SUM(AO2266:AO2270)</f>
        <v>131</v>
      </c>
      <c r="AP2271" s="18">
        <f t="shared" ref="AP2271:AS2271" si="2842">SUM(AP2266:AP2270)</f>
        <v>63</v>
      </c>
      <c r="AQ2271" s="18">
        <f t="shared" si="2842"/>
        <v>58</v>
      </c>
      <c r="AR2271" s="18">
        <f t="shared" si="2842"/>
        <v>72</v>
      </c>
      <c r="AS2271" s="18">
        <f t="shared" si="2842"/>
        <v>101</v>
      </c>
      <c r="AT2271" s="148">
        <f>SUM(AO2271:AS2271)</f>
        <v>425</v>
      </c>
      <c r="AU2271" s="17">
        <f>SUM(AU2266:AU2270)</f>
        <v>94</v>
      </c>
      <c r="AV2271" s="18">
        <f t="shared" ref="AV2271:AY2271" si="2843">SUM(AV2266:AV2270)</f>
        <v>31</v>
      </c>
      <c r="AW2271" s="18">
        <f t="shared" si="2843"/>
        <v>0</v>
      </c>
      <c r="AX2271" s="18">
        <f t="shared" si="2843"/>
        <v>0</v>
      </c>
      <c r="AY2271" s="18">
        <f t="shared" si="2843"/>
        <v>44</v>
      </c>
      <c r="AZ2271" s="148">
        <f>SUM(AU2271:AY2271)</f>
        <v>169</v>
      </c>
      <c r="BA2271" s="33">
        <f>AH2271+AN2271+AT2271+AZ2271</f>
        <v>741</v>
      </c>
    </row>
    <row r="2272" spans="1:54" ht="14.25" x14ac:dyDescent="0.15">
      <c r="A2272" s="23" t="s">
        <v>699</v>
      </c>
      <c r="B2272" s="41"/>
      <c r="C2272" s="42"/>
      <c r="D2272" s="42"/>
      <c r="E2272" s="42"/>
      <c r="F2272" s="42"/>
      <c r="G2272" s="43">
        <f t="shared" si="2826"/>
        <v>0</v>
      </c>
      <c r="H2272" s="41"/>
      <c r="I2272" s="42">
        <v>1</v>
      </c>
      <c r="J2272" s="42"/>
      <c r="K2272" s="42"/>
      <c r="L2272" s="42"/>
      <c r="M2272" s="43">
        <f t="shared" si="2827"/>
        <v>1</v>
      </c>
      <c r="N2272" s="42"/>
      <c r="O2272" s="53"/>
      <c r="P2272" s="53"/>
      <c r="Q2272" s="53"/>
      <c r="R2272" s="72"/>
      <c r="S2272" s="24">
        <f t="shared" si="2828"/>
        <v>0</v>
      </c>
      <c r="T2272" s="42"/>
      <c r="U2272" s="53"/>
      <c r="V2272" s="53"/>
      <c r="W2272" s="53"/>
      <c r="X2272" s="72"/>
      <c r="Y2272" s="24">
        <f t="shared" si="2829"/>
        <v>0</v>
      </c>
      <c r="Z2272" s="24">
        <f t="shared" si="2830"/>
        <v>1</v>
      </c>
      <c r="AA2272" s="93">
        <v>46168</v>
      </c>
      <c r="AB2272" s="23" t="s">
        <v>731</v>
      </c>
      <c r="AC2272" s="41"/>
      <c r="AD2272" s="42"/>
      <c r="AE2272" s="42"/>
      <c r="AF2272" s="42"/>
      <c r="AG2272" s="42"/>
      <c r="AH2272" s="43">
        <f t="shared" ref="AH2272" si="2844">SUM(AC2272:AG2272)</f>
        <v>0</v>
      </c>
      <c r="AI2272" s="41"/>
      <c r="AJ2272" s="42"/>
      <c r="AK2272" s="42"/>
      <c r="AL2272" s="42"/>
      <c r="AM2272" s="42"/>
      <c r="AN2272" s="43">
        <f t="shared" ref="AN2272" si="2845">SUM(AI2272:AM2272)</f>
        <v>0</v>
      </c>
      <c r="AO2272" s="42">
        <v>3</v>
      </c>
      <c r="AP2272" s="53"/>
      <c r="AQ2272" s="53"/>
      <c r="AR2272" s="53">
        <v>5</v>
      </c>
      <c r="AS2272" s="72"/>
      <c r="AT2272" s="24">
        <f t="shared" ref="AT2272" si="2846">SUM(AO2272:AS2272)</f>
        <v>8</v>
      </c>
      <c r="AU2272" s="42"/>
      <c r="AV2272" s="53">
        <v>5</v>
      </c>
      <c r="AW2272" s="53"/>
      <c r="AX2272" s="53"/>
      <c r="AY2272" s="72">
        <v>5</v>
      </c>
      <c r="AZ2272" s="24">
        <f t="shared" ref="AZ2272" si="2847">SUM(AU2272:AY2272)</f>
        <v>10</v>
      </c>
      <c r="BA2272" s="24">
        <f t="shared" ref="BA2272" si="2848">AH2272+AN2272+AT2272+AZ2272</f>
        <v>18</v>
      </c>
      <c r="BB2272" s="83">
        <v>46171</v>
      </c>
    </row>
    <row r="2273" spans="1:55" ht="14.25" x14ac:dyDescent="0.15">
      <c r="A2273" s="23" t="s">
        <v>729</v>
      </c>
      <c r="B2273" s="41"/>
      <c r="C2273" s="42"/>
      <c r="D2273" s="42"/>
      <c r="E2273" s="42"/>
      <c r="F2273" s="42"/>
      <c r="G2273" s="43">
        <f t="shared" si="2826"/>
        <v>0</v>
      </c>
      <c r="H2273" s="41"/>
      <c r="I2273" s="42"/>
      <c r="J2273" s="42"/>
      <c r="K2273" s="42"/>
      <c r="L2273" s="42"/>
      <c r="M2273" s="43">
        <f t="shared" si="2827"/>
        <v>0</v>
      </c>
      <c r="N2273" s="42"/>
      <c r="O2273" s="53"/>
      <c r="P2273" s="53"/>
      <c r="Q2273" s="53"/>
      <c r="R2273" s="72"/>
      <c r="S2273" s="24">
        <f t="shared" si="2828"/>
        <v>0</v>
      </c>
      <c r="T2273" s="42"/>
      <c r="U2273" s="53"/>
      <c r="V2273" s="53">
        <v>1</v>
      </c>
      <c r="W2273" s="53"/>
      <c r="X2273" s="72"/>
      <c r="Y2273" s="24">
        <f t="shared" si="2829"/>
        <v>1</v>
      </c>
      <c r="Z2273" s="24">
        <f t="shared" si="2830"/>
        <v>1</v>
      </c>
      <c r="AA2273" s="83">
        <v>46171</v>
      </c>
      <c r="AB2273" s="23" t="s">
        <v>722</v>
      </c>
      <c r="AC2273" s="41">
        <v>3</v>
      </c>
      <c r="AD2273" s="42"/>
      <c r="AE2273" s="42"/>
      <c r="AF2273" s="42"/>
      <c r="AG2273" s="42"/>
      <c r="AH2273" s="43">
        <f t="shared" ref="AH2273:AH2275" si="2849">SUM(AC2273:AG2273)</f>
        <v>3</v>
      </c>
      <c r="AI2273" s="41"/>
      <c r="AJ2273" s="42">
        <v>3</v>
      </c>
      <c r="AK2273" s="42"/>
      <c r="AL2273" s="42"/>
      <c r="AM2273" s="42"/>
      <c r="AN2273" s="43">
        <f t="shared" ref="AN2273:AN2275" si="2850">SUM(AI2273:AM2273)</f>
        <v>3</v>
      </c>
      <c r="AO2273" s="42"/>
      <c r="AP2273" s="53">
        <v>3</v>
      </c>
      <c r="AQ2273" s="53">
        <v>3</v>
      </c>
      <c r="AR2273" s="53"/>
      <c r="AS2273" s="72"/>
      <c r="AT2273" s="24">
        <f t="shared" ref="AT2273:AT2275" si="2851">SUM(AO2273:AS2273)</f>
        <v>6</v>
      </c>
      <c r="AU2273" s="42"/>
      <c r="AV2273" s="53"/>
      <c r="AW2273" s="53"/>
      <c r="AX2273" s="53"/>
      <c r="AY2273" s="72"/>
      <c r="AZ2273" s="24">
        <f t="shared" ref="AZ2273:AZ2275" si="2852">SUM(AU2273:AY2273)</f>
        <v>0</v>
      </c>
      <c r="BA2273" s="24">
        <f t="shared" ref="BA2273:BA2275" si="2853">AH2273+AN2273+AT2273+AZ2273</f>
        <v>12</v>
      </c>
      <c r="BB2273" s="83">
        <v>46172</v>
      </c>
    </row>
    <row r="2274" spans="1:55" ht="14.25" x14ac:dyDescent="0.15">
      <c r="A2274" s="23" t="s">
        <v>438</v>
      </c>
      <c r="B2274" s="41"/>
      <c r="C2274" s="42"/>
      <c r="D2274" s="42"/>
      <c r="E2274" s="42"/>
      <c r="F2274" s="42"/>
      <c r="G2274" s="43">
        <f t="shared" si="2826"/>
        <v>0</v>
      </c>
      <c r="H2274" s="41"/>
      <c r="I2274" s="42"/>
      <c r="J2274" s="42"/>
      <c r="K2274" s="42"/>
      <c r="L2274" s="42"/>
      <c r="M2274" s="43">
        <f t="shared" si="2827"/>
        <v>0</v>
      </c>
      <c r="N2274" s="42"/>
      <c r="O2274" s="53">
        <v>1</v>
      </c>
      <c r="P2274" s="53">
        <v>1</v>
      </c>
      <c r="Q2274" s="53"/>
      <c r="R2274" s="72"/>
      <c r="S2274" s="24">
        <f t="shared" si="2828"/>
        <v>2</v>
      </c>
      <c r="T2274" s="42"/>
      <c r="U2274" s="53">
        <v>1</v>
      </c>
      <c r="V2274" s="53">
        <v>1</v>
      </c>
      <c r="W2274" s="53"/>
      <c r="X2274" s="72"/>
      <c r="Y2274" s="24">
        <f t="shared" si="2829"/>
        <v>2</v>
      </c>
      <c r="Z2274" s="24">
        <f t="shared" si="2830"/>
        <v>4</v>
      </c>
      <c r="AA2274" s="83">
        <v>46172</v>
      </c>
      <c r="AB2274" s="224" t="s">
        <v>723</v>
      </c>
      <c r="AC2274" s="12"/>
      <c r="AD2274" s="13"/>
      <c r="AE2274" s="13"/>
      <c r="AF2274" s="13"/>
      <c r="AG2274" s="13"/>
      <c r="AH2274" s="22">
        <f t="shared" si="2849"/>
        <v>0</v>
      </c>
      <c r="AI2274" s="12"/>
      <c r="AJ2274" s="13"/>
      <c r="AK2274" s="13">
        <v>5</v>
      </c>
      <c r="AL2274" s="13"/>
      <c r="AM2274" s="13"/>
      <c r="AN2274" s="22">
        <f t="shared" si="2850"/>
        <v>5</v>
      </c>
      <c r="AO2274" s="13"/>
      <c r="AP2274" s="54"/>
      <c r="AQ2274" s="54"/>
      <c r="AR2274" s="54"/>
      <c r="AS2274" s="68"/>
      <c r="AT2274" s="225">
        <f t="shared" si="2851"/>
        <v>0</v>
      </c>
      <c r="AU2274" s="13"/>
      <c r="AV2274" s="54"/>
      <c r="AW2274" s="54"/>
      <c r="AX2274" s="54"/>
      <c r="AY2274" s="68"/>
      <c r="AZ2274" s="225">
        <f t="shared" si="2852"/>
        <v>0</v>
      </c>
      <c r="BA2274" s="225">
        <f t="shared" si="2853"/>
        <v>5</v>
      </c>
      <c r="BB2274" s="93">
        <v>46175</v>
      </c>
    </row>
    <row r="2275" spans="1:55" ht="14.25" x14ac:dyDescent="0.15">
      <c r="A2275" s="23" t="s">
        <v>730</v>
      </c>
      <c r="B2275" s="41"/>
      <c r="C2275" s="42"/>
      <c r="D2275" s="42"/>
      <c r="E2275" s="42"/>
      <c r="F2275" s="42"/>
      <c r="G2275" s="43">
        <f t="shared" si="2826"/>
        <v>0</v>
      </c>
      <c r="H2275" s="41"/>
      <c r="I2275" s="42"/>
      <c r="J2275" s="42"/>
      <c r="K2275" s="42"/>
      <c r="L2275" s="42"/>
      <c r="M2275" s="43">
        <f t="shared" si="2827"/>
        <v>0</v>
      </c>
      <c r="N2275" s="42"/>
      <c r="O2275" s="53"/>
      <c r="P2275" s="53"/>
      <c r="Q2275" s="53">
        <v>1</v>
      </c>
      <c r="R2275" s="72"/>
      <c r="S2275" s="24">
        <f t="shared" si="2828"/>
        <v>1</v>
      </c>
      <c r="T2275" s="42"/>
      <c r="U2275" s="53"/>
      <c r="V2275" s="53"/>
      <c r="W2275" s="53"/>
      <c r="X2275" s="72"/>
      <c r="Y2275" s="24">
        <f t="shared" si="2829"/>
        <v>0</v>
      </c>
      <c r="Z2275" s="24">
        <f t="shared" si="2830"/>
        <v>1</v>
      </c>
      <c r="AA2275" s="83">
        <v>46171</v>
      </c>
      <c r="AB2275" s="23" t="s">
        <v>723</v>
      </c>
      <c r="AC2275" s="41">
        <v>5</v>
      </c>
      <c r="AD2275" s="42"/>
      <c r="AE2275" s="42"/>
      <c r="AF2275" s="42"/>
      <c r="AG2275" s="42"/>
      <c r="AH2275" s="43">
        <f t="shared" si="2849"/>
        <v>5</v>
      </c>
      <c r="AI2275" s="41">
        <v>3</v>
      </c>
      <c r="AJ2275" s="42">
        <v>3</v>
      </c>
      <c r="AK2275" s="42">
        <v>3</v>
      </c>
      <c r="AL2275" s="42"/>
      <c r="AM2275" s="42"/>
      <c r="AN2275" s="43">
        <f t="shared" si="2850"/>
        <v>9</v>
      </c>
      <c r="AO2275" s="42">
        <v>3</v>
      </c>
      <c r="AP2275" s="53"/>
      <c r="AQ2275" s="53">
        <v>5</v>
      </c>
      <c r="AR2275" s="53"/>
      <c r="AS2275" s="72">
        <v>3</v>
      </c>
      <c r="AT2275" s="24">
        <f t="shared" si="2851"/>
        <v>11</v>
      </c>
      <c r="AU2275" s="42"/>
      <c r="AV2275" s="53">
        <v>3</v>
      </c>
      <c r="AW2275" s="53"/>
      <c r="AX2275" s="53"/>
      <c r="AY2275" s="72"/>
      <c r="AZ2275" s="24">
        <f t="shared" si="2852"/>
        <v>3</v>
      </c>
      <c r="BA2275" s="24">
        <f t="shared" si="2853"/>
        <v>28</v>
      </c>
      <c r="BB2275" s="83">
        <v>46176</v>
      </c>
    </row>
    <row r="2276" spans="1:55" ht="14.25" x14ac:dyDescent="0.15">
      <c r="A2276" s="23" t="s">
        <v>699</v>
      </c>
      <c r="B2276" s="41"/>
      <c r="C2276" s="42"/>
      <c r="D2276" s="42"/>
      <c r="E2276" s="42"/>
      <c r="F2276" s="42"/>
      <c r="G2276" s="43">
        <f t="shared" si="2826"/>
        <v>0</v>
      </c>
      <c r="H2276" s="41"/>
      <c r="I2276" s="42">
        <v>1</v>
      </c>
      <c r="J2276" s="42"/>
      <c r="K2276" s="42"/>
      <c r="L2276" s="42"/>
      <c r="M2276" s="43">
        <f t="shared" si="2827"/>
        <v>1</v>
      </c>
      <c r="N2276" s="42">
        <v>2</v>
      </c>
      <c r="O2276" s="53"/>
      <c r="P2276" s="53">
        <v>1</v>
      </c>
      <c r="Q2276" s="53"/>
      <c r="R2276" s="72"/>
      <c r="S2276" s="24">
        <f t="shared" si="2828"/>
        <v>3</v>
      </c>
      <c r="T2276" s="42"/>
      <c r="U2276" s="53"/>
      <c r="V2276" s="53"/>
      <c r="W2276" s="53"/>
      <c r="X2276" s="72"/>
      <c r="Y2276" s="24">
        <f t="shared" si="2829"/>
        <v>0</v>
      </c>
      <c r="Z2276" s="24">
        <f t="shared" si="2830"/>
        <v>4</v>
      </c>
      <c r="AA2276" s="93">
        <v>46170</v>
      </c>
      <c r="AB2276" s="23" t="s">
        <v>723</v>
      </c>
      <c r="AC2276" s="41"/>
      <c r="AD2276" s="42"/>
      <c r="AE2276" s="42"/>
      <c r="AF2276" s="42"/>
      <c r="AG2276" s="42"/>
      <c r="AH2276" s="43">
        <f t="shared" ref="AH2276:AH2296" si="2854">SUM(AC2276:AG2276)</f>
        <v>0</v>
      </c>
      <c r="AI2276" s="41"/>
      <c r="AJ2276" s="42"/>
      <c r="AK2276" s="42"/>
      <c r="AL2276" s="42"/>
      <c r="AM2276" s="42"/>
      <c r="AN2276" s="43">
        <f t="shared" ref="AN2276:AN2296" si="2855">SUM(AI2276:AM2276)</f>
        <v>0</v>
      </c>
      <c r="AO2276" s="42"/>
      <c r="AP2276" s="53"/>
      <c r="AQ2276" s="53"/>
      <c r="AR2276" s="53">
        <v>5</v>
      </c>
      <c r="AS2276" s="72"/>
      <c r="AT2276" s="24">
        <f t="shared" ref="AT2276:AT2296" si="2856">SUM(AO2276:AS2276)</f>
        <v>5</v>
      </c>
      <c r="AU2276" s="42"/>
      <c r="AV2276" s="53"/>
      <c r="AW2276" s="53"/>
      <c r="AX2276" s="53"/>
      <c r="AY2276" s="72"/>
      <c r="AZ2276" s="24">
        <f t="shared" ref="AZ2276:AZ2296" si="2857">SUM(AU2276:AY2276)</f>
        <v>0</v>
      </c>
      <c r="BA2276" s="24">
        <f t="shared" ref="BA2276:BA2299" si="2858">AH2276+AN2276+AT2276+AZ2276</f>
        <v>5</v>
      </c>
      <c r="BB2276" s="83">
        <v>46178</v>
      </c>
      <c r="BC2276" s="111"/>
    </row>
    <row r="2277" spans="1:55" ht="14.25" x14ac:dyDescent="0.15">
      <c r="A2277" s="23" t="s">
        <v>438</v>
      </c>
      <c r="B2277" s="41"/>
      <c r="C2277" s="42"/>
      <c r="D2277" s="42"/>
      <c r="E2277" s="42"/>
      <c r="F2277" s="42"/>
      <c r="G2277" s="43">
        <f t="shared" si="2826"/>
        <v>0</v>
      </c>
      <c r="H2277" s="41"/>
      <c r="I2277" s="42"/>
      <c r="J2277" s="42"/>
      <c r="K2277" s="42"/>
      <c r="L2277" s="42"/>
      <c r="M2277" s="43">
        <f t="shared" si="2827"/>
        <v>0</v>
      </c>
      <c r="N2277" s="42"/>
      <c r="O2277" s="53">
        <v>1</v>
      </c>
      <c r="P2277" s="53">
        <v>1</v>
      </c>
      <c r="Q2277" s="53"/>
      <c r="R2277" s="72"/>
      <c r="S2277" s="24">
        <f t="shared" si="2828"/>
        <v>2</v>
      </c>
      <c r="T2277" s="42"/>
      <c r="U2277" s="53">
        <v>1</v>
      </c>
      <c r="V2277" s="53">
        <v>1</v>
      </c>
      <c r="W2277" s="53"/>
      <c r="X2277" s="72"/>
      <c r="Y2277" s="24">
        <f t="shared" si="2829"/>
        <v>2</v>
      </c>
      <c r="Z2277" s="24">
        <f t="shared" si="2830"/>
        <v>4</v>
      </c>
      <c r="AA2277" s="83">
        <v>46174</v>
      </c>
      <c r="AB2277" s="23" t="s">
        <v>723</v>
      </c>
      <c r="AC2277" s="41"/>
      <c r="AD2277" s="42">
        <v>5</v>
      </c>
      <c r="AE2277" s="42">
        <v>5</v>
      </c>
      <c r="AF2277" s="42"/>
      <c r="AG2277" s="42"/>
      <c r="AH2277" s="43">
        <f t="shared" si="2854"/>
        <v>10</v>
      </c>
      <c r="AI2277" s="41"/>
      <c r="AJ2277" s="42"/>
      <c r="AK2277" s="42"/>
      <c r="AL2277" s="42"/>
      <c r="AM2277" s="42"/>
      <c r="AN2277" s="43">
        <f t="shared" si="2855"/>
        <v>0</v>
      </c>
      <c r="AO2277" s="42"/>
      <c r="AP2277" s="53"/>
      <c r="AQ2277" s="53">
        <v>5</v>
      </c>
      <c r="AR2277" s="53"/>
      <c r="AS2277" s="72">
        <v>5</v>
      </c>
      <c r="AT2277" s="24">
        <f t="shared" si="2856"/>
        <v>10</v>
      </c>
      <c r="AU2277" s="42"/>
      <c r="AV2277" s="53"/>
      <c r="AW2277" s="53"/>
      <c r="AX2277" s="53"/>
      <c r="AY2277" s="72"/>
      <c r="AZ2277" s="24">
        <f t="shared" si="2857"/>
        <v>0</v>
      </c>
      <c r="BA2277" s="24">
        <f t="shared" si="2858"/>
        <v>20</v>
      </c>
      <c r="BB2277" s="83">
        <v>46179</v>
      </c>
      <c r="BC2277" s="111"/>
    </row>
    <row r="2278" spans="1:55" ht="14.25" x14ac:dyDescent="0.15">
      <c r="A2278" s="23" t="s">
        <v>699</v>
      </c>
      <c r="B2278" s="41"/>
      <c r="C2278" s="42"/>
      <c r="D2278" s="42"/>
      <c r="E2278" s="42"/>
      <c r="F2278" s="42"/>
      <c r="G2278" s="43">
        <f t="shared" si="2826"/>
        <v>0</v>
      </c>
      <c r="H2278" s="41">
        <v>1</v>
      </c>
      <c r="I2278" s="42">
        <v>1</v>
      </c>
      <c r="J2278" s="42"/>
      <c r="K2278" s="42"/>
      <c r="L2278" s="42"/>
      <c r="M2278" s="43">
        <f t="shared" si="2827"/>
        <v>2</v>
      </c>
      <c r="N2278" s="42"/>
      <c r="O2278" s="53"/>
      <c r="P2278" s="53"/>
      <c r="Q2278" s="53"/>
      <c r="R2278" s="72"/>
      <c r="S2278" s="24">
        <f t="shared" si="2828"/>
        <v>0</v>
      </c>
      <c r="T2278" s="42"/>
      <c r="U2278" s="53">
        <v>1</v>
      </c>
      <c r="V2278" s="53"/>
      <c r="W2278" s="53"/>
      <c r="X2278" s="72"/>
      <c r="Y2278" s="24">
        <f t="shared" si="2829"/>
        <v>1</v>
      </c>
      <c r="Z2278" s="24">
        <f t="shared" si="2830"/>
        <v>3</v>
      </c>
      <c r="AA2278" s="93">
        <v>46171</v>
      </c>
      <c r="AB2278" s="224" t="s">
        <v>723</v>
      </c>
      <c r="AC2278" s="12"/>
      <c r="AD2278" s="13"/>
      <c r="AE2278" s="13"/>
      <c r="AF2278" s="13"/>
      <c r="AG2278" s="13"/>
      <c r="AH2278" s="22">
        <f t="shared" si="2854"/>
        <v>0</v>
      </c>
      <c r="AI2278" s="12"/>
      <c r="AJ2278" s="13"/>
      <c r="AK2278" s="13"/>
      <c r="AL2278" s="13"/>
      <c r="AM2278" s="13"/>
      <c r="AN2278" s="22">
        <f t="shared" si="2855"/>
        <v>0</v>
      </c>
      <c r="AO2278" s="13"/>
      <c r="AP2278" s="54"/>
      <c r="AQ2278" s="54"/>
      <c r="AR2278" s="54">
        <v>3</v>
      </c>
      <c r="AS2278" s="68"/>
      <c r="AT2278" s="225">
        <f t="shared" si="2856"/>
        <v>3</v>
      </c>
      <c r="AU2278" s="13"/>
      <c r="AV2278" s="54"/>
      <c r="AW2278" s="54"/>
      <c r="AX2278" s="54"/>
      <c r="AY2278" s="68"/>
      <c r="AZ2278" s="225">
        <f t="shared" si="2857"/>
        <v>0</v>
      </c>
      <c r="BA2278" s="225">
        <f t="shared" si="2858"/>
        <v>3</v>
      </c>
      <c r="BB2278" s="93">
        <v>46183</v>
      </c>
    </row>
    <row r="2279" spans="1:55" ht="14.25" x14ac:dyDescent="0.15">
      <c r="A2279" s="23" t="s">
        <v>699</v>
      </c>
      <c r="B2279" s="41">
        <v>1</v>
      </c>
      <c r="C2279" s="42">
        <v>1</v>
      </c>
      <c r="D2279" s="42"/>
      <c r="E2279" s="42"/>
      <c r="F2279" s="42"/>
      <c r="G2279" s="43">
        <f t="shared" si="2826"/>
        <v>2</v>
      </c>
      <c r="H2279" s="41">
        <v>1</v>
      </c>
      <c r="I2279" s="42">
        <v>1</v>
      </c>
      <c r="J2279" s="42">
        <v>4</v>
      </c>
      <c r="K2279" s="42"/>
      <c r="L2279" s="42">
        <v>1</v>
      </c>
      <c r="M2279" s="43">
        <f t="shared" si="2827"/>
        <v>7</v>
      </c>
      <c r="N2279" s="42">
        <v>1</v>
      </c>
      <c r="O2279" s="53"/>
      <c r="P2279" s="53"/>
      <c r="Q2279" s="53">
        <v>1</v>
      </c>
      <c r="R2279" s="72">
        <v>2</v>
      </c>
      <c r="S2279" s="24">
        <f t="shared" si="2828"/>
        <v>4</v>
      </c>
      <c r="T2279" s="42"/>
      <c r="U2279" s="53"/>
      <c r="V2279" s="53"/>
      <c r="W2279" s="53"/>
      <c r="X2279" s="72"/>
      <c r="Y2279" s="24">
        <f t="shared" si="2829"/>
        <v>0</v>
      </c>
      <c r="Z2279" s="24">
        <f t="shared" si="2830"/>
        <v>13</v>
      </c>
      <c r="AA2279" s="93">
        <v>46174</v>
      </c>
      <c r="AB2279" s="224" t="s">
        <v>723</v>
      </c>
      <c r="AC2279" s="12"/>
      <c r="AD2279" s="13"/>
      <c r="AE2279" s="13"/>
      <c r="AF2279" s="13"/>
      <c r="AG2279" s="13"/>
      <c r="AH2279" s="22">
        <f t="shared" si="2854"/>
        <v>0</v>
      </c>
      <c r="AI2279" s="12"/>
      <c r="AJ2279" s="13"/>
      <c r="AK2279" s="13"/>
      <c r="AL2279" s="13"/>
      <c r="AM2279" s="13"/>
      <c r="AN2279" s="22">
        <f t="shared" si="2855"/>
        <v>0</v>
      </c>
      <c r="AO2279" s="13"/>
      <c r="AP2279" s="54"/>
      <c r="AQ2279" s="54"/>
      <c r="AR2279" s="54"/>
      <c r="AS2279" s="68"/>
      <c r="AT2279" s="225">
        <f t="shared" si="2856"/>
        <v>0</v>
      </c>
      <c r="AU2279" s="13"/>
      <c r="AV2279" s="54"/>
      <c r="AW2279" s="54"/>
      <c r="AX2279" s="54"/>
      <c r="AY2279" s="68">
        <v>3</v>
      </c>
      <c r="AZ2279" s="225">
        <f t="shared" si="2857"/>
        <v>3</v>
      </c>
      <c r="BA2279" s="225">
        <f t="shared" si="2858"/>
        <v>3</v>
      </c>
      <c r="BB2279" s="93">
        <v>46190</v>
      </c>
    </row>
    <row r="2280" spans="1:55" ht="14.25" x14ac:dyDescent="0.15">
      <c r="A2280" s="23" t="s">
        <v>438</v>
      </c>
      <c r="B2280" s="41">
        <v>1</v>
      </c>
      <c r="C2280" s="42"/>
      <c r="D2280" s="42"/>
      <c r="E2280" s="42"/>
      <c r="F2280" s="42"/>
      <c r="G2280" s="43">
        <f t="shared" si="2826"/>
        <v>1</v>
      </c>
      <c r="H2280" s="41"/>
      <c r="I2280" s="42"/>
      <c r="J2280" s="42"/>
      <c r="K2280" s="42"/>
      <c r="L2280" s="42"/>
      <c r="M2280" s="43">
        <f t="shared" si="2827"/>
        <v>0</v>
      </c>
      <c r="N2280" s="42"/>
      <c r="O2280" s="53">
        <v>1</v>
      </c>
      <c r="P2280" s="53">
        <v>4</v>
      </c>
      <c r="Q2280" s="53"/>
      <c r="R2280" s="72"/>
      <c r="S2280" s="24">
        <f t="shared" si="2828"/>
        <v>5</v>
      </c>
      <c r="T2280" s="42"/>
      <c r="U2280" s="53">
        <v>1</v>
      </c>
      <c r="V2280" s="53">
        <v>1</v>
      </c>
      <c r="W2280" s="53"/>
      <c r="X2280" s="72"/>
      <c r="Y2280" s="24">
        <f t="shared" si="2829"/>
        <v>2</v>
      </c>
      <c r="Z2280" s="24">
        <f t="shared" si="2830"/>
        <v>8</v>
      </c>
      <c r="AA2280" s="83">
        <v>46177</v>
      </c>
      <c r="AB2280" s="23"/>
      <c r="AC2280" s="41"/>
      <c r="AD2280" s="42"/>
      <c r="AE2280" s="42"/>
      <c r="AF2280" s="42"/>
      <c r="AG2280" s="42"/>
      <c r="AH2280" s="43">
        <f t="shared" si="2854"/>
        <v>0</v>
      </c>
      <c r="AI2280" s="41"/>
      <c r="AJ2280" s="42"/>
      <c r="AK2280" s="42"/>
      <c r="AL2280" s="42"/>
      <c r="AM2280" s="42"/>
      <c r="AN2280" s="43">
        <f t="shared" si="2855"/>
        <v>0</v>
      </c>
      <c r="AO2280" s="42"/>
      <c r="AP2280" s="53"/>
      <c r="AQ2280" s="53"/>
      <c r="AR2280" s="53"/>
      <c r="AS2280" s="72"/>
      <c r="AT2280" s="24">
        <f t="shared" si="2856"/>
        <v>0</v>
      </c>
      <c r="AU2280" s="42"/>
      <c r="AV2280" s="53"/>
      <c r="AW2280" s="53"/>
      <c r="AX2280" s="53"/>
      <c r="AY2280" s="72"/>
      <c r="AZ2280" s="24">
        <f t="shared" si="2857"/>
        <v>0</v>
      </c>
      <c r="BA2280" s="24">
        <f t="shared" si="2858"/>
        <v>0</v>
      </c>
    </row>
    <row r="2281" spans="1:55" ht="14.25" x14ac:dyDescent="0.15">
      <c r="A2281" s="23" t="s">
        <v>699</v>
      </c>
      <c r="B2281" s="41"/>
      <c r="C2281" s="42"/>
      <c r="D2281" s="42"/>
      <c r="E2281" s="42"/>
      <c r="F2281" s="42"/>
      <c r="G2281" s="43">
        <f t="shared" si="2826"/>
        <v>0</v>
      </c>
      <c r="H2281" s="41"/>
      <c r="I2281" s="42">
        <v>1</v>
      </c>
      <c r="J2281" s="42">
        <v>1</v>
      </c>
      <c r="K2281" s="42"/>
      <c r="L2281" s="42"/>
      <c r="M2281" s="43">
        <f t="shared" si="2827"/>
        <v>2</v>
      </c>
      <c r="N2281" s="42"/>
      <c r="O2281" s="53"/>
      <c r="P2281" s="53"/>
      <c r="Q2281" s="53">
        <v>2</v>
      </c>
      <c r="R2281" s="72">
        <v>1</v>
      </c>
      <c r="S2281" s="24">
        <f t="shared" si="2828"/>
        <v>3</v>
      </c>
      <c r="T2281" s="42"/>
      <c r="U2281" s="53"/>
      <c r="V2281" s="53"/>
      <c r="W2281" s="53"/>
      <c r="X2281" s="72"/>
      <c r="Y2281" s="24">
        <f t="shared" si="2829"/>
        <v>0</v>
      </c>
      <c r="Z2281" s="24">
        <f t="shared" si="2830"/>
        <v>5</v>
      </c>
      <c r="AA2281" s="83">
        <v>46175</v>
      </c>
      <c r="AB2281" s="23"/>
      <c r="AC2281" s="41"/>
      <c r="AD2281" s="42"/>
      <c r="AE2281" s="42"/>
      <c r="AF2281" s="42"/>
      <c r="AG2281" s="42"/>
      <c r="AH2281" s="43">
        <f t="shared" si="2854"/>
        <v>0</v>
      </c>
      <c r="AI2281" s="41"/>
      <c r="AJ2281" s="42"/>
      <c r="AK2281" s="42"/>
      <c r="AL2281" s="42"/>
      <c r="AM2281" s="42"/>
      <c r="AN2281" s="43">
        <f t="shared" si="2855"/>
        <v>0</v>
      </c>
      <c r="AO2281" s="42"/>
      <c r="AP2281" s="53"/>
      <c r="AQ2281" s="53"/>
      <c r="AR2281" s="53"/>
      <c r="AS2281" s="72"/>
      <c r="AT2281" s="24">
        <f t="shared" si="2856"/>
        <v>0</v>
      </c>
      <c r="AU2281" s="42"/>
      <c r="AV2281" s="53"/>
      <c r="AW2281" s="53"/>
      <c r="AX2281" s="53"/>
      <c r="AY2281" s="72"/>
      <c r="AZ2281" s="24">
        <f t="shared" si="2857"/>
        <v>0</v>
      </c>
      <c r="BA2281" s="24">
        <f t="shared" si="2858"/>
        <v>0</v>
      </c>
    </row>
    <row r="2282" spans="1:55" ht="14.25" x14ac:dyDescent="0.15">
      <c r="A2282" s="23" t="s">
        <v>699</v>
      </c>
      <c r="B2282" s="41"/>
      <c r="C2282" s="42"/>
      <c r="D2282" s="42"/>
      <c r="E2282" s="42"/>
      <c r="F2282" s="42"/>
      <c r="G2282" s="43">
        <f t="shared" si="2826"/>
        <v>0</v>
      </c>
      <c r="H2282" s="41"/>
      <c r="I2282" s="42"/>
      <c r="J2282" s="42"/>
      <c r="K2282" s="42"/>
      <c r="L2282" s="42"/>
      <c r="M2282" s="43">
        <f t="shared" si="2827"/>
        <v>0</v>
      </c>
      <c r="N2282" s="42"/>
      <c r="O2282" s="53"/>
      <c r="P2282" s="53">
        <v>1</v>
      </c>
      <c r="Q2282" s="53">
        <v>1</v>
      </c>
      <c r="R2282" s="72"/>
      <c r="S2282" s="24">
        <f t="shared" si="2828"/>
        <v>2</v>
      </c>
      <c r="T2282" s="42"/>
      <c r="U2282" s="53"/>
      <c r="V2282" s="53"/>
      <c r="W2282" s="53"/>
      <c r="X2282" s="72">
        <v>2</v>
      </c>
      <c r="Y2282" s="24">
        <f t="shared" si="2829"/>
        <v>2</v>
      </c>
      <c r="Z2282" s="24">
        <f t="shared" si="2830"/>
        <v>4</v>
      </c>
      <c r="AA2282" s="83">
        <v>46176</v>
      </c>
      <c r="AB2282" s="23"/>
      <c r="AC2282" s="41"/>
      <c r="AD2282" s="42"/>
      <c r="AE2282" s="42"/>
      <c r="AF2282" s="42"/>
      <c r="AG2282" s="42"/>
      <c r="AH2282" s="43">
        <f t="shared" si="2854"/>
        <v>0</v>
      </c>
      <c r="AI2282" s="41"/>
      <c r="AJ2282" s="42"/>
      <c r="AK2282" s="42"/>
      <c r="AL2282" s="42"/>
      <c r="AM2282" s="42"/>
      <c r="AN2282" s="43">
        <f t="shared" si="2855"/>
        <v>0</v>
      </c>
      <c r="AO2282" s="42"/>
      <c r="AP2282" s="53"/>
      <c r="AQ2282" s="53"/>
      <c r="AR2282" s="53"/>
      <c r="AS2282" s="72"/>
      <c r="AT2282" s="24">
        <f t="shared" si="2856"/>
        <v>0</v>
      </c>
      <c r="AU2282" s="42"/>
      <c r="AV2282" s="53"/>
      <c r="AW2282" s="53"/>
      <c r="AX2282" s="53"/>
      <c r="AY2282" s="72"/>
      <c r="AZ2282" s="24">
        <f t="shared" si="2857"/>
        <v>0</v>
      </c>
      <c r="BA2282" s="24">
        <f t="shared" si="2858"/>
        <v>0</v>
      </c>
    </row>
    <row r="2283" spans="1:55" ht="14.25" x14ac:dyDescent="0.15">
      <c r="A2283" s="23" t="s">
        <v>699</v>
      </c>
      <c r="B2283" s="41"/>
      <c r="C2283" s="42"/>
      <c r="D2283" s="42"/>
      <c r="E2283" s="42"/>
      <c r="F2283" s="42"/>
      <c r="G2283" s="43">
        <f t="shared" si="2826"/>
        <v>0</v>
      </c>
      <c r="H2283" s="41"/>
      <c r="I2283" s="42"/>
      <c r="J2283" s="42"/>
      <c r="K2283" s="42"/>
      <c r="L2283" s="42"/>
      <c r="M2283" s="43">
        <f t="shared" si="2827"/>
        <v>0</v>
      </c>
      <c r="N2283" s="42"/>
      <c r="O2283" s="53"/>
      <c r="P2283" s="53"/>
      <c r="Q2283" s="53">
        <v>1</v>
      </c>
      <c r="R2283" s="72"/>
      <c r="S2283" s="24">
        <f t="shared" si="2828"/>
        <v>1</v>
      </c>
      <c r="T2283" s="42"/>
      <c r="U2283" s="53"/>
      <c r="V2283" s="53"/>
      <c r="W2283" s="53"/>
      <c r="X2283" s="72"/>
      <c r="Y2283" s="24">
        <f t="shared" si="2829"/>
        <v>0</v>
      </c>
      <c r="Z2283" s="24">
        <f t="shared" si="2830"/>
        <v>1</v>
      </c>
      <c r="AA2283" s="83">
        <v>46177</v>
      </c>
      <c r="AB2283" s="23"/>
      <c r="AC2283" s="41"/>
      <c r="AD2283" s="42"/>
      <c r="AE2283" s="42"/>
      <c r="AF2283" s="42"/>
      <c r="AG2283" s="42"/>
      <c r="AH2283" s="43">
        <f t="shared" si="2854"/>
        <v>0</v>
      </c>
      <c r="AI2283" s="41"/>
      <c r="AJ2283" s="42"/>
      <c r="AK2283" s="42"/>
      <c r="AL2283" s="42"/>
      <c r="AM2283" s="42"/>
      <c r="AN2283" s="43">
        <f t="shared" si="2855"/>
        <v>0</v>
      </c>
      <c r="AO2283" s="42"/>
      <c r="AP2283" s="53"/>
      <c r="AQ2283" s="53"/>
      <c r="AR2283" s="53"/>
      <c r="AS2283" s="72"/>
      <c r="AT2283" s="24">
        <f t="shared" si="2856"/>
        <v>0</v>
      </c>
      <c r="AU2283" s="42"/>
      <c r="AV2283" s="53"/>
      <c r="AW2283" s="53"/>
      <c r="AX2283" s="53"/>
      <c r="AY2283" s="72"/>
      <c r="AZ2283" s="24">
        <f t="shared" si="2857"/>
        <v>0</v>
      </c>
      <c r="BA2283" s="24">
        <f t="shared" si="2858"/>
        <v>0</v>
      </c>
    </row>
    <row r="2284" spans="1:55" ht="14.25" x14ac:dyDescent="0.15">
      <c r="A2284" s="23" t="s">
        <v>309</v>
      </c>
      <c r="B2284" s="41"/>
      <c r="C2284" s="42"/>
      <c r="D2284" s="42"/>
      <c r="E2284" s="42"/>
      <c r="F2284" s="42"/>
      <c r="G2284" s="43">
        <f t="shared" si="2826"/>
        <v>0</v>
      </c>
      <c r="H2284" s="41"/>
      <c r="I2284" s="42"/>
      <c r="J2284" s="42"/>
      <c r="K2284" s="42"/>
      <c r="L2284" s="42"/>
      <c r="M2284" s="43">
        <f t="shared" si="2827"/>
        <v>0</v>
      </c>
      <c r="N2284" s="42">
        <v>-1</v>
      </c>
      <c r="O2284" s="53"/>
      <c r="P2284" s="53"/>
      <c r="Q2284" s="53"/>
      <c r="R2284" s="72"/>
      <c r="S2284" s="24">
        <f t="shared" si="2828"/>
        <v>-1</v>
      </c>
      <c r="T2284" s="42"/>
      <c r="U2284" s="53"/>
      <c r="V2284" s="53"/>
      <c r="W2284" s="53"/>
      <c r="X2284" s="72"/>
      <c r="Y2284" s="24">
        <f t="shared" si="2829"/>
        <v>0</v>
      </c>
      <c r="Z2284" s="24">
        <f t="shared" si="2830"/>
        <v>-1</v>
      </c>
      <c r="AA2284" s="83">
        <v>46177</v>
      </c>
      <c r="AB2284" s="23"/>
      <c r="AC2284" s="41"/>
      <c r="AD2284" s="42"/>
      <c r="AE2284" s="42"/>
      <c r="AF2284" s="42"/>
      <c r="AG2284" s="42"/>
      <c r="AH2284" s="43">
        <f t="shared" si="2854"/>
        <v>0</v>
      </c>
      <c r="AI2284" s="41"/>
      <c r="AJ2284" s="42"/>
      <c r="AK2284" s="42"/>
      <c r="AL2284" s="42"/>
      <c r="AM2284" s="42"/>
      <c r="AN2284" s="43">
        <f t="shared" si="2855"/>
        <v>0</v>
      </c>
      <c r="AO2284" s="42"/>
      <c r="AP2284" s="53"/>
      <c r="AQ2284" s="53"/>
      <c r="AR2284" s="53"/>
      <c r="AS2284" s="72"/>
      <c r="AT2284" s="24">
        <f t="shared" si="2856"/>
        <v>0</v>
      </c>
      <c r="AU2284" s="42"/>
      <c r="AV2284" s="53"/>
      <c r="AW2284" s="53"/>
      <c r="AX2284" s="53"/>
      <c r="AY2284" s="72"/>
      <c r="AZ2284" s="24">
        <f t="shared" si="2857"/>
        <v>0</v>
      </c>
      <c r="BA2284" s="24">
        <f t="shared" si="2858"/>
        <v>0</v>
      </c>
    </row>
    <row r="2285" spans="1:55" ht="14.25" x14ac:dyDescent="0.15">
      <c r="A2285" s="23" t="s">
        <v>181</v>
      </c>
      <c r="B2285" s="41"/>
      <c r="C2285" s="42"/>
      <c r="D2285" s="42"/>
      <c r="E2285" s="42"/>
      <c r="F2285" s="42"/>
      <c r="G2285" s="43">
        <f t="shared" si="2826"/>
        <v>0</v>
      </c>
      <c r="H2285" s="41"/>
      <c r="I2285" s="42"/>
      <c r="J2285" s="42"/>
      <c r="K2285" s="42"/>
      <c r="L2285" s="42"/>
      <c r="M2285" s="43">
        <f t="shared" si="2827"/>
        <v>0</v>
      </c>
      <c r="N2285" s="42"/>
      <c r="O2285" s="53"/>
      <c r="P2285" s="53"/>
      <c r="Q2285" s="53">
        <v>-5</v>
      </c>
      <c r="R2285" s="72"/>
      <c r="S2285" s="24">
        <f t="shared" si="2828"/>
        <v>-5</v>
      </c>
      <c r="T2285" s="42"/>
      <c r="U2285" s="53"/>
      <c r="V2285" s="53"/>
      <c r="W2285" s="53"/>
      <c r="X2285" s="72"/>
      <c r="Y2285" s="24">
        <f t="shared" si="2829"/>
        <v>0</v>
      </c>
      <c r="Z2285" s="24">
        <f t="shared" si="2830"/>
        <v>-5</v>
      </c>
      <c r="AA2285" s="83">
        <v>46178</v>
      </c>
      <c r="AB2285" s="23"/>
      <c r="AC2285" s="41"/>
      <c r="AD2285" s="42"/>
      <c r="AE2285" s="42"/>
      <c r="AF2285" s="42"/>
      <c r="AG2285" s="42"/>
      <c r="AH2285" s="43">
        <f t="shared" si="2854"/>
        <v>0</v>
      </c>
      <c r="AI2285" s="41"/>
      <c r="AJ2285" s="42"/>
      <c r="AK2285" s="42"/>
      <c r="AL2285" s="42"/>
      <c r="AM2285" s="42"/>
      <c r="AN2285" s="43">
        <f t="shared" si="2855"/>
        <v>0</v>
      </c>
      <c r="AO2285" s="42"/>
      <c r="AP2285" s="53"/>
      <c r="AQ2285" s="53"/>
      <c r="AR2285" s="53"/>
      <c r="AS2285" s="72"/>
      <c r="AT2285" s="24">
        <f t="shared" si="2856"/>
        <v>0</v>
      </c>
      <c r="AU2285" s="42"/>
      <c r="AV2285" s="53"/>
      <c r="AW2285" s="53"/>
      <c r="AX2285" s="53"/>
      <c r="AY2285" s="72"/>
      <c r="AZ2285" s="24">
        <f t="shared" si="2857"/>
        <v>0</v>
      </c>
      <c r="BA2285" s="24">
        <f t="shared" si="2858"/>
        <v>0</v>
      </c>
    </row>
    <row r="2286" spans="1:55" ht="14.25" x14ac:dyDescent="0.15">
      <c r="A2286" s="23" t="s">
        <v>732</v>
      </c>
      <c r="B2286" s="41"/>
      <c r="C2286" s="42"/>
      <c r="D2286" s="42"/>
      <c r="E2286" s="42"/>
      <c r="F2286" s="42"/>
      <c r="G2286" s="43">
        <f t="shared" si="2826"/>
        <v>0</v>
      </c>
      <c r="H2286" s="41"/>
      <c r="I2286" s="42"/>
      <c r="J2286" s="42">
        <v>1</v>
      </c>
      <c r="K2286" s="42"/>
      <c r="L2286" s="42"/>
      <c r="M2286" s="43">
        <f t="shared" si="2827"/>
        <v>1</v>
      </c>
      <c r="N2286" s="42"/>
      <c r="O2286" s="53"/>
      <c r="P2286" s="53">
        <v>1</v>
      </c>
      <c r="Q2286" s="53"/>
      <c r="R2286" s="72"/>
      <c r="S2286" s="24">
        <f t="shared" si="2828"/>
        <v>1</v>
      </c>
      <c r="T2286" s="42">
        <v>1</v>
      </c>
      <c r="U2286" s="53">
        <v>1</v>
      </c>
      <c r="V2286" s="53"/>
      <c r="W2286" s="53"/>
      <c r="X2286" s="72"/>
      <c r="Y2286" s="24">
        <f t="shared" si="2829"/>
        <v>2</v>
      </c>
      <c r="Z2286" s="24">
        <f t="shared" si="2830"/>
        <v>4</v>
      </c>
      <c r="AA2286" s="83">
        <v>46178</v>
      </c>
      <c r="AB2286" s="23"/>
      <c r="AC2286" s="41"/>
      <c r="AD2286" s="42"/>
      <c r="AE2286" s="42"/>
      <c r="AF2286" s="42"/>
      <c r="AG2286" s="42"/>
      <c r="AH2286" s="43">
        <f t="shared" si="2854"/>
        <v>0</v>
      </c>
      <c r="AI2286" s="41"/>
      <c r="AJ2286" s="42"/>
      <c r="AK2286" s="42"/>
      <c r="AL2286" s="42"/>
      <c r="AM2286" s="42"/>
      <c r="AN2286" s="43">
        <f t="shared" si="2855"/>
        <v>0</v>
      </c>
      <c r="AO2286" s="42"/>
      <c r="AP2286" s="53"/>
      <c r="AQ2286" s="53"/>
      <c r="AR2286" s="53"/>
      <c r="AS2286" s="72"/>
      <c r="AT2286" s="24">
        <f t="shared" si="2856"/>
        <v>0</v>
      </c>
      <c r="AU2286" s="42"/>
      <c r="AV2286" s="53"/>
      <c r="AW2286" s="53"/>
      <c r="AX2286" s="53"/>
      <c r="AY2286" s="72"/>
      <c r="AZ2286" s="24">
        <f t="shared" si="2857"/>
        <v>0</v>
      </c>
      <c r="BA2286" s="24">
        <f t="shared" si="2858"/>
        <v>0</v>
      </c>
    </row>
    <row r="2287" spans="1:55" ht="14.25" x14ac:dyDescent="0.15">
      <c r="A2287" s="23" t="s">
        <v>733</v>
      </c>
      <c r="B2287" s="41"/>
      <c r="C2287" s="42">
        <v>-5</v>
      </c>
      <c r="D2287" s="42">
        <v>-5</v>
      </c>
      <c r="E2287" s="42"/>
      <c r="F2287" s="42"/>
      <c r="G2287" s="43">
        <f t="shared" si="2826"/>
        <v>-10</v>
      </c>
      <c r="H2287" s="41"/>
      <c r="I2287" s="42"/>
      <c r="J2287" s="42"/>
      <c r="K2287" s="42"/>
      <c r="L2287" s="42"/>
      <c r="M2287" s="43">
        <f t="shared" si="2827"/>
        <v>0</v>
      </c>
      <c r="N2287" s="42"/>
      <c r="O2287" s="53"/>
      <c r="P2287" s="53">
        <v>-5</v>
      </c>
      <c r="Q2287" s="53"/>
      <c r="R2287" s="72">
        <v>-5</v>
      </c>
      <c r="S2287" s="24">
        <f t="shared" si="2828"/>
        <v>-10</v>
      </c>
      <c r="T2287" s="42"/>
      <c r="U2287" s="53"/>
      <c r="V2287" s="53"/>
      <c r="W2287" s="53"/>
      <c r="X2287" s="72"/>
      <c r="Y2287" s="24">
        <f t="shared" si="2829"/>
        <v>0</v>
      </c>
      <c r="Z2287" s="24">
        <f t="shared" si="2830"/>
        <v>-20</v>
      </c>
      <c r="AA2287" s="83">
        <v>46179</v>
      </c>
      <c r="AB2287" s="23"/>
      <c r="AC2287" s="41"/>
      <c r="AD2287" s="42"/>
      <c r="AE2287" s="42"/>
      <c r="AF2287" s="42"/>
      <c r="AG2287" s="42"/>
      <c r="AH2287" s="43">
        <f t="shared" si="2854"/>
        <v>0</v>
      </c>
      <c r="AI2287" s="41"/>
      <c r="AJ2287" s="42"/>
      <c r="AK2287" s="42"/>
      <c r="AL2287" s="42"/>
      <c r="AM2287" s="42"/>
      <c r="AN2287" s="43">
        <f t="shared" si="2855"/>
        <v>0</v>
      </c>
      <c r="AO2287" s="42"/>
      <c r="AP2287" s="53"/>
      <c r="AQ2287" s="53"/>
      <c r="AR2287" s="53"/>
      <c r="AS2287" s="72"/>
      <c r="AT2287" s="24">
        <f t="shared" si="2856"/>
        <v>0</v>
      </c>
      <c r="AU2287" s="42"/>
      <c r="AV2287" s="53"/>
      <c r="AW2287" s="53"/>
      <c r="AX2287" s="53"/>
      <c r="AY2287" s="72"/>
      <c r="AZ2287" s="24">
        <f t="shared" si="2857"/>
        <v>0</v>
      </c>
      <c r="BA2287" s="24">
        <f t="shared" si="2858"/>
        <v>0</v>
      </c>
    </row>
    <row r="2288" spans="1:55" ht="14.25" x14ac:dyDescent="0.15">
      <c r="A2288" s="23" t="s">
        <v>496</v>
      </c>
      <c r="B2288" s="41"/>
      <c r="C2288" s="42">
        <v>1</v>
      </c>
      <c r="D2288" s="42"/>
      <c r="E2288" s="42"/>
      <c r="F2288" s="42"/>
      <c r="G2288" s="43">
        <f t="shared" si="2826"/>
        <v>1</v>
      </c>
      <c r="H2288" s="41"/>
      <c r="I2288" s="42"/>
      <c r="J2288" s="42"/>
      <c r="K2288" s="42"/>
      <c r="L2288" s="42"/>
      <c r="M2288" s="43">
        <f t="shared" si="2827"/>
        <v>0</v>
      </c>
      <c r="N2288" s="42"/>
      <c r="O2288" s="53"/>
      <c r="P2288" s="53"/>
      <c r="Q2288" s="53"/>
      <c r="R2288" s="72"/>
      <c r="S2288" s="24">
        <f t="shared" si="2828"/>
        <v>0</v>
      </c>
      <c r="T2288" s="42"/>
      <c r="U2288" s="53"/>
      <c r="V2288" s="53"/>
      <c r="W2288" s="53"/>
      <c r="X2288" s="72"/>
      <c r="Y2288" s="24">
        <f t="shared" si="2829"/>
        <v>0</v>
      </c>
      <c r="Z2288" s="24">
        <f t="shared" si="2830"/>
        <v>1</v>
      </c>
      <c r="AA2288" s="83">
        <v>46182</v>
      </c>
      <c r="AB2288" s="23"/>
      <c r="AC2288" s="41"/>
      <c r="AD2288" s="42"/>
      <c r="AE2288" s="42"/>
      <c r="AF2288" s="42"/>
      <c r="AG2288" s="42"/>
      <c r="AH2288" s="43">
        <f t="shared" si="2854"/>
        <v>0</v>
      </c>
      <c r="AI2288" s="41"/>
      <c r="AJ2288" s="42"/>
      <c r="AK2288" s="42"/>
      <c r="AL2288" s="42"/>
      <c r="AM2288" s="42"/>
      <c r="AN2288" s="43">
        <f t="shared" si="2855"/>
        <v>0</v>
      </c>
      <c r="AO2288" s="42"/>
      <c r="AP2288" s="53"/>
      <c r="AQ2288" s="53"/>
      <c r="AR2288" s="53"/>
      <c r="AS2288" s="72"/>
      <c r="AT2288" s="24">
        <f t="shared" si="2856"/>
        <v>0</v>
      </c>
      <c r="AU2288" s="42"/>
      <c r="AV2288" s="53"/>
      <c r="AW2288" s="53"/>
      <c r="AX2288" s="53"/>
      <c r="AY2288" s="72"/>
      <c r="AZ2288" s="24">
        <f t="shared" si="2857"/>
        <v>0</v>
      </c>
      <c r="BA2288" s="24">
        <f t="shared" si="2858"/>
        <v>0</v>
      </c>
    </row>
    <row r="2289" spans="1:53" ht="14.25" x14ac:dyDescent="0.15">
      <c r="A2289" s="23" t="s">
        <v>734</v>
      </c>
      <c r="B2289" s="41">
        <v>1</v>
      </c>
      <c r="C2289" s="42"/>
      <c r="D2289" s="42"/>
      <c r="E2289" s="42"/>
      <c r="F2289" s="42"/>
      <c r="G2289" s="43">
        <f t="shared" si="2826"/>
        <v>1</v>
      </c>
      <c r="H2289" s="41"/>
      <c r="I2289" s="42"/>
      <c r="J2289" s="42"/>
      <c r="K2289" s="42"/>
      <c r="L2289" s="42"/>
      <c r="M2289" s="43">
        <f t="shared" si="2827"/>
        <v>0</v>
      </c>
      <c r="N2289" s="42"/>
      <c r="O2289" s="53"/>
      <c r="P2289" s="53"/>
      <c r="Q2289" s="53"/>
      <c r="R2289" s="72"/>
      <c r="S2289" s="24">
        <f t="shared" si="2828"/>
        <v>0</v>
      </c>
      <c r="T2289" s="42"/>
      <c r="U2289" s="53"/>
      <c r="V2289" s="53"/>
      <c r="W2289" s="53"/>
      <c r="X2289" s="72"/>
      <c r="Y2289" s="24">
        <f t="shared" si="2829"/>
        <v>0</v>
      </c>
      <c r="Z2289" s="24">
        <f t="shared" si="2830"/>
        <v>1</v>
      </c>
      <c r="AA2289" s="83">
        <v>46183</v>
      </c>
      <c r="AB2289" s="23"/>
      <c r="AC2289" s="41"/>
      <c r="AD2289" s="42"/>
      <c r="AE2289" s="42"/>
      <c r="AF2289" s="42"/>
      <c r="AG2289" s="42"/>
      <c r="AH2289" s="43">
        <f t="shared" si="2854"/>
        <v>0</v>
      </c>
      <c r="AI2289" s="41"/>
      <c r="AJ2289" s="42"/>
      <c r="AK2289" s="42"/>
      <c r="AL2289" s="42"/>
      <c r="AM2289" s="42"/>
      <c r="AN2289" s="43">
        <f t="shared" si="2855"/>
        <v>0</v>
      </c>
      <c r="AO2289" s="42"/>
      <c r="AP2289" s="53"/>
      <c r="AQ2289" s="53"/>
      <c r="AR2289" s="53"/>
      <c r="AS2289" s="72"/>
      <c r="AT2289" s="24">
        <f t="shared" si="2856"/>
        <v>0</v>
      </c>
      <c r="AU2289" s="42"/>
      <c r="AV2289" s="53"/>
      <c r="AW2289" s="53"/>
      <c r="AX2289" s="53"/>
      <c r="AY2289" s="72"/>
      <c r="AZ2289" s="24">
        <f t="shared" si="2857"/>
        <v>0</v>
      </c>
      <c r="BA2289" s="24">
        <f t="shared" si="2858"/>
        <v>0</v>
      </c>
    </row>
    <row r="2290" spans="1:53" ht="14.25" x14ac:dyDescent="0.15">
      <c r="A2290" s="23" t="s">
        <v>699</v>
      </c>
      <c r="B2290" s="41"/>
      <c r="C2290" s="42"/>
      <c r="D2290" s="42"/>
      <c r="E2290" s="42"/>
      <c r="F2290" s="42"/>
      <c r="G2290" s="43">
        <f t="shared" si="2826"/>
        <v>0</v>
      </c>
      <c r="H2290" s="41">
        <v>2</v>
      </c>
      <c r="I2290" s="42">
        <v>2</v>
      </c>
      <c r="J2290" s="42">
        <v>4</v>
      </c>
      <c r="K2290" s="42"/>
      <c r="L2290" s="42"/>
      <c r="M2290" s="43">
        <f t="shared" si="2827"/>
        <v>8</v>
      </c>
      <c r="N2290" s="42"/>
      <c r="O2290" s="53"/>
      <c r="P2290" s="53">
        <v>1</v>
      </c>
      <c r="Q2290" s="53">
        <v>2</v>
      </c>
      <c r="R2290" s="72">
        <v>1</v>
      </c>
      <c r="S2290" s="24">
        <f t="shared" si="2828"/>
        <v>4</v>
      </c>
      <c r="T2290" s="42">
        <v>1</v>
      </c>
      <c r="U2290" s="53"/>
      <c r="V2290" s="53">
        <v>1</v>
      </c>
      <c r="W2290" s="53"/>
      <c r="X2290" s="72">
        <v>1</v>
      </c>
      <c r="Y2290" s="24">
        <f t="shared" si="2829"/>
        <v>3</v>
      </c>
      <c r="Z2290" s="24">
        <f t="shared" si="2830"/>
        <v>15</v>
      </c>
      <c r="AA2290" s="83">
        <v>46181</v>
      </c>
      <c r="AB2290" s="23"/>
      <c r="AC2290" s="41"/>
      <c r="AD2290" s="42"/>
      <c r="AE2290" s="42"/>
      <c r="AF2290" s="42"/>
      <c r="AG2290" s="42"/>
      <c r="AH2290" s="43">
        <f t="shared" si="2854"/>
        <v>0</v>
      </c>
      <c r="AI2290" s="41"/>
      <c r="AJ2290" s="42"/>
      <c r="AK2290" s="42"/>
      <c r="AL2290" s="42"/>
      <c r="AM2290" s="42"/>
      <c r="AN2290" s="43">
        <f t="shared" si="2855"/>
        <v>0</v>
      </c>
      <c r="AO2290" s="42"/>
      <c r="AP2290" s="53"/>
      <c r="AQ2290" s="53"/>
      <c r="AR2290" s="53"/>
      <c r="AS2290" s="72"/>
      <c r="AT2290" s="24">
        <f t="shared" si="2856"/>
        <v>0</v>
      </c>
      <c r="AU2290" s="42"/>
      <c r="AV2290" s="53"/>
      <c r="AW2290" s="53"/>
      <c r="AX2290" s="53"/>
      <c r="AY2290" s="72"/>
      <c r="AZ2290" s="24">
        <f t="shared" si="2857"/>
        <v>0</v>
      </c>
      <c r="BA2290" s="24">
        <f t="shared" si="2858"/>
        <v>0</v>
      </c>
    </row>
    <row r="2291" spans="1:53" ht="14.25" x14ac:dyDescent="0.15">
      <c r="A2291" s="23" t="s">
        <v>735</v>
      </c>
      <c r="B2291" s="41"/>
      <c r="C2291" s="42"/>
      <c r="D2291" s="42"/>
      <c r="E2291" s="42"/>
      <c r="F2291" s="42"/>
      <c r="G2291" s="43">
        <f t="shared" si="2826"/>
        <v>0</v>
      </c>
      <c r="H2291" s="41"/>
      <c r="I2291" s="42"/>
      <c r="J2291" s="42"/>
      <c r="K2291" s="42"/>
      <c r="L2291" s="42"/>
      <c r="M2291" s="43">
        <f t="shared" si="2827"/>
        <v>0</v>
      </c>
      <c r="N2291" s="42"/>
      <c r="O2291" s="53"/>
      <c r="P2291" s="53">
        <v>-1</v>
      </c>
      <c r="Q2291" s="53"/>
      <c r="R2291" s="72"/>
      <c r="S2291" s="24">
        <f t="shared" si="2828"/>
        <v>-1</v>
      </c>
      <c r="T2291" s="42"/>
      <c r="U2291" s="53"/>
      <c r="V2291" s="53"/>
      <c r="W2291" s="53"/>
      <c r="X2291" s="72"/>
      <c r="Y2291" s="24">
        <f t="shared" si="2829"/>
        <v>0</v>
      </c>
      <c r="Z2291" s="24">
        <f t="shared" si="2830"/>
        <v>-1</v>
      </c>
      <c r="AA2291" s="83">
        <v>46181</v>
      </c>
      <c r="AB2291" s="23"/>
      <c r="AC2291" s="41"/>
      <c r="AD2291" s="42"/>
      <c r="AE2291" s="42"/>
      <c r="AF2291" s="42"/>
      <c r="AG2291" s="42"/>
      <c r="AH2291" s="43">
        <f t="shared" si="2854"/>
        <v>0</v>
      </c>
      <c r="AI2291" s="41"/>
      <c r="AJ2291" s="42"/>
      <c r="AK2291" s="42"/>
      <c r="AL2291" s="42"/>
      <c r="AM2291" s="42"/>
      <c r="AN2291" s="43">
        <f t="shared" si="2855"/>
        <v>0</v>
      </c>
      <c r="AO2291" s="42"/>
      <c r="AP2291" s="53"/>
      <c r="AQ2291" s="53"/>
      <c r="AR2291" s="53"/>
      <c r="AS2291" s="72"/>
      <c r="AT2291" s="24">
        <f t="shared" si="2856"/>
        <v>0</v>
      </c>
      <c r="AU2291" s="42"/>
      <c r="AV2291" s="53"/>
      <c r="AW2291" s="53"/>
      <c r="AX2291" s="53"/>
      <c r="AY2291" s="72"/>
      <c r="AZ2291" s="24">
        <f t="shared" si="2857"/>
        <v>0</v>
      </c>
      <c r="BA2291" s="24">
        <f t="shared" si="2858"/>
        <v>0</v>
      </c>
    </row>
    <row r="2292" spans="1:53" ht="14.25" x14ac:dyDescent="0.15">
      <c r="A2292" s="23" t="s">
        <v>699</v>
      </c>
      <c r="B2292" s="41"/>
      <c r="C2292" s="42"/>
      <c r="D2292" s="42"/>
      <c r="E2292" s="42"/>
      <c r="F2292" s="42"/>
      <c r="G2292" s="43">
        <f t="shared" si="2826"/>
        <v>0</v>
      </c>
      <c r="H2292" s="41"/>
      <c r="I2292" s="42"/>
      <c r="J2292" s="42">
        <v>2</v>
      </c>
      <c r="K2292" s="42"/>
      <c r="L2292" s="42"/>
      <c r="M2292" s="43">
        <f t="shared" si="2827"/>
        <v>2</v>
      </c>
      <c r="N2292" s="42"/>
      <c r="O2292" s="53"/>
      <c r="P2292" s="53"/>
      <c r="Q2292" s="53">
        <v>1</v>
      </c>
      <c r="R2292" s="72"/>
      <c r="S2292" s="24">
        <f t="shared" si="2828"/>
        <v>1</v>
      </c>
      <c r="T2292" s="42"/>
      <c r="U2292" s="53"/>
      <c r="V2292" s="53"/>
      <c r="W2292" s="53"/>
      <c r="X2292" s="72">
        <v>1</v>
      </c>
      <c r="Y2292" s="24">
        <f t="shared" si="2829"/>
        <v>1</v>
      </c>
      <c r="Z2292" s="24">
        <f t="shared" si="2830"/>
        <v>4</v>
      </c>
      <c r="AA2292" s="83">
        <v>46182</v>
      </c>
      <c r="AB2292" s="23"/>
      <c r="AC2292" s="41"/>
      <c r="AD2292" s="42"/>
      <c r="AE2292" s="42"/>
      <c r="AF2292" s="42"/>
      <c r="AG2292" s="42"/>
      <c r="AH2292" s="43">
        <f t="shared" si="2854"/>
        <v>0</v>
      </c>
      <c r="AI2292" s="41"/>
      <c r="AJ2292" s="42"/>
      <c r="AK2292" s="42"/>
      <c r="AL2292" s="42"/>
      <c r="AM2292" s="42"/>
      <c r="AN2292" s="43">
        <f t="shared" si="2855"/>
        <v>0</v>
      </c>
      <c r="AO2292" s="42"/>
      <c r="AP2292" s="53"/>
      <c r="AQ2292" s="53"/>
      <c r="AR2292" s="53"/>
      <c r="AS2292" s="72"/>
      <c r="AT2292" s="24">
        <f t="shared" si="2856"/>
        <v>0</v>
      </c>
      <c r="AU2292" s="42"/>
      <c r="AV2292" s="53"/>
      <c r="AW2292" s="53"/>
      <c r="AX2292" s="53"/>
      <c r="AY2292" s="72"/>
      <c r="AZ2292" s="24">
        <f t="shared" si="2857"/>
        <v>0</v>
      </c>
      <c r="BA2292" s="24">
        <f t="shared" si="2858"/>
        <v>0</v>
      </c>
    </row>
    <row r="2293" spans="1:53" ht="14.25" x14ac:dyDescent="0.15">
      <c r="A2293" s="23" t="s">
        <v>181</v>
      </c>
      <c r="B2293" s="41"/>
      <c r="C2293" s="42"/>
      <c r="D2293" s="42"/>
      <c r="E2293" s="42"/>
      <c r="F2293" s="42"/>
      <c r="G2293" s="43">
        <f t="shared" si="2826"/>
        <v>0</v>
      </c>
      <c r="H2293" s="41"/>
      <c r="I2293" s="42"/>
      <c r="J2293" s="42"/>
      <c r="K2293" s="42"/>
      <c r="L2293" s="42"/>
      <c r="M2293" s="43">
        <f t="shared" si="2827"/>
        <v>0</v>
      </c>
      <c r="N2293" s="42"/>
      <c r="O2293" s="53"/>
      <c r="P2293" s="53"/>
      <c r="Q2293" s="53">
        <v>-3</v>
      </c>
      <c r="R2293" s="72"/>
      <c r="S2293" s="24">
        <f t="shared" si="2828"/>
        <v>-3</v>
      </c>
      <c r="T2293" s="42"/>
      <c r="U2293" s="53"/>
      <c r="V2293" s="53"/>
      <c r="W2293" s="53"/>
      <c r="X2293" s="72"/>
      <c r="Y2293" s="24">
        <f t="shared" si="2829"/>
        <v>0</v>
      </c>
      <c r="Z2293" s="24">
        <f t="shared" si="2830"/>
        <v>-3</v>
      </c>
      <c r="AA2293" s="83">
        <v>46183</v>
      </c>
      <c r="AB2293" s="23"/>
      <c r="AC2293" s="41"/>
      <c r="AD2293" s="42"/>
      <c r="AE2293" s="42"/>
      <c r="AF2293" s="42"/>
      <c r="AG2293" s="42"/>
      <c r="AH2293" s="43">
        <f t="shared" si="2854"/>
        <v>0</v>
      </c>
      <c r="AI2293" s="41"/>
      <c r="AJ2293" s="42"/>
      <c r="AK2293" s="42"/>
      <c r="AL2293" s="42"/>
      <c r="AM2293" s="42"/>
      <c r="AN2293" s="43">
        <f t="shared" si="2855"/>
        <v>0</v>
      </c>
      <c r="AO2293" s="42"/>
      <c r="AP2293" s="53"/>
      <c r="AQ2293" s="53"/>
      <c r="AR2293" s="53"/>
      <c r="AS2293" s="72"/>
      <c r="AT2293" s="24">
        <f t="shared" si="2856"/>
        <v>0</v>
      </c>
      <c r="AU2293" s="42"/>
      <c r="AV2293" s="53"/>
      <c r="AW2293" s="53"/>
      <c r="AX2293" s="53"/>
      <c r="AY2293" s="72"/>
      <c r="AZ2293" s="24">
        <f t="shared" si="2857"/>
        <v>0</v>
      </c>
      <c r="BA2293" s="24">
        <f t="shared" si="2858"/>
        <v>0</v>
      </c>
    </row>
    <row r="2294" spans="1:53" ht="14.25" x14ac:dyDescent="0.15">
      <c r="A2294" s="23" t="s">
        <v>438</v>
      </c>
      <c r="B2294" s="41"/>
      <c r="C2294" s="42"/>
      <c r="D2294" s="42"/>
      <c r="E2294" s="42"/>
      <c r="F2294" s="42"/>
      <c r="G2294" s="43">
        <f t="shared" si="2826"/>
        <v>0</v>
      </c>
      <c r="H2294" s="41"/>
      <c r="I2294" s="42"/>
      <c r="J2294" s="42"/>
      <c r="K2294" s="42"/>
      <c r="L2294" s="42"/>
      <c r="M2294" s="43">
        <f t="shared" si="2827"/>
        <v>0</v>
      </c>
      <c r="N2294" s="42"/>
      <c r="O2294" s="53"/>
      <c r="P2294" s="53">
        <v>1</v>
      </c>
      <c r="Q2294" s="53"/>
      <c r="R2294" s="72"/>
      <c r="S2294" s="24">
        <f t="shared" si="2828"/>
        <v>1</v>
      </c>
      <c r="T2294" s="42"/>
      <c r="U2294" s="53"/>
      <c r="V2294" s="53"/>
      <c r="W2294" s="53"/>
      <c r="X2294" s="72"/>
      <c r="Y2294" s="24">
        <f t="shared" si="2829"/>
        <v>0</v>
      </c>
      <c r="Z2294" s="24">
        <f t="shared" si="2830"/>
        <v>1</v>
      </c>
      <c r="AA2294" s="83">
        <v>46185</v>
      </c>
      <c r="AB2294" s="23"/>
      <c r="AC2294" s="41"/>
      <c r="AD2294" s="42"/>
      <c r="AE2294" s="42"/>
      <c r="AF2294" s="42"/>
      <c r="AG2294" s="42"/>
      <c r="AH2294" s="43">
        <f t="shared" si="2854"/>
        <v>0</v>
      </c>
      <c r="AI2294" s="41"/>
      <c r="AJ2294" s="42"/>
      <c r="AK2294" s="42"/>
      <c r="AL2294" s="42"/>
      <c r="AM2294" s="42"/>
      <c r="AN2294" s="43">
        <f t="shared" si="2855"/>
        <v>0</v>
      </c>
      <c r="AO2294" s="42"/>
      <c r="AP2294" s="53"/>
      <c r="AQ2294" s="53"/>
      <c r="AR2294" s="53"/>
      <c r="AS2294" s="72"/>
      <c r="AT2294" s="24">
        <f t="shared" si="2856"/>
        <v>0</v>
      </c>
      <c r="AU2294" s="42"/>
      <c r="AV2294" s="53"/>
      <c r="AW2294" s="53"/>
      <c r="AX2294" s="53"/>
      <c r="AY2294" s="72"/>
      <c r="AZ2294" s="24">
        <f t="shared" si="2857"/>
        <v>0</v>
      </c>
      <c r="BA2294" s="24">
        <f t="shared" si="2858"/>
        <v>0</v>
      </c>
    </row>
    <row r="2295" spans="1:53" ht="14.25" x14ac:dyDescent="0.15">
      <c r="A2295" s="224" t="s">
        <v>736</v>
      </c>
      <c r="B2295" s="12"/>
      <c r="C2295" s="13"/>
      <c r="D2295" s="13"/>
      <c r="E2295" s="13"/>
      <c r="F2295" s="13"/>
      <c r="G2295" s="22">
        <f t="shared" si="2826"/>
        <v>0</v>
      </c>
      <c r="H2295" s="12"/>
      <c r="I2295" s="13"/>
      <c r="J2295" s="13">
        <v>-1</v>
      </c>
      <c r="K2295" s="13"/>
      <c r="L2295" s="13"/>
      <c r="M2295" s="22">
        <f t="shared" si="2827"/>
        <v>-1</v>
      </c>
      <c r="N2295" s="13"/>
      <c r="O2295" s="54"/>
      <c r="P2295" s="54">
        <v>-4</v>
      </c>
      <c r="Q2295" s="54"/>
      <c r="R2295" s="68"/>
      <c r="S2295" s="225">
        <f t="shared" si="2828"/>
        <v>-4</v>
      </c>
      <c r="T2295" s="13"/>
      <c r="U2295" s="54"/>
      <c r="V2295" s="54"/>
      <c r="W2295" s="54"/>
      <c r="X2295" s="68"/>
      <c r="Y2295" s="225">
        <f t="shared" si="2829"/>
        <v>0</v>
      </c>
      <c r="Z2295" s="225">
        <f t="shared" si="2830"/>
        <v>-5</v>
      </c>
      <c r="AA2295" s="93">
        <v>46181</v>
      </c>
      <c r="AB2295" s="23"/>
      <c r="AC2295" s="41"/>
      <c r="AD2295" s="219"/>
      <c r="AE2295" s="219"/>
      <c r="AF2295" s="42"/>
      <c r="AG2295" s="42"/>
      <c r="AH2295" s="43">
        <f t="shared" si="2854"/>
        <v>0</v>
      </c>
      <c r="AI2295" s="41"/>
      <c r="AJ2295" s="42"/>
      <c r="AK2295" s="42"/>
      <c r="AL2295" s="42"/>
      <c r="AM2295" s="42"/>
      <c r="AN2295" s="43">
        <f t="shared" si="2855"/>
        <v>0</v>
      </c>
      <c r="AO2295" s="42"/>
      <c r="AP2295" s="53"/>
      <c r="AQ2295" s="53"/>
      <c r="AR2295" s="53"/>
      <c r="AS2295" s="72"/>
      <c r="AT2295" s="24">
        <f t="shared" si="2856"/>
        <v>0</v>
      </c>
      <c r="AU2295" s="42"/>
      <c r="AV2295" s="53"/>
      <c r="AW2295" s="53"/>
      <c r="AX2295" s="53"/>
      <c r="AY2295" s="72"/>
      <c r="AZ2295" s="24">
        <f t="shared" si="2857"/>
        <v>0</v>
      </c>
      <c r="BA2295" s="24">
        <f t="shared" si="2858"/>
        <v>0</v>
      </c>
    </row>
    <row r="2296" spans="1:53" ht="14.25" x14ac:dyDescent="0.15">
      <c r="A2296" s="23" t="s">
        <v>699</v>
      </c>
      <c r="B2296" s="41"/>
      <c r="C2296" s="42"/>
      <c r="D2296" s="42"/>
      <c r="E2296" s="42"/>
      <c r="F2296" s="42"/>
      <c r="G2296" s="43">
        <f t="shared" si="2826"/>
        <v>0</v>
      </c>
      <c r="H2296" s="41"/>
      <c r="I2296" s="42"/>
      <c r="J2296" s="42">
        <v>1</v>
      </c>
      <c r="K2296" s="42"/>
      <c r="L2296" s="42"/>
      <c r="M2296" s="43">
        <f t="shared" si="2827"/>
        <v>1</v>
      </c>
      <c r="N2296" s="42"/>
      <c r="O2296" s="53"/>
      <c r="P2296" s="53"/>
      <c r="Q2296" s="53"/>
      <c r="R2296" s="72"/>
      <c r="S2296" s="24">
        <f t="shared" si="2828"/>
        <v>0</v>
      </c>
      <c r="T2296" s="42"/>
      <c r="U2296" s="53"/>
      <c r="V2296" s="53"/>
      <c r="W2296" s="53"/>
      <c r="X2296" s="72"/>
      <c r="Y2296" s="24">
        <f t="shared" si="2829"/>
        <v>0</v>
      </c>
      <c r="Z2296" s="24">
        <f t="shared" si="2830"/>
        <v>1</v>
      </c>
      <c r="AA2296" s="83">
        <v>46183</v>
      </c>
      <c r="AB2296" s="23"/>
      <c r="AC2296" s="41"/>
      <c r="AD2296" s="219"/>
      <c r="AE2296" s="219"/>
      <c r="AF2296" s="42"/>
      <c r="AG2296" s="42"/>
      <c r="AH2296" s="43">
        <f t="shared" si="2854"/>
        <v>0</v>
      </c>
      <c r="AI2296" s="41"/>
      <c r="AJ2296" s="42"/>
      <c r="AK2296" s="42"/>
      <c r="AL2296" s="42"/>
      <c r="AM2296" s="42"/>
      <c r="AN2296" s="43">
        <f t="shared" si="2855"/>
        <v>0</v>
      </c>
      <c r="AO2296" s="42"/>
      <c r="AP2296" s="53"/>
      <c r="AQ2296" s="53"/>
      <c r="AR2296" s="53"/>
      <c r="AS2296" s="72"/>
      <c r="AT2296" s="24">
        <f t="shared" si="2856"/>
        <v>0</v>
      </c>
      <c r="AU2296" s="42"/>
      <c r="AV2296" s="53"/>
      <c r="AW2296" s="53"/>
      <c r="AX2296" s="53"/>
      <c r="AY2296" s="72"/>
      <c r="AZ2296" s="24">
        <f t="shared" si="2857"/>
        <v>0</v>
      </c>
      <c r="BA2296" s="24">
        <f t="shared" si="2858"/>
        <v>0</v>
      </c>
    </row>
    <row r="2297" spans="1:53" ht="15" thickBot="1" x14ac:dyDescent="0.2">
      <c r="A2297" s="23" t="s">
        <v>438</v>
      </c>
      <c r="B2297" s="41"/>
      <c r="C2297" s="42"/>
      <c r="D2297" s="42"/>
      <c r="E2297" s="42"/>
      <c r="F2297" s="42"/>
      <c r="G2297" s="43">
        <f t="shared" si="2826"/>
        <v>0</v>
      </c>
      <c r="H2297" s="41"/>
      <c r="I2297" s="42"/>
      <c r="J2297" s="42"/>
      <c r="K2297" s="42"/>
      <c r="L2297" s="42"/>
      <c r="M2297" s="43">
        <f t="shared" si="2827"/>
        <v>0</v>
      </c>
      <c r="N2297" s="42"/>
      <c r="O2297" s="53"/>
      <c r="P2297" s="53">
        <v>2</v>
      </c>
      <c r="Q2297" s="53"/>
      <c r="R2297" s="72"/>
      <c r="S2297" s="24">
        <f t="shared" si="2828"/>
        <v>2</v>
      </c>
      <c r="T2297" s="42"/>
      <c r="U2297" s="53"/>
      <c r="V2297" s="53"/>
      <c r="W2297" s="53"/>
      <c r="X2297" s="72"/>
      <c r="Y2297" s="24">
        <f t="shared" si="2829"/>
        <v>0</v>
      </c>
      <c r="Z2297" s="24">
        <f t="shared" si="2830"/>
        <v>2</v>
      </c>
      <c r="AA2297" s="83">
        <v>46185</v>
      </c>
      <c r="AB2297" s="23"/>
      <c r="AC2297" s="41"/>
      <c r="AD2297" s="219"/>
      <c r="AE2297" s="219"/>
      <c r="AF2297" s="42"/>
      <c r="AG2297" s="42"/>
      <c r="AH2297" s="43">
        <f t="shared" ref="AH2297" si="2859">SUM(AC2297:AG2297)</f>
        <v>0</v>
      </c>
      <c r="AI2297" s="41"/>
      <c r="AJ2297" s="42"/>
      <c r="AK2297" s="42"/>
      <c r="AL2297" s="42"/>
      <c r="AM2297" s="42"/>
      <c r="AN2297" s="43">
        <f t="shared" ref="AN2297" si="2860">SUM(AI2297:AM2297)</f>
        <v>0</v>
      </c>
      <c r="AO2297" s="42"/>
      <c r="AP2297" s="53"/>
      <c r="AQ2297" s="53"/>
      <c r="AR2297" s="53"/>
      <c r="AS2297" s="72"/>
      <c r="AT2297" s="24">
        <f t="shared" ref="AT2297" si="2861">SUM(AO2297:AS2297)</f>
        <v>0</v>
      </c>
      <c r="AU2297" s="42"/>
      <c r="AV2297" s="53"/>
      <c r="AW2297" s="53"/>
      <c r="AX2297" s="53"/>
      <c r="AY2297" s="72"/>
      <c r="AZ2297" s="24">
        <f t="shared" ref="AZ2297" si="2862">SUM(AU2297:AY2297)</f>
        <v>0</v>
      </c>
      <c r="BA2297" s="24">
        <f t="shared" ref="BA2297" si="2863">AH2297+AN2297+AT2297+AZ2297</f>
        <v>0</v>
      </c>
    </row>
    <row r="2298" spans="1:53" ht="15" thickBot="1" x14ac:dyDescent="0.2">
      <c r="A2298" s="9" t="s">
        <v>13</v>
      </c>
      <c r="B2298" s="25">
        <f>SUM(B2272:B2297)</f>
        <v>3</v>
      </c>
      <c r="C2298" s="26">
        <f>SUM(C2272:C2297)</f>
        <v>-3</v>
      </c>
      <c r="D2298" s="26">
        <f>SUM(D2272:D2297)</f>
        <v>-5</v>
      </c>
      <c r="E2298" s="220">
        <f>SUM(E2272:E2297)</f>
        <v>0</v>
      </c>
      <c r="F2298" s="222">
        <f>SUM(F2272:F2297)</f>
        <v>0</v>
      </c>
      <c r="G2298" s="19">
        <f>SUM(B2298:F2298)</f>
        <v>-5</v>
      </c>
      <c r="H2298" s="25">
        <f>SUM(H2272:H2297)</f>
        <v>4</v>
      </c>
      <c r="I2298" s="26">
        <f>SUM(I2272:I2297)</f>
        <v>7</v>
      </c>
      <c r="J2298" s="220">
        <f>SUM(J2272:J2297)</f>
        <v>12</v>
      </c>
      <c r="K2298" s="220">
        <f>SUM(K2272:K2297)</f>
        <v>0</v>
      </c>
      <c r="L2298" s="222">
        <f>SUM(L2272:L2297)</f>
        <v>1</v>
      </c>
      <c r="M2298" s="25">
        <f>SUM(H2298:L2298)</f>
        <v>24</v>
      </c>
      <c r="N2298" s="65">
        <f>SUM(N2272:N2297)</f>
        <v>2</v>
      </c>
      <c r="O2298" s="18">
        <f>SUM(O2272:O2297)</f>
        <v>3</v>
      </c>
      <c r="P2298" s="18">
        <f>SUM(P2272:P2297)</f>
        <v>3</v>
      </c>
      <c r="Q2298" s="18">
        <f>SUM(Q2272:Q2297)</f>
        <v>1</v>
      </c>
      <c r="R2298" s="70">
        <f>SUM(R2272:R2297)</f>
        <v>-1</v>
      </c>
      <c r="S2298" s="49">
        <f>SUM(N2298:R2298)</f>
        <v>8</v>
      </c>
      <c r="T2298" s="74">
        <f>SUM(T2272:T2297)</f>
        <v>2</v>
      </c>
      <c r="U2298" s="18">
        <f>SUM(U2272:U2297)</f>
        <v>5</v>
      </c>
      <c r="V2298" s="240">
        <f>SUM(V2272:V2297)</f>
        <v>5</v>
      </c>
      <c r="W2298" s="240">
        <f>SUM(W2272:W2297)</f>
        <v>0</v>
      </c>
      <c r="X2298" s="70">
        <f>SUM(X2272:X2297)</f>
        <v>4</v>
      </c>
      <c r="Y2298" s="49">
        <f>SUM(T2298:X2298)</f>
        <v>16</v>
      </c>
      <c r="Z2298" s="137">
        <f>G2298+M2298+S2298+Y2298</f>
        <v>43</v>
      </c>
      <c r="AB2298" s="9" t="s">
        <v>13</v>
      </c>
      <c r="AC2298" s="25">
        <f>SUM(AC2272:AC2297)</f>
        <v>8</v>
      </c>
      <c r="AD2298" s="220">
        <f t="shared" ref="AD2298:AG2298" si="2864">SUM(AD2272:AD2297)</f>
        <v>5</v>
      </c>
      <c r="AE2298" s="220">
        <f t="shared" si="2864"/>
        <v>5</v>
      </c>
      <c r="AF2298" s="220">
        <f t="shared" si="2864"/>
        <v>0</v>
      </c>
      <c r="AG2298" s="222">
        <f t="shared" si="2864"/>
        <v>0</v>
      </c>
      <c r="AH2298" s="19">
        <f>SUM(AC2298:AG2298)</f>
        <v>18</v>
      </c>
      <c r="AI2298" s="25">
        <f>SUM(AI2272:AI2297)</f>
        <v>3</v>
      </c>
      <c r="AJ2298" s="26">
        <f t="shared" ref="AJ2298:AM2298" si="2865">SUM(AJ2272:AJ2297)</f>
        <v>6</v>
      </c>
      <c r="AK2298" s="220">
        <f t="shared" si="2865"/>
        <v>8</v>
      </c>
      <c r="AL2298" s="220">
        <f t="shared" si="2865"/>
        <v>0</v>
      </c>
      <c r="AM2298" s="222">
        <f t="shared" si="2865"/>
        <v>0</v>
      </c>
      <c r="AN2298" s="19">
        <f>SUM(AI2298:AM2298)</f>
        <v>17</v>
      </c>
      <c r="AO2298" s="25">
        <f>SUM(AO2272:AO2297)</f>
        <v>6</v>
      </c>
      <c r="AP2298" s="26">
        <f t="shared" ref="AP2298:AS2298" si="2866">SUM(AP2272:AP2297)</f>
        <v>3</v>
      </c>
      <c r="AQ2298" s="26">
        <f t="shared" si="2866"/>
        <v>13</v>
      </c>
      <c r="AR2298" s="26">
        <f t="shared" si="2866"/>
        <v>13</v>
      </c>
      <c r="AS2298" s="27">
        <f t="shared" si="2866"/>
        <v>8</v>
      </c>
      <c r="AT2298" s="19">
        <f>SUM(AO2298:AS2298)</f>
        <v>43</v>
      </c>
      <c r="AU2298" s="25">
        <f>SUM(AU2272:AU2297)</f>
        <v>0</v>
      </c>
      <c r="AV2298" s="26">
        <f t="shared" ref="AV2298:AY2298" si="2867">SUM(AV2272:AV2297)</f>
        <v>8</v>
      </c>
      <c r="AW2298" s="220">
        <f t="shared" si="2867"/>
        <v>0</v>
      </c>
      <c r="AX2298" s="220">
        <f t="shared" si="2867"/>
        <v>0</v>
      </c>
      <c r="AY2298" s="27">
        <f t="shared" si="2867"/>
        <v>8</v>
      </c>
      <c r="AZ2298" s="19">
        <f>SUM(AU2298:AY2298)</f>
        <v>16</v>
      </c>
      <c r="BA2298" s="77">
        <f t="shared" si="2858"/>
        <v>94</v>
      </c>
    </row>
    <row r="2299" spans="1:53" ht="15" thickBot="1" x14ac:dyDescent="0.2">
      <c r="A2299" s="32" t="s">
        <v>14</v>
      </c>
      <c r="B2299" s="29">
        <f t="shared" ref="B2299:Y2299" si="2868">B2271-B2298</f>
        <v>7</v>
      </c>
      <c r="C2299" s="30">
        <f t="shared" si="2868"/>
        <v>4</v>
      </c>
      <c r="D2299" s="30">
        <f t="shared" si="2868"/>
        <v>5</v>
      </c>
      <c r="E2299" s="221">
        <f t="shared" si="2868"/>
        <v>0</v>
      </c>
      <c r="F2299" s="223">
        <f t="shared" si="2868"/>
        <v>0</v>
      </c>
      <c r="G2299" s="31">
        <f t="shared" si="2868"/>
        <v>16</v>
      </c>
      <c r="H2299" s="29">
        <f t="shared" si="2868"/>
        <v>6</v>
      </c>
      <c r="I2299" s="30">
        <f t="shared" si="2868"/>
        <v>5</v>
      </c>
      <c r="J2299" s="221">
        <f t="shared" si="2868"/>
        <v>0</v>
      </c>
      <c r="K2299" s="221">
        <f t="shared" si="2868"/>
        <v>0</v>
      </c>
      <c r="L2299" s="223">
        <f t="shared" si="2868"/>
        <v>0</v>
      </c>
      <c r="M2299" s="66">
        <f t="shared" si="2868"/>
        <v>11</v>
      </c>
      <c r="N2299" s="29">
        <f t="shared" si="2868"/>
        <v>8</v>
      </c>
      <c r="O2299" s="30">
        <f t="shared" si="2868"/>
        <v>5</v>
      </c>
      <c r="P2299" s="30">
        <f t="shared" si="2868"/>
        <v>8</v>
      </c>
      <c r="Q2299" s="30">
        <f t="shared" si="2868"/>
        <v>6</v>
      </c>
      <c r="R2299" s="66">
        <f t="shared" si="2868"/>
        <v>7</v>
      </c>
      <c r="S2299" s="33">
        <f t="shared" si="2868"/>
        <v>34</v>
      </c>
      <c r="T2299" s="75">
        <f t="shared" si="2868"/>
        <v>5</v>
      </c>
      <c r="U2299" s="30">
        <f t="shared" si="2868"/>
        <v>6</v>
      </c>
      <c r="V2299" s="221">
        <f t="shared" si="2868"/>
        <v>0</v>
      </c>
      <c r="W2299" s="221">
        <f t="shared" si="2868"/>
        <v>0</v>
      </c>
      <c r="X2299" s="66">
        <f t="shared" si="2868"/>
        <v>3</v>
      </c>
      <c r="Y2299" s="33">
        <f t="shared" si="2868"/>
        <v>14</v>
      </c>
      <c r="Z2299" s="77">
        <f>G2299+M2299+S2299+Y2299</f>
        <v>75</v>
      </c>
      <c r="AB2299" s="32" t="s">
        <v>14</v>
      </c>
      <c r="AC2299" s="29">
        <f>AC2271-AC2298</f>
        <v>55</v>
      </c>
      <c r="AD2299" s="221">
        <f t="shared" ref="AD2299:AG2299" si="2869">AD2271-AD2298</f>
        <v>0</v>
      </c>
      <c r="AE2299" s="221">
        <f t="shared" si="2869"/>
        <v>0</v>
      </c>
      <c r="AF2299" s="221">
        <f t="shared" si="2869"/>
        <v>0</v>
      </c>
      <c r="AG2299" s="223">
        <f t="shared" si="2869"/>
        <v>0</v>
      </c>
      <c r="AH2299" s="31">
        <f>AH2271-AH2298</f>
        <v>55</v>
      </c>
      <c r="AI2299" s="29">
        <f>AI2271-AI2298</f>
        <v>51</v>
      </c>
      <c r="AJ2299" s="30">
        <f t="shared" ref="AJ2299:AM2299" si="2870">AJ2271-AJ2298</f>
        <v>6</v>
      </c>
      <c r="AK2299" s="221">
        <f t="shared" si="2870"/>
        <v>0</v>
      </c>
      <c r="AL2299" s="221">
        <f t="shared" si="2870"/>
        <v>0</v>
      </c>
      <c r="AM2299" s="223">
        <f t="shared" si="2870"/>
        <v>0</v>
      </c>
      <c r="AN2299" s="31">
        <f>AN2271-AN2298</f>
        <v>57</v>
      </c>
      <c r="AO2299" s="29">
        <f>AO2271-AO2298</f>
        <v>125</v>
      </c>
      <c r="AP2299" s="30">
        <f t="shared" ref="AP2299:AS2299" si="2871">AP2271-AP2298</f>
        <v>60</v>
      </c>
      <c r="AQ2299" s="30">
        <f t="shared" si="2871"/>
        <v>45</v>
      </c>
      <c r="AR2299" s="30">
        <f t="shared" si="2871"/>
        <v>59</v>
      </c>
      <c r="AS2299" s="31">
        <f t="shared" si="2871"/>
        <v>93</v>
      </c>
      <c r="AT2299" s="31">
        <f>AT2271-AT2298</f>
        <v>382</v>
      </c>
      <c r="AU2299" s="29">
        <f>AU2271-AU2298</f>
        <v>94</v>
      </c>
      <c r="AV2299" s="30">
        <f t="shared" ref="AV2299:AY2299" si="2872">AV2271-AV2298</f>
        <v>23</v>
      </c>
      <c r="AW2299" s="221">
        <f t="shared" si="2872"/>
        <v>0</v>
      </c>
      <c r="AX2299" s="221">
        <f t="shared" si="2872"/>
        <v>0</v>
      </c>
      <c r="AY2299" s="31">
        <f t="shared" si="2872"/>
        <v>36</v>
      </c>
      <c r="AZ2299" s="31">
        <f>AZ2271-AZ2298</f>
        <v>153</v>
      </c>
      <c r="BA2299" s="77">
        <f t="shared" si="2858"/>
        <v>647</v>
      </c>
    </row>
    <row r="2300" spans="1:53" x14ac:dyDescent="0.15">
      <c r="E2300" s="216" t="s">
        <v>700</v>
      </c>
      <c r="F2300" s="216" t="s">
        <v>700</v>
      </c>
      <c r="G2300" s="216"/>
      <c r="H2300" s="216"/>
      <c r="I2300" s="216"/>
      <c r="J2300" s="216"/>
      <c r="K2300" s="216" t="s">
        <v>700</v>
      </c>
      <c r="L2300" s="216"/>
      <c r="M2300" s="216"/>
      <c r="N2300" s="216"/>
      <c r="O2300" s="216"/>
      <c r="P2300" s="216"/>
      <c r="Q2300" s="216"/>
      <c r="R2300" s="216"/>
      <c r="S2300" s="216"/>
      <c r="T2300" s="216"/>
      <c r="U2300" s="216"/>
      <c r="V2300" s="216" t="s">
        <v>700</v>
      </c>
      <c r="W2300" s="216" t="s">
        <v>700</v>
      </c>
      <c r="X2300" s="216"/>
      <c r="Y2300" s="216"/>
    </row>
    <row r="2302" spans="1:53" ht="19.5" thickBot="1" x14ac:dyDescent="0.25">
      <c r="A2302" s="1" t="s">
        <v>15</v>
      </c>
      <c r="AB2302" s="1" t="s">
        <v>16</v>
      </c>
    </row>
    <row r="2303" spans="1:53" ht="15" thickBot="1" x14ac:dyDescent="0.2">
      <c r="A2303" s="4"/>
      <c r="B2303" s="245" t="s">
        <v>17</v>
      </c>
      <c r="C2303" s="246"/>
      <c r="D2303" s="246"/>
      <c r="E2303" s="246"/>
      <c r="F2303" s="246"/>
      <c r="G2303" s="247"/>
      <c r="H2303" s="245" t="s">
        <v>18</v>
      </c>
      <c r="I2303" s="246"/>
      <c r="J2303" s="246"/>
      <c r="K2303" s="246"/>
      <c r="L2303" s="246"/>
      <c r="M2303" s="247"/>
      <c r="N2303" s="248" t="s">
        <v>27</v>
      </c>
      <c r="O2303" s="249"/>
      <c r="P2303" s="249"/>
      <c r="Q2303" s="249"/>
      <c r="R2303" s="249"/>
      <c r="S2303" s="250"/>
      <c r="T2303" s="248" t="s">
        <v>28</v>
      </c>
      <c r="U2303" s="249"/>
      <c r="V2303" s="249"/>
      <c r="W2303" s="249"/>
      <c r="X2303" s="249"/>
      <c r="Y2303" s="250"/>
      <c r="Z2303" s="251" t="s">
        <v>1</v>
      </c>
      <c r="AB2303" s="4"/>
      <c r="AC2303" s="253" t="s">
        <v>17</v>
      </c>
      <c r="AD2303" s="249"/>
      <c r="AE2303" s="249"/>
      <c r="AF2303" s="249"/>
      <c r="AG2303" s="249"/>
      <c r="AH2303" s="250"/>
      <c r="AI2303" s="248" t="s">
        <v>18</v>
      </c>
      <c r="AJ2303" s="249"/>
      <c r="AK2303" s="249"/>
      <c r="AL2303" s="249"/>
      <c r="AM2303" s="249"/>
      <c r="AN2303" s="250"/>
      <c r="AO2303" s="248" t="s">
        <v>27</v>
      </c>
      <c r="AP2303" s="249"/>
      <c r="AQ2303" s="249"/>
      <c r="AR2303" s="249"/>
      <c r="AS2303" s="249"/>
      <c r="AT2303" s="250"/>
      <c r="AU2303" s="248" t="s">
        <v>28</v>
      </c>
      <c r="AV2303" s="249"/>
      <c r="AW2303" s="249"/>
      <c r="AX2303" s="249"/>
      <c r="AY2303" s="249"/>
      <c r="AZ2303" s="250"/>
      <c r="BA2303" s="243" t="s">
        <v>1</v>
      </c>
    </row>
    <row r="2304" spans="1:53" ht="15" thickBot="1" x14ac:dyDescent="0.2">
      <c r="A2304" s="9" t="s">
        <v>2</v>
      </c>
      <c r="B2304" s="6" t="s">
        <v>3</v>
      </c>
      <c r="C2304" s="7" t="s">
        <v>4</v>
      </c>
      <c r="D2304" s="7" t="s">
        <v>5</v>
      </c>
      <c r="E2304" s="48" t="s">
        <v>20</v>
      </c>
      <c r="F2304" s="8" t="s">
        <v>21</v>
      </c>
      <c r="G2304" s="5" t="s">
        <v>6</v>
      </c>
      <c r="H2304" s="6" t="s">
        <v>3</v>
      </c>
      <c r="I2304" s="7" t="s">
        <v>4</v>
      </c>
      <c r="J2304" s="7" t="s">
        <v>5</v>
      </c>
      <c r="K2304" s="48" t="s">
        <v>20</v>
      </c>
      <c r="L2304" s="8" t="s">
        <v>21</v>
      </c>
      <c r="M2304" s="5" t="s">
        <v>6</v>
      </c>
      <c r="N2304" s="6" t="s">
        <v>3</v>
      </c>
      <c r="O2304" s="7" t="s">
        <v>4</v>
      </c>
      <c r="P2304" s="7" t="s">
        <v>5</v>
      </c>
      <c r="Q2304" s="48" t="s">
        <v>20</v>
      </c>
      <c r="R2304" s="8" t="s">
        <v>21</v>
      </c>
      <c r="S2304" s="5" t="s">
        <v>6</v>
      </c>
      <c r="T2304" s="7" t="s">
        <v>3</v>
      </c>
      <c r="U2304" s="7" t="s">
        <v>4</v>
      </c>
      <c r="V2304" s="7" t="s">
        <v>5</v>
      </c>
      <c r="W2304" s="48" t="s">
        <v>20</v>
      </c>
      <c r="X2304" s="109" t="s">
        <v>21</v>
      </c>
      <c r="Y2304" s="62" t="s">
        <v>6</v>
      </c>
      <c r="Z2304" s="252"/>
      <c r="AB2304" s="9" t="s">
        <v>2</v>
      </c>
      <c r="AC2304" s="6" t="s">
        <v>3</v>
      </c>
      <c r="AD2304" s="7" t="s">
        <v>4</v>
      </c>
      <c r="AE2304" s="7" t="s">
        <v>5</v>
      </c>
      <c r="AF2304" s="48" t="s">
        <v>20</v>
      </c>
      <c r="AG2304" s="8" t="s">
        <v>21</v>
      </c>
      <c r="AH2304" s="5" t="s">
        <v>6</v>
      </c>
      <c r="AI2304" s="6" t="s">
        <v>3</v>
      </c>
      <c r="AJ2304" s="7" t="s">
        <v>4</v>
      </c>
      <c r="AK2304" s="7" t="s">
        <v>5</v>
      </c>
      <c r="AL2304" s="48" t="s">
        <v>20</v>
      </c>
      <c r="AM2304" s="8" t="s">
        <v>21</v>
      </c>
      <c r="AN2304" s="5" t="s">
        <v>6</v>
      </c>
      <c r="AO2304" s="6" t="s">
        <v>3</v>
      </c>
      <c r="AP2304" s="7" t="s">
        <v>4</v>
      </c>
      <c r="AQ2304" s="7" t="s">
        <v>5</v>
      </c>
      <c r="AR2304" s="48" t="s">
        <v>20</v>
      </c>
      <c r="AS2304" s="8" t="s">
        <v>21</v>
      </c>
      <c r="AT2304" s="5" t="s">
        <v>6</v>
      </c>
      <c r="AU2304" s="7" t="s">
        <v>3</v>
      </c>
      <c r="AV2304" s="7" t="s">
        <v>4</v>
      </c>
      <c r="AW2304" s="7" t="s">
        <v>5</v>
      </c>
      <c r="AX2304" s="48" t="s">
        <v>20</v>
      </c>
      <c r="AY2304" s="109" t="s">
        <v>21</v>
      </c>
      <c r="AZ2304" s="62" t="s">
        <v>6</v>
      </c>
      <c r="BA2304" s="244"/>
    </row>
    <row r="2305" spans="1:53" ht="14.25" x14ac:dyDescent="0.15">
      <c r="A2305" s="103" t="s">
        <v>43</v>
      </c>
      <c r="B2305" s="104">
        <f>B2299</f>
        <v>7</v>
      </c>
      <c r="C2305" s="105">
        <f>C2299</f>
        <v>4</v>
      </c>
      <c r="D2305" s="105">
        <f>D2299</f>
        <v>5</v>
      </c>
      <c r="E2305" s="105">
        <f>E2299</f>
        <v>0</v>
      </c>
      <c r="F2305" s="105">
        <f>F2299</f>
        <v>0</v>
      </c>
      <c r="G2305" s="106">
        <f t="shared" ref="G2305:G2336" si="2873">SUM(B2305:F2305)</f>
        <v>16</v>
      </c>
      <c r="H2305" s="104">
        <f>H2299</f>
        <v>6</v>
      </c>
      <c r="I2305" s="105">
        <f>I2299</f>
        <v>5</v>
      </c>
      <c r="J2305" s="105">
        <f>J2299</f>
        <v>0</v>
      </c>
      <c r="K2305" s="105">
        <f>K2299</f>
        <v>0</v>
      </c>
      <c r="L2305" s="105">
        <f>L2299</f>
        <v>0</v>
      </c>
      <c r="M2305" s="107">
        <f t="shared" ref="M2305:M2336" si="2874">SUM(H2305:L2305)</f>
        <v>11</v>
      </c>
      <c r="N2305" s="104">
        <f>N2299</f>
        <v>8</v>
      </c>
      <c r="O2305" s="105">
        <f>O2299</f>
        <v>5</v>
      </c>
      <c r="P2305" s="105">
        <f>P2299</f>
        <v>8</v>
      </c>
      <c r="Q2305" s="105">
        <f>Q2299</f>
        <v>6</v>
      </c>
      <c r="R2305" s="105">
        <f>R2299</f>
        <v>7</v>
      </c>
      <c r="S2305" s="108">
        <f t="shared" ref="S2305:S2336" si="2875">SUM(N2305:R2305)</f>
        <v>34</v>
      </c>
      <c r="T2305" s="104">
        <f>T2299</f>
        <v>5</v>
      </c>
      <c r="U2305" s="105">
        <f>U2299</f>
        <v>6</v>
      </c>
      <c r="V2305" s="105">
        <f>V2299</f>
        <v>0</v>
      </c>
      <c r="W2305" s="105">
        <f>W2299</f>
        <v>0</v>
      </c>
      <c r="X2305" s="105">
        <f>X2299</f>
        <v>3</v>
      </c>
      <c r="Y2305" s="106">
        <f t="shared" ref="Y2305:Y2336" si="2876">SUM(T2305:X2305)</f>
        <v>14</v>
      </c>
      <c r="Z2305" s="106">
        <f t="shared" ref="Z2305:Z2336" si="2877">G2305+M2305+S2305+Y2305</f>
        <v>75</v>
      </c>
      <c r="AB2305" s="103" t="s">
        <v>43</v>
      </c>
      <c r="AC2305" s="104">
        <f>AC2299</f>
        <v>55</v>
      </c>
      <c r="AD2305" s="105">
        <f t="shared" ref="AD2305:AG2305" si="2878">AD2299</f>
        <v>0</v>
      </c>
      <c r="AE2305" s="105">
        <f t="shared" si="2878"/>
        <v>0</v>
      </c>
      <c r="AF2305" s="105">
        <f t="shared" si="2878"/>
        <v>0</v>
      </c>
      <c r="AG2305" s="105">
        <f t="shared" si="2878"/>
        <v>0</v>
      </c>
      <c r="AH2305" s="106">
        <f>SUM(AC2305:AG2305)</f>
        <v>55</v>
      </c>
      <c r="AI2305" s="104">
        <f>AI2299</f>
        <v>51</v>
      </c>
      <c r="AJ2305" s="105">
        <f t="shared" ref="AJ2305:AM2305" si="2879">AJ2299</f>
        <v>6</v>
      </c>
      <c r="AK2305" s="105">
        <f t="shared" si="2879"/>
        <v>0</v>
      </c>
      <c r="AL2305" s="105">
        <f t="shared" si="2879"/>
        <v>0</v>
      </c>
      <c r="AM2305" s="105">
        <f t="shared" si="2879"/>
        <v>0</v>
      </c>
      <c r="AN2305" s="106">
        <f>SUM(AI2305:AM2305)</f>
        <v>57</v>
      </c>
      <c r="AO2305" s="104">
        <f>AO2299</f>
        <v>125</v>
      </c>
      <c r="AP2305" s="105">
        <f t="shared" ref="AP2305:AS2305" si="2880">AP2299</f>
        <v>60</v>
      </c>
      <c r="AQ2305" s="105">
        <f t="shared" si="2880"/>
        <v>45</v>
      </c>
      <c r="AR2305" s="105">
        <f t="shared" si="2880"/>
        <v>59</v>
      </c>
      <c r="AS2305" s="105">
        <f t="shared" si="2880"/>
        <v>93</v>
      </c>
      <c r="AT2305" s="106">
        <f>SUM(AO2305:AS2305)</f>
        <v>382</v>
      </c>
      <c r="AU2305" s="104">
        <f>AU2299</f>
        <v>94</v>
      </c>
      <c r="AV2305" s="105">
        <f t="shared" ref="AV2305:AY2305" si="2881">AV2299</f>
        <v>23</v>
      </c>
      <c r="AW2305" s="105">
        <f t="shared" si="2881"/>
        <v>0</v>
      </c>
      <c r="AX2305" s="105">
        <f t="shared" si="2881"/>
        <v>0</v>
      </c>
      <c r="AY2305" s="105">
        <f t="shared" si="2881"/>
        <v>36</v>
      </c>
      <c r="AZ2305" s="106">
        <f>SUM(AU2305:AY2305)</f>
        <v>153</v>
      </c>
      <c r="BA2305" s="106">
        <f>AH2305+AN2305+AT2305+AZ2305</f>
        <v>647</v>
      </c>
    </row>
    <row r="2306" spans="1:53" ht="14.25" x14ac:dyDescent="0.15">
      <c r="A2306" s="228" t="s">
        <v>181</v>
      </c>
      <c r="B2306" s="229"/>
      <c r="C2306" s="230"/>
      <c r="D2306" s="230"/>
      <c r="E2306" s="230"/>
      <c r="F2306" s="230"/>
      <c r="G2306" s="22">
        <f t="shared" si="2873"/>
        <v>0</v>
      </c>
      <c r="H2306" s="229"/>
      <c r="I2306" s="230"/>
      <c r="J2306" s="230"/>
      <c r="K2306" s="230"/>
      <c r="L2306" s="230"/>
      <c r="M2306" s="22">
        <f t="shared" si="2874"/>
        <v>0</v>
      </c>
      <c r="N2306" s="229"/>
      <c r="O2306" s="231"/>
      <c r="P2306" s="231"/>
      <c r="Q2306" s="231"/>
      <c r="R2306" s="232"/>
      <c r="S2306" s="225">
        <f t="shared" si="2875"/>
        <v>0</v>
      </c>
      <c r="T2306" s="230"/>
      <c r="U2306" s="231"/>
      <c r="V2306" s="231"/>
      <c r="W2306" s="231"/>
      <c r="X2306" s="232">
        <v>3</v>
      </c>
      <c r="Y2306" s="225">
        <f t="shared" si="2876"/>
        <v>3</v>
      </c>
      <c r="Z2306" s="225">
        <f t="shared" si="2877"/>
        <v>3</v>
      </c>
      <c r="AA2306" s="93">
        <v>46190</v>
      </c>
      <c r="AB2306" s="10" t="s">
        <v>181</v>
      </c>
      <c r="AC2306" s="14"/>
      <c r="AD2306" s="15"/>
      <c r="AE2306" s="15"/>
      <c r="AF2306" s="15"/>
      <c r="AG2306" s="15"/>
      <c r="AH2306" s="43">
        <f t="shared" ref="AH2306:AH2309" si="2882">SUM(AC2306:AG2306)</f>
        <v>0</v>
      </c>
      <c r="AI2306" s="14"/>
      <c r="AJ2306" s="15"/>
      <c r="AK2306" s="15"/>
      <c r="AL2306" s="15"/>
      <c r="AM2306" s="15"/>
      <c r="AN2306" s="43">
        <f t="shared" ref="AN2306:AN2309" si="2883">SUM(AI2306:AM2306)</f>
        <v>0</v>
      </c>
      <c r="AO2306" s="14"/>
      <c r="AP2306" s="55"/>
      <c r="AQ2306" s="55"/>
      <c r="AR2306" s="55"/>
      <c r="AS2306" s="67"/>
      <c r="AT2306" s="24">
        <f t="shared" ref="AT2306:AT2309" si="2884">SUM(AO2306:AS2306)</f>
        <v>0</v>
      </c>
      <c r="AU2306" s="15"/>
      <c r="AV2306" s="55"/>
      <c r="AW2306" s="55"/>
      <c r="AX2306" s="55"/>
      <c r="AY2306" s="67"/>
      <c r="AZ2306" s="24">
        <f t="shared" ref="AZ2306:AZ2309" si="2885">SUM(AU2306:AY2306)</f>
        <v>0</v>
      </c>
      <c r="BA2306" s="24">
        <f t="shared" ref="BA2306:BA2309" si="2886">AH2306+AN2306+AT2306+AZ2306</f>
        <v>0</v>
      </c>
    </row>
    <row r="2307" spans="1:53" ht="14.25" x14ac:dyDescent="0.15">
      <c r="A2307" s="10" t="s">
        <v>181</v>
      </c>
      <c r="B2307" s="14"/>
      <c r="C2307" s="15"/>
      <c r="D2307" s="15"/>
      <c r="E2307" s="15"/>
      <c r="F2307" s="15"/>
      <c r="G2307" s="43">
        <f t="shared" si="2873"/>
        <v>0</v>
      </c>
      <c r="H2307" s="14"/>
      <c r="I2307" s="15"/>
      <c r="J2307" s="15"/>
      <c r="K2307" s="15"/>
      <c r="L2307" s="15"/>
      <c r="M2307" s="43">
        <f t="shared" si="2874"/>
        <v>0</v>
      </c>
      <c r="N2307" s="14"/>
      <c r="O2307" s="55"/>
      <c r="P2307" s="55"/>
      <c r="Q2307" s="55"/>
      <c r="R2307" s="67"/>
      <c r="S2307" s="24">
        <f t="shared" si="2875"/>
        <v>0</v>
      </c>
      <c r="T2307" s="15"/>
      <c r="U2307" s="55"/>
      <c r="V2307" s="55"/>
      <c r="W2307" s="55"/>
      <c r="X2307" s="67"/>
      <c r="Y2307" s="24">
        <f t="shared" si="2876"/>
        <v>0</v>
      </c>
      <c r="Z2307" s="24">
        <f t="shared" si="2877"/>
        <v>0</v>
      </c>
      <c r="AA2307" s="83"/>
      <c r="AB2307" s="10" t="s">
        <v>181</v>
      </c>
      <c r="AC2307" s="14"/>
      <c r="AD2307" s="15"/>
      <c r="AE2307" s="15"/>
      <c r="AF2307" s="15"/>
      <c r="AG2307" s="15"/>
      <c r="AH2307" s="43">
        <f t="shared" si="2882"/>
        <v>0</v>
      </c>
      <c r="AI2307" s="14"/>
      <c r="AJ2307" s="15"/>
      <c r="AK2307" s="15"/>
      <c r="AL2307" s="15"/>
      <c r="AM2307" s="15"/>
      <c r="AN2307" s="43">
        <f t="shared" si="2883"/>
        <v>0</v>
      </c>
      <c r="AO2307" s="14"/>
      <c r="AP2307" s="55"/>
      <c r="AQ2307" s="55"/>
      <c r="AR2307" s="55"/>
      <c r="AS2307" s="67"/>
      <c r="AT2307" s="24">
        <f t="shared" si="2884"/>
        <v>0</v>
      </c>
      <c r="AU2307" s="15"/>
      <c r="AV2307" s="55"/>
      <c r="AW2307" s="55"/>
      <c r="AX2307" s="55"/>
      <c r="AY2307" s="67"/>
      <c r="AZ2307" s="24">
        <f t="shared" si="2885"/>
        <v>0</v>
      </c>
      <c r="BA2307" s="24">
        <f t="shared" si="2886"/>
        <v>0</v>
      </c>
    </row>
    <row r="2308" spans="1:53" ht="14.25" x14ac:dyDescent="0.15">
      <c r="A2308" s="228" t="s">
        <v>181</v>
      </c>
      <c r="B2308" s="229"/>
      <c r="C2308" s="230"/>
      <c r="D2308" s="230"/>
      <c r="E2308" s="230"/>
      <c r="F2308" s="230"/>
      <c r="G2308" s="22">
        <f t="shared" si="2873"/>
        <v>0</v>
      </c>
      <c r="H2308" s="229"/>
      <c r="I2308" s="230"/>
      <c r="J2308" s="230"/>
      <c r="K2308" s="230"/>
      <c r="L2308" s="230"/>
      <c r="M2308" s="22">
        <f t="shared" si="2874"/>
        <v>0</v>
      </c>
      <c r="N2308" s="229"/>
      <c r="O2308" s="231"/>
      <c r="P2308" s="231"/>
      <c r="Q2308" s="231"/>
      <c r="R2308" s="232"/>
      <c r="S2308" s="225">
        <f t="shared" si="2875"/>
        <v>0</v>
      </c>
      <c r="T2308" s="230"/>
      <c r="U2308" s="231"/>
      <c r="V2308" s="231"/>
      <c r="W2308" s="231"/>
      <c r="X2308" s="232"/>
      <c r="Y2308" s="225">
        <f t="shared" si="2876"/>
        <v>0</v>
      </c>
      <c r="Z2308" s="225">
        <f t="shared" si="2877"/>
        <v>0</v>
      </c>
      <c r="AA2308" s="93"/>
      <c r="AB2308" s="10" t="s">
        <v>181</v>
      </c>
      <c r="AC2308" s="14"/>
      <c r="AD2308" s="15"/>
      <c r="AE2308" s="15"/>
      <c r="AF2308" s="15"/>
      <c r="AG2308" s="15"/>
      <c r="AH2308" s="43">
        <f t="shared" si="2882"/>
        <v>0</v>
      </c>
      <c r="AI2308" s="14"/>
      <c r="AJ2308" s="15"/>
      <c r="AK2308" s="15"/>
      <c r="AL2308" s="15"/>
      <c r="AM2308" s="15"/>
      <c r="AN2308" s="43">
        <f t="shared" si="2883"/>
        <v>0</v>
      </c>
      <c r="AO2308" s="14"/>
      <c r="AP2308" s="55"/>
      <c r="AQ2308" s="55"/>
      <c r="AR2308" s="55"/>
      <c r="AS2308" s="67"/>
      <c r="AT2308" s="24">
        <f t="shared" si="2884"/>
        <v>0</v>
      </c>
      <c r="AU2308" s="15"/>
      <c r="AV2308" s="55"/>
      <c r="AW2308" s="55"/>
      <c r="AX2308" s="55"/>
      <c r="AY2308" s="67"/>
      <c r="AZ2308" s="24">
        <f t="shared" si="2885"/>
        <v>0</v>
      </c>
      <c r="BA2308" s="24">
        <f t="shared" si="2886"/>
        <v>0</v>
      </c>
    </row>
    <row r="2309" spans="1:53" ht="15" thickBot="1" x14ac:dyDescent="0.2">
      <c r="A2309" s="10" t="s">
        <v>181</v>
      </c>
      <c r="B2309" s="14"/>
      <c r="C2309" s="15"/>
      <c r="D2309" s="15"/>
      <c r="E2309" s="15"/>
      <c r="F2309" s="15"/>
      <c r="G2309" s="43">
        <f t="shared" si="2873"/>
        <v>0</v>
      </c>
      <c r="H2309" s="14"/>
      <c r="I2309" s="15"/>
      <c r="J2309" s="15"/>
      <c r="K2309" s="15"/>
      <c r="L2309" s="15"/>
      <c r="M2309" s="43">
        <f t="shared" si="2874"/>
        <v>0</v>
      </c>
      <c r="N2309" s="14"/>
      <c r="O2309" s="55"/>
      <c r="P2309" s="55"/>
      <c r="Q2309" s="55"/>
      <c r="R2309" s="67"/>
      <c r="S2309" s="24">
        <f t="shared" si="2875"/>
        <v>0</v>
      </c>
      <c r="T2309" s="15"/>
      <c r="U2309" s="55"/>
      <c r="V2309" s="55"/>
      <c r="W2309" s="55"/>
      <c r="X2309" s="67"/>
      <c r="Y2309" s="24">
        <f t="shared" si="2876"/>
        <v>0</v>
      </c>
      <c r="Z2309" s="24">
        <f t="shared" si="2877"/>
        <v>0</v>
      </c>
      <c r="AA2309" s="83"/>
      <c r="AB2309" s="10" t="s">
        <v>181</v>
      </c>
      <c r="AC2309" s="14"/>
      <c r="AD2309" s="15"/>
      <c r="AE2309" s="15"/>
      <c r="AF2309" s="15"/>
      <c r="AG2309" s="15"/>
      <c r="AH2309" s="43">
        <f t="shared" si="2882"/>
        <v>0</v>
      </c>
      <c r="AI2309" s="14"/>
      <c r="AJ2309" s="15"/>
      <c r="AK2309" s="15"/>
      <c r="AL2309" s="15"/>
      <c r="AM2309" s="15"/>
      <c r="AN2309" s="43">
        <f t="shared" si="2883"/>
        <v>0</v>
      </c>
      <c r="AO2309" s="14"/>
      <c r="AP2309" s="55"/>
      <c r="AQ2309" s="55"/>
      <c r="AR2309" s="55"/>
      <c r="AS2309" s="67"/>
      <c r="AT2309" s="24">
        <f t="shared" si="2884"/>
        <v>0</v>
      </c>
      <c r="AU2309" s="15"/>
      <c r="AV2309" s="55"/>
      <c r="AW2309" s="55"/>
      <c r="AX2309" s="55"/>
      <c r="AY2309" s="67"/>
      <c r="AZ2309" s="24">
        <f t="shared" si="2885"/>
        <v>0</v>
      </c>
      <c r="BA2309" s="24">
        <f t="shared" si="2886"/>
        <v>0</v>
      </c>
    </row>
    <row r="2310" spans="1:53" ht="15" thickBot="1" x14ac:dyDescent="0.2">
      <c r="A2310" s="4" t="s">
        <v>12</v>
      </c>
      <c r="B2310" s="17">
        <f>SUM(B2305:B2309)</f>
        <v>7</v>
      </c>
      <c r="C2310" s="18">
        <f>SUM(C2305:C2309)</f>
        <v>4</v>
      </c>
      <c r="D2310" s="18">
        <f>SUM(D2305:D2309)</f>
        <v>5</v>
      </c>
      <c r="E2310" s="18">
        <f>SUM(E2305:E2309)</f>
        <v>0</v>
      </c>
      <c r="F2310" s="18">
        <f>SUM(F2305:F2309)</f>
        <v>0</v>
      </c>
      <c r="G2310" s="148">
        <f t="shared" si="2873"/>
        <v>16</v>
      </c>
      <c r="H2310" s="17">
        <f>SUM(H2305:H2309)</f>
        <v>6</v>
      </c>
      <c r="I2310" s="18">
        <f>SUM(I2305:I2309)</f>
        <v>5</v>
      </c>
      <c r="J2310" s="18">
        <f>SUM(J2305:J2309)</f>
        <v>0</v>
      </c>
      <c r="K2310" s="18">
        <f>SUM(K2305:K2309)</f>
        <v>0</v>
      </c>
      <c r="L2310" s="18">
        <f>SUM(L2305:L2309)</f>
        <v>0</v>
      </c>
      <c r="M2310" s="17">
        <f t="shared" si="2874"/>
        <v>11</v>
      </c>
      <c r="N2310" s="65">
        <f>SUM(N2305:N2309)</f>
        <v>8</v>
      </c>
      <c r="O2310" s="18">
        <f>SUM(O2305:O2309)</f>
        <v>5</v>
      </c>
      <c r="P2310" s="18">
        <f>SUM(P2305:P2309)</f>
        <v>8</v>
      </c>
      <c r="Q2310" s="18">
        <f>SUM(Q2305:Q2309)</f>
        <v>6</v>
      </c>
      <c r="R2310" s="70">
        <f>SUM(R2305:R2309)</f>
        <v>7</v>
      </c>
      <c r="S2310" s="49">
        <f t="shared" si="2875"/>
        <v>34</v>
      </c>
      <c r="T2310" s="74">
        <f>SUM(T2305:T2309)</f>
        <v>5</v>
      </c>
      <c r="U2310" s="18">
        <f>SUM(U2305:U2309)</f>
        <v>6</v>
      </c>
      <c r="V2310" s="18">
        <f>SUM(V2305:V2309)</f>
        <v>0</v>
      </c>
      <c r="W2310" s="18">
        <f>SUM(W2305:W2309)</f>
        <v>0</v>
      </c>
      <c r="X2310" s="70">
        <f>SUM(X2305:X2309)</f>
        <v>6</v>
      </c>
      <c r="Y2310" s="49">
        <f t="shared" si="2876"/>
        <v>17</v>
      </c>
      <c r="Z2310" s="33">
        <f t="shared" si="2877"/>
        <v>78</v>
      </c>
      <c r="AB2310" s="4" t="s">
        <v>12</v>
      </c>
      <c r="AC2310" s="17">
        <f>SUM(AC2305:AC2309)</f>
        <v>55</v>
      </c>
      <c r="AD2310" s="18">
        <f t="shared" ref="AD2310:AG2310" si="2887">SUM(AD2305:AD2309)</f>
        <v>0</v>
      </c>
      <c r="AE2310" s="18">
        <f t="shared" si="2887"/>
        <v>0</v>
      </c>
      <c r="AF2310" s="18">
        <f t="shared" si="2887"/>
        <v>0</v>
      </c>
      <c r="AG2310" s="18">
        <f t="shared" si="2887"/>
        <v>0</v>
      </c>
      <c r="AH2310" s="148">
        <f>SUM(AC2310:AG2310)</f>
        <v>55</v>
      </c>
      <c r="AI2310" s="17">
        <f>SUM(AI2305:AI2309)</f>
        <v>51</v>
      </c>
      <c r="AJ2310" s="18">
        <f t="shared" ref="AJ2310:AM2310" si="2888">SUM(AJ2305:AJ2309)</f>
        <v>6</v>
      </c>
      <c r="AK2310" s="18">
        <f t="shared" si="2888"/>
        <v>0</v>
      </c>
      <c r="AL2310" s="18">
        <f t="shared" si="2888"/>
        <v>0</v>
      </c>
      <c r="AM2310" s="18">
        <f t="shared" si="2888"/>
        <v>0</v>
      </c>
      <c r="AN2310" s="148">
        <f>SUM(AI2310:AM2310)</f>
        <v>57</v>
      </c>
      <c r="AO2310" s="17">
        <f>SUM(AO2305:AO2309)</f>
        <v>125</v>
      </c>
      <c r="AP2310" s="18">
        <f t="shared" ref="AP2310:AS2310" si="2889">SUM(AP2305:AP2309)</f>
        <v>60</v>
      </c>
      <c r="AQ2310" s="18">
        <f t="shared" si="2889"/>
        <v>45</v>
      </c>
      <c r="AR2310" s="18">
        <f t="shared" si="2889"/>
        <v>59</v>
      </c>
      <c r="AS2310" s="18">
        <f t="shared" si="2889"/>
        <v>93</v>
      </c>
      <c r="AT2310" s="148">
        <f>SUM(AO2310:AS2310)</f>
        <v>382</v>
      </c>
      <c r="AU2310" s="17">
        <f>SUM(AU2305:AU2309)</f>
        <v>94</v>
      </c>
      <c r="AV2310" s="18">
        <f t="shared" ref="AV2310:AY2310" si="2890">SUM(AV2305:AV2309)</f>
        <v>23</v>
      </c>
      <c r="AW2310" s="18">
        <f t="shared" si="2890"/>
        <v>0</v>
      </c>
      <c r="AX2310" s="18">
        <f t="shared" si="2890"/>
        <v>0</v>
      </c>
      <c r="AY2310" s="18">
        <f t="shared" si="2890"/>
        <v>36</v>
      </c>
      <c r="AZ2310" s="148">
        <f>SUM(AU2310:AY2310)</f>
        <v>153</v>
      </c>
      <c r="BA2310" s="33">
        <f>AH2310+AN2310+AT2310+AZ2310</f>
        <v>647</v>
      </c>
    </row>
    <row r="2311" spans="1:53" ht="14.25" x14ac:dyDescent="0.15">
      <c r="A2311" s="23" t="s">
        <v>699</v>
      </c>
      <c r="B2311" s="41"/>
      <c r="C2311" s="42"/>
      <c r="D2311" s="42"/>
      <c r="E2311" s="42"/>
      <c r="F2311" s="42"/>
      <c r="G2311" s="43">
        <f t="shared" si="2873"/>
        <v>0</v>
      </c>
      <c r="H2311" s="41"/>
      <c r="I2311" s="42"/>
      <c r="J2311" s="42"/>
      <c r="K2311" s="42"/>
      <c r="L2311" s="42"/>
      <c r="M2311" s="43">
        <f t="shared" si="2874"/>
        <v>0</v>
      </c>
      <c r="N2311" s="42"/>
      <c r="O2311" s="53"/>
      <c r="P2311" s="53">
        <v>1</v>
      </c>
      <c r="Q2311" s="53">
        <v>1</v>
      </c>
      <c r="R2311" s="72"/>
      <c r="S2311" s="24">
        <f t="shared" si="2875"/>
        <v>2</v>
      </c>
      <c r="T2311" s="42"/>
      <c r="U2311" s="53"/>
      <c r="V2311" s="53"/>
      <c r="W2311" s="53"/>
      <c r="X2311" s="72"/>
      <c r="Y2311" s="24">
        <f t="shared" si="2876"/>
        <v>0</v>
      </c>
      <c r="Z2311" s="24">
        <f t="shared" si="2877"/>
        <v>2</v>
      </c>
      <c r="AA2311" s="93">
        <v>46184</v>
      </c>
      <c r="AB2311" s="23"/>
      <c r="AC2311" s="41"/>
      <c r="AD2311" s="42"/>
      <c r="AE2311" s="42"/>
      <c r="AF2311" s="42"/>
      <c r="AG2311" s="42"/>
      <c r="AH2311" s="43">
        <f t="shared" ref="AH2311:AH2317" si="2891">SUM(AC2311:AG2311)</f>
        <v>0</v>
      </c>
      <c r="AI2311" s="41"/>
      <c r="AJ2311" s="42"/>
      <c r="AK2311" s="42"/>
      <c r="AL2311" s="42"/>
      <c r="AM2311" s="42"/>
      <c r="AN2311" s="43">
        <f t="shared" ref="AN2311:AN2317" si="2892">SUM(AI2311:AM2311)</f>
        <v>0</v>
      </c>
      <c r="AO2311" s="42"/>
      <c r="AP2311" s="53"/>
      <c r="AQ2311" s="53"/>
      <c r="AR2311" s="53"/>
      <c r="AS2311" s="72"/>
      <c r="AT2311" s="24">
        <f t="shared" ref="AT2311:AT2317" si="2893">SUM(AO2311:AS2311)</f>
        <v>0</v>
      </c>
      <c r="AU2311" s="42"/>
      <c r="AV2311" s="53"/>
      <c r="AW2311" s="53"/>
      <c r="AX2311" s="53"/>
      <c r="AY2311" s="72"/>
      <c r="AZ2311" s="24">
        <f t="shared" ref="AZ2311:AZ2317" si="2894">SUM(AU2311:AY2311)</f>
        <v>0</v>
      </c>
      <c r="BA2311" s="24">
        <f t="shared" ref="BA2311:BA2317" si="2895">AH2311+AN2311+AT2311+AZ2311</f>
        <v>0</v>
      </c>
    </row>
    <row r="2312" spans="1:53" ht="14.25" x14ac:dyDescent="0.15">
      <c r="A2312" s="23" t="s">
        <v>699</v>
      </c>
      <c r="B2312" s="41"/>
      <c r="C2312" s="42"/>
      <c r="D2312" s="42">
        <v>1</v>
      </c>
      <c r="E2312" s="42"/>
      <c r="F2312" s="42"/>
      <c r="G2312" s="43">
        <f t="shared" si="2873"/>
        <v>1</v>
      </c>
      <c r="H2312" s="41"/>
      <c r="I2312" s="42"/>
      <c r="J2312" s="42"/>
      <c r="K2312" s="42"/>
      <c r="L2312" s="42"/>
      <c r="M2312" s="43">
        <f t="shared" si="2874"/>
        <v>0</v>
      </c>
      <c r="N2312" s="42"/>
      <c r="O2312" s="53">
        <v>1</v>
      </c>
      <c r="P2312" s="53"/>
      <c r="Q2312" s="53"/>
      <c r="R2312" s="72"/>
      <c r="S2312" s="24">
        <f t="shared" si="2875"/>
        <v>1</v>
      </c>
      <c r="T2312" s="42"/>
      <c r="U2312" s="53"/>
      <c r="V2312" s="53"/>
      <c r="W2312" s="53"/>
      <c r="X2312" s="72"/>
      <c r="Y2312" s="24">
        <f t="shared" si="2876"/>
        <v>0</v>
      </c>
      <c r="Z2312" s="24">
        <f t="shared" si="2877"/>
        <v>2</v>
      </c>
      <c r="AA2312" s="83">
        <v>46185</v>
      </c>
      <c r="AB2312" s="23"/>
      <c r="AC2312" s="41"/>
      <c r="AD2312" s="42"/>
      <c r="AE2312" s="42"/>
      <c r="AF2312" s="42"/>
      <c r="AG2312" s="42"/>
      <c r="AH2312" s="43">
        <f t="shared" si="2891"/>
        <v>0</v>
      </c>
      <c r="AI2312" s="41"/>
      <c r="AJ2312" s="42"/>
      <c r="AK2312" s="42"/>
      <c r="AL2312" s="42"/>
      <c r="AM2312" s="42"/>
      <c r="AN2312" s="43">
        <f t="shared" si="2892"/>
        <v>0</v>
      </c>
      <c r="AO2312" s="42"/>
      <c r="AP2312" s="53"/>
      <c r="AQ2312" s="53"/>
      <c r="AR2312" s="53"/>
      <c r="AS2312" s="72"/>
      <c r="AT2312" s="24">
        <f t="shared" si="2893"/>
        <v>0</v>
      </c>
      <c r="AU2312" s="42"/>
      <c r="AV2312" s="53"/>
      <c r="AW2312" s="53"/>
      <c r="AX2312" s="53"/>
      <c r="AY2312" s="72"/>
      <c r="AZ2312" s="24">
        <f t="shared" si="2894"/>
        <v>0</v>
      </c>
      <c r="BA2312" s="24">
        <f t="shared" si="2895"/>
        <v>0</v>
      </c>
    </row>
    <row r="2313" spans="1:53" ht="14.25" x14ac:dyDescent="0.15">
      <c r="A2313" s="23" t="s">
        <v>438</v>
      </c>
      <c r="B2313" s="41"/>
      <c r="C2313" s="42"/>
      <c r="D2313" s="42"/>
      <c r="E2313" s="42"/>
      <c r="F2313" s="42"/>
      <c r="G2313" s="43">
        <f t="shared" si="2873"/>
        <v>0</v>
      </c>
      <c r="H2313" s="41"/>
      <c r="I2313" s="42"/>
      <c r="J2313" s="42"/>
      <c r="K2313" s="42"/>
      <c r="L2313" s="42"/>
      <c r="M2313" s="43">
        <f t="shared" si="2874"/>
        <v>0</v>
      </c>
      <c r="N2313" s="42"/>
      <c r="O2313" s="53"/>
      <c r="P2313" s="53">
        <v>1</v>
      </c>
      <c r="Q2313" s="53"/>
      <c r="R2313" s="72"/>
      <c r="S2313" s="24">
        <f t="shared" si="2875"/>
        <v>1</v>
      </c>
      <c r="T2313" s="42"/>
      <c r="U2313" s="53"/>
      <c r="V2313" s="53"/>
      <c r="W2313" s="53"/>
      <c r="X2313" s="72"/>
      <c r="Y2313" s="24">
        <f t="shared" si="2876"/>
        <v>0</v>
      </c>
      <c r="Z2313" s="24">
        <f t="shared" si="2877"/>
        <v>1</v>
      </c>
      <c r="AA2313" s="83">
        <v>46190</v>
      </c>
      <c r="AB2313" s="23"/>
      <c r="AC2313" s="41"/>
      <c r="AD2313" s="42"/>
      <c r="AE2313" s="42"/>
      <c r="AF2313" s="42"/>
      <c r="AG2313" s="42"/>
      <c r="AH2313" s="43">
        <f t="shared" si="2891"/>
        <v>0</v>
      </c>
      <c r="AI2313" s="41"/>
      <c r="AJ2313" s="42"/>
      <c r="AK2313" s="42"/>
      <c r="AL2313" s="42"/>
      <c r="AM2313" s="42"/>
      <c r="AN2313" s="43">
        <f t="shared" si="2892"/>
        <v>0</v>
      </c>
      <c r="AO2313" s="42"/>
      <c r="AP2313" s="53"/>
      <c r="AQ2313" s="53"/>
      <c r="AR2313" s="53"/>
      <c r="AS2313" s="72"/>
      <c r="AT2313" s="24">
        <f t="shared" si="2893"/>
        <v>0</v>
      </c>
      <c r="AU2313" s="42"/>
      <c r="AV2313" s="53"/>
      <c r="AW2313" s="53"/>
      <c r="AX2313" s="53"/>
      <c r="AY2313" s="72"/>
      <c r="AZ2313" s="24">
        <f t="shared" si="2894"/>
        <v>0</v>
      </c>
      <c r="BA2313" s="24">
        <f t="shared" si="2895"/>
        <v>0</v>
      </c>
    </row>
    <row r="2314" spans="1:53" ht="14.25" x14ac:dyDescent="0.15">
      <c r="A2314" s="23" t="s">
        <v>699</v>
      </c>
      <c r="B2314" s="41"/>
      <c r="C2314" s="42"/>
      <c r="D2314" s="42">
        <v>1</v>
      </c>
      <c r="E2314" s="42"/>
      <c r="F2314" s="42"/>
      <c r="G2314" s="43">
        <f t="shared" si="2873"/>
        <v>1</v>
      </c>
      <c r="H2314" s="41">
        <v>1</v>
      </c>
      <c r="I2314" s="42">
        <v>2</v>
      </c>
      <c r="J2314" s="42"/>
      <c r="K2314" s="42"/>
      <c r="L2314" s="42"/>
      <c r="M2314" s="43">
        <f t="shared" si="2874"/>
        <v>3</v>
      </c>
      <c r="N2314" s="42"/>
      <c r="O2314" s="53"/>
      <c r="P2314" s="53">
        <v>1</v>
      </c>
      <c r="Q2314" s="53">
        <v>1</v>
      </c>
      <c r="R2314" s="72"/>
      <c r="S2314" s="24">
        <f t="shared" si="2875"/>
        <v>2</v>
      </c>
      <c r="T2314" s="42"/>
      <c r="U2314" s="53">
        <v>2</v>
      </c>
      <c r="V2314" s="53"/>
      <c r="W2314" s="53"/>
      <c r="X2314" s="72"/>
      <c r="Y2314" s="24">
        <f t="shared" si="2876"/>
        <v>2</v>
      </c>
      <c r="Z2314" s="24">
        <f t="shared" si="2877"/>
        <v>8</v>
      </c>
      <c r="AA2314" s="83">
        <v>46188</v>
      </c>
      <c r="AB2314" s="23"/>
      <c r="AC2314" s="41"/>
      <c r="AD2314" s="42"/>
      <c r="AE2314" s="42"/>
      <c r="AF2314" s="42"/>
      <c r="AG2314" s="42"/>
      <c r="AH2314" s="43">
        <f t="shared" si="2891"/>
        <v>0</v>
      </c>
      <c r="AI2314" s="41"/>
      <c r="AJ2314" s="42"/>
      <c r="AK2314" s="42"/>
      <c r="AL2314" s="42"/>
      <c r="AM2314" s="42"/>
      <c r="AN2314" s="43">
        <f t="shared" si="2892"/>
        <v>0</v>
      </c>
      <c r="AO2314" s="42"/>
      <c r="AP2314" s="53"/>
      <c r="AQ2314" s="53"/>
      <c r="AR2314" s="53"/>
      <c r="AS2314" s="72"/>
      <c r="AT2314" s="24">
        <f t="shared" si="2893"/>
        <v>0</v>
      </c>
      <c r="AU2314" s="42"/>
      <c r="AV2314" s="53"/>
      <c r="AW2314" s="53"/>
      <c r="AX2314" s="53"/>
      <c r="AY2314" s="72"/>
      <c r="AZ2314" s="24">
        <f t="shared" si="2894"/>
        <v>0</v>
      </c>
      <c r="BA2314" s="24">
        <f t="shared" si="2895"/>
        <v>0</v>
      </c>
    </row>
    <row r="2315" spans="1:53" ht="14.25" x14ac:dyDescent="0.15">
      <c r="A2315" s="23" t="s">
        <v>438</v>
      </c>
      <c r="B2315" s="41"/>
      <c r="C2315" s="42"/>
      <c r="D2315" s="42"/>
      <c r="E2315" s="42"/>
      <c r="F2315" s="42"/>
      <c r="G2315" s="43">
        <f t="shared" si="2873"/>
        <v>0</v>
      </c>
      <c r="H2315" s="41"/>
      <c r="I2315" s="42"/>
      <c r="J2315" s="42"/>
      <c r="K2315" s="42"/>
      <c r="L2315" s="42"/>
      <c r="M2315" s="43">
        <f t="shared" si="2874"/>
        <v>0</v>
      </c>
      <c r="N2315" s="42"/>
      <c r="O2315" s="53"/>
      <c r="P2315" s="53"/>
      <c r="Q2315" s="53"/>
      <c r="R2315" s="72"/>
      <c r="S2315" s="24">
        <f t="shared" si="2875"/>
        <v>0</v>
      </c>
      <c r="T2315" s="42"/>
      <c r="U2315" s="53">
        <v>1</v>
      </c>
      <c r="V2315" s="53"/>
      <c r="W2315" s="53"/>
      <c r="X2315" s="72"/>
      <c r="Y2315" s="24">
        <f t="shared" si="2876"/>
        <v>1</v>
      </c>
      <c r="Z2315" s="24">
        <f t="shared" si="2877"/>
        <v>1</v>
      </c>
      <c r="AA2315" s="83">
        <v>46191</v>
      </c>
      <c r="AB2315" s="23"/>
      <c r="AC2315" s="41"/>
      <c r="AD2315" s="42"/>
      <c r="AE2315" s="42"/>
      <c r="AF2315" s="42"/>
      <c r="AG2315" s="42"/>
      <c r="AH2315" s="43">
        <f t="shared" si="2891"/>
        <v>0</v>
      </c>
      <c r="AI2315" s="41"/>
      <c r="AJ2315" s="42"/>
      <c r="AK2315" s="42"/>
      <c r="AL2315" s="42"/>
      <c r="AM2315" s="42"/>
      <c r="AN2315" s="43">
        <f t="shared" si="2892"/>
        <v>0</v>
      </c>
      <c r="AO2315" s="42"/>
      <c r="AP2315" s="53"/>
      <c r="AQ2315" s="53"/>
      <c r="AR2315" s="53"/>
      <c r="AS2315" s="72"/>
      <c r="AT2315" s="24">
        <f t="shared" si="2893"/>
        <v>0</v>
      </c>
      <c r="AU2315" s="42"/>
      <c r="AV2315" s="53"/>
      <c r="AW2315" s="53"/>
      <c r="AX2315" s="53"/>
      <c r="AY2315" s="72"/>
      <c r="AZ2315" s="24">
        <f t="shared" si="2894"/>
        <v>0</v>
      </c>
      <c r="BA2315" s="24">
        <f t="shared" si="2895"/>
        <v>0</v>
      </c>
    </row>
    <row r="2316" spans="1:53" ht="14.25" x14ac:dyDescent="0.15">
      <c r="A2316" s="23" t="s">
        <v>699</v>
      </c>
      <c r="B2316" s="41"/>
      <c r="C2316" s="42"/>
      <c r="D2316" s="42"/>
      <c r="E2316" s="42"/>
      <c r="F2316" s="42"/>
      <c r="G2316" s="43">
        <f t="shared" si="2873"/>
        <v>0</v>
      </c>
      <c r="H2316" s="41"/>
      <c r="I2316" s="42"/>
      <c r="J2316" s="42"/>
      <c r="K2316" s="42"/>
      <c r="L2316" s="42"/>
      <c r="M2316" s="43">
        <f t="shared" si="2874"/>
        <v>0</v>
      </c>
      <c r="N2316" s="42"/>
      <c r="O2316" s="53">
        <v>1</v>
      </c>
      <c r="P2316" s="53">
        <v>1</v>
      </c>
      <c r="Q2316" s="53"/>
      <c r="R2316" s="72"/>
      <c r="S2316" s="24">
        <f t="shared" si="2875"/>
        <v>2</v>
      </c>
      <c r="T2316" s="42"/>
      <c r="U2316" s="53"/>
      <c r="V2316" s="53"/>
      <c r="W2316" s="53"/>
      <c r="X2316" s="72">
        <v>2</v>
      </c>
      <c r="Y2316" s="24">
        <f t="shared" si="2876"/>
        <v>2</v>
      </c>
      <c r="Z2316" s="24">
        <f t="shared" si="2877"/>
        <v>4</v>
      </c>
      <c r="AA2316" s="83">
        <v>46189</v>
      </c>
      <c r="AB2316" s="23"/>
      <c r="AC2316" s="41"/>
      <c r="AD2316" s="42"/>
      <c r="AE2316" s="42"/>
      <c r="AF2316" s="42"/>
      <c r="AG2316" s="42"/>
      <c r="AH2316" s="43">
        <f t="shared" si="2891"/>
        <v>0</v>
      </c>
      <c r="AI2316" s="41"/>
      <c r="AJ2316" s="42"/>
      <c r="AK2316" s="42"/>
      <c r="AL2316" s="42"/>
      <c r="AM2316" s="42"/>
      <c r="AN2316" s="43">
        <f t="shared" si="2892"/>
        <v>0</v>
      </c>
      <c r="AO2316" s="42"/>
      <c r="AP2316" s="53"/>
      <c r="AQ2316" s="53"/>
      <c r="AR2316" s="53"/>
      <c r="AS2316" s="72"/>
      <c r="AT2316" s="24">
        <f t="shared" si="2893"/>
        <v>0</v>
      </c>
      <c r="AU2316" s="42"/>
      <c r="AV2316" s="53"/>
      <c r="AW2316" s="53"/>
      <c r="AX2316" s="53"/>
      <c r="AY2316" s="72"/>
      <c r="AZ2316" s="24">
        <f t="shared" si="2894"/>
        <v>0</v>
      </c>
      <c r="BA2316" s="24">
        <f t="shared" si="2895"/>
        <v>0</v>
      </c>
    </row>
    <row r="2317" spans="1:53" ht="14.25" x14ac:dyDescent="0.15">
      <c r="A2317" s="23" t="s">
        <v>438</v>
      </c>
      <c r="B2317" s="41"/>
      <c r="C2317" s="42"/>
      <c r="D2317" s="42"/>
      <c r="E2317" s="42"/>
      <c r="F2317" s="42"/>
      <c r="G2317" s="43">
        <f t="shared" si="2873"/>
        <v>0</v>
      </c>
      <c r="H2317" s="41"/>
      <c r="I2317" s="42"/>
      <c r="J2317" s="42"/>
      <c r="K2317" s="42"/>
      <c r="L2317" s="42"/>
      <c r="M2317" s="43">
        <f t="shared" si="2874"/>
        <v>0</v>
      </c>
      <c r="N2317" s="42"/>
      <c r="O2317" s="53"/>
      <c r="P2317" s="53">
        <v>1</v>
      </c>
      <c r="Q2317" s="53"/>
      <c r="R2317" s="72"/>
      <c r="S2317" s="24">
        <f t="shared" si="2875"/>
        <v>1</v>
      </c>
      <c r="T2317" s="42"/>
      <c r="U2317" s="53"/>
      <c r="V2317" s="53"/>
      <c r="W2317" s="53"/>
      <c r="X2317" s="72"/>
      <c r="Y2317" s="24">
        <f t="shared" si="2876"/>
        <v>0</v>
      </c>
      <c r="Z2317" s="24">
        <f t="shared" si="2877"/>
        <v>1</v>
      </c>
      <c r="AA2317" s="83">
        <v>46192</v>
      </c>
      <c r="AB2317" s="23"/>
      <c r="AC2317" s="41"/>
      <c r="AD2317" s="42"/>
      <c r="AE2317" s="42"/>
      <c r="AF2317" s="42"/>
      <c r="AG2317" s="42"/>
      <c r="AH2317" s="43">
        <f t="shared" si="2891"/>
        <v>0</v>
      </c>
      <c r="AI2317" s="41"/>
      <c r="AJ2317" s="42"/>
      <c r="AK2317" s="42"/>
      <c r="AL2317" s="42"/>
      <c r="AM2317" s="42"/>
      <c r="AN2317" s="43">
        <f t="shared" si="2892"/>
        <v>0</v>
      </c>
      <c r="AO2317" s="42"/>
      <c r="AP2317" s="53"/>
      <c r="AQ2317" s="53"/>
      <c r="AR2317" s="53"/>
      <c r="AS2317" s="72"/>
      <c r="AT2317" s="24">
        <f t="shared" si="2893"/>
        <v>0</v>
      </c>
      <c r="AU2317" s="42"/>
      <c r="AV2317" s="53"/>
      <c r="AW2317" s="53"/>
      <c r="AX2317" s="53"/>
      <c r="AY2317" s="72"/>
      <c r="AZ2317" s="24">
        <f t="shared" si="2894"/>
        <v>0</v>
      </c>
      <c r="BA2317" s="24">
        <f t="shared" si="2895"/>
        <v>0</v>
      </c>
    </row>
    <row r="2318" spans="1:53" ht="14.25" x14ac:dyDescent="0.15">
      <c r="A2318" s="23" t="s">
        <v>699</v>
      </c>
      <c r="B2318" s="41"/>
      <c r="C2318" s="42"/>
      <c r="D2318" s="42"/>
      <c r="E2318" s="42"/>
      <c r="F2318" s="42"/>
      <c r="G2318" s="43">
        <f t="shared" si="2873"/>
        <v>0</v>
      </c>
      <c r="H2318" s="41"/>
      <c r="I2318" s="42"/>
      <c r="J2318" s="42"/>
      <c r="K2318" s="42"/>
      <c r="L2318" s="42"/>
      <c r="M2318" s="43">
        <f t="shared" si="2874"/>
        <v>0</v>
      </c>
      <c r="N2318" s="42"/>
      <c r="O2318" s="53"/>
      <c r="P2318" s="53"/>
      <c r="Q2318" s="53">
        <v>1</v>
      </c>
      <c r="R2318" s="72">
        <v>1</v>
      </c>
      <c r="S2318" s="24">
        <f t="shared" si="2875"/>
        <v>2</v>
      </c>
      <c r="T2318" s="42"/>
      <c r="U2318" s="53"/>
      <c r="V2318" s="53"/>
      <c r="W2318" s="53"/>
      <c r="X2318" s="72">
        <v>1</v>
      </c>
      <c r="Y2318" s="24">
        <f t="shared" si="2876"/>
        <v>1</v>
      </c>
      <c r="Z2318" s="24">
        <f t="shared" si="2877"/>
        <v>3</v>
      </c>
      <c r="AA2318" s="93">
        <v>46190</v>
      </c>
      <c r="AB2318" s="23"/>
      <c r="AC2318" s="41"/>
      <c r="AD2318" s="42"/>
      <c r="AE2318" s="42"/>
      <c r="AF2318" s="42"/>
      <c r="AG2318" s="42"/>
      <c r="AH2318" s="43">
        <f t="shared" ref="AH2318:AH2336" si="2896">SUM(AC2318:AG2318)</f>
        <v>0</v>
      </c>
      <c r="AI2318" s="41"/>
      <c r="AJ2318" s="42"/>
      <c r="AK2318" s="42"/>
      <c r="AL2318" s="42"/>
      <c r="AM2318" s="42"/>
      <c r="AN2318" s="43">
        <f t="shared" ref="AN2318:AN2336" si="2897">SUM(AI2318:AM2318)</f>
        <v>0</v>
      </c>
      <c r="AO2318" s="42"/>
      <c r="AP2318" s="53"/>
      <c r="AQ2318" s="53"/>
      <c r="AR2318" s="53"/>
      <c r="AS2318" s="72"/>
      <c r="AT2318" s="24">
        <f t="shared" ref="AT2318:AT2336" si="2898">SUM(AO2318:AS2318)</f>
        <v>0</v>
      </c>
      <c r="AU2318" s="42"/>
      <c r="AV2318" s="53"/>
      <c r="AW2318" s="53"/>
      <c r="AX2318" s="53"/>
      <c r="AY2318" s="72"/>
      <c r="AZ2318" s="24">
        <f t="shared" ref="AZ2318:AZ2336" si="2899">SUM(AU2318:AY2318)</f>
        <v>0</v>
      </c>
      <c r="BA2318" s="24">
        <f t="shared" ref="BA2318:BA2338" si="2900">AH2318+AN2318+AT2318+AZ2318</f>
        <v>0</v>
      </c>
    </row>
    <row r="2319" spans="1:53" ht="14.25" x14ac:dyDescent="0.15">
      <c r="A2319" s="23" t="s">
        <v>395</v>
      </c>
      <c r="B2319" s="41"/>
      <c r="C2319" s="42"/>
      <c r="D2319" s="42"/>
      <c r="E2319" s="42"/>
      <c r="F2319" s="42"/>
      <c r="G2319" s="43">
        <f t="shared" si="2873"/>
        <v>0</v>
      </c>
      <c r="H2319" s="41">
        <v>1</v>
      </c>
      <c r="I2319" s="42"/>
      <c r="J2319" s="42"/>
      <c r="K2319" s="42"/>
      <c r="L2319" s="42"/>
      <c r="M2319" s="43">
        <f t="shared" si="2874"/>
        <v>1</v>
      </c>
      <c r="N2319" s="42"/>
      <c r="O2319" s="53"/>
      <c r="P2319" s="53">
        <v>1</v>
      </c>
      <c r="Q2319" s="53"/>
      <c r="R2319" s="72"/>
      <c r="S2319" s="24">
        <f t="shared" si="2875"/>
        <v>1</v>
      </c>
      <c r="T2319" s="42"/>
      <c r="U2319" s="53"/>
      <c r="V2319" s="53"/>
      <c r="W2319" s="53"/>
      <c r="X2319" s="72"/>
      <c r="Y2319" s="24">
        <f t="shared" si="2876"/>
        <v>0</v>
      </c>
      <c r="Z2319" s="24">
        <f t="shared" si="2877"/>
        <v>2</v>
      </c>
      <c r="AA2319" s="83">
        <v>46204</v>
      </c>
      <c r="AB2319" s="23"/>
      <c r="AC2319" s="41"/>
      <c r="AD2319" s="42"/>
      <c r="AE2319" s="42"/>
      <c r="AF2319" s="42"/>
      <c r="AG2319" s="42"/>
      <c r="AH2319" s="43">
        <f t="shared" si="2896"/>
        <v>0</v>
      </c>
      <c r="AI2319" s="41"/>
      <c r="AJ2319" s="42"/>
      <c r="AK2319" s="42"/>
      <c r="AL2319" s="42"/>
      <c r="AM2319" s="42"/>
      <c r="AN2319" s="43">
        <f t="shared" si="2897"/>
        <v>0</v>
      </c>
      <c r="AO2319" s="42"/>
      <c r="AP2319" s="53"/>
      <c r="AQ2319" s="53"/>
      <c r="AR2319" s="53"/>
      <c r="AS2319" s="72"/>
      <c r="AT2319" s="24">
        <f t="shared" si="2898"/>
        <v>0</v>
      </c>
      <c r="AU2319" s="42"/>
      <c r="AV2319" s="53"/>
      <c r="AW2319" s="53"/>
      <c r="AX2319" s="53"/>
      <c r="AY2319" s="72"/>
      <c r="AZ2319" s="24">
        <f t="shared" si="2899"/>
        <v>0</v>
      </c>
      <c r="BA2319" s="24">
        <f t="shared" si="2900"/>
        <v>0</v>
      </c>
    </row>
    <row r="2320" spans="1:53" ht="14.25" x14ac:dyDescent="0.15">
      <c r="A2320" s="23" t="s">
        <v>395</v>
      </c>
      <c r="B2320" s="41"/>
      <c r="C2320" s="42"/>
      <c r="D2320" s="42"/>
      <c r="E2320" s="42"/>
      <c r="F2320" s="42"/>
      <c r="G2320" s="43">
        <f t="shared" si="2873"/>
        <v>0</v>
      </c>
      <c r="H2320" s="41">
        <v>1</v>
      </c>
      <c r="I2320" s="42"/>
      <c r="J2320" s="42"/>
      <c r="K2320" s="42"/>
      <c r="L2320" s="42"/>
      <c r="M2320" s="43">
        <f t="shared" si="2874"/>
        <v>1</v>
      </c>
      <c r="N2320" s="42">
        <v>1</v>
      </c>
      <c r="O2320" s="53"/>
      <c r="P2320" s="53">
        <v>2</v>
      </c>
      <c r="Q2320" s="53">
        <v>1</v>
      </c>
      <c r="R2320" s="72"/>
      <c r="S2320" s="24">
        <f t="shared" si="2875"/>
        <v>4</v>
      </c>
      <c r="T2320" s="42"/>
      <c r="U2320" s="53">
        <v>1</v>
      </c>
      <c r="V2320" s="53"/>
      <c r="W2320" s="53"/>
      <c r="X2320" s="72">
        <v>1</v>
      </c>
      <c r="Y2320" s="24">
        <f t="shared" si="2876"/>
        <v>2</v>
      </c>
      <c r="Z2320" s="24">
        <f t="shared" si="2877"/>
        <v>7</v>
      </c>
      <c r="AA2320" s="83">
        <v>46217</v>
      </c>
      <c r="AB2320" s="23"/>
      <c r="AC2320" s="41"/>
      <c r="AD2320" s="42"/>
      <c r="AE2320" s="42"/>
      <c r="AF2320" s="42"/>
      <c r="AG2320" s="42"/>
      <c r="AH2320" s="43">
        <f t="shared" si="2896"/>
        <v>0</v>
      </c>
      <c r="AI2320" s="41"/>
      <c r="AJ2320" s="42"/>
      <c r="AK2320" s="42"/>
      <c r="AL2320" s="42"/>
      <c r="AM2320" s="42"/>
      <c r="AN2320" s="43">
        <f t="shared" si="2897"/>
        <v>0</v>
      </c>
      <c r="AO2320" s="42"/>
      <c r="AP2320" s="53"/>
      <c r="AQ2320" s="53"/>
      <c r="AR2320" s="53"/>
      <c r="AS2320" s="72"/>
      <c r="AT2320" s="24">
        <f t="shared" si="2898"/>
        <v>0</v>
      </c>
      <c r="AU2320" s="42"/>
      <c r="AV2320" s="53"/>
      <c r="AW2320" s="53"/>
      <c r="AX2320" s="53"/>
      <c r="AY2320" s="72"/>
      <c r="AZ2320" s="24">
        <f t="shared" si="2899"/>
        <v>0</v>
      </c>
      <c r="BA2320" s="24">
        <f t="shared" si="2900"/>
        <v>0</v>
      </c>
    </row>
    <row r="2321" spans="1:53" ht="14.25" x14ac:dyDescent="0.15">
      <c r="A2321" s="23" t="s">
        <v>395</v>
      </c>
      <c r="B2321" s="41"/>
      <c r="C2321" s="42"/>
      <c r="D2321" s="42"/>
      <c r="E2321" s="42"/>
      <c r="F2321" s="42"/>
      <c r="G2321" s="43">
        <f t="shared" si="2873"/>
        <v>0</v>
      </c>
      <c r="H2321" s="41"/>
      <c r="I2321" s="42"/>
      <c r="J2321" s="42"/>
      <c r="K2321" s="42"/>
      <c r="L2321" s="42"/>
      <c r="M2321" s="43">
        <f t="shared" si="2874"/>
        <v>0</v>
      </c>
      <c r="N2321" s="42"/>
      <c r="O2321" s="53"/>
      <c r="P2321" s="53"/>
      <c r="Q2321" s="53"/>
      <c r="R2321" s="72"/>
      <c r="S2321" s="24">
        <f t="shared" si="2875"/>
        <v>0</v>
      </c>
      <c r="T2321" s="42"/>
      <c r="U2321" s="53"/>
      <c r="V2321" s="53"/>
      <c r="W2321" s="53"/>
      <c r="X2321" s="72">
        <v>1</v>
      </c>
      <c r="Y2321" s="24">
        <f t="shared" si="2876"/>
        <v>1</v>
      </c>
      <c r="Z2321" s="24">
        <f t="shared" si="2877"/>
        <v>1</v>
      </c>
      <c r="AA2321" s="83">
        <v>46218</v>
      </c>
      <c r="AB2321" s="23"/>
      <c r="AC2321" s="41"/>
      <c r="AD2321" s="42"/>
      <c r="AE2321" s="42"/>
      <c r="AF2321" s="42"/>
      <c r="AG2321" s="42"/>
      <c r="AH2321" s="43">
        <f t="shared" si="2896"/>
        <v>0</v>
      </c>
      <c r="AI2321" s="41"/>
      <c r="AJ2321" s="42"/>
      <c r="AK2321" s="42"/>
      <c r="AL2321" s="42"/>
      <c r="AM2321" s="42"/>
      <c r="AN2321" s="43">
        <f t="shared" si="2897"/>
        <v>0</v>
      </c>
      <c r="AO2321" s="42"/>
      <c r="AP2321" s="53"/>
      <c r="AQ2321" s="53"/>
      <c r="AR2321" s="53"/>
      <c r="AS2321" s="72"/>
      <c r="AT2321" s="24">
        <f t="shared" si="2898"/>
        <v>0</v>
      </c>
      <c r="AU2321" s="42"/>
      <c r="AV2321" s="53"/>
      <c r="AW2321" s="53"/>
      <c r="AX2321" s="53"/>
      <c r="AY2321" s="72"/>
      <c r="AZ2321" s="24">
        <f t="shared" si="2899"/>
        <v>0</v>
      </c>
      <c r="BA2321" s="24">
        <f t="shared" si="2900"/>
        <v>0</v>
      </c>
    </row>
    <row r="2322" spans="1:53" ht="14.25" x14ac:dyDescent="0.15">
      <c r="A2322" s="23" t="s">
        <v>395</v>
      </c>
      <c r="B2322" s="41"/>
      <c r="C2322" s="42"/>
      <c r="D2322" s="42"/>
      <c r="E2322" s="42"/>
      <c r="F2322" s="42"/>
      <c r="G2322" s="43">
        <f t="shared" si="2873"/>
        <v>0</v>
      </c>
      <c r="H2322" s="41"/>
      <c r="I2322" s="42"/>
      <c r="J2322" s="42"/>
      <c r="K2322" s="42"/>
      <c r="L2322" s="42"/>
      <c r="M2322" s="43">
        <f t="shared" si="2874"/>
        <v>0</v>
      </c>
      <c r="N2322" s="42"/>
      <c r="O2322" s="53"/>
      <c r="P2322" s="53"/>
      <c r="Q2322" s="53"/>
      <c r="R2322" s="72"/>
      <c r="S2322" s="24">
        <f t="shared" si="2875"/>
        <v>0</v>
      </c>
      <c r="T2322" s="42"/>
      <c r="U2322" s="53"/>
      <c r="V2322" s="53"/>
      <c r="W2322" s="53"/>
      <c r="X2322" s="72">
        <v>1</v>
      </c>
      <c r="Y2322" s="24">
        <f t="shared" si="2876"/>
        <v>1</v>
      </c>
      <c r="Z2322" s="24">
        <f t="shared" si="2877"/>
        <v>1</v>
      </c>
      <c r="AA2322" s="83">
        <v>46218</v>
      </c>
      <c r="AB2322" s="23"/>
      <c r="AC2322" s="41"/>
      <c r="AD2322" s="42"/>
      <c r="AE2322" s="42"/>
      <c r="AF2322" s="42"/>
      <c r="AG2322" s="42"/>
      <c r="AH2322" s="43">
        <f t="shared" si="2896"/>
        <v>0</v>
      </c>
      <c r="AI2322" s="41"/>
      <c r="AJ2322" s="42"/>
      <c r="AK2322" s="42"/>
      <c r="AL2322" s="42"/>
      <c r="AM2322" s="42"/>
      <c r="AN2322" s="43">
        <f t="shared" si="2897"/>
        <v>0</v>
      </c>
      <c r="AO2322" s="42"/>
      <c r="AP2322" s="53"/>
      <c r="AQ2322" s="53"/>
      <c r="AR2322" s="53"/>
      <c r="AS2322" s="72"/>
      <c r="AT2322" s="24">
        <f t="shared" si="2898"/>
        <v>0</v>
      </c>
      <c r="AU2322" s="42"/>
      <c r="AV2322" s="53"/>
      <c r="AW2322" s="53"/>
      <c r="AX2322" s="53"/>
      <c r="AY2322" s="72"/>
      <c r="AZ2322" s="24">
        <f t="shared" si="2899"/>
        <v>0</v>
      </c>
      <c r="BA2322" s="24">
        <f t="shared" si="2900"/>
        <v>0</v>
      </c>
    </row>
    <row r="2323" spans="1:53" ht="14.25" x14ac:dyDescent="0.15">
      <c r="A2323" s="23" t="s">
        <v>395</v>
      </c>
      <c r="B2323" s="41"/>
      <c r="C2323" s="42">
        <v>1</v>
      </c>
      <c r="D2323" s="42"/>
      <c r="E2323" s="42"/>
      <c r="F2323" s="42"/>
      <c r="G2323" s="43">
        <f t="shared" si="2873"/>
        <v>1</v>
      </c>
      <c r="H2323" s="41"/>
      <c r="I2323" s="42"/>
      <c r="J2323" s="42"/>
      <c r="K2323" s="42"/>
      <c r="L2323" s="42"/>
      <c r="M2323" s="43">
        <f t="shared" si="2874"/>
        <v>0</v>
      </c>
      <c r="N2323" s="42"/>
      <c r="O2323" s="53"/>
      <c r="P2323" s="53"/>
      <c r="Q2323" s="53"/>
      <c r="R2323" s="72"/>
      <c r="S2323" s="24">
        <f t="shared" si="2875"/>
        <v>0</v>
      </c>
      <c r="T2323" s="42"/>
      <c r="U2323" s="53"/>
      <c r="V2323" s="53"/>
      <c r="W2323" s="53"/>
      <c r="X2323" s="72"/>
      <c r="Y2323" s="24">
        <f t="shared" si="2876"/>
        <v>0</v>
      </c>
      <c r="Z2323" s="24">
        <f t="shared" si="2877"/>
        <v>1</v>
      </c>
      <c r="AA2323" s="83">
        <v>46219</v>
      </c>
      <c r="AB2323" s="23"/>
      <c r="AC2323" s="41"/>
      <c r="AD2323" s="42"/>
      <c r="AE2323" s="42"/>
      <c r="AF2323" s="42"/>
      <c r="AG2323" s="42"/>
      <c r="AH2323" s="43">
        <f t="shared" si="2896"/>
        <v>0</v>
      </c>
      <c r="AI2323" s="41"/>
      <c r="AJ2323" s="42"/>
      <c r="AK2323" s="42"/>
      <c r="AL2323" s="42"/>
      <c r="AM2323" s="42"/>
      <c r="AN2323" s="43">
        <f t="shared" si="2897"/>
        <v>0</v>
      </c>
      <c r="AO2323" s="42"/>
      <c r="AP2323" s="53"/>
      <c r="AQ2323" s="53"/>
      <c r="AR2323" s="53"/>
      <c r="AS2323" s="72"/>
      <c r="AT2323" s="24">
        <f t="shared" si="2898"/>
        <v>0</v>
      </c>
      <c r="AU2323" s="42"/>
      <c r="AV2323" s="53"/>
      <c r="AW2323" s="53"/>
      <c r="AX2323" s="53"/>
      <c r="AY2323" s="72"/>
      <c r="AZ2323" s="24">
        <f t="shared" si="2899"/>
        <v>0</v>
      </c>
      <c r="BA2323" s="24">
        <f t="shared" si="2900"/>
        <v>0</v>
      </c>
    </row>
    <row r="2324" spans="1:53" ht="14.25" x14ac:dyDescent="0.15">
      <c r="A2324" s="23"/>
      <c r="B2324" s="41"/>
      <c r="C2324" s="42"/>
      <c r="D2324" s="42"/>
      <c r="E2324" s="42"/>
      <c r="F2324" s="42"/>
      <c r="G2324" s="43">
        <f t="shared" si="2873"/>
        <v>0</v>
      </c>
      <c r="H2324" s="41"/>
      <c r="I2324" s="42"/>
      <c r="J2324" s="42"/>
      <c r="K2324" s="42"/>
      <c r="L2324" s="42"/>
      <c r="M2324" s="43">
        <f t="shared" si="2874"/>
        <v>0</v>
      </c>
      <c r="N2324" s="42"/>
      <c r="O2324" s="53"/>
      <c r="P2324" s="53"/>
      <c r="Q2324" s="53"/>
      <c r="R2324" s="72"/>
      <c r="S2324" s="24">
        <f t="shared" si="2875"/>
        <v>0</v>
      </c>
      <c r="T2324" s="42"/>
      <c r="U2324" s="53"/>
      <c r="V2324" s="53"/>
      <c r="W2324" s="53"/>
      <c r="X2324" s="72"/>
      <c r="Y2324" s="24">
        <f t="shared" si="2876"/>
        <v>0</v>
      </c>
      <c r="Z2324" s="24">
        <f t="shared" si="2877"/>
        <v>0</v>
      </c>
      <c r="AA2324" s="83"/>
      <c r="AB2324" s="23"/>
      <c r="AC2324" s="41"/>
      <c r="AD2324" s="42"/>
      <c r="AE2324" s="42"/>
      <c r="AF2324" s="42"/>
      <c r="AG2324" s="42"/>
      <c r="AH2324" s="43">
        <f t="shared" si="2896"/>
        <v>0</v>
      </c>
      <c r="AI2324" s="41"/>
      <c r="AJ2324" s="42"/>
      <c r="AK2324" s="42"/>
      <c r="AL2324" s="42"/>
      <c r="AM2324" s="42"/>
      <c r="AN2324" s="43">
        <f t="shared" si="2897"/>
        <v>0</v>
      </c>
      <c r="AO2324" s="42"/>
      <c r="AP2324" s="53"/>
      <c r="AQ2324" s="53"/>
      <c r="AR2324" s="53"/>
      <c r="AS2324" s="72"/>
      <c r="AT2324" s="24">
        <f t="shared" si="2898"/>
        <v>0</v>
      </c>
      <c r="AU2324" s="42"/>
      <c r="AV2324" s="53"/>
      <c r="AW2324" s="53"/>
      <c r="AX2324" s="53"/>
      <c r="AY2324" s="72"/>
      <c r="AZ2324" s="24">
        <f t="shared" si="2899"/>
        <v>0</v>
      </c>
      <c r="BA2324" s="24">
        <f t="shared" si="2900"/>
        <v>0</v>
      </c>
    </row>
    <row r="2325" spans="1:53" ht="14.25" x14ac:dyDescent="0.15">
      <c r="A2325" s="23"/>
      <c r="B2325" s="41"/>
      <c r="C2325" s="42"/>
      <c r="D2325" s="42"/>
      <c r="E2325" s="42"/>
      <c r="F2325" s="42"/>
      <c r="G2325" s="43">
        <f t="shared" si="2873"/>
        <v>0</v>
      </c>
      <c r="H2325" s="41"/>
      <c r="I2325" s="42"/>
      <c r="J2325" s="42"/>
      <c r="K2325" s="42"/>
      <c r="L2325" s="42"/>
      <c r="M2325" s="43">
        <f t="shared" si="2874"/>
        <v>0</v>
      </c>
      <c r="N2325" s="42"/>
      <c r="O2325" s="53"/>
      <c r="P2325" s="53"/>
      <c r="Q2325" s="53"/>
      <c r="R2325" s="72"/>
      <c r="S2325" s="24">
        <f t="shared" si="2875"/>
        <v>0</v>
      </c>
      <c r="T2325" s="42"/>
      <c r="U2325" s="53"/>
      <c r="V2325" s="53"/>
      <c r="W2325" s="53"/>
      <c r="X2325" s="72"/>
      <c r="Y2325" s="24">
        <f t="shared" si="2876"/>
        <v>0</v>
      </c>
      <c r="Z2325" s="24">
        <f t="shared" si="2877"/>
        <v>0</v>
      </c>
      <c r="AA2325" s="83"/>
      <c r="AB2325" s="23"/>
      <c r="AC2325" s="41"/>
      <c r="AD2325" s="42"/>
      <c r="AE2325" s="42"/>
      <c r="AF2325" s="42"/>
      <c r="AG2325" s="42"/>
      <c r="AH2325" s="43">
        <f t="shared" si="2896"/>
        <v>0</v>
      </c>
      <c r="AI2325" s="41"/>
      <c r="AJ2325" s="42"/>
      <c r="AK2325" s="42"/>
      <c r="AL2325" s="42"/>
      <c r="AM2325" s="42"/>
      <c r="AN2325" s="43">
        <f t="shared" si="2897"/>
        <v>0</v>
      </c>
      <c r="AO2325" s="42"/>
      <c r="AP2325" s="53"/>
      <c r="AQ2325" s="53"/>
      <c r="AR2325" s="53"/>
      <c r="AS2325" s="72"/>
      <c r="AT2325" s="24">
        <f t="shared" si="2898"/>
        <v>0</v>
      </c>
      <c r="AU2325" s="42"/>
      <c r="AV2325" s="53"/>
      <c r="AW2325" s="53"/>
      <c r="AX2325" s="53"/>
      <c r="AY2325" s="72"/>
      <c r="AZ2325" s="24">
        <f t="shared" si="2899"/>
        <v>0</v>
      </c>
      <c r="BA2325" s="24">
        <f t="shared" si="2900"/>
        <v>0</v>
      </c>
    </row>
    <row r="2326" spans="1:53" ht="14.25" x14ac:dyDescent="0.15">
      <c r="A2326" s="23"/>
      <c r="B2326" s="41"/>
      <c r="C2326" s="42"/>
      <c r="D2326" s="42"/>
      <c r="E2326" s="42"/>
      <c r="F2326" s="42"/>
      <c r="G2326" s="43">
        <f t="shared" si="2873"/>
        <v>0</v>
      </c>
      <c r="H2326" s="41"/>
      <c r="I2326" s="42"/>
      <c r="J2326" s="42"/>
      <c r="K2326" s="42"/>
      <c r="L2326" s="42"/>
      <c r="M2326" s="43">
        <f t="shared" si="2874"/>
        <v>0</v>
      </c>
      <c r="N2326" s="42"/>
      <c r="O2326" s="53"/>
      <c r="P2326" s="53"/>
      <c r="Q2326" s="53"/>
      <c r="R2326" s="72"/>
      <c r="S2326" s="24">
        <f t="shared" si="2875"/>
        <v>0</v>
      </c>
      <c r="T2326" s="42"/>
      <c r="U2326" s="53"/>
      <c r="V2326" s="53"/>
      <c r="W2326" s="53"/>
      <c r="X2326" s="72"/>
      <c r="Y2326" s="24">
        <f t="shared" si="2876"/>
        <v>0</v>
      </c>
      <c r="Z2326" s="24">
        <f t="shared" si="2877"/>
        <v>0</v>
      </c>
      <c r="AA2326" s="83"/>
      <c r="AB2326" s="23"/>
      <c r="AC2326" s="41"/>
      <c r="AD2326" s="42"/>
      <c r="AE2326" s="42"/>
      <c r="AF2326" s="42"/>
      <c r="AG2326" s="42"/>
      <c r="AH2326" s="43">
        <f t="shared" si="2896"/>
        <v>0</v>
      </c>
      <c r="AI2326" s="41"/>
      <c r="AJ2326" s="42"/>
      <c r="AK2326" s="42"/>
      <c r="AL2326" s="42"/>
      <c r="AM2326" s="42"/>
      <c r="AN2326" s="43">
        <f t="shared" si="2897"/>
        <v>0</v>
      </c>
      <c r="AO2326" s="42"/>
      <c r="AP2326" s="53"/>
      <c r="AQ2326" s="53"/>
      <c r="AR2326" s="53"/>
      <c r="AS2326" s="72"/>
      <c r="AT2326" s="24">
        <f t="shared" si="2898"/>
        <v>0</v>
      </c>
      <c r="AU2326" s="42"/>
      <c r="AV2326" s="53"/>
      <c r="AW2326" s="53"/>
      <c r="AX2326" s="53"/>
      <c r="AY2326" s="72"/>
      <c r="AZ2326" s="24">
        <f t="shared" si="2899"/>
        <v>0</v>
      </c>
      <c r="BA2326" s="24">
        <f t="shared" si="2900"/>
        <v>0</v>
      </c>
    </row>
    <row r="2327" spans="1:53" ht="14.25" x14ac:dyDescent="0.15">
      <c r="A2327" s="23"/>
      <c r="B2327" s="41"/>
      <c r="C2327" s="42"/>
      <c r="D2327" s="42"/>
      <c r="E2327" s="42"/>
      <c r="F2327" s="42"/>
      <c r="G2327" s="43">
        <f t="shared" si="2873"/>
        <v>0</v>
      </c>
      <c r="H2327" s="41"/>
      <c r="I2327" s="42"/>
      <c r="J2327" s="42"/>
      <c r="K2327" s="42"/>
      <c r="L2327" s="42"/>
      <c r="M2327" s="43">
        <f t="shared" si="2874"/>
        <v>0</v>
      </c>
      <c r="N2327" s="42"/>
      <c r="O2327" s="53"/>
      <c r="P2327" s="53"/>
      <c r="Q2327" s="53"/>
      <c r="R2327" s="72"/>
      <c r="S2327" s="24">
        <f t="shared" si="2875"/>
        <v>0</v>
      </c>
      <c r="T2327" s="42"/>
      <c r="U2327" s="53"/>
      <c r="V2327" s="53"/>
      <c r="W2327" s="53"/>
      <c r="X2327" s="72"/>
      <c r="Y2327" s="24">
        <f t="shared" si="2876"/>
        <v>0</v>
      </c>
      <c r="Z2327" s="24">
        <f t="shared" si="2877"/>
        <v>0</v>
      </c>
      <c r="AA2327" s="83"/>
      <c r="AB2327" s="23"/>
      <c r="AC2327" s="41"/>
      <c r="AD2327" s="42"/>
      <c r="AE2327" s="42"/>
      <c r="AF2327" s="42"/>
      <c r="AG2327" s="42"/>
      <c r="AH2327" s="43">
        <f t="shared" si="2896"/>
        <v>0</v>
      </c>
      <c r="AI2327" s="41"/>
      <c r="AJ2327" s="42"/>
      <c r="AK2327" s="42"/>
      <c r="AL2327" s="42"/>
      <c r="AM2327" s="42"/>
      <c r="AN2327" s="43">
        <f t="shared" si="2897"/>
        <v>0</v>
      </c>
      <c r="AO2327" s="42"/>
      <c r="AP2327" s="53"/>
      <c r="AQ2327" s="53"/>
      <c r="AR2327" s="53"/>
      <c r="AS2327" s="72"/>
      <c r="AT2327" s="24">
        <f t="shared" si="2898"/>
        <v>0</v>
      </c>
      <c r="AU2327" s="42"/>
      <c r="AV2327" s="53"/>
      <c r="AW2327" s="53"/>
      <c r="AX2327" s="53"/>
      <c r="AY2327" s="72"/>
      <c r="AZ2327" s="24">
        <f t="shared" si="2899"/>
        <v>0</v>
      </c>
      <c r="BA2327" s="24">
        <f t="shared" si="2900"/>
        <v>0</v>
      </c>
    </row>
    <row r="2328" spans="1:53" ht="14.25" x14ac:dyDescent="0.15">
      <c r="A2328" s="23"/>
      <c r="B2328" s="41"/>
      <c r="C2328" s="42"/>
      <c r="D2328" s="42"/>
      <c r="E2328" s="42"/>
      <c r="F2328" s="42"/>
      <c r="G2328" s="43">
        <f t="shared" si="2873"/>
        <v>0</v>
      </c>
      <c r="H2328" s="41"/>
      <c r="I2328" s="42"/>
      <c r="J2328" s="42"/>
      <c r="K2328" s="42"/>
      <c r="L2328" s="42"/>
      <c r="M2328" s="43">
        <f t="shared" si="2874"/>
        <v>0</v>
      </c>
      <c r="N2328" s="42"/>
      <c r="O2328" s="53"/>
      <c r="P2328" s="53"/>
      <c r="Q2328" s="53"/>
      <c r="R2328" s="72"/>
      <c r="S2328" s="24">
        <f t="shared" si="2875"/>
        <v>0</v>
      </c>
      <c r="T2328" s="42"/>
      <c r="U2328" s="53"/>
      <c r="V2328" s="53"/>
      <c r="W2328" s="53"/>
      <c r="X2328" s="72"/>
      <c r="Y2328" s="24">
        <f t="shared" si="2876"/>
        <v>0</v>
      </c>
      <c r="Z2328" s="24">
        <f t="shared" si="2877"/>
        <v>0</v>
      </c>
      <c r="AA2328" s="83"/>
      <c r="AB2328" s="23"/>
      <c r="AC2328" s="41"/>
      <c r="AD2328" s="42"/>
      <c r="AE2328" s="42"/>
      <c r="AF2328" s="42"/>
      <c r="AG2328" s="42"/>
      <c r="AH2328" s="43">
        <f t="shared" si="2896"/>
        <v>0</v>
      </c>
      <c r="AI2328" s="41"/>
      <c r="AJ2328" s="42"/>
      <c r="AK2328" s="42"/>
      <c r="AL2328" s="42"/>
      <c r="AM2328" s="42"/>
      <c r="AN2328" s="43">
        <f t="shared" si="2897"/>
        <v>0</v>
      </c>
      <c r="AO2328" s="42"/>
      <c r="AP2328" s="53"/>
      <c r="AQ2328" s="53"/>
      <c r="AR2328" s="53"/>
      <c r="AS2328" s="72"/>
      <c r="AT2328" s="24">
        <f t="shared" si="2898"/>
        <v>0</v>
      </c>
      <c r="AU2328" s="42"/>
      <c r="AV2328" s="53"/>
      <c r="AW2328" s="53"/>
      <c r="AX2328" s="53"/>
      <c r="AY2328" s="72"/>
      <c r="AZ2328" s="24">
        <f t="shared" si="2899"/>
        <v>0</v>
      </c>
      <c r="BA2328" s="24">
        <f t="shared" si="2900"/>
        <v>0</v>
      </c>
    </row>
    <row r="2329" spans="1:53" ht="14.25" x14ac:dyDescent="0.15">
      <c r="A2329" s="23"/>
      <c r="B2329" s="41"/>
      <c r="C2329" s="42"/>
      <c r="D2329" s="42"/>
      <c r="E2329" s="42"/>
      <c r="F2329" s="42"/>
      <c r="G2329" s="43">
        <f t="shared" si="2873"/>
        <v>0</v>
      </c>
      <c r="H2329" s="41"/>
      <c r="I2329" s="42"/>
      <c r="J2329" s="42"/>
      <c r="K2329" s="42"/>
      <c r="L2329" s="42"/>
      <c r="M2329" s="43">
        <f t="shared" si="2874"/>
        <v>0</v>
      </c>
      <c r="N2329" s="42"/>
      <c r="O2329" s="53"/>
      <c r="P2329" s="53"/>
      <c r="Q2329" s="53"/>
      <c r="R2329" s="72"/>
      <c r="S2329" s="24">
        <f t="shared" si="2875"/>
        <v>0</v>
      </c>
      <c r="T2329" s="42"/>
      <c r="U2329" s="53"/>
      <c r="V2329" s="53"/>
      <c r="W2329" s="53"/>
      <c r="X2329" s="72"/>
      <c r="Y2329" s="24">
        <f t="shared" si="2876"/>
        <v>0</v>
      </c>
      <c r="Z2329" s="24">
        <f t="shared" si="2877"/>
        <v>0</v>
      </c>
      <c r="AA2329" s="83"/>
      <c r="AB2329" s="23"/>
      <c r="AC2329" s="41"/>
      <c r="AD2329" s="42"/>
      <c r="AE2329" s="42"/>
      <c r="AF2329" s="42"/>
      <c r="AG2329" s="42"/>
      <c r="AH2329" s="43">
        <f t="shared" si="2896"/>
        <v>0</v>
      </c>
      <c r="AI2329" s="41"/>
      <c r="AJ2329" s="42"/>
      <c r="AK2329" s="42"/>
      <c r="AL2329" s="42"/>
      <c r="AM2329" s="42"/>
      <c r="AN2329" s="43">
        <f t="shared" si="2897"/>
        <v>0</v>
      </c>
      <c r="AO2329" s="42"/>
      <c r="AP2329" s="53"/>
      <c r="AQ2329" s="53"/>
      <c r="AR2329" s="53"/>
      <c r="AS2329" s="72"/>
      <c r="AT2329" s="24">
        <f t="shared" si="2898"/>
        <v>0</v>
      </c>
      <c r="AU2329" s="42"/>
      <c r="AV2329" s="53"/>
      <c r="AW2329" s="53"/>
      <c r="AX2329" s="53"/>
      <c r="AY2329" s="72"/>
      <c r="AZ2329" s="24">
        <f t="shared" si="2899"/>
        <v>0</v>
      </c>
      <c r="BA2329" s="24">
        <f t="shared" si="2900"/>
        <v>0</v>
      </c>
    </row>
    <row r="2330" spans="1:53" ht="14.25" x14ac:dyDescent="0.15">
      <c r="A2330" s="23"/>
      <c r="B2330" s="41"/>
      <c r="C2330" s="42"/>
      <c r="D2330" s="42"/>
      <c r="E2330" s="42"/>
      <c r="F2330" s="42"/>
      <c r="G2330" s="43">
        <f t="shared" si="2873"/>
        <v>0</v>
      </c>
      <c r="H2330" s="41"/>
      <c r="I2330" s="42"/>
      <c r="J2330" s="42"/>
      <c r="K2330" s="42"/>
      <c r="L2330" s="42"/>
      <c r="M2330" s="43">
        <f t="shared" si="2874"/>
        <v>0</v>
      </c>
      <c r="N2330" s="42"/>
      <c r="O2330" s="53"/>
      <c r="P2330" s="53"/>
      <c r="Q2330" s="53"/>
      <c r="R2330" s="72"/>
      <c r="S2330" s="24">
        <f t="shared" si="2875"/>
        <v>0</v>
      </c>
      <c r="T2330" s="42"/>
      <c r="U2330" s="53"/>
      <c r="V2330" s="53"/>
      <c r="W2330" s="53"/>
      <c r="X2330" s="72"/>
      <c r="Y2330" s="24">
        <f t="shared" si="2876"/>
        <v>0</v>
      </c>
      <c r="Z2330" s="24">
        <f t="shared" si="2877"/>
        <v>0</v>
      </c>
      <c r="AA2330" s="83"/>
      <c r="AB2330" s="23"/>
      <c r="AC2330" s="41"/>
      <c r="AD2330" s="42"/>
      <c r="AE2330" s="42"/>
      <c r="AF2330" s="42"/>
      <c r="AG2330" s="42"/>
      <c r="AH2330" s="43">
        <f t="shared" si="2896"/>
        <v>0</v>
      </c>
      <c r="AI2330" s="41"/>
      <c r="AJ2330" s="42"/>
      <c r="AK2330" s="42"/>
      <c r="AL2330" s="42"/>
      <c r="AM2330" s="42"/>
      <c r="AN2330" s="43">
        <f t="shared" si="2897"/>
        <v>0</v>
      </c>
      <c r="AO2330" s="42"/>
      <c r="AP2330" s="53"/>
      <c r="AQ2330" s="53"/>
      <c r="AR2330" s="53"/>
      <c r="AS2330" s="72"/>
      <c r="AT2330" s="24">
        <f t="shared" si="2898"/>
        <v>0</v>
      </c>
      <c r="AU2330" s="42"/>
      <c r="AV2330" s="53"/>
      <c r="AW2330" s="53"/>
      <c r="AX2330" s="53"/>
      <c r="AY2330" s="72"/>
      <c r="AZ2330" s="24">
        <f t="shared" si="2899"/>
        <v>0</v>
      </c>
      <c r="BA2330" s="24">
        <f t="shared" si="2900"/>
        <v>0</v>
      </c>
    </row>
    <row r="2331" spans="1:53" ht="14.25" x14ac:dyDescent="0.15">
      <c r="A2331" s="23"/>
      <c r="B2331" s="41"/>
      <c r="C2331" s="42"/>
      <c r="D2331" s="42"/>
      <c r="E2331" s="42"/>
      <c r="F2331" s="42"/>
      <c r="G2331" s="43">
        <f t="shared" si="2873"/>
        <v>0</v>
      </c>
      <c r="H2331" s="41"/>
      <c r="I2331" s="42"/>
      <c r="J2331" s="42"/>
      <c r="K2331" s="42"/>
      <c r="L2331" s="42"/>
      <c r="M2331" s="43">
        <f t="shared" si="2874"/>
        <v>0</v>
      </c>
      <c r="N2331" s="42"/>
      <c r="O2331" s="53"/>
      <c r="P2331" s="53"/>
      <c r="Q2331" s="53"/>
      <c r="R2331" s="72"/>
      <c r="S2331" s="24">
        <f t="shared" si="2875"/>
        <v>0</v>
      </c>
      <c r="T2331" s="42"/>
      <c r="U2331" s="53"/>
      <c r="V2331" s="53"/>
      <c r="W2331" s="53"/>
      <c r="X2331" s="72"/>
      <c r="Y2331" s="24">
        <f t="shared" si="2876"/>
        <v>0</v>
      </c>
      <c r="Z2331" s="24">
        <f t="shared" si="2877"/>
        <v>0</v>
      </c>
      <c r="AA2331" s="83"/>
      <c r="AB2331" s="23"/>
      <c r="AC2331" s="41"/>
      <c r="AD2331" s="42"/>
      <c r="AE2331" s="42"/>
      <c r="AF2331" s="42"/>
      <c r="AG2331" s="42"/>
      <c r="AH2331" s="43">
        <f t="shared" si="2896"/>
        <v>0</v>
      </c>
      <c r="AI2331" s="41"/>
      <c r="AJ2331" s="42"/>
      <c r="AK2331" s="42"/>
      <c r="AL2331" s="42"/>
      <c r="AM2331" s="42"/>
      <c r="AN2331" s="43">
        <f t="shared" si="2897"/>
        <v>0</v>
      </c>
      <c r="AO2331" s="42"/>
      <c r="AP2331" s="53"/>
      <c r="AQ2331" s="53"/>
      <c r="AR2331" s="53"/>
      <c r="AS2331" s="72"/>
      <c r="AT2331" s="24">
        <f t="shared" si="2898"/>
        <v>0</v>
      </c>
      <c r="AU2331" s="42"/>
      <c r="AV2331" s="53"/>
      <c r="AW2331" s="53"/>
      <c r="AX2331" s="53"/>
      <c r="AY2331" s="72"/>
      <c r="AZ2331" s="24">
        <f t="shared" si="2899"/>
        <v>0</v>
      </c>
      <c r="BA2331" s="24">
        <f t="shared" si="2900"/>
        <v>0</v>
      </c>
    </row>
    <row r="2332" spans="1:53" ht="14.25" x14ac:dyDescent="0.15">
      <c r="A2332" s="23"/>
      <c r="B2332" s="41"/>
      <c r="C2332" s="42"/>
      <c r="D2332" s="42"/>
      <c r="E2332" s="42"/>
      <c r="F2332" s="42"/>
      <c r="G2332" s="43">
        <f t="shared" si="2873"/>
        <v>0</v>
      </c>
      <c r="H2332" s="41"/>
      <c r="I2332" s="42"/>
      <c r="J2332" s="42"/>
      <c r="K2332" s="42"/>
      <c r="L2332" s="42"/>
      <c r="M2332" s="43">
        <f t="shared" si="2874"/>
        <v>0</v>
      </c>
      <c r="N2332" s="42"/>
      <c r="O2332" s="53"/>
      <c r="P2332" s="53"/>
      <c r="Q2332" s="53"/>
      <c r="R2332" s="72"/>
      <c r="S2332" s="24">
        <f t="shared" si="2875"/>
        <v>0</v>
      </c>
      <c r="T2332" s="42"/>
      <c r="U2332" s="53"/>
      <c r="V2332" s="53"/>
      <c r="W2332" s="53"/>
      <c r="X2332" s="72"/>
      <c r="Y2332" s="24">
        <f t="shared" si="2876"/>
        <v>0</v>
      </c>
      <c r="Z2332" s="24">
        <f t="shared" si="2877"/>
        <v>0</v>
      </c>
      <c r="AA2332" s="83"/>
      <c r="AB2332" s="23"/>
      <c r="AC2332" s="41"/>
      <c r="AD2332" s="42"/>
      <c r="AE2332" s="42"/>
      <c r="AF2332" s="42"/>
      <c r="AG2332" s="42"/>
      <c r="AH2332" s="43">
        <f t="shared" si="2896"/>
        <v>0</v>
      </c>
      <c r="AI2332" s="41"/>
      <c r="AJ2332" s="42"/>
      <c r="AK2332" s="42"/>
      <c r="AL2332" s="42"/>
      <c r="AM2332" s="42"/>
      <c r="AN2332" s="43">
        <f t="shared" si="2897"/>
        <v>0</v>
      </c>
      <c r="AO2332" s="42"/>
      <c r="AP2332" s="53"/>
      <c r="AQ2332" s="53"/>
      <c r="AR2332" s="53"/>
      <c r="AS2332" s="72"/>
      <c r="AT2332" s="24">
        <f t="shared" si="2898"/>
        <v>0</v>
      </c>
      <c r="AU2332" s="42"/>
      <c r="AV2332" s="53"/>
      <c r="AW2332" s="53"/>
      <c r="AX2332" s="53"/>
      <c r="AY2332" s="72"/>
      <c r="AZ2332" s="24">
        <f t="shared" si="2899"/>
        <v>0</v>
      </c>
      <c r="BA2332" s="24">
        <f t="shared" si="2900"/>
        <v>0</v>
      </c>
    </row>
    <row r="2333" spans="1:53" ht="14.25" x14ac:dyDescent="0.15">
      <c r="A2333" s="23"/>
      <c r="B2333" s="41"/>
      <c r="C2333" s="42"/>
      <c r="D2333" s="42"/>
      <c r="E2333" s="42"/>
      <c r="F2333" s="42"/>
      <c r="G2333" s="43">
        <f t="shared" si="2873"/>
        <v>0</v>
      </c>
      <c r="H2333" s="41"/>
      <c r="I2333" s="42"/>
      <c r="J2333" s="42"/>
      <c r="K2333" s="42"/>
      <c r="L2333" s="42"/>
      <c r="M2333" s="43">
        <f t="shared" si="2874"/>
        <v>0</v>
      </c>
      <c r="N2333" s="42"/>
      <c r="O2333" s="53"/>
      <c r="P2333" s="53"/>
      <c r="Q2333" s="53"/>
      <c r="R2333" s="72"/>
      <c r="S2333" s="24">
        <f t="shared" si="2875"/>
        <v>0</v>
      </c>
      <c r="T2333" s="42"/>
      <c r="U2333" s="53"/>
      <c r="V2333" s="53"/>
      <c r="W2333" s="53"/>
      <c r="X2333" s="72"/>
      <c r="Y2333" s="24">
        <f t="shared" si="2876"/>
        <v>0</v>
      </c>
      <c r="Z2333" s="24">
        <f t="shared" si="2877"/>
        <v>0</v>
      </c>
      <c r="AA2333" s="83"/>
      <c r="AB2333" s="23"/>
      <c r="AC2333" s="41"/>
      <c r="AD2333" s="42"/>
      <c r="AE2333" s="42"/>
      <c r="AF2333" s="42"/>
      <c r="AG2333" s="42"/>
      <c r="AH2333" s="43">
        <f t="shared" si="2896"/>
        <v>0</v>
      </c>
      <c r="AI2333" s="41"/>
      <c r="AJ2333" s="42"/>
      <c r="AK2333" s="42"/>
      <c r="AL2333" s="42"/>
      <c r="AM2333" s="42"/>
      <c r="AN2333" s="43">
        <f t="shared" si="2897"/>
        <v>0</v>
      </c>
      <c r="AO2333" s="42"/>
      <c r="AP2333" s="53"/>
      <c r="AQ2333" s="53"/>
      <c r="AR2333" s="53"/>
      <c r="AS2333" s="72"/>
      <c r="AT2333" s="24">
        <f t="shared" si="2898"/>
        <v>0</v>
      </c>
      <c r="AU2333" s="42"/>
      <c r="AV2333" s="53"/>
      <c r="AW2333" s="53"/>
      <c r="AX2333" s="53"/>
      <c r="AY2333" s="72"/>
      <c r="AZ2333" s="24">
        <f t="shared" si="2899"/>
        <v>0</v>
      </c>
      <c r="BA2333" s="24">
        <f t="shared" si="2900"/>
        <v>0</v>
      </c>
    </row>
    <row r="2334" spans="1:53" ht="14.25" x14ac:dyDescent="0.15">
      <c r="A2334" s="224"/>
      <c r="B2334" s="12"/>
      <c r="C2334" s="13"/>
      <c r="D2334" s="13"/>
      <c r="E2334" s="13"/>
      <c r="F2334" s="13"/>
      <c r="G2334" s="22">
        <f t="shared" si="2873"/>
        <v>0</v>
      </c>
      <c r="H2334" s="12"/>
      <c r="I2334" s="13"/>
      <c r="J2334" s="13"/>
      <c r="K2334" s="13"/>
      <c r="L2334" s="13"/>
      <c r="M2334" s="22">
        <f t="shared" si="2874"/>
        <v>0</v>
      </c>
      <c r="N2334" s="13"/>
      <c r="O2334" s="54"/>
      <c r="P2334" s="54"/>
      <c r="Q2334" s="54"/>
      <c r="R2334" s="68"/>
      <c r="S2334" s="225">
        <f t="shared" si="2875"/>
        <v>0</v>
      </c>
      <c r="T2334" s="13"/>
      <c r="U2334" s="54"/>
      <c r="V2334" s="54"/>
      <c r="W2334" s="54"/>
      <c r="X2334" s="68"/>
      <c r="Y2334" s="225">
        <f t="shared" si="2876"/>
        <v>0</v>
      </c>
      <c r="Z2334" s="225">
        <f t="shared" si="2877"/>
        <v>0</v>
      </c>
      <c r="AA2334" s="93"/>
      <c r="AB2334" s="23"/>
      <c r="AC2334" s="41"/>
      <c r="AD2334" s="219"/>
      <c r="AE2334" s="219"/>
      <c r="AF2334" s="42"/>
      <c r="AG2334" s="42"/>
      <c r="AH2334" s="43">
        <f t="shared" si="2896"/>
        <v>0</v>
      </c>
      <c r="AI2334" s="41"/>
      <c r="AJ2334" s="42"/>
      <c r="AK2334" s="42"/>
      <c r="AL2334" s="42"/>
      <c r="AM2334" s="42"/>
      <c r="AN2334" s="43">
        <f t="shared" si="2897"/>
        <v>0</v>
      </c>
      <c r="AO2334" s="42"/>
      <c r="AP2334" s="53"/>
      <c r="AQ2334" s="53"/>
      <c r="AR2334" s="53"/>
      <c r="AS2334" s="72"/>
      <c r="AT2334" s="24">
        <f t="shared" si="2898"/>
        <v>0</v>
      </c>
      <c r="AU2334" s="42"/>
      <c r="AV2334" s="53"/>
      <c r="AW2334" s="53"/>
      <c r="AX2334" s="53"/>
      <c r="AY2334" s="72"/>
      <c r="AZ2334" s="24">
        <f t="shared" si="2899"/>
        <v>0</v>
      </c>
      <c r="BA2334" s="24">
        <f t="shared" si="2900"/>
        <v>0</v>
      </c>
    </row>
    <row r="2335" spans="1:53" ht="14.25" x14ac:dyDescent="0.15">
      <c r="A2335" s="224"/>
      <c r="B2335" s="12"/>
      <c r="C2335" s="13"/>
      <c r="D2335" s="13"/>
      <c r="E2335" s="13"/>
      <c r="F2335" s="13"/>
      <c r="G2335" s="22">
        <f t="shared" si="2873"/>
        <v>0</v>
      </c>
      <c r="H2335" s="12"/>
      <c r="I2335" s="13"/>
      <c r="J2335" s="13"/>
      <c r="K2335" s="13"/>
      <c r="L2335" s="13"/>
      <c r="M2335" s="22">
        <f t="shared" si="2874"/>
        <v>0</v>
      </c>
      <c r="N2335" s="13"/>
      <c r="O2335" s="54"/>
      <c r="P2335" s="54"/>
      <c r="Q2335" s="54"/>
      <c r="R2335" s="68"/>
      <c r="S2335" s="225">
        <f t="shared" si="2875"/>
        <v>0</v>
      </c>
      <c r="T2335" s="13"/>
      <c r="U2335" s="54"/>
      <c r="V2335" s="54"/>
      <c r="W2335" s="54"/>
      <c r="X2335" s="68"/>
      <c r="Y2335" s="225">
        <f t="shared" si="2876"/>
        <v>0</v>
      </c>
      <c r="Z2335" s="225">
        <f t="shared" si="2877"/>
        <v>0</v>
      </c>
      <c r="AA2335" s="93"/>
      <c r="AB2335" s="23"/>
      <c r="AC2335" s="41"/>
      <c r="AD2335" s="219"/>
      <c r="AE2335" s="219"/>
      <c r="AF2335" s="42"/>
      <c r="AG2335" s="42"/>
      <c r="AH2335" s="43">
        <f t="shared" si="2896"/>
        <v>0</v>
      </c>
      <c r="AI2335" s="41"/>
      <c r="AJ2335" s="42"/>
      <c r="AK2335" s="42"/>
      <c r="AL2335" s="42"/>
      <c r="AM2335" s="42"/>
      <c r="AN2335" s="43">
        <f t="shared" si="2897"/>
        <v>0</v>
      </c>
      <c r="AO2335" s="42"/>
      <c r="AP2335" s="53"/>
      <c r="AQ2335" s="53"/>
      <c r="AR2335" s="53"/>
      <c r="AS2335" s="72"/>
      <c r="AT2335" s="24">
        <f t="shared" si="2898"/>
        <v>0</v>
      </c>
      <c r="AU2335" s="42"/>
      <c r="AV2335" s="53"/>
      <c r="AW2335" s="53"/>
      <c r="AX2335" s="53"/>
      <c r="AY2335" s="72"/>
      <c r="AZ2335" s="24">
        <f t="shared" si="2899"/>
        <v>0</v>
      </c>
      <c r="BA2335" s="24">
        <f t="shared" si="2900"/>
        <v>0</v>
      </c>
    </row>
    <row r="2336" spans="1:53" ht="15" thickBot="1" x14ac:dyDescent="0.2">
      <c r="A2336" s="224"/>
      <c r="B2336" s="41"/>
      <c r="C2336" s="42"/>
      <c r="D2336" s="42"/>
      <c r="E2336" s="42"/>
      <c r="F2336" s="42"/>
      <c r="G2336" s="43">
        <f t="shared" si="2873"/>
        <v>0</v>
      </c>
      <c r="H2336" s="41"/>
      <c r="I2336" s="42"/>
      <c r="J2336" s="42"/>
      <c r="K2336" s="42"/>
      <c r="L2336" s="42"/>
      <c r="M2336" s="43">
        <f t="shared" si="2874"/>
        <v>0</v>
      </c>
      <c r="N2336" s="42"/>
      <c r="O2336" s="53"/>
      <c r="P2336" s="53"/>
      <c r="Q2336" s="53"/>
      <c r="R2336" s="72"/>
      <c r="S2336" s="24">
        <f t="shared" si="2875"/>
        <v>0</v>
      </c>
      <c r="T2336" s="42"/>
      <c r="U2336" s="53"/>
      <c r="V2336" s="53"/>
      <c r="W2336" s="53"/>
      <c r="X2336" s="72"/>
      <c r="Y2336" s="24">
        <f t="shared" si="2876"/>
        <v>0</v>
      </c>
      <c r="Z2336" s="24">
        <f t="shared" si="2877"/>
        <v>0</v>
      </c>
      <c r="AB2336" s="23"/>
      <c r="AC2336" s="41"/>
      <c r="AD2336" s="219"/>
      <c r="AE2336" s="219"/>
      <c r="AF2336" s="42"/>
      <c r="AG2336" s="42"/>
      <c r="AH2336" s="43">
        <f t="shared" si="2896"/>
        <v>0</v>
      </c>
      <c r="AI2336" s="41"/>
      <c r="AJ2336" s="42"/>
      <c r="AK2336" s="42"/>
      <c r="AL2336" s="42"/>
      <c r="AM2336" s="42"/>
      <c r="AN2336" s="43">
        <f t="shared" si="2897"/>
        <v>0</v>
      </c>
      <c r="AO2336" s="42"/>
      <c r="AP2336" s="53"/>
      <c r="AQ2336" s="53"/>
      <c r="AR2336" s="53"/>
      <c r="AS2336" s="72"/>
      <c r="AT2336" s="24">
        <f t="shared" si="2898"/>
        <v>0</v>
      </c>
      <c r="AU2336" s="42"/>
      <c r="AV2336" s="53"/>
      <c r="AW2336" s="53"/>
      <c r="AX2336" s="53"/>
      <c r="AY2336" s="72"/>
      <c r="AZ2336" s="24">
        <f t="shared" si="2899"/>
        <v>0</v>
      </c>
      <c r="BA2336" s="24">
        <f t="shared" si="2900"/>
        <v>0</v>
      </c>
    </row>
    <row r="2337" spans="1:53" ht="15" thickBot="1" x14ac:dyDescent="0.2">
      <c r="A2337" s="9" t="s">
        <v>13</v>
      </c>
      <c r="B2337" s="25">
        <f>SUM(B2311:B2336)</f>
        <v>0</v>
      </c>
      <c r="C2337" s="26">
        <f>SUM(C2311:C2336)</f>
        <v>1</v>
      </c>
      <c r="D2337" s="26">
        <f>SUM(D2311:D2336)</f>
        <v>2</v>
      </c>
      <c r="E2337" s="220">
        <f>SUM(E2311:E2336)</f>
        <v>0</v>
      </c>
      <c r="F2337" s="222">
        <f>SUM(F2311:F2336)</f>
        <v>0</v>
      </c>
      <c r="G2337" s="19">
        <f>SUM(B2337:F2337)</f>
        <v>3</v>
      </c>
      <c r="H2337" s="25">
        <f>SUM(H2311:H2336)</f>
        <v>3</v>
      </c>
      <c r="I2337" s="26">
        <f>SUM(I2311:I2336)</f>
        <v>2</v>
      </c>
      <c r="J2337" s="220">
        <f>SUM(J2311:J2336)</f>
        <v>0</v>
      </c>
      <c r="K2337" s="220">
        <f>SUM(K2311:K2336)</f>
        <v>0</v>
      </c>
      <c r="L2337" s="222">
        <f>SUM(L2311:L2336)</f>
        <v>0</v>
      </c>
      <c r="M2337" s="25">
        <f>SUM(H2337:L2337)</f>
        <v>5</v>
      </c>
      <c r="N2337" s="65">
        <f>SUM(N2311:N2336)</f>
        <v>1</v>
      </c>
      <c r="O2337" s="18">
        <f>SUM(O2311:O2336)</f>
        <v>2</v>
      </c>
      <c r="P2337" s="18">
        <f>SUM(P2311:P2336)</f>
        <v>8</v>
      </c>
      <c r="Q2337" s="18">
        <f>SUM(Q2311:Q2336)</f>
        <v>4</v>
      </c>
      <c r="R2337" s="70">
        <f>SUM(R2311:R2336)</f>
        <v>1</v>
      </c>
      <c r="S2337" s="49">
        <f>SUM(N2337:R2337)</f>
        <v>16</v>
      </c>
      <c r="T2337" s="74">
        <f>SUM(T2311:T2336)</f>
        <v>0</v>
      </c>
      <c r="U2337" s="18">
        <f>SUM(U2311:U2336)</f>
        <v>4</v>
      </c>
      <c r="V2337" s="240">
        <f>SUM(V2311:V2336)</f>
        <v>0</v>
      </c>
      <c r="W2337" s="240">
        <f>SUM(W2311:W2336)</f>
        <v>0</v>
      </c>
      <c r="X2337" s="70">
        <f>SUM(X2311:X2336)</f>
        <v>6</v>
      </c>
      <c r="Y2337" s="49">
        <f>SUM(T2337:X2337)</f>
        <v>10</v>
      </c>
      <c r="Z2337" s="137">
        <f>G2337+M2337+S2337+Y2337</f>
        <v>34</v>
      </c>
      <c r="AB2337" s="9" t="s">
        <v>13</v>
      </c>
      <c r="AC2337" s="25">
        <f>SUM(AC2311:AC2336)</f>
        <v>0</v>
      </c>
      <c r="AD2337" s="220">
        <f t="shared" ref="AD2337:AG2337" si="2901">SUM(AD2311:AD2336)</f>
        <v>0</v>
      </c>
      <c r="AE2337" s="220">
        <f t="shared" si="2901"/>
        <v>0</v>
      </c>
      <c r="AF2337" s="220">
        <f t="shared" si="2901"/>
        <v>0</v>
      </c>
      <c r="AG2337" s="222">
        <f t="shared" si="2901"/>
        <v>0</v>
      </c>
      <c r="AH2337" s="19">
        <f>SUM(AC2337:AG2337)</f>
        <v>0</v>
      </c>
      <c r="AI2337" s="25">
        <f>SUM(AI2311:AI2336)</f>
        <v>0</v>
      </c>
      <c r="AJ2337" s="26">
        <f t="shared" ref="AJ2337:AM2337" si="2902">SUM(AJ2311:AJ2336)</f>
        <v>0</v>
      </c>
      <c r="AK2337" s="220">
        <f t="shared" si="2902"/>
        <v>0</v>
      </c>
      <c r="AL2337" s="220">
        <f t="shared" si="2902"/>
        <v>0</v>
      </c>
      <c r="AM2337" s="222">
        <f t="shared" si="2902"/>
        <v>0</v>
      </c>
      <c r="AN2337" s="19">
        <f>SUM(AI2337:AM2337)</f>
        <v>0</v>
      </c>
      <c r="AO2337" s="25">
        <f>SUM(AO2311:AO2336)</f>
        <v>0</v>
      </c>
      <c r="AP2337" s="26">
        <f t="shared" ref="AP2337:AS2337" si="2903">SUM(AP2311:AP2336)</f>
        <v>0</v>
      </c>
      <c r="AQ2337" s="26">
        <f t="shared" si="2903"/>
        <v>0</v>
      </c>
      <c r="AR2337" s="26">
        <f t="shared" si="2903"/>
        <v>0</v>
      </c>
      <c r="AS2337" s="27">
        <f t="shared" si="2903"/>
        <v>0</v>
      </c>
      <c r="AT2337" s="19">
        <f>SUM(AO2337:AS2337)</f>
        <v>0</v>
      </c>
      <c r="AU2337" s="25">
        <f>SUM(AU2311:AU2336)</f>
        <v>0</v>
      </c>
      <c r="AV2337" s="26">
        <f t="shared" ref="AV2337:AY2337" si="2904">SUM(AV2311:AV2336)</f>
        <v>0</v>
      </c>
      <c r="AW2337" s="220">
        <f t="shared" si="2904"/>
        <v>0</v>
      </c>
      <c r="AX2337" s="220">
        <f t="shared" si="2904"/>
        <v>0</v>
      </c>
      <c r="AY2337" s="27">
        <f t="shared" si="2904"/>
        <v>0</v>
      </c>
      <c r="AZ2337" s="19">
        <f>SUM(AU2337:AY2337)</f>
        <v>0</v>
      </c>
      <c r="BA2337" s="77">
        <f t="shared" si="2900"/>
        <v>0</v>
      </c>
    </row>
    <row r="2338" spans="1:53" ht="15" thickBot="1" x14ac:dyDescent="0.2">
      <c r="A2338" s="32" t="s">
        <v>14</v>
      </c>
      <c r="B2338" s="29">
        <f t="shared" ref="B2338:Y2338" si="2905">B2310-B2337</f>
        <v>7</v>
      </c>
      <c r="C2338" s="30">
        <f t="shared" si="2905"/>
        <v>3</v>
      </c>
      <c r="D2338" s="30">
        <f t="shared" si="2905"/>
        <v>3</v>
      </c>
      <c r="E2338" s="221">
        <f t="shared" si="2905"/>
        <v>0</v>
      </c>
      <c r="F2338" s="223">
        <f t="shared" si="2905"/>
        <v>0</v>
      </c>
      <c r="G2338" s="31">
        <f t="shared" si="2905"/>
        <v>13</v>
      </c>
      <c r="H2338" s="29">
        <f t="shared" si="2905"/>
        <v>3</v>
      </c>
      <c r="I2338" s="30">
        <f t="shared" si="2905"/>
        <v>3</v>
      </c>
      <c r="J2338" s="221">
        <f t="shared" si="2905"/>
        <v>0</v>
      </c>
      <c r="K2338" s="221">
        <f t="shared" si="2905"/>
        <v>0</v>
      </c>
      <c r="L2338" s="223">
        <f t="shared" si="2905"/>
        <v>0</v>
      </c>
      <c r="M2338" s="66">
        <f t="shared" si="2905"/>
        <v>6</v>
      </c>
      <c r="N2338" s="29">
        <f t="shared" si="2905"/>
        <v>7</v>
      </c>
      <c r="O2338" s="30">
        <f t="shared" si="2905"/>
        <v>3</v>
      </c>
      <c r="P2338" s="30">
        <f t="shared" si="2905"/>
        <v>0</v>
      </c>
      <c r="Q2338" s="30">
        <f t="shared" si="2905"/>
        <v>2</v>
      </c>
      <c r="R2338" s="66">
        <f t="shared" si="2905"/>
        <v>6</v>
      </c>
      <c r="S2338" s="33">
        <f t="shared" si="2905"/>
        <v>18</v>
      </c>
      <c r="T2338" s="75">
        <f t="shared" si="2905"/>
        <v>5</v>
      </c>
      <c r="U2338" s="30">
        <f t="shared" si="2905"/>
        <v>2</v>
      </c>
      <c r="V2338" s="221">
        <f t="shared" si="2905"/>
        <v>0</v>
      </c>
      <c r="W2338" s="221">
        <f t="shared" si="2905"/>
        <v>0</v>
      </c>
      <c r="X2338" s="66">
        <f t="shared" si="2905"/>
        <v>0</v>
      </c>
      <c r="Y2338" s="33">
        <f t="shared" si="2905"/>
        <v>7</v>
      </c>
      <c r="Z2338" s="77">
        <f>G2338+M2338+S2338+Y2338</f>
        <v>44</v>
      </c>
      <c r="AB2338" s="32" t="s">
        <v>14</v>
      </c>
      <c r="AC2338" s="29">
        <f>AC2310-AC2337</f>
        <v>55</v>
      </c>
      <c r="AD2338" s="221">
        <f t="shared" ref="AD2338:AG2338" si="2906">AD2310-AD2337</f>
        <v>0</v>
      </c>
      <c r="AE2338" s="221">
        <f t="shared" si="2906"/>
        <v>0</v>
      </c>
      <c r="AF2338" s="221">
        <f t="shared" si="2906"/>
        <v>0</v>
      </c>
      <c r="AG2338" s="223">
        <f t="shared" si="2906"/>
        <v>0</v>
      </c>
      <c r="AH2338" s="31">
        <f>AH2310-AH2337</f>
        <v>55</v>
      </c>
      <c r="AI2338" s="29">
        <f>AI2310-AI2337</f>
        <v>51</v>
      </c>
      <c r="AJ2338" s="30">
        <f t="shared" ref="AJ2338:AM2338" si="2907">AJ2310-AJ2337</f>
        <v>6</v>
      </c>
      <c r="AK2338" s="221">
        <f t="shared" si="2907"/>
        <v>0</v>
      </c>
      <c r="AL2338" s="221">
        <f t="shared" si="2907"/>
        <v>0</v>
      </c>
      <c r="AM2338" s="223">
        <f t="shared" si="2907"/>
        <v>0</v>
      </c>
      <c r="AN2338" s="31">
        <f>AN2310-AN2337</f>
        <v>57</v>
      </c>
      <c r="AO2338" s="29">
        <f>AO2310-AO2337</f>
        <v>125</v>
      </c>
      <c r="AP2338" s="30">
        <f t="shared" ref="AP2338:AS2338" si="2908">AP2310-AP2337</f>
        <v>60</v>
      </c>
      <c r="AQ2338" s="30">
        <f t="shared" si="2908"/>
        <v>45</v>
      </c>
      <c r="AR2338" s="30">
        <f t="shared" si="2908"/>
        <v>59</v>
      </c>
      <c r="AS2338" s="31">
        <f t="shared" si="2908"/>
        <v>93</v>
      </c>
      <c r="AT2338" s="31">
        <f>AT2310-AT2337</f>
        <v>382</v>
      </c>
      <c r="AU2338" s="29">
        <f>AU2310-AU2337</f>
        <v>94</v>
      </c>
      <c r="AV2338" s="30">
        <f t="shared" ref="AV2338:AY2338" si="2909">AV2310-AV2337</f>
        <v>23</v>
      </c>
      <c r="AW2338" s="221">
        <f t="shared" si="2909"/>
        <v>0</v>
      </c>
      <c r="AX2338" s="221">
        <f t="shared" si="2909"/>
        <v>0</v>
      </c>
      <c r="AY2338" s="31">
        <f t="shared" si="2909"/>
        <v>36</v>
      </c>
      <c r="AZ2338" s="31">
        <f>AZ2310-AZ2337</f>
        <v>153</v>
      </c>
      <c r="BA2338" s="77">
        <f t="shared" si="2900"/>
        <v>647</v>
      </c>
    </row>
  </sheetData>
  <mergeCells count="600">
    <mergeCell ref="BA2186:BA2187"/>
    <mergeCell ref="B2186:G2186"/>
    <mergeCell ref="H2186:M2186"/>
    <mergeCell ref="N2186:S2186"/>
    <mergeCell ref="T2186:Y2186"/>
    <mergeCell ref="Z2186:Z2187"/>
    <mergeCell ref="AC2186:AH2186"/>
    <mergeCell ref="AI2186:AN2186"/>
    <mergeCell ref="AO2186:AT2186"/>
    <mergeCell ref="AU2186:AZ2186"/>
    <mergeCell ref="BA2147:BA2148"/>
    <mergeCell ref="B2147:G2147"/>
    <mergeCell ref="H2147:M2147"/>
    <mergeCell ref="N2147:S2147"/>
    <mergeCell ref="T2147:Y2147"/>
    <mergeCell ref="Z2147:Z2148"/>
    <mergeCell ref="AC2147:AH2147"/>
    <mergeCell ref="AI2147:AN2147"/>
    <mergeCell ref="AO2147:AT2147"/>
    <mergeCell ref="AU2147:AZ2147"/>
    <mergeCell ref="BA1991:BA1992"/>
    <mergeCell ref="B1991:G1991"/>
    <mergeCell ref="H1991:M1991"/>
    <mergeCell ref="N1991:S1991"/>
    <mergeCell ref="T1991:Y1991"/>
    <mergeCell ref="Z1991:Z1992"/>
    <mergeCell ref="AC1991:AH1991"/>
    <mergeCell ref="AI1991:AN1991"/>
    <mergeCell ref="AO1991:AT1991"/>
    <mergeCell ref="AU1991:AZ1991"/>
    <mergeCell ref="BA1874:BA1875"/>
    <mergeCell ref="B1874:G1874"/>
    <mergeCell ref="H1874:M1874"/>
    <mergeCell ref="N1874:S1874"/>
    <mergeCell ref="T1874:Y1874"/>
    <mergeCell ref="Z1874:Z1875"/>
    <mergeCell ref="AC1874:AH1874"/>
    <mergeCell ref="AI1874:AN1874"/>
    <mergeCell ref="AO1874:AT1874"/>
    <mergeCell ref="AU1874:AZ1874"/>
    <mergeCell ref="BA1835:BA1836"/>
    <mergeCell ref="B1835:G1835"/>
    <mergeCell ref="H1835:M1835"/>
    <mergeCell ref="N1835:S1835"/>
    <mergeCell ref="T1835:Y1835"/>
    <mergeCell ref="Z1835:Z1836"/>
    <mergeCell ref="AC1835:AH1835"/>
    <mergeCell ref="AI1835:AN1835"/>
    <mergeCell ref="AO1835:AT1835"/>
    <mergeCell ref="AU1835:AZ1835"/>
    <mergeCell ref="BA1796:BA1797"/>
    <mergeCell ref="B1796:G1796"/>
    <mergeCell ref="H1796:M1796"/>
    <mergeCell ref="N1796:S1796"/>
    <mergeCell ref="T1796:Y1796"/>
    <mergeCell ref="Z1796:Z1797"/>
    <mergeCell ref="AC1796:AH1796"/>
    <mergeCell ref="AI1796:AN1796"/>
    <mergeCell ref="AO1796:AT1796"/>
    <mergeCell ref="AU1796:AZ1796"/>
    <mergeCell ref="BA1718:BA1719"/>
    <mergeCell ref="B1718:G1718"/>
    <mergeCell ref="H1718:M1718"/>
    <mergeCell ref="N1718:S1718"/>
    <mergeCell ref="T1718:Y1718"/>
    <mergeCell ref="Z1718:Z1719"/>
    <mergeCell ref="AC1718:AH1718"/>
    <mergeCell ref="AI1718:AN1718"/>
    <mergeCell ref="AO1718:AT1718"/>
    <mergeCell ref="AU1718:AZ1718"/>
    <mergeCell ref="BA1562:BA1563"/>
    <mergeCell ref="B1562:G1562"/>
    <mergeCell ref="H1562:M1562"/>
    <mergeCell ref="N1562:S1562"/>
    <mergeCell ref="T1562:Y1562"/>
    <mergeCell ref="Z1562:Z1563"/>
    <mergeCell ref="AC1562:AH1562"/>
    <mergeCell ref="AI1562:AN1562"/>
    <mergeCell ref="AO1562:AT1562"/>
    <mergeCell ref="AU1562:AZ1562"/>
    <mergeCell ref="BA1523:BA1524"/>
    <mergeCell ref="B1523:G1523"/>
    <mergeCell ref="H1523:M1523"/>
    <mergeCell ref="N1523:S1523"/>
    <mergeCell ref="T1523:Y1523"/>
    <mergeCell ref="Z1523:Z1524"/>
    <mergeCell ref="AC1523:AH1523"/>
    <mergeCell ref="AI1523:AN1523"/>
    <mergeCell ref="AO1523:AT1523"/>
    <mergeCell ref="AU1523:AZ1523"/>
    <mergeCell ref="BA1484:BA1485"/>
    <mergeCell ref="B1484:G1484"/>
    <mergeCell ref="H1484:M1484"/>
    <mergeCell ref="N1484:S1484"/>
    <mergeCell ref="T1484:Y1484"/>
    <mergeCell ref="Z1484:Z1485"/>
    <mergeCell ref="AC1484:AH1484"/>
    <mergeCell ref="AI1484:AN1484"/>
    <mergeCell ref="AO1484:AT1484"/>
    <mergeCell ref="AU1484:AZ1484"/>
    <mergeCell ref="BA1445:BA1446"/>
    <mergeCell ref="B1445:G1445"/>
    <mergeCell ref="H1445:M1445"/>
    <mergeCell ref="N1445:S1445"/>
    <mergeCell ref="T1445:Y1445"/>
    <mergeCell ref="Z1445:Z1446"/>
    <mergeCell ref="AC1445:AH1445"/>
    <mergeCell ref="AI1445:AN1445"/>
    <mergeCell ref="AO1445:AT1445"/>
    <mergeCell ref="AU1445:AZ1445"/>
    <mergeCell ref="BA1406:BA1407"/>
    <mergeCell ref="B1406:G1406"/>
    <mergeCell ref="H1406:M1406"/>
    <mergeCell ref="N1406:S1406"/>
    <mergeCell ref="T1406:Y1406"/>
    <mergeCell ref="Z1406:Z1407"/>
    <mergeCell ref="AC1406:AH1406"/>
    <mergeCell ref="AI1406:AN1406"/>
    <mergeCell ref="AO1406:AT1406"/>
    <mergeCell ref="AU1406:AZ1406"/>
    <mergeCell ref="BA1289:BA1290"/>
    <mergeCell ref="B1289:G1289"/>
    <mergeCell ref="H1289:M1289"/>
    <mergeCell ref="N1289:S1289"/>
    <mergeCell ref="T1289:Y1289"/>
    <mergeCell ref="Z1289:Z1290"/>
    <mergeCell ref="AC1289:AH1289"/>
    <mergeCell ref="AI1289:AN1289"/>
    <mergeCell ref="AO1289:AT1289"/>
    <mergeCell ref="AU1289:AZ1289"/>
    <mergeCell ref="BA1133:BA1134"/>
    <mergeCell ref="B1133:G1133"/>
    <mergeCell ref="H1133:M1133"/>
    <mergeCell ref="N1133:S1133"/>
    <mergeCell ref="T1133:Y1133"/>
    <mergeCell ref="Z1133:Z1134"/>
    <mergeCell ref="AC1133:AH1133"/>
    <mergeCell ref="AI1133:AN1133"/>
    <mergeCell ref="AO1133:AT1133"/>
    <mergeCell ref="AU1133:AZ1133"/>
    <mergeCell ref="BA1094:BA1095"/>
    <mergeCell ref="B1094:G1094"/>
    <mergeCell ref="H1094:M1094"/>
    <mergeCell ref="N1094:S1094"/>
    <mergeCell ref="T1094:Y1094"/>
    <mergeCell ref="Z1094:Z1095"/>
    <mergeCell ref="AC1094:AH1094"/>
    <mergeCell ref="AI1094:AN1094"/>
    <mergeCell ref="AO1094:AT1094"/>
    <mergeCell ref="AU1094:AZ1094"/>
    <mergeCell ref="BA1055:BA1056"/>
    <mergeCell ref="B1055:G1055"/>
    <mergeCell ref="H1055:M1055"/>
    <mergeCell ref="N1055:S1055"/>
    <mergeCell ref="T1055:Y1055"/>
    <mergeCell ref="Z1055:Z1056"/>
    <mergeCell ref="AC1055:AH1055"/>
    <mergeCell ref="AI1055:AN1055"/>
    <mergeCell ref="AO1055:AT1055"/>
    <mergeCell ref="AU1055:AZ1055"/>
    <mergeCell ref="B938:G938"/>
    <mergeCell ref="H938:M938"/>
    <mergeCell ref="N938:S938"/>
    <mergeCell ref="T938:Y938"/>
    <mergeCell ref="Z938:Z939"/>
    <mergeCell ref="AC938:AH938"/>
    <mergeCell ref="AI938:AN938"/>
    <mergeCell ref="AO938:AT938"/>
    <mergeCell ref="AU938:AZ938"/>
    <mergeCell ref="B860:G860"/>
    <mergeCell ref="H860:M860"/>
    <mergeCell ref="N860:S860"/>
    <mergeCell ref="T860:Y860"/>
    <mergeCell ref="Z860:Z861"/>
    <mergeCell ref="BA821:BA822"/>
    <mergeCell ref="B821:G821"/>
    <mergeCell ref="H821:M821"/>
    <mergeCell ref="N821:S821"/>
    <mergeCell ref="T821:Y821"/>
    <mergeCell ref="Z821:Z822"/>
    <mergeCell ref="AC821:AH821"/>
    <mergeCell ref="AI821:AN821"/>
    <mergeCell ref="AO821:AT821"/>
    <mergeCell ref="AU821:AZ821"/>
    <mergeCell ref="B899:G899"/>
    <mergeCell ref="H899:M899"/>
    <mergeCell ref="N899:S899"/>
    <mergeCell ref="T899:Y899"/>
    <mergeCell ref="Z899:Z900"/>
    <mergeCell ref="AC899:AH899"/>
    <mergeCell ref="AI899:AN899"/>
    <mergeCell ref="AO899:AT899"/>
    <mergeCell ref="AU899:AZ899"/>
    <mergeCell ref="BA743:BA744"/>
    <mergeCell ref="B743:G743"/>
    <mergeCell ref="H743:M743"/>
    <mergeCell ref="N743:S743"/>
    <mergeCell ref="T743:Y743"/>
    <mergeCell ref="Z743:Z744"/>
    <mergeCell ref="AC743:AH743"/>
    <mergeCell ref="AI743:AN743"/>
    <mergeCell ref="AO743:AT743"/>
    <mergeCell ref="AU743:AZ743"/>
    <mergeCell ref="BA704:BA705"/>
    <mergeCell ref="B704:G704"/>
    <mergeCell ref="H704:M704"/>
    <mergeCell ref="N704:S704"/>
    <mergeCell ref="T704:Y704"/>
    <mergeCell ref="Z704:Z705"/>
    <mergeCell ref="AC704:AH704"/>
    <mergeCell ref="AI704:AN704"/>
    <mergeCell ref="AO704:AT704"/>
    <mergeCell ref="AU704:AZ704"/>
    <mergeCell ref="BA665:BA666"/>
    <mergeCell ref="B665:G665"/>
    <mergeCell ref="H665:M665"/>
    <mergeCell ref="N665:S665"/>
    <mergeCell ref="T665:Y665"/>
    <mergeCell ref="Z665:Z666"/>
    <mergeCell ref="AC665:AH665"/>
    <mergeCell ref="AI665:AN665"/>
    <mergeCell ref="AO665:AT665"/>
    <mergeCell ref="AU665:AZ665"/>
    <mergeCell ref="BA353:BA354"/>
    <mergeCell ref="AU470:AZ470"/>
    <mergeCell ref="BA470:BA471"/>
    <mergeCell ref="AC353:AH353"/>
    <mergeCell ref="B392:G392"/>
    <mergeCell ref="H392:M392"/>
    <mergeCell ref="N392:S392"/>
    <mergeCell ref="T392:Y392"/>
    <mergeCell ref="BA626:BA627"/>
    <mergeCell ref="AI587:AN587"/>
    <mergeCell ref="AO587:AT587"/>
    <mergeCell ref="AU587:AZ587"/>
    <mergeCell ref="BA587:BA588"/>
    <mergeCell ref="AC587:AH587"/>
    <mergeCell ref="AC626:AH626"/>
    <mergeCell ref="AI626:AN626"/>
    <mergeCell ref="AO626:AT626"/>
    <mergeCell ref="AU626:AZ626"/>
    <mergeCell ref="BA392:BA393"/>
    <mergeCell ref="AC431:AH431"/>
    <mergeCell ref="AI431:AN431"/>
    <mergeCell ref="AO431:AT431"/>
    <mergeCell ref="AU431:AZ431"/>
    <mergeCell ref="BA431:BA432"/>
    <mergeCell ref="AU353:AZ353"/>
    <mergeCell ref="AI509:AN509"/>
    <mergeCell ref="AO509:AT509"/>
    <mergeCell ref="AU509:AZ509"/>
    <mergeCell ref="B509:G509"/>
    <mergeCell ref="B431:G431"/>
    <mergeCell ref="H431:M431"/>
    <mergeCell ref="N431:S431"/>
    <mergeCell ref="T431:Y431"/>
    <mergeCell ref="Z431:Z432"/>
    <mergeCell ref="Z392:Z393"/>
    <mergeCell ref="H509:M509"/>
    <mergeCell ref="N509:S509"/>
    <mergeCell ref="T509:Y509"/>
    <mergeCell ref="Z509:Z510"/>
    <mergeCell ref="AC509:AH509"/>
    <mergeCell ref="AC392:AH392"/>
    <mergeCell ref="AI392:AN392"/>
    <mergeCell ref="AO392:AT392"/>
    <mergeCell ref="AU392:AZ392"/>
    <mergeCell ref="B470:G470"/>
    <mergeCell ref="H470:M470"/>
    <mergeCell ref="N470:S470"/>
    <mergeCell ref="T470:Y470"/>
    <mergeCell ref="AC236:AH236"/>
    <mergeCell ref="AI236:AN236"/>
    <mergeCell ref="AO236:AT236"/>
    <mergeCell ref="AI275:AN275"/>
    <mergeCell ref="AO275:AT275"/>
    <mergeCell ref="B353:G353"/>
    <mergeCell ref="H353:M353"/>
    <mergeCell ref="N353:S353"/>
    <mergeCell ref="T353:Y353"/>
    <mergeCell ref="Z353:Z354"/>
    <mergeCell ref="AI353:AN353"/>
    <mergeCell ref="AO353:AT353"/>
    <mergeCell ref="AU236:AZ236"/>
    <mergeCell ref="BA236:BA237"/>
    <mergeCell ref="B236:G236"/>
    <mergeCell ref="H236:M236"/>
    <mergeCell ref="N236:S236"/>
    <mergeCell ref="T236:Y236"/>
    <mergeCell ref="Z236:Z237"/>
    <mergeCell ref="AI119:AN119"/>
    <mergeCell ref="AO119:AT119"/>
    <mergeCell ref="AU119:AZ119"/>
    <mergeCell ref="BA119:BA120"/>
    <mergeCell ref="B119:G119"/>
    <mergeCell ref="H119:M119"/>
    <mergeCell ref="N119:S119"/>
    <mergeCell ref="T119:Y119"/>
    <mergeCell ref="Z119:Z120"/>
    <mergeCell ref="AC119:AH119"/>
    <mergeCell ref="AC158:AH158"/>
    <mergeCell ref="AI158:AN158"/>
    <mergeCell ref="AO158:AT158"/>
    <mergeCell ref="AU158:AZ158"/>
    <mergeCell ref="BA158:BA159"/>
    <mergeCell ref="B158:G158"/>
    <mergeCell ref="H158:M158"/>
    <mergeCell ref="BA2:BA3"/>
    <mergeCell ref="N2:S2"/>
    <mergeCell ref="T2:Y2"/>
    <mergeCell ref="AO2:AT2"/>
    <mergeCell ref="AU2:AZ2"/>
    <mergeCell ref="B2:G2"/>
    <mergeCell ref="H2:M2"/>
    <mergeCell ref="Z2:Z3"/>
    <mergeCell ref="AC2:AH2"/>
    <mergeCell ref="AI2:AN2"/>
    <mergeCell ref="AC41:AH41"/>
    <mergeCell ref="AI41:AN41"/>
    <mergeCell ref="AO41:AT41"/>
    <mergeCell ref="AU41:AZ41"/>
    <mergeCell ref="BA41:BA42"/>
    <mergeCell ref="B41:G41"/>
    <mergeCell ref="H41:M41"/>
    <mergeCell ref="N41:S41"/>
    <mergeCell ref="T41:Y41"/>
    <mergeCell ref="Z41:Z42"/>
    <mergeCell ref="AI80:AN80"/>
    <mergeCell ref="AO80:AT80"/>
    <mergeCell ref="AU80:AZ80"/>
    <mergeCell ref="BA80:BA81"/>
    <mergeCell ref="B80:G80"/>
    <mergeCell ref="H80:M80"/>
    <mergeCell ref="N80:S80"/>
    <mergeCell ref="T80:Y80"/>
    <mergeCell ref="Z80:Z81"/>
    <mergeCell ref="AC80:AH80"/>
    <mergeCell ref="N158:S158"/>
    <mergeCell ref="T158:Y158"/>
    <mergeCell ref="Z158:Z159"/>
    <mergeCell ref="AC197:AH197"/>
    <mergeCell ref="AI197:AN197"/>
    <mergeCell ref="AO197:AT197"/>
    <mergeCell ref="AU197:AZ197"/>
    <mergeCell ref="BA197:BA198"/>
    <mergeCell ref="B197:G197"/>
    <mergeCell ref="H197:M197"/>
    <mergeCell ref="N197:S197"/>
    <mergeCell ref="T197:Y197"/>
    <mergeCell ref="Z197:Z198"/>
    <mergeCell ref="AU275:AZ275"/>
    <mergeCell ref="BA275:BA276"/>
    <mergeCell ref="B275:G275"/>
    <mergeCell ref="H275:M275"/>
    <mergeCell ref="N275:S275"/>
    <mergeCell ref="T275:Y275"/>
    <mergeCell ref="Z275:Z276"/>
    <mergeCell ref="AC275:AH275"/>
    <mergeCell ref="AI314:AN314"/>
    <mergeCell ref="AO314:AT314"/>
    <mergeCell ref="AU314:AZ314"/>
    <mergeCell ref="BA314:BA315"/>
    <mergeCell ref="B314:G314"/>
    <mergeCell ref="H314:M314"/>
    <mergeCell ref="N314:S314"/>
    <mergeCell ref="T314:Y314"/>
    <mergeCell ref="Z314:Z315"/>
    <mergeCell ref="AC314:AH314"/>
    <mergeCell ref="AO548:AT548"/>
    <mergeCell ref="AC470:AH470"/>
    <mergeCell ref="AI470:AN470"/>
    <mergeCell ref="AO470:AT470"/>
    <mergeCell ref="AU548:AZ548"/>
    <mergeCell ref="BA548:BA549"/>
    <mergeCell ref="B548:G548"/>
    <mergeCell ref="H548:M548"/>
    <mergeCell ref="N548:S548"/>
    <mergeCell ref="T548:Y548"/>
    <mergeCell ref="Z548:Z549"/>
    <mergeCell ref="AC548:AH548"/>
    <mergeCell ref="BA509:BA510"/>
    <mergeCell ref="Z470:Z471"/>
    <mergeCell ref="B626:G626"/>
    <mergeCell ref="H626:M626"/>
    <mergeCell ref="N626:S626"/>
    <mergeCell ref="T626:Y626"/>
    <mergeCell ref="Z626:Z627"/>
    <mergeCell ref="AI548:AN548"/>
    <mergeCell ref="B587:G587"/>
    <mergeCell ref="H587:M587"/>
    <mergeCell ref="N587:S587"/>
    <mergeCell ref="T587:Y587"/>
    <mergeCell ref="Z587:Z588"/>
    <mergeCell ref="B782:G782"/>
    <mergeCell ref="H782:M782"/>
    <mergeCell ref="N782:S782"/>
    <mergeCell ref="T782:Y782"/>
    <mergeCell ref="Z782:Z783"/>
    <mergeCell ref="AC782:AH782"/>
    <mergeCell ref="AI782:AN782"/>
    <mergeCell ref="AO782:AT782"/>
    <mergeCell ref="AU782:AZ782"/>
    <mergeCell ref="BA977:BA978"/>
    <mergeCell ref="AC860:AH860"/>
    <mergeCell ref="AI860:AN860"/>
    <mergeCell ref="AO860:AT860"/>
    <mergeCell ref="AU860:AZ860"/>
    <mergeCell ref="BA860:BA861"/>
    <mergeCell ref="BA938:BA939"/>
    <mergeCell ref="BA899:BA900"/>
    <mergeCell ref="BA782:BA783"/>
    <mergeCell ref="B977:G977"/>
    <mergeCell ref="H977:M977"/>
    <mergeCell ref="N977:S977"/>
    <mergeCell ref="T977:Y977"/>
    <mergeCell ref="Z977:Z978"/>
    <mergeCell ref="AC977:AH977"/>
    <mergeCell ref="AI977:AN977"/>
    <mergeCell ref="AO977:AT977"/>
    <mergeCell ref="AU977:AZ977"/>
    <mergeCell ref="BA1016:BA1017"/>
    <mergeCell ref="B1016:G1016"/>
    <mergeCell ref="H1016:M1016"/>
    <mergeCell ref="N1016:S1016"/>
    <mergeCell ref="T1016:Y1016"/>
    <mergeCell ref="Z1016:Z1017"/>
    <mergeCell ref="AC1016:AH1016"/>
    <mergeCell ref="AI1016:AN1016"/>
    <mergeCell ref="AO1016:AT1016"/>
    <mergeCell ref="AU1016:AZ1016"/>
    <mergeCell ref="BA1172:BA1173"/>
    <mergeCell ref="B1172:G1172"/>
    <mergeCell ref="H1172:M1172"/>
    <mergeCell ref="N1172:S1172"/>
    <mergeCell ref="T1172:Y1172"/>
    <mergeCell ref="Z1172:Z1173"/>
    <mergeCell ref="AC1172:AH1172"/>
    <mergeCell ref="AI1172:AN1172"/>
    <mergeCell ref="AO1172:AT1172"/>
    <mergeCell ref="AU1172:AZ1172"/>
    <mergeCell ref="BA1211:BA1212"/>
    <mergeCell ref="B1211:G1211"/>
    <mergeCell ref="H1211:M1211"/>
    <mergeCell ref="N1211:S1211"/>
    <mergeCell ref="T1211:Y1211"/>
    <mergeCell ref="Z1211:Z1212"/>
    <mergeCell ref="AC1211:AH1211"/>
    <mergeCell ref="AI1211:AN1211"/>
    <mergeCell ref="AO1211:AT1211"/>
    <mergeCell ref="AU1211:AZ1211"/>
    <mergeCell ref="BA1250:BA1251"/>
    <mergeCell ref="B1250:G1250"/>
    <mergeCell ref="H1250:M1250"/>
    <mergeCell ref="N1250:S1250"/>
    <mergeCell ref="T1250:Y1250"/>
    <mergeCell ref="Z1250:Z1251"/>
    <mergeCell ref="AC1250:AH1250"/>
    <mergeCell ref="AI1250:AN1250"/>
    <mergeCell ref="AO1250:AT1250"/>
    <mergeCell ref="AU1250:AZ1250"/>
    <mergeCell ref="BA1328:BA1329"/>
    <mergeCell ref="B1328:G1328"/>
    <mergeCell ref="H1328:M1328"/>
    <mergeCell ref="N1328:S1328"/>
    <mergeCell ref="T1328:Y1328"/>
    <mergeCell ref="Z1328:Z1329"/>
    <mergeCell ref="AC1328:AH1328"/>
    <mergeCell ref="AI1328:AN1328"/>
    <mergeCell ref="AO1328:AT1328"/>
    <mergeCell ref="AU1328:AZ1328"/>
    <mergeCell ref="BA1367:BA1368"/>
    <mergeCell ref="B1367:G1367"/>
    <mergeCell ref="H1367:M1367"/>
    <mergeCell ref="N1367:S1367"/>
    <mergeCell ref="T1367:Y1367"/>
    <mergeCell ref="Z1367:Z1368"/>
    <mergeCell ref="AC1367:AH1367"/>
    <mergeCell ref="AI1367:AN1367"/>
    <mergeCell ref="AO1367:AT1367"/>
    <mergeCell ref="AU1367:AZ1367"/>
    <mergeCell ref="BA1601:BA1602"/>
    <mergeCell ref="B1601:G1601"/>
    <mergeCell ref="H1601:M1601"/>
    <mergeCell ref="N1601:S1601"/>
    <mergeCell ref="T1601:Y1601"/>
    <mergeCell ref="Z1601:Z1602"/>
    <mergeCell ref="AC1601:AH1601"/>
    <mergeCell ref="AI1601:AN1601"/>
    <mergeCell ref="AO1601:AT1601"/>
    <mergeCell ref="AU1601:AZ1601"/>
    <mergeCell ref="BA1640:BA1641"/>
    <mergeCell ref="B1640:G1640"/>
    <mergeCell ref="H1640:M1640"/>
    <mergeCell ref="N1640:S1640"/>
    <mergeCell ref="T1640:Y1640"/>
    <mergeCell ref="Z1640:Z1641"/>
    <mergeCell ref="AC1640:AH1640"/>
    <mergeCell ref="AI1640:AN1640"/>
    <mergeCell ref="AO1640:AT1640"/>
    <mergeCell ref="AU1640:AZ1640"/>
    <mergeCell ref="BA1679:BA1680"/>
    <mergeCell ref="B1679:G1679"/>
    <mergeCell ref="H1679:M1679"/>
    <mergeCell ref="N1679:S1679"/>
    <mergeCell ref="T1679:Y1679"/>
    <mergeCell ref="Z1679:Z1680"/>
    <mergeCell ref="AC1679:AH1679"/>
    <mergeCell ref="AI1679:AN1679"/>
    <mergeCell ref="AO1679:AT1679"/>
    <mergeCell ref="AU1679:AZ1679"/>
    <mergeCell ref="BA1757:BA1758"/>
    <mergeCell ref="B1757:G1757"/>
    <mergeCell ref="H1757:M1757"/>
    <mergeCell ref="N1757:S1757"/>
    <mergeCell ref="T1757:Y1757"/>
    <mergeCell ref="Z1757:Z1758"/>
    <mergeCell ref="AC1757:AH1757"/>
    <mergeCell ref="AI1757:AN1757"/>
    <mergeCell ref="AO1757:AT1757"/>
    <mergeCell ref="AU1757:AZ1757"/>
    <mergeCell ref="BA1913:BA1914"/>
    <mergeCell ref="B1913:G1913"/>
    <mergeCell ref="H1913:M1913"/>
    <mergeCell ref="N1913:S1913"/>
    <mergeCell ref="T1913:Y1913"/>
    <mergeCell ref="Z1913:Z1914"/>
    <mergeCell ref="AC1913:AH1913"/>
    <mergeCell ref="AI1913:AN1913"/>
    <mergeCell ref="AO1913:AT1913"/>
    <mergeCell ref="AU1913:AZ1913"/>
    <mergeCell ref="AC1952:AH1952"/>
    <mergeCell ref="AI1952:AN1952"/>
    <mergeCell ref="AO1952:AT1952"/>
    <mergeCell ref="AU1952:AZ1952"/>
    <mergeCell ref="BA1952:BA1953"/>
    <mergeCell ref="B1952:G1952"/>
    <mergeCell ref="H1952:M1952"/>
    <mergeCell ref="N1952:S1952"/>
    <mergeCell ref="T1952:Y1952"/>
    <mergeCell ref="Z1952:Z1953"/>
    <mergeCell ref="BA2030:BA2031"/>
    <mergeCell ref="B2030:G2030"/>
    <mergeCell ref="H2030:M2030"/>
    <mergeCell ref="N2030:S2030"/>
    <mergeCell ref="T2030:Y2030"/>
    <mergeCell ref="Z2030:Z2031"/>
    <mergeCell ref="AC2030:AH2030"/>
    <mergeCell ref="AI2030:AN2030"/>
    <mergeCell ref="AO2030:AT2030"/>
    <mergeCell ref="AU2030:AZ2030"/>
    <mergeCell ref="BA2069:BA2070"/>
    <mergeCell ref="B2069:G2069"/>
    <mergeCell ref="H2069:M2069"/>
    <mergeCell ref="N2069:S2069"/>
    <mergeCell ref="T2069:Y2069"/>
    <mergeCell ref="Z2069:Z2070"/>
    <mergeCell ref="AC2069:AH2069"/>
    <mergeCell ref="AI2069:AN2069"/>
    <mergeCell ref="AO2069:AT2069"/>
    <mergeCell ref="AU2069:AZ2069"/>
    <mergeCell ref="BA2108:BA2109"/>
    <mergeCell ref="B2108:G2108"/>
    <mergeCell ref="H2108:M2108"/>
    <mergeCell ref="N2108:S2108"/>
    <mergeCell ref="T2108:Y2108"/>
    <mergeCell ref="Z2108:Z2109"/>
    <mergeCell ref="AC2108:AH2108"/>
    <mergeCell ref="AI2108:AN2108"/>
    <mergeCell ref="AO2108:AT2108"/>
    <mergeCell ref="AU2108:AZ2108"/>
    <mergeCell ref="BA2225:BA2226"/>
    <mergeCell ref="B2225:G2225"/>
    <mergeCell ref="H2225:M2225"/>
    <mergeCell ref="N2225:S2225"/>
    <mergeCell ref="T2225:Y2225"/>
    <mergeCell ref="Z2225:Z2226"/>
    <mergeCell ref="AC2225:AH2225"/>
    <mergeCell ref="AI2225:AN2225"/>
    <mergeCell ref="AO2225:AT2225"/>
    <mergeCell ref="AU2225:AZ2225"/>
    <mergeCell ref="BA2264:BA2265"/>
    <mergeCell ref="B2264:G2264"/>
    <mergeCell ref="H2264:M2264"/>
    <mergeCell ref="N2264:S2264"/>
    <mergeCell ref="T2264:Y2264"/>
    <mergeCell ref="Z2264:Z2265"/>
    <mergeCell ref="AC2264:AH2264"/>
    <mergeCell ref="AI2264:AN2264"/>
    <mergeCell ref="AO2264:AT2264"/>
    <mergeCell ref="AU2264:AZ2264"/>
    <mergeCell ref="BA2303:BA2304"/>
    <mergeCell ref="B2303:G2303"/>
    <mergeCell ref="H2303:M2303"/>
    <mergeCell ref="N2303:S2303"/>
    <mergeCell ref="T2303:Y2303"/>
    <mergeCell ref="Z2303:Z2304"/>
    <mergeCell ref="AC2303:AH2303"/>
    <mergeCell ref="AI2303:AN2303"/>
    <mergeCell ref="AO2303:AT2303"/>
    <mergeCell ref="AU2303:AZ2303"/>
  </mergeCells>
  <phoneticPr fontId="3"/>
  <pageMargins left="0.7" right="0.7" top="0.75" bottom="0.75" header="0.3" footer="0.3"/>
  <pageSetup paperSize="9" orientation="portrait" horizontalDpi="300" verticalDpi="300" r:id="rId1"/>
  <ignoredErrors>
    <ignoredError sqref="AH816 AN972 AT972 AH972:AH973 G1046:Y1046 G1050:Y1050 G1047:O1047 Q1047:Y1047 G1048 I1048 K1048:W1048 Y1048 G1049:M1049 O1049:Y1049 AH1206:AZ1206 AH1358:AT1358 AH1362:AT1362 AH1359:AN1360 AT1359:AT1361 AH1361 AN136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yumehan11</dc:creator>
  <cp:lastModifiedBy>聡祐 松島</cp:lastModifiedBy>
  <cp:lastPrinted>2026-01-06T00:05:44Z</cp:lastPrinted>
  <dcterms:created xsi:type="dcterms:W3CDTF">2017-10-31T07:26:18Z</dcterms:created>
  <dcterms:modified xsi:type="dcterms:W3CDTF">2026-07-16T01:26:47Z</dcterms:modified>
</cp:coreProperties>
</file>